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6DFD16E-DAF1-405E-AD81-A15D03EB545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5"/>
  <c r="C116" i="4"/>
  <c r="C122" i="4"/>
  <c r="C133" i="4" s="1"/>
  <c r="C136" i="4" s="1"/>
  <c r="D118" i="4"/>
  <c r="C118" i="3"/>
  <c r="C122" i="3"/>
  <c r="C133" i="3" s="1"/>
  <c r="D136" i="3" s="1"/>
  <c r="R765" i="1"/>
  <c r="C136" i="5" l="1"/>
  <c r="C138" i="5" s="1"/>
  <c r="D136" i="4"/>
  <c r="C138" i="4" s="1"/>
  <c r="C136" i="3"/>
  <c r="C138" i="3" s="1"/>
  <c r="R764" i="1"/>
  <c r="S765" i="1"/>
  <c r="T765" i="1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S667" i="1" l="1"/>
  <c r="T667" i="1" s="1"/>
  <c r="R666" i="1"/>
  <c r="S666" i="1" l="1"/>
  <c r="T666" i="1" s="1"/>
  <c r="R665" i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S659" i="1" l="1"/>
  <c r="T659" i="1" s="1"/>
  <c r="R658" i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R643" i="1" l="1"/>
  <c r="S644" i="1"/>
  <c r="T644" i="1" s="1"/>
  <c r="R642" i="1" l="1"/>
  <c r="S643" i="1"/>
  <c r="T643" i="1" s="1"/>
  <c r="S642" i="1" l="1"/>
  <c r="T642" i="1" s="1"/>
  <c r="R641" i="1"/>
  <c r="S641" i="1" l="1"/>
  <c r="T641" i="1" s="1"/>
  <c r="R640" i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S594" i="1" l="1"/>
  <c r="T594" i="1" s="1"/>
  <c r="R593" i="1"/>
  <c r="R592" i="1" l="1"/>
  <c r="S593" i="1"/>
  <c r="T593" i="1" s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S588" i="1" l="1"/>
  <c r="T588" i="1" s="1"/>
  <c r="R587" i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R509" i="1" l="1"/>
  <c r="S510" i="1"/>
  <c r="T510" i="1" s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R497" i="1" l="1"/>
  <c r="S498" i="1"/>
  <c r="T498" i="1" s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S484" i="1" l="1"/>
  <c r="T484" i="1" s="1"/>
  <c r="R483" i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S459" i="1" l="1"/>
  <c r="T459" i="1" s="1"/>
  <c r="R458" i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S439" i="1" l="1"/>
  <c r="T439" i="1" s="1"/>
  <c r="R438" i="1"/>
  <c r="S438" i="1" l="1"/>
  <c r="T438" i="1" s="1"/>
  <c r="R437" i="1"/>
  <c r="R436" i="1" l="1"/>
  <c r="S437" i="1"/>
  <c r="T437" i="1" s="1"/>
  <c r="R435" i="1" l="1"/>
  <c r="S436" i="1"/>
  <c r="T436" i="1" s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R400" i="1" l="1"/>
  <c r="S401" i="1"/>
  <c r="T401" i="1" s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R384" i="1" l="1"/>
  <c r="S385" i="1"/>
  <c r="T385" i="1" s="1"/>
  <c r="R383" i="1" l="1"/>
  <c r="S384" i="1"/>
  <c r="T384" i="1" s="1"/>
  <c r="S383" i="1" l="1"/>
  <c r="T383" i="1" s="1"/>
  <c r="R382" i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R341" i="1" l="1"/>
  <c r="S342" i="1"/>
  <c r="T342" i="1" s="1"/>
  <c r="S341" i="1" l="1"/>
  <c r="T341" i="1" s="1"/>
  <c r="R340" i="1"/>
  <c r="S340" i="1" l="1"/>
  <c r="T340" i="1" s="1"/>
  <c r="R339" i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S301" i="1" l="1"/>
  <c r="T301" i="1" s="1"/>
  <c r="R300" i="1"/>
  <c r="S300" i="1" l="1"/>
  <c r="T300" i="1" s="1"/>
  <c r="R299" i="1"/>
  <c r="S299" i="1" l="1"/>
  <c r="T299" i="1" s="1"/>
  <c r="R298" i="1"/>
  <c r="R297" i="1" l="1"/>
  <c r="S298" i="1"/>
  <c r="T298" i="1" s="1"/>
  <c r="S297" i="1" l="1"/>
  <c r="T297" i="1" s="1"/>
  <c r="R296" i="1"/>
  <c r="R295" i="1" l="1"/>
  <c r="S296" i="1"/>
  <c r="T296" i="1" s="1"/>
  <c r="S295" i="1" l="1"/>
  <c r="T295" i="1" s="1"/>
  <c r="R294" i="1"/>
  <c r="R293" i="1" l="1"/>
  <c r="S294" i="1"/>
  <c r="T294" i="1" s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S281" i="1" l="1"/>
  <c r="T281" i="1" s="1"/>
  <c r="R280" i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S181" i="1" l="1"/>
  <c r="T181" i="1" s="1"/>
  <c r="R180" i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S174" i="1" l="1"/>
  <c r="T174" i="1" s="1"/>
  <c r="R173" i="1"/>
  <c r="S173" i="1" l="1"/>
  <c r="T173" i="1" s="1"/>
  <c r="R172" i="1"/>
  <c r="R171" i="1" l="1"/>
  <c r="S172" i="1"/>
  <c r="T172" i="1" s="1"/>
  <c r="R170" i="1" l="1"/>
  <c r="S171" i="1"/>
  <c r="T171" i="1" s="1"/>
  <c r="S170" i="1" l="1"/>
  <c r="T170" i="1" s="1"/>
  <c r="R169" i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<sst xmlns="http://schemas.openxmlformats.org/spreadsheetml/2006/main" count="7003" uniqueCount="34">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</sst>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32.299999999999997</c:v>
                </c:pt>
                <c:pt idx="1">
                  <c:v>34.799999999999997</c:v>
                </c:pt>
                <c:pt idx="2">
                  <c:v>38.799999999999997</c:v>
                </c:pt>
                <c:pt idx="3">
                  <c:v>39.299999999999997</c:v>
                </c:pt>
                <c:pt idx="4">
                  <c:v>50.2</c:v>
                </c:pt>
                <c:pt idx="5">
                  <c:v>42.5</c:v>
                </c:pt>
                <c:pt idx="6">
                  <c:v>43.4</c:v>
                </c:pt>
                <c:pt idx="7">
                  <c:v>50.8</c:v>
                </c:pt>
                <c:pt idx="8">
                  <c:v>58.3</c:v>
                </c:pt>
                <c:pt idx="9">
                  <c:v>64.2</c:v>
                </c:pt>
                <c:pt idx="10">
                  <c:v>61.5</c:v>
                </c:pt>
                <c:pt idx="11">
                  <c:v>74.099999999999994</c:v>
                </c:pt>
                <c:pt idx="12">
                  <c:v>85.4</c:v>
                </c:pt>
                <c:pt idx="13">
                  <c:v>78.3</c:v>
                </c:pt>
                <c:pt idx="14">
                  <c:v>74.099999999999994</c:v>
                </c:pt>
                <c:pt idx="15">
                  <c:v>54.7</c:v>
                </c:pt>
                <c:pt idx="16">
                  <c:v>42.3</c:v>
                </c:pt>
                <c:pt idx="17">
                  <c:v>41.1</c:v>
                </c:pt>
                <c:pt idx="18">
                  <c:v>41.4</c:v>
                </c:pt>
                <c:pt idx="19">
                  <c:v>40.4</c:v>
                </c:pt>
                <c:pt idx="20">
                  <c:v>41.2</c:v>
                </c:pt>
                <c:pt idx="21">
                  <c:v>39</c:v>
                </c:pt>
                <c:pt idx="22">
                  <c:v>35.799999999999997</c:v>
                </c:pt>
                <c:pt idx="23">
                  <c:v>37.5</c:v>
                </c:pt>
                <c:pt idx="24">
                  <c:v>37.9</c:v>
                </c:pt>
                <c:pt idx="25">
                  <c:v>36.200000000000003</c:v>
                </c:pt>
                <c:pt idx="26">
                  <c:v>36.1</c:v>
                </c:pt>
                <c:pt idx="27">
                  <c:v>37.1</c:v>
                </c:pt>
                <c:pt idx="28">
                  <c:v>35.299999999999997</c:v>
                </c:pt>
                <c:pt idx="29">
                  <c:v>34.200000000000003</c:v>
                </c:pt>
                <c:pt idx="30">
                  <c:v>35.299999999999997</c:v>
                </c:pt>
                <c:pt idx="31">
                  <c:v>40</c:v>
                </c:pt>
                <c:pt idx="32">
                  <c:v>36.6</c:v>
                </c:pt>
                <c:pt idx="33">
                  <c:v>34.700000000000003</c:v>
                </c:pt>
                <c:pt idx="34">
                  <c:v>33.9</c:v>
                </c:pt>
                <c:pt idx="35">
                  <c:v>33.5</c:v>
                </c:pt>
                <c:pt idx="36">
                  <c:v>32.299999999999997</c:v>
                </c:pt>
                <c:pt idx="37">
                  <c:v>31.9</c:v>
                </c:pt>
                <c:pt idx="38">
                  <c:v>31.6</c:v>
                </c:pt>
                <c:pt idx="39">
                  <c:v>31.8</c:v>
                </c:pt>
                <c:pt idx="40">
                  <c:v>32.700000000000003</c:v>
                </c:pt>
                <c:pt idx="41">
                  <c:v>31.2</c:v>
                </c:pt>
                <c:pt idx="42">
                  <c:v>32.6</c:v>
                </c:pt>
                <c:pt idx="43">
                  <c:v>34.200000000000003</c:v>
                </c:pt>
                <c:pt idx="44">
                  <c:v>34.799999999999997</c:v>
                </c:pt>
                <c:pt idx="45">
                  <c:v>34.200000000000003</c:v>
                </c:pt>
                <c:pt idx="46">
                  <c:v>37</c:v>
                </c:pt>
                <c:pt idx="47">
                  <c:v>34.9</c:v>
                </c:pt>
                <c:pt idx="48">
                  <c:v>34.799999999999997</c:v>
                </c:pt>
                <c:pt idx="49">
                  <c:v>39.9</c:v>
                </c:pt>
                <c:pt idx="50">
                  <c:v>38.799999999999997</c:v>
                </c:pt>
                <c:pt idx="51">
                  <c:v>32.200000000000003</c:v>
                </c:pt>
                <c:pt idx="52">
                  <c:v>31</c:v>
                </c:pt>
                <c:pt idx="53">
                  <c:v>30.3</c:v>
                </c:pt>
                <c:pt idx="54">
                  <c:v>30.1</c:v>
                </c:pt>
                <c:pt idx="55">
                  <c:v>33.4</c:v>
                </c:pt>
                <c:pt idx="56">
                  <c:v>34.700000000000003</c:v>
                </c:pt>
                <c:pt idx="57">
                  <c:v>34.9</c:v>
                </c:pt>
                <c:pt idx="58">
                  <c:v>35.9</c:v>
                </c:pt>
                <c:pt idx="59">
                  <c:v>35.700000000000003</c:v>
                </c:pt>
                <c:pt idx="60">
                  <c:v>35</c:v>
                </c:pt>
                <c:pt idx="61">
                  <c:v>35.799999999999997</c:v>
                </c:pt>
                <c:pt idx="62">
                  <c:v>36.5</c:v>
                </c:pt>
                <c:pt idx="63">
                  <c:v>41.7</c:v>
                </c:pt>
                <c:pt idx="64">
                  <c:v>41</c:v>
                </c:pt>
                <c:pt idx="65">
                  <c:v>43.2</c:v>
                </c:pt>
                <c:pt idx="66">
                  <c:v>40.299999999999997</c:v>
                </c:pt>
                <c:pt idx="67">
                  <c:v>44.9</c:v>
                </c:pt>
                <c:pt idx="68">
                  <c:v>49.6</c:v>
                </c:pt>
                <c:pt idx="69">
                  <c:v>56.6</c:v>
                </c:pt>
                <c:pt idx="70">
                  <c:v>33.9</c:v>
                </c:pt>
                <c:pt idx="71">
                  <c:v>40.299999999999997</c:v>
                </c:pt>
                <c:pt idx="72">
                  <c:v>43.3</c:v>
                </c:pt>
                <c:pt idx="73">
                  <c:v>47</c:v>
                </c:pt>
                <c:pt idx="74">
                  <c:v>55.1</c:v>
                </c:pt>
                <c:pt idx="75">
                  <c:v>57.3</c:v>
                </c:pt>
                <c:pt idx="76">
                  <c:v>85.1</c:v>
                </c:pt>
                <c:pt idx="77">
                  <c:v>91.3</c:v>
                </c:pt>
                <c:pt idx="78">
                  <c:v>88.8</c:v>
                </c:pt>
                <c:pt idx="79">
                  <c:v>93.3</c:v>
                </c:pt>
                <c:pt idx="80">
                  <c:v>91.7</c:v>
                </c:pt>
                <c:pt idx="81">
                  <c:v>91.9</c:v>
                </c:pt>
                <c:pt idx="82">
                  <c:v>91.2</c:v>
                </c:pt>
                <c:pt idx="83">
                  <c:v>92.5</c:v>
                </c:pt>
                <c:pt idx="84">
                  <c:v>94.4</c:v>
                </c:pt>
                <c:pt idx="85">
                  <c:v>94.4</c:v>
                </c:pt>
                <c:pt idx="86">
                  <c:v>100</c:v>
                </c:pt>
                <c:pt idx="87">
                  <c:v>101.3</c:v>
                </c:pt>
                <c:pt idx="88">
                  <c:v>100.8</c:v>
                </c:pt>
                <c:pt idx="89">
                  <c:v>98.7</c:v>
                </c:pt>
                <c:pt idx="90">
                  <c:v>105.7</c:v>
                </c:pt>
                <c:pt idx="91">
                  <c:v>107.5</c:v>
                </c:pt>
                <c:pt idx="92">
                  <c:v>106.3</c:v>
                </c:pt>
                <c:pt idx="93">
                  <c:v>153.19999999999999</c:v>
                </c:pt>
                <c:pt idx="94">
                  <c:v>156.4</c:v>
                </c:pt>
                <c:pt idx="95">
                  <c:v>154.5</c:v>
                </c:pt>
                <c:pt idx="96">
                  <c:v>155.5</c:v>
                </c:pt>
                <c:pt idx="97">
                  <c:v>154.6</c:v>
                </c:pt>
                <c:pt idx="98">
                  <c:v>151.19999999999999</c:v>
                </c:pt>
                <c:pt idx="99">
                  <c:v>153.69999999999999</c:v>
                </c:pt>
                <c:pt idx="100">
                  <c:v>149.5</c:v>
                </c:pt>
                <c:pt idx="101">
                  <c:v>141.30000000000001</c:v>
                </c:pt>
                <c:pt idx="102">
                  <c:v>141.19999999999999</c:v>
                </c:pt>
                <c:pt idx="103">
                  <c:v>142.80000000000001</c:v>
                </c:pt>
                <c:pt idx="104">
                  <c:v>140.9</c:v>
                </c:pt>
                <c:pt idx="105">
                  <c:v>141.9</c:v>
                </c:pt>
                <c:pt idx="106">
                  <c:v>134.30000000000001</c:v>
                </c:pt>
                <c:pt idx="107">
                  <c:v>132</c:v>
                </c:pt>
                <c:pt idx="108">
                  <c:v>140</c:v>
                </c:pt>
                <c:pt idx="109">
                  <c:v>142.4</c:v>
                </c:pt>
                <c:pt idx="110">
                  <c:v>142</c:v>
                </c:pt>
                <c:pt idx="111">
                  <c:v>146.30000000000001</c:v>
                </c:pt>
                <c:pt idx="112">
                  <c:v>142.9</c:v>
                </c:pt>
                <c:pt idx="113">
                  <c:v>143.19999999999999</c:v>
                </c:pt>
                <c:pt idx="114">
                  <c:v>147</c:v>
                </c:pt>
                <c:pt idx="115">
                  <c:v>146.4</c:v>
                </c:pt>
                <c:pt idx="116">
                  <c:v>145.1</c:v>
                </c:pt>
                <c:pt idx="117">
                  <c:v>150.30000000000001</c:v>
                </c:pt>
                <c:pt idx="118">
                  <c:v>148.19999999999999</c:v>
                </c:pt>
                <c:pt idx="119">
                  <c:v>145.5</c:v>
                </c:pt>
                <c:pt idx="120">
                  <c:v>149</c:v>
                </c:pt>
                <c:pt idx="121">
                  <c:v>132.19999999999999</c:v>
                </c:pt>
                <c:pt idx="122">
                  <c:v>134</c:v>
                </c:pt>
                <c:pt idx="123">
                  <c:v>138.9</c:v>
                </c:pt>
                <c:pt idx="124">
                  <c:v>137.5</c:v>
                </c:pt>
                <c:pt idx="125">
                  <c:v>140.80000000000001</c:v>
                </c:pt>
                <c:pt idx="126">
                  <c:v>156.9</c:v>
                </c:pt>
                <c:pt idx="127">
                  <c:v>157.5</c:v>
                </c:pt>
                <c:pt idx="128">
                  <c:v>153.9</c:v>
                </c:pt>
                <c:pt idx="129">
                  <c:v>174.9</c:v>
                </c:pt>
                <c:pt idx="130">
                  <c:v>170.7</c:v>
                </c:pt>
                <c:pt idx="131">
                  <c:v>172.9</c:v>
                </c:pt>
                <c:pt idx="132">
                  <c:v>172.9</c:v>
                </c:pt>
                <c:pt idx="133">
                  <c:v>177.5</c:v>
                </c:pt>
                <c:pt idx="134">
                  <c:v>172</c:v>
                </c:pt>
                <c:pt idx="135">
                  <c:v>164</c:v>
                </c:pt>
                <c:pt idx="136">
                  <c:v>157.30000000000001</c:v>
                </c:pt>
                <c:pt idx="137">
                  <c:v>156.19999999999999</c:v>
                </c:pt>
                <c:pt idx="138">
                  <c:v>159.5</c:v>
                </c:pt>
                <c:pt idx="139">
                  <c:v>161</c:v>
                </c:pt>
                <c:pt idx="140">
                  <c:v>165.2</c:v>
                </c:pt>
                <c:pt idx="141">
                  <c:v>164.8</c:v>
                </c:pt>
                <c:pt idx="142">
                  <c:v>159.5</c:v>
                </c:pt>
                <c:pt idx="143">
                  <c:v>178.3</c:v>
                </c:pt>
                <c:pt idx="144">
                  <c:v>169.2</c:v>
                </c:pt>
                <c:pt idx="145">
                  <c:v>169.5</c:v>
                </c:pt>
                <c:pt idx="146">
                  <c:v>167.7</c:v>
                </c:pt>
                <c:pt idx="147">
                  <c:v>166.5</c:v>
                </c:pt>
                <c:pt idx="148">
                  <c:v>171.3</c:v>
                </c:pt>
                <c:pt idx="149">
                  <c:v>159.9</c:v>
                </c:pt>
                <c:pt idx="150">
                  <c:v>161.80000000000001</c:v>
                </c:pt>
                <c:pt idx="151">
                  <c:v>176</c:v>
                </c:pt>
                <c:pt idx="152">
                  <c:v>174.9</c:v>
                </c:pt>
                <c:pt idx="153">
                  <c:v>175.4</c:v>
                </c:pt>
                <c:pt idx="154">
                  <c:v>170.6</c:v>
                </c:pt>
                <c:pt idx="155">
                  <c:v>180</c:v>
                </c:pt>
                <c:pt idx="156">
                  <c:v>179</c:v>
                </c:pt>
                <c:pt idx="157">
                  <c:v>180.79</c:v>
                </c:pt>
                <c:pt idx="158">
                  <c:v>189.68</c:v>
                </c:pt>
                <c:pt idx="159">
                  <c:v>189.12</c:v>
                </c:pt>
                <c:pt idx="160">
                  <c:v>199.26</c:v>
                </c:pt>
                <c:pt idx="161">
                  <c:v>191.84</c:v>
                </c:pt>
                <c:pt idx="162">
                  <c:v>185</c:v>
                </c:pt>
                <c:pt idx="163">
                  <c:v>185.17</c:v>
                </c:pt>
                <c:pt idx="164">
                  <c:v>204.69</c:v>
                </c:pt>
                <c:pt idx="165">
                  <c:v>211.32</c:v>
                </c:pt>
                <c:pt idx="166">
                  <c:v>203.61</c:v>
                </c:pt>
                <c:pt idx="167">
                  <c:v>207.62</c:v>
                </c:pt>
                <c:pt idx="168">
                  <c:v>192.95</c:v>
                </c:pt>
                <c:pt idx="169">
                  <c:v>204.15</c:v>
                </c:pt>
                <c:pt idx="170">
                  <c:v>201.67</c:v>
                </c:pt>
                <c:pt idx="171">
                  <c:v>200.37</c:v>
                </c:pt>
                <c:pt idx="172">
                  <c:v>197.36</c:v>
                </c:pt>
                <c:pt idx="173">
                  <c:v>194.46</c:v>
                </c:pt>
                <c:pt idx="174">
                  <c:v>191.16</c:v>
                </c:pt>
                <c:pt idx="175">
                  <c:v>193.33</c:v>
                </c:pt>
                <c:pt idx="176">
                  <c:v>201.24</c:v>
                </c:pt>
                <c:pt idx="177">
                  <c:v>187.79</c:v>
                </c:pt>
                <c:pt idx="178">
                  <c:v>188.16</c:v>
                </c:pt>
                <c:pt idx="179">
                  <c:v>191.81</c:v>
                </c:pt>
                <c:pt idx="180">
                  <c:v>181.58</c:v>
                </c:pt>
                <c:pt idx="181">
                  <c:v>165.25</c:v>
                </c:pt>
                <c:pt idx="182">
                  <c:v>164.79</c:v>
                </c:pt>
                <c:pt idx="183">
                  <c:v>165.23</c:v>
                </c:pt>
                <c:pt idx="184">
                  <c:v>164.27</c:v>
                </c:pt>
                <c:pt idx="185">
                  <c:v>165.96</c:v>
                </c:pt>
                <c:pt idx="186">
                  <c:v>165.02</c:v>
                </c:pt>
                <c:pt idx="187">
                  <c:v>167.9</c:v>
                </c:pt>
                <c:pt idx="188">
                  <c:v>169.67</c:v>
                </c:pt>
                <c:pt idx="189">
                  <c:v>162.15</c:v>
                </c:pt>
                <c:pt idx="190">
                  <c:v>155.87</c:v>
                </c:pt>
                <c:pt idx="191">
                  <c:v>148.62</c:v>
                </c:pt>
                <c:pt idx="192">
                  <c:v>159.08000000000001</c:v>
                </c:pt>
                <c:pt idx="193">
                  <c:v>166.63</c:v>
                </c:pt>
                <c:pt idx="194">
                  <c:v>168.15</c:v>
                </c:pt>
                <c:pt idx="195">
                  <c:v>178.94</c:v>
                </c:pt>
                <c:pt idx="196">
                  <c:v>180.88</c:v>
                </c:pt>
                <c:pt idx="197">
                  <c:v>159.07</c:v>
                </c:pt>
                <c:pt idx="198">
                  <c:v>159.41</c:v>
                </c:pt>
                <c:pt idx="199">
                  <c:v>160.56</c:v>
                </c:pt>
                <c:pt idx="200">
                  <c:v>166.27</c:v>
                </c:pt>
                <c:pt idx="201">
                  <c:v>164.02</c:v>
                </c:pt>
                <c:pt idx="202">
                  <c:v>162.9</c:v>
                </c:pt>
                <c:pt idx="203">
                  <c:v>161.59</c:v>
                </c:pt>
                <c:pt idx="204">
                  <c:v>166.91</c:v>
                </c:pt>
                <c:pt idx="205">
                  <c:v>164.82</c:v>
                </c:pt>
                <c:pt idx="206">
                  <c:v>166.86</c:v>
                </c:pt>
                <c:pt idx="207">
                  <c:v>166.77</c:v>
                </c:pt>
                <c:pt idx="208">
                  <c:v>163.97</c:v>
                </c:pt>
                <c:pt idx="209">
                  <c:v>160.4</c:v>
                </c:pt>
                <c:pt idx="210">
                  <c:v>141.93</c:v>
                </c:pt>
                <c:pt idx="211">
                  <c:v>155.83000000000001</c:v>
                </c:pt>
                <c:pt idx="212">
                  <c:v>157.08000000000001</c:v>
                </c:pt>
                <c:pt idx="213">
                  <c:v>151.01</c:v>
                </c:pt>
                <c:pt idx="214">
                  <c:v>145.63999999999999</c:v>
                </c:pt>
                <c:pt idx="215">
                  <c:v>142.69999999999999</c:v>
                </c:pt>
                <c:pt idx="216">
                  <c:v>140.63</c:v>
                </c:pt>
                <c:pt idx="217">
                  <c:v>148.13</c:v>
                </c:pt>
                <c:pt idx="218">
                  <c:v>142.04</c:v>
                </c:pt>
                <c:pt idx="219">
                  <c:v>130.09</c:v>
                </c:pt>
                <c:pt idx="220">
                  <c:v>129.21</c:v>
                </c:pt>
                <c:pt idx="221">
                  <c:v>144.52000000000001</c:v>
                </c:pt>
                <c:pt idx="222">
                  <c:v>138.63999999999999</c:v>
                </c:pt>
                <c:pt idx="223">
                  <c:v>145.58000000000001</c:v>
                </c:pt>
                <c:pt idx="224">
                  <c:v>156.13999999999999</c:v>
                </c:pt>
                <c:pt idx="225">
                  <c:v>164.79</c:v>
                </c:pt>
                <c:pt idx="226">
                  <c:v>166.91</c:v>
                </c:pt>
                <c:pt idx="227">
                  <c:v>170.02</c:v>
                </c:pt>
                <c:pt idx="228">
                  <c:v>168.94</c:v>
                </c:pt>
                <c:pt idx="229">
                  <c:v>144.03</c:v>
                </c:pt>
                <c:pt idx="230">
                  <c:v>150.01</c:v>
                </c:pt>
                <c:pt idx="231">
                  <c:v>153.33000000000001</c:v>
                </c:pt>
                <c:pt idx="232">
                  <c:v>161.68</c:v>
                </c:pt>
                <c:pt idx="233">
                  <c:v>157.06</c:v>
                </c:pt>
                <c:pt idx="234">
                  <c:v>163.12</c:v>
                </c:pt>
                <c:pt idx="235">
                  <c:v>170.24</c:v>
                </c:pt>
                <c:pt idx="236">
                  <c:v>167.6</c:v>
                </c:pt>
                <c:pt idx="237">
                  <c:v>172.56</c:v>
                </c:pt>
                <c:pt idx="238">
                  <c:v>167.39</c:v>
                </c:pt>
                <c:pt idx="239">
                  <c:v>153.97999999999999</c:v>
                </c:pt>
                <c:pt idx="240">
                  <c:v>131.72999999999999</c:v>
                </c:pt>
                <c:pt idx="241">
                  <c:v>127.09</c:v>
                </c:pt>
                <c:pt idx="242">
                  <c:v>124.03</c:v>
                </c:pt>
                <c:pt idx="243">
                  <c:v>110.93</c:v>
                </c:pt>
                <c:pt idx="244">
                  <c:v>115.31</c:v>
                </c:pt>
                <c:pt idx="245">
                  <c:v>120.87</c:v>
                </c:pt>
                <c:pt idx="246">
                  <c:v>126.21</c:v>
                </c:pt>
                <c:pt idx="247">
                  <c:v>113.46</c:v>
                </c:pt>
                <c:pt idx="248">
                  <c:v>113.52</c:v>
                </c:pt>
                <c:pt idx="249">
                  <c:v>97.84</c:v>
                </c:pt>
                <c:pt idx="250">
                  <c:v>104.42</c:v>
                </c:pt>
                <c:pt idx="251">
                  <c:v>113.29</c:v>
                </c:pt>
                <c:pt idx="252">
                  <c:v>116.7</c:v>
                </c:pt>
                <c:pt idx="253">
                  <c:v>98.02</c:v>
                </c:pt>
                <c:pt idx="254">
                  <c:v>141.66999999999999</c:v>
                </c:pt>
                <c:pt idx="255">
                  <c:v>122.94</c:v>
                </c:pt>
                <c:pt idx="256">
                  <c:v>138.21</c:v>
                </c:pt>
                <c:pt idx="257">
                  <c:v>128.78</c:v>
                </c:pt>
                <c:pt idx="258">
                  <c:v>138.18</c:v>
                </c:pt>
                <c:pt idx="259">
                  <c:v>115.77</c:v>
                </c:pt>
                <c:pt idx="260">
                  <c:v>114.57</c:v>
                </c:pt>
                <c:pt idx="261">
                  <c:v>130.41999999999999</c:v>
                </c:pt>
                <c:pt idx="262">
                  <c:v>115.76</c:v>
                </c:pt>
                <c:pt idx="263">
                  <c:v>133.04</c:v>
                </c:pt>
                <c:pt idx="264">
                  <c:v>138.26</c:v>
                </c:pt>
                <c:pt idx="265">
                  <c:v>138.57</c:v>
                </c:pt>
                <c:pt idx="266">
                  <c:v>133.37</c:v>
                </c:pt>
                <c:pt idx="267">
                  <c:v>145.55000000000001</c:v>
                </c:pt>
                <c:pt idx="268">
                  <c:v>135.02000000000001</c:v>
                </c:pt>
                <c:pt idx="269">
                  <c:v>166.31</c:v>
                </c:pt>
                <c:pt idx="270">
                  <c:v>164.06</c:v>
                </c:pt>
                <c:pt idx="271">
                  <c:v>152.77000000000001</c:v>
                </c:pt>
                <c:pt idx="272">
                  <c:v>151.26</c:v>
                </c:pt>
                <c:pt idx="273">
                  <c:v>155.62</c:v>
                </c:pt>
                <c:pt idx="274">
                  <c:v>118.52</c:v>
                </c:pt>
                <c:pt idx="275">
                  <c:v>122.82</c:v>
                </c:pt>
                <c:pt idx="276">
                  <c:v>105.25</c:v>
                </c:pt>
                <c:pt idx="277">
                  <c:v>93.28</c:v>
                </c:pt>
                <c:pt idx="278">
                  <c:v>89.867000000000004</c:v>
                </c:pt>
                <c:pt idx="279">
                  <c:v>92.001000000000005</c:v>
                </c:pt>
                <c:pt idx="280">
                  <c:v>104</c:v>
                </c:pt>
                <c:pt idx="281">
                  <c:v>111.792</c:v>
                </c:pt>
                <c:pt idx="282">
                  <c:v>106.586</c:v>
                </c:pt>
                <c:pt idx="283">
                  <c:v>118.02</c:v>
                </c:pt>
                <c:pt idx="284">
                  <c:v>139.501</c:v>
                </c:pt>
                <c:pt idx="285">
                  <c:v>164.86099999999999</c:v>
                </c:pt>
                <c:pt idx="286">
                  <c:v>156.333</c:v>
                </c:pt>
                <c:pt idx="287">
                  <c:v>178.03299999999999</c:v>
                </c:pt>
                <c:pt idx="288">
                  <c:v>152.74199999999999</c:v>
                </c:pt>
                <c:pt idx="289">
                  <c:v>157.001</c:v>
                </c:pt>
                <c:pt idx="290">
                  <c:v>156.09200000000001</c:v>
                </c:pt>
                <c:pt idx="291">
                  <c:v>156.59299999999999</c:v>
                </c:pt>
                <c:pt idx="292">
                  <c:v>144</c:v>
                </c:pt>
                <c:pt idx="293">
                  <c:v>153.72999999999999</c:v>
                </c:pt>
                <c:pt idx="294">
                  <c:v>165.06899999999999</c:v>
                </c:pt>
                <c:pt idx="295">
                  <c:v>145.26300000000001</c:v>
                </c:pt>
                <c:pt idx="296">
                  <c:v>172.851</c:v>
                </c:pt>
                <c:pt idx="297">
                  <c:v>149.16999999999999</c:v>
                </c:pt>
                <c:pt idx="298">
                  <c:v>142.87700000000001</c:v>
                </c:pt>
                <c:pt idx="299">
                  <c:v>128.99700000000001</c:v>
                </c:pt>
                <c:pt idx="300">
                  <c:v>147.88999999999999</c:v>
                </c:pt>
                <c:pt idx="301">
                  <c:v>146.286</c:v>
                </c:pt>
                <c:pt idx="302">
                  <c:v>124.79300000000001</c:v>
                </c:pt>
                <c:pt idx="303">
                  <c:v>132.49299999999999</c:v>
                </c:pt>
                <c:pt idx="304">
                  <c:v>133.94900000000001</c:v>
                </c:pt>
                <c:pt idx="305">
                  <c:v>117.967</c:v>
                </c:pt>
                <c:pt idx="306">
                  <c:v>118.81399999999999</c:v>
                </c:pt>
                <c:pt idx="307">
                  <c:v>114.58199999999999</c:v>
                </c:pt>
                <c:pt idx="308">
                  <c:v>104.42100000000001</c:v>
                </c:pt>
                <c:pt idx="309">
                  <c:v>105</c:v>
                </c:pt>
                <c:pt idx="310">
                  <c:v>122.839</c:v>
                </c:pt>
                <c:pt idx="311">
                  <c:v>123.55</c:v>
                </c:pt>
                <c:pt idx="312">
                  <c:v>121.989</c:v>
                </c:pt>
                <c:pt idx="313">
                  <c:v>114.578</c:v>
                </c:pt>
                <c:pt idx="314">
                  <c:v>119.67400000000001</c:v>
                </c:pt>
                <c:pt idx="315">
                  <c:v>108.28100000000001</c:v>
                </c:pt>
                <c:pt idx="316">
                  <c:v>100.23399999999999</c:v>
                </c:pt>
                <c:pt idx="317">
                  <c:v>101.61199999999999</c:v>
                </c:pt>
                <c:pt idx="318">
                  <c:v>107.89100000000001</c:v>
                </c:pt>
                <c:pt idx="319">
                  <c:v>111.88</c:v>
                </c:pt>
                <c:pt idx="320">
                  <c:v>116.872</c:v>
                </c:pt>
                <c:pt idx="321">
                  <c:v>113.884</c:v>
                </c:pt>
                <c:pt idx="322">
                  <c:v>127.68</c:v>
                </c:pt>
                <c:pt idx="323">
                  <c:v>130.08000000000001</c:v>
                </c:pt>
                <c:pt idx="324">
                  <c:v>131.46</c:v>
                </c:pt>
                <c:pt idx="325">
                  <c:v>123.09699999999999</c:v>
                </c:pt>
                <c:pt idx="326">
                  <c:v>123.581</c:v>
                </c:pt>
                <c:pt idx="327">
                  <c:v>131.68100000000001</c:v>
                </c:pt>
                <c:pt idx="328">
                  <c:v>127.45</c:v>
                </c:pt>
                <c:pt idx="329">
                  <c:v>128.42099999999999</c:v>
                </c:pt>
                <c:pt idx="330">
                  <c:v>137.17400000000001</c:v>
                </c:pt>
                <c:pt idx="331">
                  <c:v>113.86499999999999</c:v>
                </c:pt>
                <c:pt idx="332">
                  <c:v>121.289</c:v>
                </c:pt>
                <c:pt idx="333">
                  <c:v>116.693</c:v>
                </c:pt>
                <c:pt idx="334">
                  <c:v>123.995</c:v>
                </c:pt>
                <c:pt idx="335">
                  <c:v>123.056</c:v>
                </c:pt>
                <c:pt idx="336">
                  <c:v>131.10499999999999</c:v>
                </c:pt>
                <c:pt idx="337">
                  <c:v>133.5</c:v>
                </c:pt>
                <c:pt idx="338">
                  <c:v>132.65799999999999</c:v>
                </c:pt>
                <c:pt idx="339">
                  <c:v>179.85</c:v>
                </c:pt>
                <c:pt idx="340">
                  <c:v>183.29400000000001</c:v>
                </c:pt>
                <c:pt idx="341">
                  <c:v>176.50399999999999</c:v>
                </c:pt>
                <c:pt idx="342">
                  <c:v>176.92</c:v>
                </c:pt>
                <c:pt idx="343">
                  <c:v>189.05699999999999</c:v>
                </c:pt>
                <c:pt idx="344">
                  <c:v>190.99799999999999</c:v>
                </c:pt>
                <c:pt idx="345">
                  <c:v>189.994</c:v>
                </c:pt>
                <c:pt idx="346">
                  <c:v>211.99700000000001</c:v>
                </c:pt>
                <c:pt idx="347">
                  <c:v>201.99</c:v>
                </c:pt>
                <c:pt idx="348">
                  <c:v>225.99799999999999</c:v>
                </c:pt>
                <c:pt idx="349">
                  <c:v>252.5</c:v>
                </c:pt>
                <c:pt idx="350">
                  <c:v>244.88</c:v>
                </c:pt>
                <c:pt idx="351">
                  <c:v>243.50700000000001</c:v>
                </c:pt>
                <c:pt idx="352">
                  <c:v>232.19399999999999</c:v>
                </c:pt>
                <c:pt idx="353">
                  <c:v>265.47800000000001</c:v>
                </c:pt>
                <c:pt idx="354">
                  <c:v>263.73500000000001</c:v>
                </c:pt>
                <c:pt idx="355">
                  <c:v>265.66300000000001</c:v>
                </c:pt>
                <c:pt idx="356">
                  <c:v>308.5</c:v>
                </c:pt>
                <c:pt idx="357">
                  <c:v>301.59800000000001</c:v>
                </c:pt>
                <c:pt idx="358">
                  <c:v>283.14499999999998</c:v>
                </c:pt>
                <c:pt idx="359">
                  <c:v>260.80099999999999</c:v>
                </c:pt>
                <c:pt idx="360">
                  <c:v>299.483</c:v>
                </c:pt>
                <c:pt idx="361">
                  <c:v>252.03899999999999</c:v>
                </c:pt>
                <c:pt idx="362">
                  <c:v>217.20699999999999</c:v>
                </c:pt>
                <c:pt idx="363">
                  <c:v>165.05</c:v>
                </c:pt>
                <c:pt idx="364">
                  <c:v>151.429</c:v>
                </c:pt>
                <c:pt idx="365">
                  <c:v>154.02000000000001</c:v>
                </c:pt>
                <c:pt idx="366">
                  <c:v>168.93899999999999</c:v>
                </c:pt>
                <c:pt idx="367">
                  <c:v>171.32599999999999</c:v>
                </c:pt>
                <c:pt idx="368">
                  <c:v>200.1</c:v>
                </c:pt>
                <c:pt idx="369">
                  <c:v>177</c:v>
                </c:pt>
                <c:pt idx="370">
                  <c:v>157.559</c:v>
                </c:pt>
                <c:pt idx="371">
                  <c:v>132.69800000000001</c:v>
                </c:pt>
                <c:pt idx="372">
                  <c:v>175</c:v>
                </c:pt>
                <c:pt idx="373">
                  <c:v>146.804</c:v>
                </c:pt>
                <c:pt idx="374">
                  <c:v>189.602</c:v>
                </c:pt>
                <c:pt idx="375">
                  <c:v>188.999</c:v>
                </c:pt>
                <c:pt idx="376">
                  <c:v>136.44300000000001</c:v>
                </c:pt>
                <c:pt idx="377">
                  <c:v>124.851</c:v>
                </c:pt>
                <c:pt idx="378">
                  <c:v>114.008</c:v>
                </c:pt>
                <c:pt idx="379">
                  <c:v>97.7</c:v>
                </c:pt>
                <c:pt idx="380">
                  <c:v>69.55</c:v>
                </c:pt>
                <c:pt idx="381">
                  <c:v>75.616</c:v>
                </c:pt>
                <c:pt idx="382">
                  <c:v>94.808000000000007</c:v>
                </c:pt>
                <c:pt idx="383">
                  <c:v>87.778000000000006</c:v>
                </c:pt>
                <c:pt idx="384">
                  <c:v>79.545000000000002</c:v>
                </c:pt>
                <c:pt idx="385">
                  <c:v>84.125</c:v>
                </c:pt>
                <c:pt idx="386">
                  <c:v>63.738</c:v>
                </c:pt>
                <c:pt idx="387">
                  <c:v>58.704000000000001</c:v>
                </c:pt>
                <c:pt idx="388">
                  <c:v>64.212000000000003</c:v>
                </c:pt>
                <c:pt idx="389">
                  <c:v>63.165999999999997</c:v>
                </c:pt>
                <c:pt idx="390">
                  <c:v>64.731999999999999</c:v>
                </c:pt>
                <c:pt idx="391">
                  <c:v>67.494</c:v>
                </c:pt>
                <c:pt idx="392">
                  <c:v>58.554000000000002</c:v>
                </c:pt>
                <c:pt idx="393">
                  <c:v>63.316000000000003</c:v>
                </c:pt>
                <c:pt idx="394">
                  <c:v>63.667999999999999</c:v>
                </c:pt>
                <c:pt idx="395">
                  <c:v>57.960999999999999</c:v>
                </c:pt>
                <c:pt idx="396">
                  <c:v>63.33</c:v>
                </c:pt>
                <c:pt idx="397">
                  <c:v>57.247999999999998</c:v>
                </c:pt>
                <c:pt idx="398">
                  <c:v>58.113</c:v>
                </c:pt>
                <c:pt idx="399">
                  <c:v>53.357999999999997</c:v>
                </c:pt>
                <c:pt idx="400">
                  <c:v>52.807000000000002</c:v>
                </c:pt>
                <c:pt idx="401">
                  <c:v>59.110999999999997</c:v>
                </c:pt>
                <c:pt idx="402">
                  <c:v>61.604999999999997</c:v>
                </c:pt>
                <c:pt idx="403">
                  <c:v>63.606999999999999</c:v>
                </c:pt>
                <c:pt idx="404">
                  <c:v>66.674000000000007</c:v>
                </c:pt>
                <c:pt idx="405">
                  <c:v>64.692999999999998</c:v>
                </c:pt>
                <c:pt idx="406">
                  <c:v>64.936999999999998</c:v>
                </c:pt>
                <c:pt idx="407">
                  <c:v>69.481999999999999</c:v>
                </c:pt>
                <c:pt idx="408">
                  <c:v>69</c:v>
                </c:pt>
                <c:pt idx="409">
                  <c:v>66</c:v>
                </c:pt>
                <c:pt idx="410">
                  <c:v>65.09</c:v>
                </c:pt>
                <c:pt idx="411">
                  <c:v>62.587000000000003</c:v>
                </c:pt>
                <c:pt idx="412">
                  <c:v>61.21</c:v>
                </c:pt>
                <c:pt idx="413">
                  <c:v>67.978999999999999</c:v>
                </c:pt>
                <c:pt idx="414">
                  <c:v>72</c:v>
                </c:pt>
                <c:pt idx="415">
                  <c:v>61.5</c:v>
                </c:pt>
                <c:pt idx="416">
                  <c:v>73.355000000000004</c:v>
                </c:pt>
                <c:pt idx="417">
                  <c:v>72.893000000000001</c:v>
                </c:pt>
                <c:pt idx="418">
                  <c:v>77.790000000000006</c:v>
                </c:pt>
                <c:pt idx="419">
                  <c:v>72.674000000000007</c:v>
                </c:pt>
                <c:pt idx="420">
                  <c:v>87.105000000000004</c:v>
                </c:pt>
                <c:pt idx="421">
                  <c:v>73.489000000000004</c:v>
                </c:pt>
                <c:pt idx="422">
                  <c:v>63.423000000000002</c:v>
                </c:pt>
                <c:pt idx="423">
                  <c:v>61.399000000000001</c:v>
                </c:pt>
                <c:pt idx="424">
                  <c:v>60</c:v>
                </c:pt>
                <c:pt idx="425">
                  <c:v>60.579000000000001</c:v>
                </c:pt>
                <c:pt idx="426">
                  <c:v>62.625999999999998</c:v>
                </c:pt>
                <c:pt idx="427">
                  <c:v>68.100999999999999</c:v>
                </c:pt>
                <c:pt idx="428">
                  <c:v>45.744999999999997</c:v>
                </c:pt>
                <c:pt idx="429">
                  <c:v>43.436</c:v>
                </c:pt>
                <c:pt idx="430">
                  <c:v>42.768000000000001</c:v>
                </c:pt>
                <c:pt idx="431">
                  <c:v>42.762</c:v>
                </c:pt>
                <c:pt idx="432">
                  <c:v>46.473999999999997</c:v>
                </c:pt>
                <c:pt idx="433">
                  <c:v>52.481000000000002</c:v>
                </c:pt>
                <c:pt idx="434">
                  <c:v>41.466999999999999</c:v>
                </c:pt>
                <c:pt idx="435">
                  <c:v>40.412999999999997</c:v>
                </c:pt>
                <c:pt idx="436">
                  <c:v>45.002000000000002</c:v>
                </c:pt>
                <c:pt idx="437">
                  <c:v>40.771000000000001</c:v>
                </c:pt>
                <c:pt idx="438">
                  <c:v>38.372999999999998</c:v>
                </c:pt>
                <c:pt idx="439">
                  <c:v>42.192</c:v>
                </c:pt>
                <c:pt idx="440">
                  <c:v>44.000999999999998</c:v>
                </c:pt>
                <c:pt idx="441">
                  <c:v>48.484000000000002</c:v>
                </c:pt>
                <c:pt idx="442">
                  <c:v>47.66</c:v>
                </c:pt>
                <c:pt idx="443">
                  <c:v>44.582000000000001</c:v>
                </c:pt>
                <c:pt idx="444">
                  <c:v>42.395000000000003</c:v>
                </c:pt>
                <c:pt idx="445">
                  <c:v>45.981000000000002</c:v>
                </c:pt>
                <c:pt idx="446">
                  <c:v>46.98</c:v>
                </c:pt>
                <c:pt idx="447">
                  <c:v>53.85</c:v>
                </c:pt>
                <c:pt idx="448">
                  <c:v>48.5</c:v>
                </c:pt>
                <c:pt idx="449">
                  <c:v>45.137999999999998</c:v>
                </c:pt>
                <c:pt idx="450">
                  <c:v>45.978999999999999</c:v>
                </c:pt>
                <c:pt idx="451">
                  <c:v>48.906999999999996</c:v>
                </c:pt>
                <c:pt idx="452">
                  <c:v>50.149000000000001</c:v>
                </c:pt>
                <c:pt idx="453">
                  <c:v>46.777999999999999</c:v>
                </c:pt>
                <c:pt idx="454">
                  <c:v>40.960999999999999</c:v>
                </c:pt>
                <c:pt idx="455">
                  <c:v>33.728999999999999</c:v>
                </c:pt>
                <c:pt idx="456">
                  <c:v>26.103999999999999</c:v>
                </c:pt>
                <c:pt idx="457">
                  <c:v>25.081</c:v>
                </c:pt>
                <c:pt idx="458">
                  <c:v>20.742999999999999</c:v>
                </c:pt>
                <c:pt idx="459">
                  <c:v>22.939</c:v>
                </c:pt>
                <c:pt idx="460">
                  <c:v>24.192</c:v>
                </c:pt>
                <c:pt idx="461">
                  <c:v>23.678999999999998</c:v>
                </c:pt>
                <c:pt idx="462">
                  <c:v>25.2</c:v>
                </c:pt>
                <c:pt idx="463">
                  <c:v>25.332000000000001</c:v>
                </c:pt>
                <c:pt idx="464">
                  <c:v>24.962</c:v>
                </c:pt>
                <c:pt idx="465">
                  <c:v>31.111000000000001</c:v>
                </c:pt>
                <c:pt idx="466">
                  <c:v>32.070999999999998</c:v>
                </c:pt>
                <c:pt idx="467">
                  <c:v>29.256</c:v>
                </c:pt>
                <c:pt idx="468">
                  <c:v>28.88</c:v>
                </c:pt>
                <c:pt idx="469">
                  <c:v>33.999000000000002</c:v>
                </c:pt>
                <c:pt idx="470">
                  <c:v>32.862000000000002</c:v>
                </c:pt>
                <c:pt idx="471">
                  <c:v>35.463999999999999</c:v>
                </c:pt>
                <c:pt idx="472">
                  <c:v>33.392000000000003</c:v>
                </c:pt>
                <c:pt idx="473">
                  <c:v>32.81</c:v>
                </c:pt>
                <c:pt idx="474">
                  <c:v>36.694000000000003</c:v>
                </c:pt>
                <c:pt idx="475">
                  <c:v>42.790999999999997</c:v>
                </c:pt>
                <c:pt idx="476">
                  <c:v>37.676000000000002</c:v>
                </c:pt>
                <c:pt idx="477">
                  <c:v>33.5</c:v>
                </c:pt>
                <c:pt idx="478">
                  <c:v>35.021999999999998</c:v>
                </c:pt>
                <c:pt idx="479">
                  <c:v>46.37</c:v>
                </c:pt>
                <c:pt idx="480">
                  <c:v>36.683999999999997</c:v>
                </c:pt>
                <c:pt idx="481">
                  <c:v>39.503</c:v>
                </c:pt>
                <c:pt idx="482">
                  <c:v>44.55</c:v>
                </c:pt>
                <c:pt idx="483">
                  <c:v>50.354999999999997</c:v>
                </c:pt>
                <c:pt idx="484">
                  <c:v>55.091999999999999</c:v>
                </c:pt>
                <c:pt idx="485">
                  <c:v>62.923000000000002</c:v>
                </c:pt>
                <c:pt idx="486">
                  <c:v>69.346000000000004</c:v>
                </c:pt>
                <c:pt idx="487">
                  <c:v>78.304000000000002</c:v>
                </c:pt>
                <c:pt idx="488">
                  <c:v>79.941000000000003</c:v>
                </c:pt>
                <c:pt idx="489">
                  <c:v>82.662000000000006</c:v>
                </c:pt>
                <c:pt idx="490">
                  <c:v>88.004000000000005</c:v>
                </c:pt>
                <c:pt idx="491">
                  <c:v>87.998999999999995</c:v>
                </c:pt>
                <c:pt idx="492">
                  <c:v>114.044</c:v>
                </c:pt>
                <c:pt idx="493">
                  <c:v>102</c:v>
                </c:pt>
                <c:pt idx="494">
                  <c:v>110.5</c:v>
                </c:pt>
                <c:pt idx="495">
                  <c:v>129.59200000000001</c:v>
                </c:pt>
                <c:pt idx="496">
                  <c:v>71.718999999999994</c:v>
                </c:pt>
                <c:pt idx="497">
                  <c:v>54.3</c:v>
                </c:pt>
                <c:pt idx="498">
                  <c:v>94.8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E-4B2B-838A-4E1614C6EF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-1.9373599077789256E-2</c:v>
                </c:pt>
                <c:pt idx="1">
                  <c:v>-1.9128389427789255E-2</c:v>
                </c:pt>
                <c:pt idx="2">
                  <c:v>-1.7360467545030629E-2</c:v>
                </c:pt>
                <c:pt idx="3">
                  <c:v>-1.6534174885518432E-2</c:v>
                </c:pt>
                <c:pt idx="4">
                  <c:v>-1.4400415593643429E-2</c:v>
                </c:pt>
                <c:pt idx="5">
                  <c:v>-1.5174467503355663E-2</c:v>
                </c:pt>
                <c:pt idx="6">
                  <c:v>-1.5992242249478109E-2</c:v>
                </c:pt>
                <c:pt idx="7">
                  <c:v>-1.5103624007001047E-2</c:v>
                </c:pt>
                <c:pt idx="8">
                  <c:v>-1.364882747366771E-2</c:v>
                </c:pt>
                <c:pt idx="9">
                  <c:v>-1.2361525374729657E-2</c:v>
                </c:pt>
                <c:pt idx="10">
                  <c:v>-1.3915155775562991E-2</c:v>
                </c:pt>
                <c:pt idx="11">
                  <c:v>-1.2376532535199353E-2</c:v>
                </c:pt>
                <c:pt idx="12">
                  <c:v>-1.0918138213434646E-2</c:v>
                </c:pt>
                <c:pt idx="13">
                  <c:v>-1.0879862834272636E-2</c:v>
                </c:pt>
                <c:pt idx="14">
                  <c:v>-1.1412000090561945E-2</c:v>
                </c:pt>
                <c:pt idx="15">
                  <c:v>-1.5003142555382085E-2</c:v>
                </c:pt>
                <c:pt idx="16">
                  <c:v>-1.6523500890676203E-2</c:v>
                </c:pt>
                <c:pt idx="17">
                  <c:v>-1.6635498036509534E-2</c:v>
                </c:pt>
                <c:pt idx="18">
                  <c:v>-1.6874721222176203E-2</c:v>
                </c:pt>
                <c:pt idx="19">
                  <c:v>-1.7019139366938104E-2</c:v>
                </c:pt>
                <c:pt idx="20">
                  <c:v>-1.6390700926820458E-2</c:v>
                </c:pt>
                <c:pt idx="21">
                  <c:v>-1.6645290423173403E-2</c:v>
                </c:pt>
                <c:pt idx="22">
                  <c:v>-1.7432877029685028E-2</c:v>
                </c:pt>
                <c:pt idx="23">
                  <c:v>-1.717076691397074E-2</c:v>
                </c:pt>
                <c:pt idx="24">
                  <c:v>-1.7033261235220743E-2</c:v>
                </c:pt>
                <c:pt idx="25">
                  <c:v>-1.7033261235220743E-2</c:v>
                </c:pt>
                <c:pt idx="26">
                  <c:v>-1.6985330038077888E-2</c:v>
                </c:pt>
                <c:pt idx="27">
                  <c:v>-1.6848903034974438E-2</c:v>
                </c:pt>
                <c:pt idx="28">
                  <c:v>-1.6598938973921808E-2</c:v>
                </c:pt>
                <c:pt idx="29">
                  <c:v>-1.6606697946207522E-2</c:v>
                </c:pt>
                <c:pt idx="30">
                  <c:v>-1.6316018780120563E-2</c:v>
                </c:pt>
                <c:pt idx="31">
                  <c:v>-1.5918058912225825E-2</c:v>
                </c:pt>
                <c:pt idx="32">
                  <c:v>-1.5706350305117394E-2</c:v>
                </c:pt>
                <c:pt idx="33">
                  <c:v>-1.5883930874492393E-2</c:v>
                </c:pt>
                <c:pt idx="34">
                  <c:v>-1.6021082604492396E-2</c:v>
                </c:pt>
                <c:pt idx="35">
                  <c:v>-1.5999252711860819E-2</c:v>
                </c:pt>
                <c:pt idx="36">
                  <c:v>-1.6260920681091588E-2</c:v>
                </c:pt>
                <c:pt idx="37">
                  <c:v>-1.5952331760788554E-2</c:v>
                </c:pt>
                <c:pt idx="38">
                  <c:v>-1.5976339131899667E-2</c:v>
                </c:pt>
                <c:pt idx="39">
                  <c:v>-1.6028591493717846E-2</c:v>
                </c:pt>
                <c:pt idx="40">
                  <c:v>-1.5802750380384513E-2</c:v>
                </c:pt>
                <c:pt idx="41">
                  <c:v>-1.5475813593827136E-2</c:v>
                </c:pt>
                <c:pt idx="42">
                  <c:v>-1.5369543184938246E-2</c:v>
                </c:pt>
                <c:pt idx="43">
                  <c:v>-1.5151349715738248E-2</c:v>
                </c:pt>
                <c:pt idx="44">
                  <c:v>-1.5403241993516026E-2</c:v>
                </c:pt>
                <c:pt idx="45">
                  <c:v>-1.5647601166849358E-2</c:v>
                </c:pt>
                <c:pt idx="46">
                  <c:v>-1.5070002235059887E-2</c:v>
                </c:pt>
                <c:pt idx="47">
                  <c:v>-1.5097422787440841E-2</c:v>
                </c:pt>
                <c:pt idx="48">
                  <c:v>-1.5099036058210072E-2</c:v>
                </c:pt>
                <c:pt idx="49">
                  <c:v>-1.4301791766543405E-2</c:v>
                </c:pt>
                <c:pt idx="50">
                  <c:v>-1.3875647231837523E-2</c:v>
                </c:pt>
                <c:pt idx="51">
                  <c:v>-1.4752806654948632E-2</c:v>
                </c:pt>
                <c:pt idx="52">
                  <c:v>-1.4865029106437994E-2</c:v>
                </c:pt>
                <c:pt idx="53">
                  <c:v>-1.541383703209017E-2</c:v>
                </c:pt>
                <c:pt idx="54">
                  <c:v>-1.534685419209017E-2</c:v>
                </c:pt>
                <c:pt idx="55">
                  <c:v>-1.550410381179017E-2</c:v>
                </c:pt>
                <c:pt idx="56">
                  <c:v>-1.5115321448686721E-2</c:v>
                </c:pt>
                <c:pt idx="57">
                  <c:v>-1.5168110930908944E-2</c:v>
                </c:pt>
                <c:pt idx="58">
                  <c:v>-1.4957598460075609E-2</c:v>
                </c:pt>
                <c:pt idx="59">
                  <c:v>-1.5644445310075607E-2</c:v>
                </c:pt>
                <c:pt idx="60">
                  <c:v>-1.5456735552489404E-2</c:v>
                </c:pt>
                <c:pt idx="61">
                  <c:v>-1.5432432893970885E-2</c:v>
                </c:pt>
                <c:pt idx="62">
                  <c:v>-1.5049222442751373E-2</c:v>
                </c:pt>
                <c:pt idx="63">
                  <c:v>-1.4279994722751373E-2</c:v>
                </c:pt>
                <c:pt idx="64">
                  <c:v>-1.3926881419221963E-2</c:v>
                </c:pt>
                <c:pt idx="65">
                  <c:v>-1.3795028412555298E-2</c:v>
                </c:pt>
                <c:pt idx="66">
                  <c:v>-1.3766524732328025E-2</c:v>
                </c:pt>
                <c:pt idx="67">
                  <c:v>-1.3199924686328022E-2</c:v>
                </c:pt>
                <c:pt idx="68">
                  <c:v>-1.1978679865404946E-2</c:v>
                </c:pt>
                <c:pt idx="69">
                  <c:v>-9.5422991344525643E-3</c:v>
                </c:pt>
                <c:pt idx="70">
                  <c:v>-1.4162186762780742E-2</c:v>
                </c:pt>
                <c:pt idx="71">
                  <c:v>-1.3451017483180741E-2</c:v>
                </c:pt>
                <c:pt idx="72">
                  <c:v>-1.3115397356257665E-2</c:v>
                </c:pt>
                <c:pt idx="73">
                  <c:v>-1.3445581653139383E-2</c:v>
                </c:pt>
                <c:pt idx="74">
                  <c:v>-1.2172751194363875E-2</c:v>
                </c:pt>
                <c:pt idx="75">
                  <c:v>-1.1216377687363875E-2</c:v>
                </c:pt>
                <c:pt idx="76">
                  <c:v>-8.538076193624294E-3</c:v>
                </c:pt>
                <c:pt idx="77">
                  <c:v>-8.4985181421242933E-3</c:v>
                </c:pt>
                <c:pt idx="78">
                  <c:v>-8.5738456800190307E-3</c:v>
                </c:pt>
                <c:pt idx="79">
                  <c:v>-8.5306846582690297E-3</c:v>
                </c:pt>
                <c:pt idx="80">
                  <c:v>-8.5326896025827541E-3</c:v>
                </c:pt>
                <c:pt idx="81">
                  <c:v>-8.5138208799296951E-3</c:v>
                </c:pt>
                <c:pt idx="82">
                  <c:v>-8.5296855699296958E-3</c:v>
                </c:pt>
                <c:pt idx="83">
                  <c:v>-8.50798517731431E-3</c:v>
                </c:pt>
                <c:pt idx="84">
                  <c:v>-8.4612398773143103E-3</c:v>
                </c:pt>
                <c:pt idx="85">
                  <c:v>-8.4661502643513485E-3</c:v>
                </c:pt>
                <c:pt idx="86">
                  <c:v>-8.3512080904187633E-3</c:v>
                </c:pt>
                <c:pt idx="87">
                  <c:v>-8.3653326215298758E-3</c:v>
                </c:pt>
                <c:pt idx="88">
                  <c:v>-8.3811518537879395E-3</c:v>
                </c:pt>
                <c:pt idx="89">
                  <c:v>-8.4576284798918346E-3</c:v>
                </c:pt>
                <c:pt idx="90">
                  <c:v>-8.2509311625234144E-3</c:v>
                </c:pt>
                <c:pt idx="91">
                  <c:v>-8.2162408281644395E-3</c:v>
                </c:pt>
                <c:pt idx="92">
                  <c:v>-8.3782139523545223E-3</c:v>
                </c:pt>
                <c:pt idx="93">
                  <c:v>-7.161135850674522E-3</c:v>
                </c:pt>
                <c:pt idx="94">
                  <c:v>-7.1361513354571303E-3</c:v>
                </c:pt>
                <c:pt idx="95">
                  <c:v>-7.1414531496506789E-3</c:v>
                </c:pt>
                <c:pt idx="96">
                  <c:v>-7.1260896296506792E-3</c:v>
                </c:pt>
                <c:pt idx="97">
                  <c:v>-7.1298863340692846E-3</c:v>
                </c:pt>
                <c:pt idx="98">
                  <c:v>-7.147997941569284E-3</c:v>
                </c:pt>
                <c:pt idx="99">
                  <c:v>-7.0922755760763258E-3</c:v>
                </c:pt>
                <c:pt idx="100">
                  <c:v>-7.1095459535931039E-3</c:v>
                </c:pt>
                <c:pt idx="101">
                  <c:v>-7.0925161857359614E-3</c:v>
                </c:pt>
                <c:pt idx="102">
                  <c:v>-7.0904321344859621E-3</c:v>
                </c:pt>
                <c:pt idx="103">
                  <c:v>-7.0999198353555257E-3</c:v>
                </c:pt>
                <c:pt idx="104">
                  <c:v>-7.1321659077084676E-3</c:v>
                </c:pt>
                <c:pt idx="105">
                  <c:v>-7.1086100392153172E-3</c:v>
                </c:pt>
                <c:pt idx="106">
                  <c:v>-7.0306484357425146E-3</c:v>
                </c:pt>
                <c:pt idx="107">
                  <c:v>-7.0014703324867006E-3</c:v>
                </c:pt>
                <c:pt idx="108">
                  <c:v>-6.9205035893110242E-3</c:v>
                </c:pt>
                <c:pt idx="109">
                  <c:v>-6.8372674460967387E-3</c:v>
                </c:pt>
                <c:pt idx="110">
                  <c:v>-6.8580924376630036E-3</c:v>
                </c:pt>
                <c:pt idx="111">
                  <c:v>-6.7755888089130042E-3</c:v>
                </c:pt>
                <c:pt idx="112">
                  <c:v>-6.8176390539732446E-3</c:v>
                </c:pt>
                <c:pt idx="113">
                  <c:v>-6.7895625833850094E-3</c:v>
                </c:pt>
                <c:pt idx="114">
                  <c:v>-6.7348400251134042E-3</c:v>
                </c:pt>
                <c:pt idx="115">
                  <c:v>-6.7518784172029564E-3</c:v>
                </c:pt>
                <c:pt idx="116">
                  <c:v>-6.760923367560099E-3</c:v>
                </c:pt>
                <c:pt idx="117">
                  <c:v>-6.7162928184075557E-3</c:v>
                </c:pt>
                <c:pt idx="118">
                  <c:v>-6.7642840350229409E-3</c:v>
                </c:pt>
                <c:pt idx="119">
                  <c:v>-6.6959500725229399E-3</c:v>
                </c:pt>
                <c:pt idx="120">
                  <c:v>-6.5320500214703084E-3</c:v>
                </c:pt>
                <c:pt idx="121">
                  <c:v>-6.495152774558915E-3</c:v>
                </c:pt>
                <c:pt idx="122">
                  <c:v>-6.488072656773201E-3</c:v>
                </c:pt>
                <c:pt idx="123">
                  <c:v>-6.0926488406115855E-3</c:v>
                </c:pt>
                <c:pt idx="124">
                  <c:v>-6.0920159073685944E-3</c:v>
                </c:pt>
                <c:pt idx="125">
                  <c:v>-6.0373142766372524E-3</c:v>
                </c:pt>
                <c:pt idx="126">
                  <c:v>-5.9379116583425156E-3</c:v>
                </c:pt>
                <c:pt idx="127">
                  <c:v>-5.9028227648541438E-3</c:v>
                </c:pt>
                <c:pt idx="128">
                  <c:v>-5.9136649775370694E-3</c:v>
                </c:pt>
                <c:pt idx="129">
                  <c:v>-5.8139608532723642E-3</c:v>
                </c:pt>
                <c:pt idx="130">
                  <c:v>-5.4894034275241119E-3</c:v>
                </c:pt>
                <c:pt idx="131">
                  <c:v>-5.4797175239526836E-3</c:v>
                </c:pt>
                <c:pt idx="132">
                  <c:v>-5.4625389552026846E-3</c:v>
                </c:pt>
                <c:pt idx="133">
                  <c:v>-5.468109094461944E-3</c:v>
                </c:pt>
                <c:pt idx="134">
                  <c:v>-5.4929481584619442E-3</c:v>
                </c:pt>
                <c:pt idx="135">
                  <c:v>-5.5541979714546453E-3</c:v>
                </c:pt>
                <c:pt idx="136">
                  <c:v>-5.5915315468514698E-3</c:v>
                </c:pt>
                <c:pt idx="137">
                  <c:v>-5.6071661487791802E-3</c:v>
                </c:pt>
                <c:pt idx="138">
                  <c:v>-5.6003010132236238E-3</c:v>
                </c:pt>
                <c:pt idx="139">
                  <c:v>-5.5882239490772827E-3</c:v>
                </c:pt>
                <c:pt idx="140">
                  <c:v>-5.5671096683629975E-3</c:v>
                </c:pt>
                <c:pt idx="141">
                  <c:v>-5.6339302618924085E-3</c:v>
                </c:pt>
                <c:pt idx="142">
                  <c:v>-5.7169262047737654E-3</c:v>
                </c:pt>
                <c:pt idx="143">
                  <c:v>-5.6852573974546161E-3</c:v>
                </c:pt>
                <c:pt idx="144">
                  <c:v>-5.7385439365850504E-3</c:v>
                </c:pt>
                <c:pt idx="145">
                  <c:v>-5.728819899442193E-3</c:v>
                </c:pt>
                <c:pt idx="146">
                  <c:v>-5.7297198910701008E-3</c:v>
                </c:pt>
                <c:pt idx="147">
                  <c:v>-5.7284526092182481E-3</c:v>
                </c:pt>
                <c:pt idx="148">
                  <c:v>-5.7000018912182482E-3</c:v>
                </c:pt>
                <c:pt idx="149">
                  <c:v>-5.7405372853515813E-3</c:v>
                </c:pt>
                <c:pt idx="150">
                  <c:v>-5.6926554590037547E-3</c:v>
                </c:pt>
                <c:pt idx="151">
                  <c:v>-5.5254723973528104E-3</c:v>
                </c:pt>
                <c:pt idx="152">
                  <c:v>-5.5138726323528111E-3</c:v>
                </c:pt>
                <c:pt idx="153">
                  <c:v>-5.5274416634166403E-3</c:v>
                </c:pt>
                <c:pt idx="154">
                  <c:v>-5.549090652060708E-3</c:v>
                </c:pt>
                <c:pt idx="155">
                  <c:v>-5.5205106714259254E-3</c:v>
                </c:pt>
                <c:pt idx="156">
                  <c:v>-5.5335138402937611E-3</c:v>
                </c:pt>
                <c:pt idx="157">
                  <c:v>-5.5338886035506034E-3</c:v>
                </c:pt>
                <c:pt idx="158">
                  <c:v>-5.4931447948643282E-3</c:v>
                </c:pt>
                <c:pt idx="159">
                  <c:v>-5.4926565180508733E-3</c:v>
                </c:pt>
                <c:pt idx="160">
                  <c:v>-5.4665187363876081E-3</c:v>
                </c:pt>
                <c:pt idx="161">
                  <c:v>-5.5036713658589463E-3</c:v>
                </c:pt>
                <c:pt idx="162">
                  <c:v>-5.527780673810637E-3</c:v>
                </c:pt>
                <c:pt idx="163">
                  <c:v>-5.5488657919951761E-3</c:v>
                </c:pt>
                <c:pt idx="164">
                  <c:v>-5.4615352802920994E-3</c:v>
                </c:pt>
                <c:pt idx="165">
                  <c:v>-5.416500635046154E-3</c:v>
                </c:pt>
                <c:pt idx="166">
                  <c:v>-5.4352348022378878E-3</c:v>
                </c:pt>
                <c:pt idx="167">
                  <c:v>-5.4489344547247109E-3</c:v>
                </c:pt>
                <c:pt idx="168">
                  <c:v>-5.4747713265701301E-3</c:v>
                </c:pt>
                <c:pt idx="169">
                  <c:v>-5.4481879451129724E-3</c:v>
                </c:pt>
                <c:pt idx="170">
                  <c:v>-5.4429500828494185E-3</c:v>
                </c:pt>
                <c:pt idx="171">
                  <c:v>-5.4599346737756183E-3</c:v>
                </c:pt>
                <c:pt idx="172">
                  <c:v>-5.4690082981693096E-3</c:v>
                </c:pt>
                <c:pt idx="173">
                  <c:v>-5.3386079548547027E-3</c:v>
                </c:pt>
                <c:pt idx="174">
                  <c:v>-5.3505580971158588E-3</c:v>
                </c:pt>
                <c:pt idx="175">
                  <c:v>-5.3620926162698569E-3</c:v>
                </c:pt>
                <c:pt idx="176">
                  <c:v>-5.3264655634830639E-3</c:v>
                </c:pt>
                <c:pt idx="177">
                  <c:v>-5.3459466575129077E-3</c:v>
                </c:pt>
                <c:pt idx="178">
                  <c:v>-5.4003644149193284E-3</c:v>
                </c:pt>
                <c:pt idx="179">
                  <c:v>-5.2762305306585291E-3</c:v>
                </c:pt>
                <c:pt idx="180">
                  <c:v>-5.2889879868961518E-3</c:v>
                </c:pt>
                <c:pt idx="181">
                  <c:v>-5.3434537604120534E-3</c:v>
                </c:pt>
                <c:pt idx="182">
                  <c:v>-5.358210878634276E-3</c:v>
                </c:pt>
                <c:pt idx="183">
                  <c:v>-5.3648277276410672E-3</c:v>
                </c:pt>
                <c:pt idx="184">
                  <c:v>-5.3478644767924154E-3</c:v>
                </c:pt>
                <c:pt idx="185">
                  <c:v>-5.3675714521868026E-3</c:v>
                </c:pt>
                <c:pt idx="186">
                  <c:v>-5.3241512242134777E-3</c:v>
                </c:pt>
                <c:pt idx="187">
                  <c:v>-5.2973951334795728E-3</c:v>
                </c:pt>
                <c:pt idx="188">
                  <c:v>-5.3168042616263782E-3</c:v>
                </c:pt>
                <c:pt idx="189">
                  <c:v>-5.399585749935468E-3</c:v>
                </c:pt>
                <c:pt idx="190">
                  <c:v>-5.4360182126133713E-3</c:v>
                </c:pt>
                <c:pt idx="191">
                  <c:v>-5.4700992274174954E-3</c:v>
                </c:pt>
                <c:pt idx="192">
                  <c:v>-5.420285521581851E-3</c:v>
                </c:pt>
                <c:pt idx="193">
                  <c:v>-5.386452313656853E-3</c:v>
                </c:pt>
                <c:pt idx="194">
                  <c:v>-5.3389326912428176E-3</c:v>
                </c:pt>
                <c:pt idx="195">
                  <c:v>-5.3057662538594178E-3</c:v>
                </c:pt>
                <c:pt idx="196">
                  <c:v>-5.2534833819218455E-3</c:v>
                </c:pt>
                <c:pt idx="197">
                  <c:v>-5.4020967736426659E-3</c:v>
                </c:pt>
                <c:pt idx="198">
                  <c:v>-5.4037255622756764E-3</c:v>
                </c:pt>
                <c:pt idx="199">
                  <c:v>-5.390197616439313E-3</c:v>
                </c:pt>
                <c:pt idx="200">
                  <c:v>-5.3717621698148397E-3</c:v>
                </c:pt>
                <c:pt idx="201">
                  <c:v>-5.3759759506167718E-3</c:v>
                </c:pt>
                <c:pt idx="202">
                  <c:v>-5.3734635776936952E-3</c:v>
                </c:pt>
                <c:pt idx="203">
                  <c:v>-5.3994425843214323E-3</c:v>
                </c:pt>
                <c:pt idx="204">
                  <c:v>-5.3644572680360556E-3</c:v>
                </c:pt>
                <c:pt idx="205">
                  <c:v>-5.352201778256226E-3</c:v>
                </c:pt>
                <c:pt idx="206">
                  <c:v>-5.3191216081310356E-3</c:v>
                </c:pt>
                <c:pt idx="207">
                  <c:v>-5.3260514001848133E-3</c:v>
                </c:pt>
                <c:pt idx="208">
                  <c:v>-5.3272171393075572E-3</c:v>
                </c:pt>
                <c:pt idx="209">
                  <c:v>-5.3509675303966666E-3</c:v>
                </c:pt>
                <c:pt idx="210">
                  <c:v>-5.5050610947393816E-3</c:v>
                </c:pt>
                <c:pt idx="211">
                  <c:v>-5.4369530218284362E-3</c:v>
                </c:pt>
                <c:pt idx="212">
                  <c:v>-5.4736678287914372E-3</c:v>
                </c:pt>
                <c:pt idx="213">
                  <c:v>-5.5230409759459377E-3</c:v>
                </c:pt>
                <c:pt idx="214">
                  <c:v>-5.543032803835047E-3</c:v>
                </c:pt>
                <c:pt idx="215">
                  <c:v>-5.5805565165070467E-3</c:v>
                </c:pt>
                <c:pt idx="216">
                  <c:v>-5.5855569437119074E-3</c:v>
                </c:pt>
                <c:pt idx="217">
                  <c:v>-5.476743615893725E-3</c:v>
                </c:pt>
                <c:pt idx="218">
                  <c:v>-5.5016419567064899E-3</c:v>
                </c:pt>
                <c:pt idx="219">
                  <c:v>-5.5272363992486147E-3</c:v>
                </c:pt>
                <c:pt idx="220">
                  <c:v>-5.6028156400289315E-3</c:v>
                </c:pt>
                <c:pt idx="221">
                  <c:v>-5.4571598225801122E-3</c:v>
                </c:pt>
                <c:pt idx="222">
                  <c:v>-5.5174611502509987E-3</c:v>
                </c:pt>
                <c:pt idx="223">
                  <c:v>-5.4665426295678523E-3</c:v>
                </c:pt>
                <c:pt idx="224">
                  <c:v>-5.3811744543448906E-3</c:v>
                </c:pt>
                <c:pt idx="225">
                  <c:v>-5.2781651277338934E-3</c:v>
                </c:pt>
                <c:pt idx="226">
                  <c:v>-5.1867289061722664E-3</c:v>
                </c:pt>
                <c:pt idx="227">
                  <c:v>-5.1451720445285613E-3</c:v>
                </c:pt>
                <c:pt idx="228">
                  <c:v>-5.1965888967996877E-3</c:v>
                </c:pt>
                <c:pt idx="229">
                  <c:v>-5.3257628937381273E-3</c:v>
                </c:pt>
                <c:pt idx="230">
                  <c:v>-5.3769277040305024E-3</c:v>
                </c:pt>
                <c:pt idx="231">
                  <c:v>-5.4218612502360845E-3</c:v>
                </c:pt>
                <c:pt idx="232">
                  <c:v>-5.3569008227662218E-3</c:v>
                </c:pt>
                <c:pt idx="233">
                  <c:v>-5.2846573421452651E-3</c:v>
                </c:pt>
                <c:pt idx="234">
                  <c:v>-5.343355228472583E-3</c:v>
                </c:pt>
                <c:pt idx="235">
                  <c:v>-5.3023680356451388E-3</c:v>
                </c:pt>
                <c:pt idx="236">
                  <c:v>-5.3162840175587913E-3</c:v>
                </c:pt>
                <c:pt idx="237">
                  <c:v>-5.2784866562933883E-3</c:v>
                </c:pt>
                <c:pt idx="238">
                  <c:v>-5.4451916529903175E-3</c:v>
                </c:pt>
                <c:pt idx="239">
                  <c:v>-5.5466725281302946E-3</c:v>
                </c:pt>
                <c:pt idx="240">
                  <c:v>-5.6968226573658447E-3</c:v>
                </c:pt>
                <c:pt idx="241">
                  <c:v>-5.7296172030539619E-3</c:v>
                </c:pt>
                <c:pt idx="242">
                  <c:v>-5.7913307834500339E-3</c:v>
                </c:pt>
                <c:pt idx="243">
                  <c:v>-5.8715540722964763E-3</c:v>
                </c:pt>
                <c:pt idx="244">
                  <c:v>-5.7698458354101716E-3</c:v>
                </c:pt>
                <c:pt idx="245">
                  <c:v>-5.7989794043626832E-3</c:v>
                </c:pt>
                <c:pt idx="246">
                  <c:v>-5.7122121277616992E-3</c:v>
                </c:pt>
                <c:pt idx="247">
                  <c:v>-5.8001180680954355E-3</c:v>
                </c:pt>
                <c:pt idx="248">
                  <c:v>-5.7955274773773971E-3</c:v>
                </c:pt>
                <c:pt idx="249">
                  <c:v>-5.8927757179122056E-3</c:v>
                </c:pt>
                <c:pt idx="250">
                  <c:v>-5.8819686953724675E-3</c:v>
                </c:pt>
                <c:pt idx="251">
                  <c:v>-5.7675210233608058E-3</c:v>
                </c:pt>
                <c:pt idx="252">
                  <c:v>-5.8095192664372013E-3</c:v>
                </c:pt>
                <c:pt idx="253">
                  <c:v>-5.9135580018178464E-3</c:v>
                </c:pt>
                <c:pt idx="254">
                  <c:v>-5.494686679091712E-3</c:v>
                </c:pt>
                <c:pt idx="255">
                  <c:v>-5.6211558152635573E-3</c:v>
                </c:pt>
                <c:pt idx="256">
                  <c:v>-5.3997261271566156E-3</c:v>
                </c:pt>
                <c:pt idx="257">
                  <c:v>-5.4467091637935075E-3</c:v>
                </c:pt>
                <c:pt idx="258">
                  <c:v>-5.0363378038255757E-3</c:v>
                </c:pt>
                <c:pt idx="259">
                  <c:v>-5.1699320694777494E-3</c:v>
                </c:pt>
                <c:pt idx="260">
                  <c:v>-5.0000690789116248E-3</c:v>
                </c:pt>
                <c:pt idx="261">
                  <c:v>-4.5082698811386062E-3</c:v>
                </c:pt>
                <c:pt idx="262">
                  <c:v>-4.6622591881460311E-3</c:v>
                </c:pt>
                <c:pt idx="263">
                  <c:v>-4.4926933967735288E-3</c:v>
                </c:pt>
                <c:pt idx="264">
                  <c:v>-4.4560039153002324E-3</c:v>
                </c:pt>
                <c:pt idx="265">
                  <c:v>-4.3959104699627122E-3</c:v>
                </c:pt>
                <c:pt idx="266">
                  <c:v>-4.3384879820725798E-3</c:v>
                </c:pt>
                <c:pt idx="267">
                  <c:v>-4.135912803691257E-3</c:v>
                </c:pt>
                <c:pt idx="268">
                  <c:v>-4.2181137668381094E-3</c:v>
                </c:pt>
                <c:pt idx="269">
                  <c:v>-3.8128124030471855E-3</c:v>
                </c:pt>
                <c:pt idx="270">
                  <c:v>-3.566095039086563E-3</c:v>
                </c:pt>
                <c:pt idx="271">
                  <c:v>-3.5662411573411344E-3</c:v>
                </c:pt>
                <c:pt idx="272">
                  <c:v>-3.502028286011464E-3</c:v>
                </c:pt>
                <c:pt idx="273">
                  <c:v>-2.6618417516759314E-3</c:v>
                </c:pt>
                <c:pt idx="274">
                  <c:v>-2.3145895413169575E-3</c:v>
                </c:pt>
                <c:pt idx="275">
                  <c:v>-2.3483716601437189E-3</c:v>
                </c:pt>
                <c:pt idx="276">
                  <c:v>-2.4656164131457558E-3</c:v>
                </c:pt>
                <c:pt idx="277">
                  <c:v>-2.532323963579232E-3</c:v>
                </c:pt>
                <c:pt idx="278">
                  <c:v>-2.5181552976081129E-3</c:v>
                </c:pt>
                <c:pt idx="279">
                  <c:v>-2.5039955436117864E-3</c:v>
                </c:pt>
                <c:pt idx="280">
                  <c:v>-2.4443559240072549E-3</c:v>
                </c:pt>
                <c:pt idx="281">
                  <c:v>-2.3079937740072549E-3</c:v>
                </c:pt>
                <c:pt idx="282">
                  <c:v>-2.260026115249151E-3</c:v>
                </c:pt>
                <c:pt idx="283">
                  <c:v>-2.0935848159165734E-3</c:v>
                </c:pt>
                <c:pt idx="284">
                  <c:v>-1.9980554739979246E-3</c:v>
                </c:pt>
                <c:pt idx="285">
                  <c:v>-1.9750085604490386E-3</c:v>
                </c:pt>
                <c:pt idx="286">
                  <c:v>-1.9028749231431686E-3</c:v>
                </c:pt>
                <c:pt idx="287">
                  <c:v>-1.8227673993140548E-3</c:v>
                </c:pt>
                <c:pt idx="288">
                  <c:v>-1.9493130481675943E-3</c:v>
                </c:pt>
                <c:pt idx="289">
                  <c:v>-1.8699569693222846E-3</c:v>
                </c:pt>
                <c:pt idx="290">
                  <c:v>-1.9063001515018945E-3</c:v>
                </c:pt>
                <c:pt idx="291">
                  <c:v>-1.950836469482345E-3</c:v>
                </c:pt>
                <c:pt idx="292">
                  <c:v>-2.0127868428156778E-3</c:v>
                </c:pt>
                <c:pt idx="293">
                  <c:v>-1.9417630628156782E-3</c:v>
                </c:pt>
                <c:pt idx="294">
                  <c:v>-1.8688712146201893E-3</c:v>
                </c:pt>
                <c:pt idx="295">
                  <c:v>-1.9458772142048053E-3</c:v>
                </c:pt>
                <c:pt idx="296">
                  <c:v>-1.795193452123153E-3</c:v>
                </c:pt>
                <c:pt idx="297">
                  <c:v>-1.9218286688632116E-3</c:v>
                </c:pt>
                <c:pt idx="298">
                  <c:v>-1.9023746572893075E-3</c:v>
                </c:pt>
                <c:pt idx="299">
                  <c:v>-1.9456131490421654E-3</c:v>
                </c:pt>
                <c:pt idx="300">
                  <c:v>-1.8574709989541177E-3</c:v>
                </c:pt>
                <c:pt idx="301">
                  <c:v>-1.7285499969651756E-3</c:v>
                </c:pt>
                <c:pt idx="302">
                  <c:v>-1.8308517211020627E-3</c:v>
                </c:pt>
                <c:pt idx="303">
                  <c:v>-1.7867097457098164E-3</c:v>
                </c:pt>
                <c:pt idx="304">
                  <c:v>-1.7315368939548621E-3</c:v>
                </c:pt>
                <c:pt idx="305">
                  <c:v>-1.7939351852825081E-3</c:v>
                </c:pt>
                <c:pt idx="306">
                  <c:v>-1.7623395472887342E-3</c:v>
                </c:pt>
                <c:pt idx="307">
                  <c:v>-1.7178957260745732E-3</c:v>
                </c:pt>
                <c:pt idx="308">
                  <c:v>-1.7489824119141561E-3</c:v>
                </c:pt>
                <c:pt idx="309">
                  <c:v>-1.7535190442730113E-3</c:v>
                </c:pt>
                <c:pt idx="310">
                  <c:v>-1.6624810026842796E-3</c:v>
                </c:pt>
                <c:pt idx="311">
                  <c:v>-1.5924237503841519E-3</c:v>
                </c:pt>
                <c:pt idx="312">
                  <c:v>-1.4348105700720901E-3</c:v>
                </c:pt>
                <c:pt idx="313">
                  <c:v>-1.4880824147322845E-3</c:v>
                </c:pt>
                <c:pt idx="314">
                  <c:v>-1.4507142325442194E-3</c:v>
                </c:pt>
                <c:pt idx="315">
                  <c:v>-1.5521325033942194E-3</c:v>
                </c:pt>
                <c:pt idx="316">
                  <c:v>-1.6280135325524459E-3</c:v>
                </c:pt>
                <c:pt idx="317">
                  <c:v>-1.6513402207903119E-3</c:v>
                </c:pt>
                <c:pt idx="318">
                  <c:v>-1.5934013842436342E-3</c:v>
                </c:pt>
                <c:pt idx="319">
                  <c:v>-1.6383207474086584E-3</c:v>
                </c:pt>
                <c:pt idx="320">
                  <c:v>-1.5729269050761391E-3</c:v>
                </c:pt>
                <c:pt idx="321">
                  <c:v>-1.5952742348171371E-3</c:v>
                </c:pt>
                <c:pt idx="322">
                  <c:v>-1.5264620844827536E-3</c:v>
                </c:pt>
                <c:pt idx="323">
                  <c:v>-1.5787508919827538E-3</c:v>
                </c:pt>
                <c:pt idx="324">
                  <c:v>-1.5525052576658412E-3</c:v>
                </c:pt>
                <c:pt idx="325">
                  <c:v>-1.5696266736220735E-3</c:v>
                </c:pt>
                <c:pt idx="326">
                  <c:v>-1.6215238213774527E-3</c:v>
                </c:pt>
                <c:pt idx="327">
                  <c:v>-1.5789227073435654E-3</c:v>
                </c:pt>
                <c:pt idx="328">
                  <c:v>-1.6092767610662983E-3</c:v>
                </c:pt>
                <c:pt idx="329">
                  <c:v>-1.6687983056682064E-3</c:v>
                </c:pt>
                <c:pt idx="330">
                  <c:v>-1.5856785248887066E-3</c:v>
                </c:pt>
                <c:pt idx="331">
                  <c:v>-1.7078556132866791E-3</c:v>
                </c:pt>
                <c:pt idx="332">
                  <c:v>-1.6480654402161259E-3</c:v>
                </c:pt>
                <c:pt idx="333">
                  <c:v>-1.684518721494401E-3</c:v>
                </c:pt>
                <c:pt idx="334">
                  <c:v>-1.6917776001036883E-3</c:v>
                </c:pt>
                <c:pt idx="335">
                  <c:v>-1.6830114358115879E-3</c:v>
                </c:pt>
                <c:pt idx="336">
                  <c:v>-1.6754931600408284E-3</c:v>
                </c:pt>
                <c:pt idx="337">
                  <c:v>-1.5424495226910165E-3</c:v>
                </c:pt>
                <c:pt idx="338">
                  <c:v>-1.5179107617127668E-3</c:v>
                </c:pt>
                <c:pt idx="339">
                  <c:v>-1.4420109566014021E-3</c:v>
                </c:pt>
                <c:pt idx="340">
                  <c:v>-1.6103247209754556E-3</c:v>
                </c:pt>
                <c:pt idx="341">
                  <c:v>-1.6084310337754557E-3</c:v>
                </c:pt>
                <c:pt idx="342">
                  <c:v>-1.4354250123944032E-3</c:v>
                </c:pt>
                <c:pt idx="343">
                  <c:v>-1.3145819639703152E-3</c:v>
                </c:pt>
                <c:pt idx="344">
                  <c:v>-1.3194868948212994E-3</c:v>
                </c:pt>
                <c:pt idx="345">
                  <c:v>-1.4473346793959661E-3</c:v>
                </c:pt>
                <c:pt idx="346">
                  <c:v>-1.4411659325545877E-3</c:v>
                </c:pt>
                <c:pt idx="347">
                  <c:v>-1.558787164218459E-3</c:v>
                </c:pt>
                <c:pt idx="348">
                  <c:v>-1.4579285722996138E-3</c:v>
                </c:pt>
                <c:pt idx="349">
                  <c:v>-1.2572546506252305E-3</c:v>
                </c:pt>
                <c:pt idx="350">
                  <c:v>-1.2382926466252304E-3</c:v>
                </c:pt>
                <c:pt idx="351">
                  <c:v>-1.1990266722011567E-3</c:v>
                </c:pt>
                <c:pt idx="352">
                  <c:v>-1.1587686345547318E-3</c:v>
                </c:pt>
                <c:pt idx="353">
                  <c:v>-1.0619992479642308E-3</c:v>
                </c:pt>
                <c:pt idx="354">
                  <c:v>-1.0448111156487051E-3</c:v>
                </c:pt>
                <c:pt idx="355">
                  <c:v>-1.1395746188131791E-3</c:v>
                </c:pt>
                <c:pt idx="356">
                  <c:v>-1.0987103549221133E-3</c:v>
                </c:pt>
                <c:pt idx="357">
                  <c:v>-1.035640269867852E-3</c:v>
                </c:pt>
                <c:pt idx="358">
                  <c:v>-9.1919941889585203E-4</c:v>
                </c:pt>
                <c:pt idx="359">
                  <c:v>-1.0385280317600138E-3</c:v>
                </c:pt>
                <c:pt idx="360">
                  <c:v>-9.1577760404779897E-4</c:v>
                </c:pt>
                <c:pt idx="361">
                  <c:v>-1.0510434621020389E-3</c:v>
                </c:pt>
                <c:pt idx="362">
                  <c:v>-1.1505307431217422E-3</c:v>
                </c:pt>
                <c:pt idx="363">
                  <c:v>-1.2921597251933661E-3</c:v>
                </c:pt>
                <c:pt idx="364">
                  <c:v>-1.3544326779711441E-3</c:v>
                </c:pt>
                <c:pt idx="365">
                  <c:v>-1.3383682010385054E-3</c:v>
                </c:pt>
                <c:pt idx="366">
                  <c:v>-1.3056710275936145E-3</c:v>
                </c:pt>
                <c:pt idx="367">
                  <c:v>-1.3331827162714526E-3</c:v>
                </c:pt>
                <c:pt idx="368">
                  <c:v>-1.2946846230363956E-3</c:v>
                </c:pt>
                <c:pt idx="369">
                  <c:v>-1.3889926758143462E-3</c:v>
                </c:pt>
                <c:pt idx="370">
                  <c:v>-1.4437111240740586E-3</c:v>
                </c:pt>
                <c:pt idx="371">
                  <c:v>-1.5094856450773239E-3</c:v>
                </c:pt>
                <c:pt idx="372">
                  <c:v>-1.4155655854799969E-3</c:v>
                </c:pt>
                <c:pt idx="373">
                  <c:v>-1.5137082644134251E-3</c:v>
                </c:pt>
                <c:pt idx="374">
                  <c:v>-1.4251728666421477E-3</c:v>
                </c:pt>
                <c:pt idx="375">
                  <c:v>-1.4224390235471477E-3</c:v>
                </c:pt>
                <c:pt idx="376">
                  <c:v>-1.5673972747158537E-3</c:v>
                </c:pt>
                <c:pt idx="377">
                  <c:v>-1.4740883639946974E-3</c:v>
                </c:pt>
                <c:pt idx="378">
                  <c:v>-1.6507348736157148E-3</c:v>
                </c:pt>
                <c:pt idx="379">
                  <c:v>-1.6202868733186354E-3</c:v>
                </c:pt>
                <c:pt idx="380">
                  <c:v>-1.6941381574162675E-3</c:v>
                </c:pt>
                <c:pt idx="381">
                  <c:v>-1.6704477817301978E-3</c:v>
                </c:pt>
                <c:pt idx="382">
                  <c:v>-1.6670017463237792E-3</c:v>
                </c:pt>
                <c:pt idx="383">
                  <c:v>-1.7040485621781637E-3</c:v>
                </c:pt>
                <c:pt idx="384">
                  <c:v>-1.7363386017842553E-3</c:v>
                </c:pt>
                <c:pt idx="385">
                  <c:v>-1.6823404495810935E-3</c:v>
                </c:pt>
                <c:pt idx="386">
                  <c:v>-1.8040825069977602E-3</c:v>
                </c:pt>
                <c:pt idx="387">
                  <c:v>-1.8396353962081887E-3</c:v>
                </c:pt>
                <c:pt idx="388">
                  <c:v>-1.7958636607007439E-3</c:v>
                </c:pt>
                <c:pt idx="389">
                  <c:v>-1.7708672086252722E-3</c:v>
                </c:pt>
                <c:pt idx="390">
                  <c:v>-1.7192972726252718E-3</c:v>
                </c:pt>
                <c:pt idx="391">
                  <c:v>-1.6864587582129643E-3</c:v>
                </c:pt>
                <c:pt idx="392">
                  <c:v>-1.7164966296709114E-3</c:v>
                </c:pt>
                <c:pt idx="393">
                  <c:v>-1.6820581669623263E-3</c:v>
                </c:pt>
                <c:pt idx="394">
                  <c:v>-1.595636581317967E-3</c:v>
                </c:pt>
                <c:pt idx="395">
                  <c:v>-1.658221791957967E-3</c:v>
                </c:pt>
                <c:pt idx="396">
                  <c:v>-1.587421618978785E-3</c:v>
                </c:pt>
                <c:pt idx="397">
                  <c:v>-1.6059517097006535E-3</c:v>
                </c:pt>
                <c:pt idx="398">
                  <c:v>-1.5787239443639408E-3</c:v>
                </c:pt>
                <c:pt idx="399">
                  <c:v>-1.595646518462778E-3</c:v>
                </c:pt>
                <c:pt idx="400">
                  <c:v>-1.624924261793553E-3</c:v>
                </c:pt>
                <c:pt idx="401">
                  <c:v>-1.5812689442242592E-3</c:v>
                </c:pt>
                <c:pt idx="402">
                  <c:v>-1.5784367341330739E-3</c:v>
                </c:pt>
                <c:pt idx="403">
                  <c:v>-1.5978183473289757E-3</c:v>
                </c:pt>
                <c:pt idx="404">
                  <c:v>-1.5992469934465558E-3</c:v>
                </c:pt>
                <c:pt idx="405">
                  <c:v>-1.6001944382102791E-3</c:v>
                </c:pt>
                <c:pt idx="406">
                  <c:v>-1.6260439040785427E-3</c:v>
                </c:pt>
                <c:pt idx="407">
                  <c:v>-1.5881631139373659E-3</c:v>
                </c:pt>
                <c:pt idx="408">
                  <c:v>-1.5768313154299034E-3</c:v>
                </c:pt>
                <c:pt idx="409">
                  <c:v>-1.6302624011421841E-3</c:v>
                </c:pt>
                <c:pt idx="410">
                  <c:v>-1.6521577211143935E-3</c:v>
                </c:pt>
                <c:pt idx="411">
                  <c:v>-1.6462040162255047E-3</c:v>
                </c:pt>
                <c:pt idx="412">
                  <c:v>-1.6341433434516591E-3</c:v>
                </c:pt>
                <c:pt idx="413">
                  <c:v>-1.5816274020723487E-3</c:v>
                </c:pt>
                <c:pt idx="414">
                  <c:v>-1.5927033929698611E-3</c:v>
                </c:pt>
                <c:pt idx="415">
                  <c:v>-1.6973714665633691E-3</c:v>
                </c:pt>
                <c:pt idx="416">
                  <c:v>-1.527201152405711E-3</c:v>
                </c:pt>
                <c:pt idx="417">
                  <c:v>-1.4470871187828541E-3</c:v>
                </c:pt>
                <c:pt idx="418">
                  <c:v>-1.4306683789186291E-3</c:v>
                </c:pt>
                <c:pt idx="419">
                  <c:v>-1.4711603280447036E-3</c:v>
                </c:pt>
                <c:pt idx="420">
                  <c:v>-1.3929829577955858E-3</c:v>
                </c:pt>
                <c:pt idx="421">
                  <c:v>-1.4171083652163537E-3</c:v>
                </c:pt>
                <c:pt idx="422">
                  <c:v>-1.4845944560290649E-3</c:v>
                </c:pt>
                <c:pt idx="423">
                  <c:v>-1.4656208728928439E-3</c:v>
                </c:pt>
                <c:pt idx="424">
                  <c:v>-1.5247491419215183E-3</c:v>
                </c:pt>
                <c:pt idx="425">
                  <c:v>-1.5170412868377194E-3</c:v>
                </c:pt>
                <c:pt idx="426">
                  <c:v>-1.5223450116261113E-3</c:v>
                </c:pt>
                <c:pt idx="427">
                  <c:v>-1.4497288301090266E-3</c:v>
                </c:pt>
                <c:pt idx="428">
                  <c:v>-1.3640774100284817E-3</c:v>
                </c:pt>
                <c:pt idx="429">
                  <c:v>-1.3444612438873542E-3</c:v>
                </c:pt>
                <c:pt idx="430">
                  <c:v>-1.3323769538742252E-3</c:v>
                </c:pt>
                <c:pt idx="431">
                  <c:v>-1.3333669613096529E-3</c:v>
                </c:pt>
                <c:pt idx="432">
                  <c:v>-1.3128912118111318E-3</c:v>
                </c:pt>
                <c:pt idx="433">
                  <c:v>-1.2340138093277842E-3</c:v>
                </c:pt>
                <c:pt idx="434">
                  <c:v>-1.258164314557422E-3</c:v>
                </c:pt>
                <c:pt idx="435">
                  <c:v>-1.2673499926524581E-3</c:v>
                </c:pt>
                <c:pt idx="436">
                  <c:v>-1.2294917742891244E-3</c:v>
                </c:pt>
                <c:pt idx="437">
                  <c:v>-1.2646093860361211E-3</c:v>
                </c:pt>
                <c:pt idx="438">
                  <c:v>-1.2603372175561593E-3</c:v>
                </c:pt>
                <c:pt idx="439">
                  <c:v>-1.2312678157116049E-3</c:v>
                </c:pt>
                <c:pt idx="440">
                  <c:v>-1.2113136802892324E-3</c:v>
                </c:pt>
                <c:pt idx="441">
                  <c:v>-1.2014966820204091E-3</c:v>
                </c:pt>
                <c:pt idx="442">
                  <c:v>-1.2080832030665629E-3</c:v>
                </c:pt>
                <c:pt idx="443">
                  <c:v>-1.2039636563626363E-3</c:v>
                </c:pt>
                <c:pt idx="444">
                  <c:v>-1.2125522060784666E-3</c:v>
                </c:pt>
                <c:pt idx="445">
                  <c:v>-1.1938278062346818E-3</c:v>
                </c:pt>
                <c:pt idx="446">
                  <c:v>-1.1810424429953116E-3</c:v>
                </c:pt>
                <c:pt idx="447">
                  <c:v>-1.1434207617591011E-3</c:v>
                </c:pt>
                <c:pt idx="448">
                  <c:v>-1.1349738788137822E-3</c:v>
                </c:pt>
                <c:pt idx="449">
                  <c:v>-1.1719418567249468E-3</c:v>
                </c:pt>
                <c:pt idx="450">
                  <c:v>-1.1781833220601821E-3</c:v>
                </c:pt>
                <c:pt idx="451">
                  <c:v>-1.1853481460686692E-3</c:v>
                </c:pt>
                <c:pt idx="452">
                  <c:v>-1.162127035527719E-3</c:v>
                </c:pt>
                <c:pt idx="453">
                  <c:v>-1.0488708073955965E-3</c:v>
                </c:pt>
                <c:pt idx="454">
                  <c:v>-9.9490319808375328E-4</c:v>
                </c:pt>
                <c:pt idx="455">
                  <c:v>-1.0067203984785078E-3</c:v>
                </c:pt>
                <c:pt idx="456">
                  <c:v>-1.0268964989278929E-3</c:v>
                </c:pt>
                <c:pt idx="457">
                  <c:v>-9.9178016546577416E-4</c:v>
                </c:pt>
                <c:pt idx="458">
                  <c:v>-1.0373488293301621E-3</c:v>
                </c:pt>
                <c:pt idx="459">
                  <c:v>-1.0820517948907852E-3</c:v>
                </c:pt>
                <c:pt idx="460">
                  <c:v>-1.0481109254036058E-3</c:v>
                </c:pt>
                <c:pt idx="461">
                  <c:v>-9.9838645852356133E-4</c:v>
                </c:pt>
                <c:pt idx="462">
                  <c:v>-9.3970217323865199E-4</c:v>
                </c:pt>
                <c:pt idx="463">
                  <c:v>-8.6385397875234191E-4</c:v>
                </c:pt>
                <c:pt idx="464">
                  <c:v>-7.4536248189574885E-4</c:v>
                </c:pt>
                <c:pt idx="465">
                  <c:v>-6.8346153159053473E-4</c:v>
                </c:pt>
                <c:pt idx="466">
                  <c:v>-6.5080319620293783E-4</c:v>
                </c:pt>
                <c:pt idx="467">
                  <c:v>-6.6975653861110101E-4</c:v>
                </c:pt>
                <c:pt idx="468">
                  <c:v>-6.9778393423491957E-4</c:v>
                </c:pt>
                <c:pt idx="469">
                  <c:v>-6.5125913975397343E-4</c:v>
                </c:pt>
                <c:pt idx="470">
                  <c:v>-6.5827932122838558E-4</c:v>
                </c:pt>
                <c:pt idx="471">
                  <c:v>-5.8108691509997363E-4</c:v>
                </c:pt>
                <c:pt idx="472">
                  <c:v>-6.0932734569731192E-4</c:v>
                </c:pt>
                <c:pt idx="473">
                  <c:v>-5.8827578073373241E-4</c:v>
                </c:pt>
                <c:pt idx="474">
                  <c:v>-5.4175696073373249E-4</c:v>
                </c:pt>
                <c:pt idx="475">
                  <c:v>-5.0781103457636049E-4</c:v>
                </c:pt>
                <c:pt idx="476">
                  <c:v>-5.3516983713583943E-4</c:v>
                </c:pt>
                <c:pt idx="477">
                  <c:v>-6.039005614425488E-4</c:v>
                </c:pt>
                <c:pt idx="478">
                  <c:v>-6.2367637354781191E-4</c:v>
                </c:pt>
                <c:pt idx="479">
                  <c:v>-5.3726448417514472E-4</c:v>
                </c:pt>
                <c:pt idx="480">
                  <c:v>-6.7451451992993816E-4</c:v>
                </c:pt>
                <c:pt idx="481">
                  <c:v>-6.4905420552802422E-4</c:v>
                </c:pt>
                <c:pt idx="482">
                  <c:v>-5.7243331552802408E-4</c:v>
                </c:pt>
                <c:pt idx="483">
                  <c:v>-5.5378241301578927E-4</c:v>
                </c:pt>
                <c:pt idx="484">
                  <c:v>-4.939341143527854E-4</c:v>
                </c:pt>
                <c:pt idx="485">
                  <c:v>-4.5752700992468596E-4</c:v>
                </c:pt>
                <c:pt idx="486">
                  <c:v>-4.025332514966557E-4</c:v>
                </c:pt>
                <c:pt idx="487">
                  <c:v>-3.5984269825576942E-4</c:v>
                </c:pt>
                <c:pt idx="488">
                  <c:v>-3.3622171605398145E-4</c:v>
                </c:pt>
                <c:pt idx="489">
                  <c:v>-3.1099128556516851E-4</c:v>
                </c:pt>
                <c:pt idx="490">
                  <c:v>-2.6115240654015875E-4</c:v>
                </c:pt>
                <c:pt idx="491">
                  <c:v>-2.4137954601178674E-4</c:v>
                </c:pt>
                <c:pt idx="492">
                  <c:v>-1.5618137334874323E-4</c:v>
                </c:pt>
                <c:pt idx="493">
                  <c:v>-1.6538691680443538E-4</c:v>
                </c:pt>
                <c:pt idx="494">
                  <c:v>-1.5912488037826426E-4</c:v>
                </c:pt>
                <c:pt idx="495">
                  <c:v>3.3767301605020774E-5</c:v>
                </c:pt>
                <c:pt idx="496">
                  <c:v>-7.8855241563213703E-5</c:v>
                </c:pt>
                <c:pt idx="497">
                  <c:v>-9.6689769173877974E-5</c:v>
                </c:pt>
                <c:pt idx="498">
                  <c:v>5.1761060799999964E-5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5E-4B2B-838A-4E1614C6E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1061679"/>
        <c:axId val="1961060015"/>
      </c:lineChart>
      <c:dateAx>
        <c:axId val="19610616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060015"/>
        <c:crosses val="autoZero"/>
        <c:auto val="1"/>
        <c:lblOffset val="100"/>
        <c:baseTimeUnit val="days"/>
      </c:dateAx>
      <c:valAx>
        <c:axId val="196106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06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CA8830-271B-43B1-AD93-5384056DFFE7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436A2F-9F7C-4E21-BC07-8FD0385DE7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380</v>
      </c>
      <c r="D2" s="4">
        <f>MIN(D3:D1912)</f>
        <v>7.3890000000000002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34.9</v>
      </c>
      <c r="C5">
        <v>35.6</v>
      </c>
      <c r="D5">
        <v>32</v>
      </c>
      <c r="E5">
        <v>32.299999999999997</v>
      </c>
      <c r="F5">
        <v>29425.157999999999</v>
      </c>
      <c r="G5">
        <v>32.299999999999997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-0.83333333333333492</v>
      </c>
      <c r="Q5">
        <f t="shared" ref="Q5" si="1">F5*P5</f>
        <v>-24520.965000000047</v>
      </c>
      <c r="R5">
        <f t="shared" ref="R5" si="2">R6+Q5</f>
        <v>-1937359.9077789255</v>
      </c>
      <c r="S5">
        <f t="shared" ref="S5" si="3">R5/100000</f>
        <v>-19.373599077789255</v>
      </c>
      <c r="T5">
        <f t="shared" ref="T5" si="4">S5/1000</f>
        <v>-1.9373599077789256E-2</v>
      </c>
    </row>
    <row r="6" spans="1:20" x14ac:dyDescent="0.25">
      <c r="A6" s="5">
        <v>44587</v>
      </c>
      <c r="B6">
        <v>38.9</v>
      </c>
      <c r="C6">
        <v>40.5</v>
      </c>
      <c r="D6">
        <v>34.700000000000003</v>
      </c>
      <c r="E6">
        <v>34.799999999999997</v>
      </c>
      <c r="F6">
        <v>183106.19500000001</v>
      </c>
      <c r="G6">
        <v>34.799999999999997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-0.96551724137931227</v>
      </c>
      <c r="Q6">
        <f t="shared" ref="Q6" si="6">F6*P6</f>
        <v>-176792.18827586243</v>
      </c>
      <c r="R6">
        <f t="shared" ref="R6" si="7">R7+Q6</f>
        <v>-1912838.9427789254</v>
      </c>
      <c r="S6">
        <f t="shared" ref="S6" si="8">R6/100000</f>
        <v>-19.128389427789255</v>
      </c>
      <c r="T6">
        <f t="shared" ref="T6" si="9">S6/1000</f>
        <v>-1.9128389427789255E-2</v>
      </c>
    </row>
    <row r="7" spans="1:20" x14ac:dyDescent="0.25">
      <c r="A7" s="5">
        <v>44586</v>
      </c>
      <c r="B7">
        <v>39.299999999999997</v>
      </c>
      <c r="C7">
        <v>42</v>
      </c>
      <c r="D7">
        <v>37.9</v>
      </c>
      <c r="E7">
        <v>38.799999999999997</v>
      </c>
      <c r="F7">
        <v>147295.64799999999</v>
      </c>
      <c r="G7">
        <v>38.799999999999997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-0.56097560975609839</v>
      </c>
      <c r="Q7">
        <f t="shared" ref="Q7" si="11">F7*P7</f>
        <v>-82629.265951219626</v>
      </c>
      <c r="R7">
        <f t="shared" ref="R7" si="12">R8+Q7</f>
        <v>-1736046.7545030629</v>
      </c>
      <c r="S7">
        <f t="shared" ref="S7" si="13">R7/100000</f>
        <v>-17.36046754503063</v>
      </c>
      <c r="T7">
        <f t="shared" ref="T7" si="14">S7/1000</f>
        <v>-1.7360467545030629E-2</v>
      </c>
    </row>
    <row r="8" spans="1:20" x14ac:dyDescent="0.25">
      <c r="A8" s="5">
        <v>44585</v>
      </c>
      <c r="B8">
        <v>50.2</v>
      </c>
      <c r="C8">
        <v>50.3</v>
      </c>
      <c r="D8">
        <v>37.5</v>
      </c>
      <c r="E8">
        <v>39.299999999999997</v>
      </c>
      <c r="F8">
        <v>296870.85800000001</v>
      </c>
      <c r="G8">
        <v>39.299999999999997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-0.71875000000000033</v>
      </c>
      <c r="Q8">
        <f t="shared" ref="Q8" si="16">F8*P8</f>
        <v>-213375.92918750009</v>
      </c>
      <c r="R8">
        <f t="shared" ref="R8" si="17">R9+Q8</f>
        <v>-1653417.4885518432</v>
      </c>
      <c r="S8">
        <f t="shared" ref="S8" si="18">R8/100000</f>
        <v>-16.534174885518432</v>
      </c>
      <c r="T8">
        <f t="shared" ref="T8" si="19">S8/1000</f>
        <v>-1.6534174885518432E-2</v>
      </c>
    </row>
    <row r="9" spans="1:20" x14ac:dyDescent="0.25">
      <c r="A9" s="5">
        <v>44584</v>
      </c>
      <c r="B9">
        <v>42.5</v>
      </c>
      <c r="C9">
        <v>55.4</v>
      </c>
      <c r="D9">
        <v>41.5</v>
      </c>
      <c r="E9">
        <v>50.2</v>
      </c>
      <c r="F9">
        <v>307409.18699999998</v>
      </c>
      <c r="G9">
        <v>50.2</v>
      </c>
      <c r="L9" t="s">
        <v>8</v>
      </c>
      <c r="M9" t="s">
        <v>8</v>
      </c>
      <c r="N9" t="s">
        <v>8</v>
      </c>
      <c r="P9">
        <f t="shared" ref="P9" si="20">IF(C9=D9,0,((E9-D9)-(C9-E9))/(C9-D9))</f>
        <v>0.25179856115107968</v>
      </c>
      <c r="Q9">
        <f t="shared" ref="Q9" si="21">F9*P9</f>
        <v>77405.190971223186</v>
      </c>
      <c r="R9">
        <f t="shared" ref="R9" si="22">R10+Q9</f>
        <v>-1440041.5593643431</v>
      </c>
      <c r="S9">
        <f t="shared" ref="S9" si="23">R9/100000</f>
        <v>-14.40041559364343</v>
      </c>
      <c r="T9">
        <f t="shared" ref="T9" si="24">S9/1000</f>
        <v>-1.4400415593643429E-2</v>
      </c>
    </row>
    <row r="10" spans="1:20" x14ac:dyDescent="0.25">
      <c r="A10" s="5">
        <v>44583</v>
      </c>
      <c r="B10">
        <v>43.2</v>
      </c>
      <c r="C10">
        <v>45</v>
      </c>
      <c r="D10">
        <v>35.200000000000003</v>
      </c>
      <c r="E10">
        <v>42.5</v>
      </c>
      <c r="F10">
        <v>166962.34400000001</v>
      </c>
      <c r="G10">
        <v>42.5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0.48979591836734682</v>
      </c>
      <c r="Q10">
        <f t="shared" ref="Q10" si="26">F10*P10</f>
        <v>81777.474612244885</v>
      </c>
      <c r="R10">
        <f t="shared" ref="R10" si="27">R11+Q10</f>
        <v>-1517446.7503355662</v>
      </c>
      <c r="S10">
        <f t="shared" ref="S10" si="28">R10/100000</f>
        <v>-15.174467503355663</v>
      </c>
      <c r="T10">
        <f t="shared" ref="T10" si="29">S10/1000</f>
        <v>-1.5174467503355663E-2</v>
      </c>
    </row>
    <row r="11" spans="1:20" x14ac:dyDescent="0.25">
      <c r="A11" s="5">
        <v>44582</v>
      </c>
      <c r="B11">
        <v>50.8</v>
      </c>
      <c r="C11">
        <v>52</v>
      </c>
      <c r="D11">
        <v>41.1</v>
      </c>
      <c r="E11">
        <v>43.4</v>
      </c>
      <c r="F11">
        <v>153745.06099999999</v>
      </c>
      <c r="G11">
        <v>43.4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-0.57798165137614721</v>
      </c>
      <c r="Q11">
        <f t="shared" ref="Q11" si="31">F11*P11</f>
        <v>-88861.824247706478</v>
      </c>
      <c r="R11">
        <f t="shared" ref="R11" si="32">R12+Q11</f>
        <v>-1599224.2249478111</v>
      </c>
      <c r="S11">
        <f t="shared" ref="S11" si="33">R11/100000</f>
        <v>-15.99224224947811</v>
      </c>
      <c r="T11">
        <f t="shared" ref="T11" si="34">S11/1000</f>
        <v>-1.5992242249478109E-2</v>
      </c>
    </row>
    <row r="12" spans="1:20" x14ac:dyDescent="0.25">
      <c r="A12" s="5">
        <v>44581</v>
      </c>
      <c r="B12">
        <v>58.3</v>
      </c>
      <c r="C12">
        <v>59.9</v>
      </c>
      <c r="D12">
        <v>49.7</v>
      </c>
      <c r="E12">
        <v>50.8</v>
      </c>
      <c r="F12">
        <v>185486.55799999999</v>
      </c>
      <c r="G12">
        <v>50.8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-0.78431372549019707</v>
      </c>
      <c r="Q12">
        <f t="shared" ref="Q12" si="36">F12*P12</f>
        <v>-145479.6533333335</v>
      </c>
      <c r="R12">
        <f t="shared" ref="R12" si="37">R13+Q12</f>
        <v>-1510362.4007001047</v>
      </c>
      <c r="S12">
        <f t="shared" ref="S12" si="38">R12/100000</f>
        <v>-15.103624007001047</v>
      </c>
      <c r="T12">
        <f t="shared" ref="T12" si="39">S12/1000</f>
        <v>-1.5103624007001047E-2</v>
      </c>
    </row>
    <row r="13" spans="1:20" x14ac:dyDescent="0.25">
      <c r="A13" s="5">
        <v>44580</v>
      </c>
      <c r="B13">
        <v>64.2</v>
      </c>
      <c r="C13">
        <v>68.900000000000006</v>
      </c>
      <c r="D13">
        <v>57.6</v>
      </c>
      <c r="E13">
        <v>58.3</v>
      </c>
      <c r="F13">
        <v>146934.48199999999</v>
      </c>
      <c r="G13">
        <v>58.3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-0.87610619469026629</v>
      </c>
      <c r="Q13">
        <f t="shared" ref="Q13" si="41">F13*P13</f>
        <v>-128730.20989380541</v>
      </c>
      <c r="R13">
        <f t="shared" ref="R13" si="42">R14+Q13</f>
        <v>-1364882.7473667711</v>
      </c>
      <c r="S13">
        <f t="shared" ref="S13" si="43">R13/100000</f>
        <v>-13.64882747366771</v>
      </c>
      <c r="T13">
        <f t="shared" ref="T13" si="44">S13/1000</f>
        <v>-1.364882747366771E-2</v>
      </c>
    </row>
    <row r="14" spans="1:20" x14ac:dyDescent="0.25">
      <c r="A14" s="5">
        <v>44579</v>
      </c>
      <c r="B14">
        <v>61.5</v>
      </c>
      <c r="C14">
        <v>67.5</v>
      </c>
      <c r="D14">
        <v>53.1</v>
      </c>
      <c r="E14">
        <v>64.2</v>
      </c>
      <c r="F14">
        <v>286824.07400000002</v>
      </c>
      <c r="G14">
        <v>64.2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0.54166666666666696</v>
      </c>
      <c r="Q14">
        <f t="shared" ref="Q14" si="46">F14*P14</f>
        <v>155363.04008333344</v>
      </c>
      <c r="R14">
        <f t="shared" ref="R14" si="47">R15+Q14</f>
        <v>-1236152.5374729657</v>
      </c>
      <c r="S14">
        <f t="shared" ref="S14" si="48">R14/100000</f>
        <v>-12.361525374729657</v>
      </c>
      <c r="T14">
        <f t="shared" ref="T14" si="49">S14/1000</f>
        <v>-1.2361525374729657E-2</v>
      </c>
    </row>
    <row r="15" spans="1:20" x14ac:dyDescent="0.25">
      <c r="A15" s="5">
        <v>44578</v>
      </c>
      <c r="B15">
        <v>74.099999999999994</v>
      </c>
      <c r="C15">
        <v>78.2</v>
      </c>
      <c r="D15">
        <v>56.2</v>
      </c>
      <c r="E15">
        <v>61.5</v>
      </c>
      <c r="F15">
        <v>296927.29200000002</v>
      </c>
      <c r="G15">
        <v>61.5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-0.51818181818181841</v>
      </c>
      <c r="Q15">
        <f t="shared" ref="Q15" si="51">F15*P15</f>
        <v>-153862.32403636372</v>
      </c>
      <c r="R15">
        <f t="shared" ref="R15" si="52">R16+Q15</f>
        <v>-1391515.577556299</v>
      </c>
      <c r="S15">
        <f t="shared" ref="S15" si="53">R15/100000</f>
        <v>-13.91515577556299</v>
      </c>
      <c r="T15">
        <f t="shared" ref="T15" si="54">S15/1000</f>
        <v>-1.3915155775562991E-2</v>
      </c>
    </row>
    <row r="16" spans="1:20" x14ac:dyDescent="0.25">
      <c r="A16" s="5">
        <v>44577</v>
      </c>
      <c r="B16">
        <v>85.4</v>
      </c>
      <c r="C16">
        <v>88.3</v>
      </c>
      <c r="D16">
        <v>71.3</v>
      </c>
      <c r="E16">
        <v>74.099999999999994</v>
      </c>
      <c r="F16">
        <v>217479.85500000001</v>
      </c>
      <c r="G16">
        <v>74.099999999999994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-0.67058823529411793</v>
      </c>
      <c r="Q16">
        <f t="shared" ref="Q16" si="56">F16*P16</f>
        <v>-145839.43217647067</v>
      </c>
      <c r="R16">
        <f t="shared" ref="R16" si="57">R17+Q16</f>
        <v>-1237653.2535199353</v>
      </c>
      <c r="S16">
        <f t="shared" ref="S16" si="58">R16/100000</f>
        <v>-12.376532535199352</v>
      </c>
      <c r="T16">
        <f t="shared" ref="T16" si="59">S16/1000</f>
        <v>-1.2376532535199353E-2</v>
      </c>
    </row>
    <row r="17" spans="1:20" x14ac:dyDescent="0.25">
      <c r="A17" s="5">
        <v>44576</v>
      </c>
      <c r="B17">
        <v>78.400000000000006</v>
      </c>
      <c r="C17">
        <v>94.5</v>
      </c>
      <c r="D17">
        <v>76.599999999999994</v>
      </c>
      <c r="E17">
        <v>85.4</v>
      </c>
      <c r="F17">
        <v>228376.429</v>
      </c>
      <c r="G17">
        <v>85.4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-1.6759776536311891E-2</v>
      </c>
      <c r="Q17">
        <f t="shared" ref="Q17" si="61">F17*P17</f>
        <v>-3827.5379162008985</v>
      </c>
      <c r="R17">
        <f t="shared" ref="R17" si="62">R18+Q17</f>
        <v>-1091813.8213434645</v>
      </c>
      <c r="S17">
        <f t="shared" ref="S17" si="63">R17/100000</f>
        <v>-10.918138213434645</v>
      </c>
      <c r="T17">
        <f t="shared" ref="T17" si="64">S17/1000</f>
        <v>-1.0918138213434646E-2</v>
      </c>
    </row>
    <row r="18" spans="1:20" x14ac:dyDescent="0.25">
      <c r="A18" s="5">
        <v>44575</v>
      </c>
      <c r="B18">
        <v>74.099999999999994</v>
      </c>
      <c r="C18">
        <v>85</v>
      </c>
      <c r="D18">
        <v>69.099999999999994</v>
      </c>
      <c r="E18">
        <v>78.3</v>
      </c>
      <c r="F18">
        <v>338439.29499999998</v>
      </c>
      <c r="G18">
        <v>78.3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0.15723270440251566</v>
      </c>
      <c r="Q18">
        <f t="shared" ref="Q18" si="66">F18*P18</f>
        <v>53213.725628930792</v>
      </c>
      <c r="R18">
        <f t="shared" ref="R18" si="67">R19+Q18</f>
        <v>-1087986.2834272636</v>
      </c>
      <c r="S18">
        <f t="shared" ref="S18" si="68">R18/100000</f>
        <v>-10.879862834272636</v>
      </c>
      <c r="T18">
        <f t="shared" ref="T18" si="69">S18/1000</f>
        <v>-1.0879862834272636E-2</v>
      </c>
    </row>
    <row r="19" spans="1:20" x14ac:dyDescent="0.25">
      <c r="A19" s="5">
        <v>44574</v>
      </c>
      <c r="B19">
        <v>54.7</v>
      </c>
      <c r="C19">
        <v>79.900000000000006</v>
      </c>
      <c r="D19">
        <v>52.1</v>
      </c>
      <c r="E19">
        <v>74.099999999999994</v>
      </c>
      <c r="F19">
        <v>616257.78099999996</v>
      </c>
      <c r="G19">
        <v>74.099999999999994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0.58273381294963955</v>
      </c>
      <c r="Q19">
        <f t="shared" ref="Q19" si="71">F19*P19</f>
        <v>359114.2464820139</v>
      </c>
      <c r="R19">
        <f t="shared" ref="R19" si="72">R20+Q19</f>
        <v>-1141200.0090561945</v>
      </c>
      <c r="S19">
        <f t="shared" ref="S19" si="73">R19/100000</f>
        <v>-11.412000090561945</v>
      </c>
      <c r="T19">
        <f t="shared" ref="T19" si="74">S19/1000</f>
        <v>-1.1412000090561945E-2</v>
      </c>
    </row>
    <row r="20" spans="1:20" x14ac:dyDescent="0.25">
      <c r="A20" s="5">
        <v>44573</v>
      </c>
      <c r="B20">
        <v>42.4</v>
      </c>
      <c r="C20">
        <v>55</v>
      </c>
      <c r="D20">
        <v>41.4</v>
      </c>
      <c r="E20">
        <v>54.7</v>
      </c>
      <c r="F20">
        <v>159052.872</v>
      </c>
      <c r="G20">
        <v>54.7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0.95588235294117685</v>
      </c>
      <c r="Q20">
        <f t="shared" ref="Q20" si="76">F20*P20</f>
        <v>152035.83352941182</v>
      </c>
      <c r="R20">
        <f t="shared" ref="R20" si="77">R21+Q20</f>
        <v>-1500314.2555382084</v>
      </c>
      <c r="S20">
        <f t="shared" ref="S20" si="78">R20/100000</f>
        <v>-15.003142555382084</v>
      </c>
      <c r="T20">
        <f t="shared" ref="T20" si="79">S20/1000</f>
        <v>-1.5003142555382085E-2</v>
      </c>
    </row>
    <row r="21" spans="1:20" x14ac:dyDescent="0.25">
      <c r="A21" s="5">
        <v>44572</v>
      </c>
      <c r="B21">
        <v>41</v>
      </c>
      <c r="C21">
        <v>43</v>
      </c>
      <c r="D21">
        <v>40.6</v>
      </c>
      <c r="E21">
        <v>42.3</v>
      </c>
      <c r="F21">
        <v>26879.314999999999</v>
      </c>
      <c r="G21">
        <v>42.3</v>
      </c>
      <c r="L21" t="s">
        <v>8</v>
      </c>
      <c r="M21" t="s">
        <v>7</v>
      </c>
      <c r="N21" t="s">
        <v>8</v>
      </c>
      <c r="P21">
        <f t="shared" ref="P21" si="80">IF(C21=D21,0,((E21-D21)-(C21-E21))/(C21-D21))</f>
        <v>0.41666666666666397</v>
      </c>
      <c r="Q21">
        <f t="shared" ref="Q21" si="81">F21*P21</f>
        <v>11199.71458333326</v>
      </c>
      <c r="R21">
        <f t="shared" ref="R21" si="82">R22+Q21</f>
        <v>-1652350.0890676202</v>
      </c>
      <c r="S21">
        <f t="shared" ref="S21" si="83">R21/100000</f>
        <v>-16.523500890676203</v>
      </c>
      <c r="T21">
        <f t="shared" ref="T21" si="84">S21/1000</f>
        <v>-1.6523500890676203E-2</v>
      </c>
    </row>
    <row r="22" spans="1:20" x14ac:dyDescent="0.25">
      <c r="A22" s="5">
        <v>44571</v>
      </c>
      <c r="B22">
        <v>41.5</v>
      </c>
      <c r="C22">
        <v>43</v>
      </c>
      <c r="D22">
        <v>37</v>
      </c>
      <c r="E22">
        <v>41.1</v>
      </c>
      <c r="F22">
        <v>65242.686999999998</v>
      </c>
      <c r="G22">
        <v>41.1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0.36666666666666714</v>
      </c>
      <c r="Q22">
        <f t="shared" ref="Q22" si="86">F22*P22</f>
        <v>23922.318566666698</v>
      </c>
      <c r="R22">
        <f t="shared" ref="R22" si="87">R23+Q22</f>
        <v>-1663549.8036509536</v>
      </c>
      <c r="S22">
        <f t="shared" ref="S22" si="88">R22/100000</f>
        <v>-16.635498036509535</v>
      </c>
      <c r="T22">
        <f t="shared" ref="T22" si="89">S22/1000</f>
        <v>-1.6635498036509534E-2</v>
      </c>
    </row>
    <row r="23" spans="1:20" x14ac:dyDescent="0.25">
      <c r="A23" s="5">
        <v>44570</v>
      </c>
      <c r="B23">
        <v>40.5</v>
      </c>
      <c r="C23">
        <v>42.7</v>
      </c>
      <c r="D23">
        <v>38.5</v>
      </c>
      <c r="E23">
        <v>41.4</v>
      </c>
      <c r="F23">
        <v>37909.762999999999</v>
      </c>
      <c r="G23">
        <v>41.4</v>
      </c>
      <c r="L23" t="s">
        <v>7</v>
      </c>
      <c r="M23" t="s">
        <v>7</v>
      </c>
      <c r="N23" t="s">
        <v>8</v>
      </c>
      <c r="P23">
        <f t="shared" ref="P23" si="90">IF(C23=D23,0,((E23-D23)-(C23-E23))/(C23-D23))</f>
        <v>0.38095238095237932</v>
      </c>
      <c r="Q23">
        <f t="shared" ref="Q23" si="91">F23*P23</f>
        <v>14441.814476190413</v>
      </c>
      <c r="R23">
        <f t="shared" ref="R23" si="92">R24+Q23</f>
        <v>-1687472.1222176203</v>
      </c>
      <c r="S23">
        <f t="shared" ref="S23" si="93">R23/100000</f>
        <v>-16.874721222176202</v>
      </c>
      <c r="T23">
        <f t="shared" ref="T23" si="94">S23/1000</f>
        <v>-1.6874721222176203E-2</v>
      </c>
    </row>
    <row r="24" spans="1:20" x14ac:dyDescent="0.25">
      <c r="A24" s="5">
        <v>44569</v>
      </c>
      <c r="B24">
        <v>41.2</v>
      </c>
      <c r="C24">
        <v>46.5</v>
      </c>
      <c r="D24">
        <v>38</v>
      </c>
      <c r="E24">
        <v>40.4</v>
      </c>
      <c r="F24">
        <v>144370.99299999999</v>
      </c>
      <c r="G24">
        <v>40.4</v>
      </c>
      <c r="L24" t="s">
        <v>8</v>
      </c>
      <c r="M24" t="s">
        <v>8</v>
      </c>
      <c r="N24" t="s">
        <v>8</v>
      </c>
      <c r="P24">
        <f t="shared" ref="P24" si="95">IF(C24=D24,0,((E24-D24)-(C24-E24))/(C24-D24))</f>
        <v>-0.43529411764705916</v>
      </c>
      <c r="Q24">
        <f t="shared" ref="Q24" si="96">F24*P24</f>
        <v>-62843.844011764748</v>
      </c>
      <c r="R24">
        <f t="shared" ref="R24" si="97">R25+Q24</f>
        <v>-1701913.9366938106</v>
      </c>
      <c r="S24">
        <f t="shared" ref="S24" si="98">R24/100000</f>
        <v>-17.019139366938106</v>
      </c>
      <c r="T24">
        <f t="shared" ref="T24" si="99">S24/1000</f>
        <v>-1.7019139366938104E-2</v>
      </c>
    </row>
    <row r="25" spans="1:20" x14ac:dyDescent="0.25">
      <c r="A25" s="5">
        <v>44568</v>
      </c>
      <c r="B25">
        <v>39</v>
      </c>
      <c r="C25">
        <v>44.5</v>
      </c>
      <c r="D25">
        <v>36</v>
      </c>
      <c r="E25">
        <v>41.2</v>
      </c>
      <c r="F25">
        <v>113895.30100000001</v>
      </c>
      <c r="G25">
        <v>41.2</v>
      </c>
      <c r="L25" t="s">
        <v>8</v>
      </c>
      <c r="M25" t="s">
        <v>8</v>
      </c>
      <c r="N25" t="s">
        <v>8</v>
      </c>
      <c r="P25">
        <f t="shared" ref="P25" si="100">IF(C25=D25,0,((E25-D25)-(C25-E25))/(C25-D25))</f>
        <v>0.22352941176470656</v>
      </c>
      <c r="Q25">
        <f t="shared" ref="Q25" si="101">F25*P25</f>
        <v>25458.949635294197</v>
      </c>
      <c r="R25">
        <f t="shared" ref="R25" si="102">R26+Q25</f>
        <v>-1639070.0926820459</v>
      </c>
      <c r="S25">
        <f t="shared" ref="S25" si="103">R25/100000</f>
        <v>-16.390700926820458</v>
      </c>
      <c r="T25">
        <f t="shared" ref="T25" si="104">S25/1000</f>
        <v>-1.6390700926820458E-2</v>
      </c>
    </row>
    <row r="26" spans="1:20" x14ac:dyDescent="0.25">
      <c r="A26" s="5">
        <v>44567</v>
      </c>
      <c r="B26">
        <v>35.799999999999997</v>
      </c>
      <c r="C26">
        <v>39.200000000000003</v>
      </c>
      <c r="D26">
        <v>34.9</v>
      </c>
      <c r="E26">
        <v>39</v>
      </c>
      <c r="F26">
        <v>86836.471999999994</v>
      </c>
      <c r="G26">
        <v>39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0.90697674418604524</v>
      </c>
      <c r="Q26">
        <f t="shared" ref="Q26" si="106">F26*P26</f>
        <v>78758.660651162674</v>
      </c>
      <c r="R26">
        <f t="shared" ref="R26" si="107">R27+Q26</f>
        <v>-1664529.0423173402</v>
      </c>
      <c r="S26">
        <f t="shared" ref="S26" si="108">R26/100000</f>
        <v>-16.645290423173403</v>
      </c>
      <c r="T26">
        <f t="shared" ref="T26" si="109">S26/1000</f>
        <v>-1.6645290423173403E-2</v>
      </c>
    </row>
    <row r="27" spans="1:20" x14ac:dyDescent="0.25">
      <c r="A27" s="5">
        <v>44566</v>
      </c>
      <c r="B27">
        <v>37.5</v>
      </c>
      <c r="C27">
        <v>39.799999999999997</v>
      </c>
      <c r="D27">
        <v>34.200000000000003</v>
      </c>
      <c r="E27">
        <v>35.799999999999997</v>
      </c>
      <c r="F27">
        <v>61159.027000000002</v>
      </c>
      <c r="G27">
        <v>35.799999999999997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-0.42857142857143005</v>
      </c>
      <c r="Q27">
        <f t="shared" ref="Q27" si="111">F27*P27</f>
        <v>-26211.011571428662</v>
      </c>
      <c r="R27">
        <f t="shared" ref="R27" si="112">R28+Q27</f>
        <v>-1743287.7029685029</v>
      </c>
      <c r="S27">
        <f t="shared" ref="S27" si="113">R27/100000</f>
        <v>-17.432877029685027</v>
      </c>
      <c r="T27">
        <f t="shared" ref="T27" si="114">S27/1000</f>
        <v>-1.7432877029685028E-2</v>
      </c>
    </row>
    <row r="28" spans="1:20" x14ac:dyDescent="0.25">
      <c r="A28" s="5">
        <v>44565</v>
      </c>
      <c r="B28">
        <v>37.9</v>
      </c>
      <c r="C28">
        <v>39.700000000000003</v>
      </c>
      <c r="D28">
        <v>36.5</v>
      </c>
      <c r="E28">
        <v>37.5</v>
      </c>
      <c r="F28">
        <v>36668.180999999997</v>
      </c>
      <c r="G28">
        <v>37.5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-0.37500000000000056</v>
      </c>
      <c r="Q28">
        <f t="shared" ref="Q28" si="116">F28*P28</f>
        <v>-13750.567875000019</v>
      </c>
      <c r="R28">
        <f t="shared" ref="R28" si="117">R29+Q28</f>
        <v>-1717076.6913970741</v>
      </c>
      <c r="S28">
        <f t="shared" ref="S28" si="118">R28/100000</f>
        <v>-17.170766913970741</v>
      </c>
      <c r="T28">
        <f t="shared" ref="T28" si="119">S28/1000</f>
        <v>-1.717076691397074E-2</v>
      </c>
    </row>
    <row r="29" spans="1:20" x14ac:dyDescent="0.25">
      <c r="A29" s="5">
        <v>44564</v>
      </c>
      <c r="B29">
        <v>36.299999999999997</v>
      </c>
      <c r="C29">
        <v>39.799999999999997</v>
      </c>
      <c r="D29">
        <v>36</v>
      </c>
      <c r="E29">
        <v>37.9</v>
      </c>
      <c r="F29">
        <v>46581.925999999999</v>
      </c>
      <c r="G29">
        <v>37.9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0</v>
      </c>
      <c r="Q29">
        <f t="shared" ref="Q29" si="121">F29*P29</f>
        <v>0</v>
      </c>
      <c r="R29">
        <f t="shared" ref="R29" si="122">R30+Q29</f>
        <v>-1703326.1235220742</v>
      </c>
      <c r="S29">
        <f t="shared" ref="S29" si="123">R29/100000</f>
        <v>-17.033261235220742</v>
      </c>
      <c r="T29">
        <f t="shared" ref="T29" si="124">S29/1000</f>
        <v>-1.7033261235220743E-2</v>
      </c>
    </row>
    <row r="30" spans="1:20" x14ac:dyDescent="0.25">
      <c r="A30" s="5">
        <v>44563</v>
      </c>
      <c r="B30">
        <v>36.1</v>
      </c>
      <c r="C30">
        <v>37.4</v>
      </c>
      <c r="D30">
        <v>35.299999999999997</v>
      </c>
      <c r="E30">
        <v>36.200000000000003</v>
      </c>
      <c r="F30">
        <v>33551.838000000003</v>
      </c>
      <c r="G30">
        <v>36.200000000000003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-0.14285714285713802</v>
      </c>
      <c r="Q30">
        <f t="shared" ref="Q30" si="126">F30*P30</f>
        <v>-4793.1197142855526</v>
      </c>
      <c r="R30">
        <f t="shared" ref="R30" si="127">R31+Q30</f>
        <v>-1703326.1235220742</v>
      </c>
      <c r="S30">
        <f t="shared" ref="S30" si="128">R30/100000</f>
        <v>-17.033261235220742</v>
      </c>
      <c r="T30">
        <f t="shared" ref="T30" si="129">S30/1000</f>
        <v>-1.7033261235220743E-2</v>
      </c>
    </row>
    <row r="31" spans="1:20" x14ac:dyDescent="0.25">
      <c r="A31" s="5">
        <v>44562</v>
      </c>
      <c r="B31">
        <v>37.200000000000003</v>
      </c>
      <c r="C31">
        <v>38.1</v>
      </c>
      <c r="D31">
        <v>35.200000000000003</v>
      </c>
      <c r="E31">
        <v>36.1</v>
      </c>
      <c r="F31">
        <v>35967.118999999999</v>
      </c>
      <c r="G31">
        <v>36.1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-0.37931034482758691</v>
      </c>
      <c r="Q31">
        <f t="shared" ref="Q31" si="131">F31*P31</f>
        <v>-13642.700310344853</v>
      </c>
      <c r="R31">
        <f t="shared" ref="R31" si="132">R32+Q31</f>
        <v>-1698533.0038077887</v>
      </c>
      <c r="S31">
        <f t="shared" ref="S31" si="133">R31/100000</f>
        <v>-16.985330038077887</v>
      </c>
      <c r="T31">
        <f t="shared" ref="T31" si="134">S31/1000</f>
        <v>-1.6985330038077888E-2</v>
      </c>
    </row>
    <row r="32" spans="1:20" x14ac:dyDescent="0.25">
      <c r="A32" s="5">
        <v>44561</v>
      </c>
      <c r="B32">
        <v>35.299999999999997</v>
      </c>
      <c r="C32">
        <v>41</v>
      </c>
      <c r="D32">
        <v>35.299999999999997</v>
      </c>
      <c r="E32">
        <v>37.1</v>
      </c>
      <c r="F32">
        <v>67847.388000000006</v>
      </c>
      <c r="G32">
        <v>37.1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-0.36842105263157776</v>
      </c>
      <c r="Q32">
        <f t="shared" ref="Q32" si="136">F32*P32</f>
        <v>-24996.406105263079</v>
      </c>
      <c r="R32">
        <f t="shared" ref="R32" si="137">R33+Q32</f>
        <v>-1684890.3034974439</v>
      </c>
      <c r="S32">
        <f t="shared" ref="S32" si="138">R32/100000</f>
        <v>-16.848903034974438</v>
      </c>
      <c r="T32">
        <f t="shared" ref="T32" si="139">S32/1000</f>
        <v>-1.6848903034974438E-2</v>
      </c>
    </row>
    <row r="33" spans="1:20" x14ac:dyDescent="0.25">
      <c r="A33" s="5">
        <v>44560</v>
      </c>
      <c r="B33">
        <v>34.200000000000003</v>
      </c>
      <c r="C33">
        <v>37</v>
      </c>
      <c r="D33">
        <v>33.5</v>
      </c>
      <c r="E33">
        <v>35.299999999999997</v>
      </c>
      <c r="F33">
        <v>27156.402999999998</v>
      </c>
      <c r="G33">
        <v>35.299999999999997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2.8571428571426947E-2</v>
      </c>
      <c r="Q33">
        <f t="shared" ref="Q33" si="141">F33*P33</f>
        <v>775.8972285713844</v>
      </c>
      <c r="R33">
        <f t="shared" ref="R33" si="142">R34+Q33</f>
        <v>-1659893.8973921807</v>
      </c>
      <c r="S33">
        <f t="shared" ref="S33" si="143">R33/100000</f>
        <v>-16.598938973921808</v>
      </c>
      <c r="T33">
        <f t="shared" ref="T33" si="144">S33/1000</f>
        <v>-1.6598938973921808E-2</v>
      </c>
    </row>
    <row r="34" spans="1:20" x14ac:dyDescent="0.25">
      <c r="A34" s="5">
        <v>44559</v>
      </c>
      <c r="B34">
        <v>35.299999999999997</v>
      </c>
      <c r="C34">
        <v>36.299999999999997</v>
      </c>
      <c r="D34">
        <v>34</v>
      </c>
      <c r="E34">
        <v>34.200000000000003</v>
      </c>
      <c r="F34">
        <v>35187.478000000003</v>
      </c>
      <c r="G34">
        <v>34.200000000000003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-0.82608695652173647</v>
      </c>
      <c r="Q34">
        <f t="shared" ref="Q34" si="146">F34*P34</f>
        <v>-29067.916608695559</v>
      </c>
      <c r="R34">
        <f t="shared" ref="R34" si="147">R35+Q34</f>
        <v>-1660669.7946207521</v>
      </c>
      <c r="S34">
        <f t="shared" ref="S34" si="148">R34/100000</f>
        <v>-16.606697946207522</v>
      </c>
      <c r="T34">
        <f t="shared" ref="T34" si="149">S34/1000</f>
        <v>-1.6606697946207522E-2</v>
      </c>
    </row>
    <row r="35" spans="1:20" x14ac:dyDescent="0.25">
      <c r="A35" s="5">
        <v>44558</v>
      </c>
      <c r="B35">
        <v>40</v>
      </c>
      <c r="C35">
        <v>40</v>
      </c>
      <c r="D35">
        <v>34.299999999999997</v>
      </c>
      <c r="E35">
        <v>35.299999999999997</v>
      </c>
      <c r="F35">
        <v>61307.330999999998</v>
      </c>
      <c r="G35">
        <v>35.299999999999997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-0.64912280701754399</v>
      </c>
      <c r="Q35">
        <f t="shared" ref="Q35" si="151">F35*P35</f>
        <v>-39795.986789473689</v>
      </c>
      <c r="R35">
        <f t="shared" ref="R35" si="152">R36+Q35</f>
        <v>-1631601.8780120565</v>
      </c>
      <c r="S35">
        <f t="shared" ref="S35" si="153">R35/100000</f>
        <v>-16.316018780120565</v>
      </c>
      <c r="T35">
        <f t="shared" ref="T35" si="154">S35/1000</f>
        <v>-1.6316018780120563E-2</v>
      </c>
    </row>
    <row r="36" spans="1:20" x14ac:dyDescent="0.25">
      <c r="A36" s="5">
        <v>44557</v>
      </c>
      <c r="B36">
        <v>36.6</v>
      </c>
      <c r="C36">
        <v>44.8</v>
      </c>
      <c r="D36">
        <v>36.5</v>
      </c>
      <c r="E36">
        <v>40</v>
      </c>
      <c r="F36">
        <v>135167.80300000001</v>
      </c>
      <c r="G36">
        <v>40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-0.15662650602409608</v>
      </c>
      <c r="Q36">
        <f t="shared" ref="Q36" si="156">F36*P36</f>
        <v>-21170.860710843335</v>
      </c>
      <c r="R36">
        <f t="shared" ref="R36" si="157">R37+Q36</f>
        <v>-1591805.8912225827</v>
      </c>
      <c r="S36">
        <f t="shared" ref="S36" si="158">R36/100000</f>
        <v>-15.918058912225826</v>
      </c>
      <c r="T36">
        <f t="shared" ref="T36" si="159">S36/1000</f>
        <v>-1.5918058912225825E-2</v>
      </c>
    </row>
    <row r="37" spans="1:20" x14ac:dyDescent="0.25">
      <c r="A37" s="5">
        <v>44556</v>
      </c>
      <c r="B37">
        <v>34.700000000000003</v>
      </c>
      <c r="C37">
        <v>37.1</v>
      </c>
      <c r="D37">
        <v>33.9</v>
      </c>
      <c r="E37">
        <v>36.6</v>
      </c>
      <c r="F37">
        <v>25829.901000000002</v>
      </c>
      <c r="G37">
        <v>36.6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0.68750000000000022</v>
      </c>
      <c r="Q37">
        <f t="shared" ref="Q37" si="161">F37*P37</f>
        <v>17758.056937500009</v>
      </c>
      <c r="R37">
        <f t="shared" ref="R37" si="162">R38+Q37</f>
        <v>-1570635.0305117394</v>
      </c>
      <c r="S37">
        <f t="shared" ref="S37" si="163">R37/100000</f>
        <v>-15.706350305117395</v>
      </c>
      <c r="T37">
        <f t="shared" ref="T37" si="164">S37/1000</f>
        <v>-1.5706350305117394E-2</v>
      </c>
    </row>
    <row r="38" spans="1:20" x14ac:dyDescent="0.25">
      <c r="A38" s="5">
        <v>44555</v>
      </c>
      <c r="B38">
        <v>34</v>
      </c>
      <c r="C38">
        <v>35.9</v>
      </c>
      <c r="D38">
        <v>32.299999999999997</v>
      </c>
      <c r="E38">
        <v>34.700000000000003</v>
      </c>
      <c r="F38">
        <v>41145.519</v>
      </c>
      <c r="G38">
        <v>34.700000000000003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0.33333333333333598</v>
      </c>
      <c r="Q38">
        <f t="shared" ref="Q38" si="166">F38*P38</f>
        <v>13715.17300000011</v>
      </c>
      <c r="R38">
        <f t="shared" ref="R38" si="167">R39+Q38</f>
        <v>-1588393.0874492393</v>
      </c>
      <c r="S38">
        <f t="shared" ref="S38" si="168">R38/100000</f>
        <v>-15.883930874492393</v>
      </c>
      <c r="T38">
        <f t="shared" ref="T38" si="169">S38/1000</f>
        <v>-1.5883930874492393E-2</v>
      </c>
    </row>
    <row r="39" spans="1:20" x14ac:dyDescent="0.25">
      <c r="A39" s="5">
        <v>44554</v>
      </c>
      <c r="B39">
        <v>33.5</v>
      </c>
      <c r="C39">
        <v>34.9</v>
      </c>
      <c r="D39">
        <v>33</v>
      </c>
      <c r="E39">
        <v>33.9</v>
      </c>
      <c r="F39">
        <v>41476.796000000002</v>
      </c>
      <c r="G39">
        <v>33.9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-5.2631578947369209E-2</v>
      </c>
      <c r="Q39">
        <f t="shared" ref="Q39" si="171">F39*P39</f>
        <v>-2182.9892631579273</v>
      </c>
      <c r="R39">
        <f t="shared" ref="R39" si="172">R40+Q39</f>
        <v>-1602108.2604492395</v>
      </c>
      <c r="S39">
        <f t="shared" ref="S39" si="173">R39/100000</f>
        <v>-16.021082604492396</v>
      </c>
      <c r="T39">
        <f t="shared" ref="T39" si="174">S39/1000</f>
        <v>-1.6021082604492396E-2</v>
      </c>
    </row>
    <row r="40" spans="1:20" x14ac:dyDescent="0.25">
      <c r="A40" s="5">
        <v>44553</v>
      </c>
      <c r="B40">
        <v>32.299999999999997</v>
      </c>
      <c r="C40">
        <v>34</v>
      </c>
      <c r="D40">
        <v>31.4</v>
      </c>
      <c r="E40">
        <v>33.5</v>
      </c>
      <c r="F40">
        <v>42521.044999999998</v>
      </c>
      <c r="G40">
        <v>33.5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0.61538461538461564</v>
      </c>
      <c r="Q40">
        <f t="shared" ref="Q40" si="176">F40*P40</f>
        <v>26166.796923076934</v>
      </c>
      <c r="R40">
        <f t="shared" ref="R40" si="177">R41+Q40</f>
        <v>-1599925.2711860817</v>
      </c>
      <c r="S40">
        <f t="shared" ref="S40" si="178">R40/100000</f>
        <v>-15.999252711860818</v>
      </c>
      <c r="T40">
        <f t="shared" ref="T40" si="179">S40/1000</f>
        <v>-1.5999252711860819E-2</v>
      </c>
    </row>
    <row r="41" spans="1:20" x14ac:dyDescent="0.25">
      <c r="A41" s="5">
        <v>44552</v>
      </c>
      <c r="B41">
        <v>31.8</v>
      </c>
      <c r="C41">
        <v>34.9</v>
      </c>
      <c r="D41">
        <v>31.6</v>
      </c>
      <c r="E41">
        <v>32.299999999999997</v>
      </c>
      <c r="F41">
        <v>53597.023000000001</v>
      </c>
      <c r="G41">
        <v>32.299999999999997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-0.57575757575757802</v>
      </c>
      <c r="Q41">
        <f t="shared" ref="Q41" si="181">F41*P41</f>
        <v>-30858.892030303152</v>
      </c>
      <c r="R41">
        <f t="shared" ref="R41" si="182">R42+Q41</f>
        <v>-1626092.0681091587</v>
      </c>
      <c r="S41">
        <f t="shared" ref="S41" si="183">R41/100000</f>
        <v>-16.260920681091587</v>
      </c>
      <c r="T41">
        <f t="shared" ref="T41" si="184">S41/1000</f>
        <v>-1.6260920681091588E-2</v>
      </c>
    </row>
    <row r="42" spans="1:20" x14ac:dyDescent="0.25">
      <c r="A42" s="5">
        <v>44551</v>
      </c>
      <c r="B42">
        <v>31.6</v>
      </c>
      <c r="C42">
        <v>32.299999999999997</v>
      </c>
      <c r="D42">
        <v>31.4</v>
      </c>
      <c r="E42">
        <v>31.9</v>
      </c>
      <c r="F42">
        <v>21606.633999999998</v>
      </c>
      <c r="G42">
        <v>31.9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0.11111111111111287</v>
      </c>
      <c r="Q42">
        <f t="shared" ref="Q42" si="186">F42*P42</f>
        <v>2400.7371111111488</v>
      </c>
      <c r="R42">
        <f t="shared" ref="R42" si="187">R43+Q42</f>
        <v>-1595233.1760788555</v>
      </c>
      <c r="S42">
        <f t="shared" ref="S42" si="188">R42/100000</f>
        <v>-15.952331760788555</v>
      </c>
      <c r="T42">
        <f t="shared" ref="T42" si="189">S42/1000</f>
        <v>-1.5952331760788554E-2</v>
      </c>
    </row>
    <row r="43" spans="1:20" x14ac:dyDescent="0.25">
      <c r="A43" s="5">
        <v>44550</v>
      </c>
      <c r="B43">
        <v>31.9</v>
      </c>
      <c r="C43">
        <v>32.5</v>
      </c>
      <c r="D43">
        <v>30.3</v>
      </c>
      <c r="E43">
        <v>31.6</v>
      </c>
      <c r="F43">
        <v>28738.798999999999</v>
      </c>
      <c r="G43">
        <v>31.6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0.18181818181818285</v>
      </c>
      <c r="Q43">
        <f t="shared" ref="Q43" si="191">F43*P43</f>
        <v>5225.2361818182117</v>
      </c>
      <c r="R43">
        <f t="shared" ref="R43" si="192">R44+Q43</f>
        <v>-1597633.9131899667</v>
      </c>
      <c r="S43">
        <f t="shared" ref="S43" si="193">R43/100000</f>
        <v>-15.976339131899667</v>
      </c>
      <c r="T43">
        <f t="shared" ref="T43" si="194">S43/1000</f>
        <v>-1.5976339131899667E-2</v>
      </c>
    </row>
    <row r="44" spans="1:20" x14ac:dyDescent="0.25">
      <c r="A44" s="5">
        <v>44549</v>
      </c>
      <c r="B44">
        <v>32.700000000000003</v>
      </c>
      <c r="C44">
        <v>34.6</v>
      </c>
      <c r="D44">
        <v>31.6</v>
      </c>
      <c r="E44">
        <v>31.8</v>
      </c>
      <c r="F44">
        <v>26058.59</v>
      </c>
      <c r="G44">
        <v>31.8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-0.86666666666666714</v>
      </c>
      <c r="Q44">
        <f t="shared" ref="Q44" si="196">F44*P44</f>
        <v>-22584.111333333345</v>
      </c>
      <c r="R44">
        <f t="shared" ref="R44" si="197">R45+Q44</f>
        <v>-1602859.1493717849</v>
      </c>
      <c r="S44">
        <f t="shared" ref="S44" si="198">R44/100000</f>
        <v>-16.028591493717848</v>
      </c>
      <c r="T44">
        <f t="shared" ref="T44" si="199">S44/1000</f>
        <v>-1.6028591493717846E-2</v>
      </c>
    </row>
    <row r="45" spans="1:20" x14ac:dyDescent="0.25">
      <c r="A45" s="5">
        <v>44548</v>
      </c>
      <c r="B45">
        <v>31.2</v>
      </c>
      <c r="C45">
        <v>37.200000000000003</v>
      </c>
      <c r="D45">
        <v>31.1</v>
      </c>
      <c r="E45">
        <v>32.700000000000003</v>
      </c>
      <c r="F45">
        <v>68769.462</v>
      </c>
      <c r="G45">
        <v>32.700000000000003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-0.47540983606557341</v>
      </c>
      <c r="Q45">
        <f t="shared" ref="Q45" si="201">F45*P45</f>
        <v>-32693.67865573768</v>
      </c>
      <c r="R45">
        <f t="shared" ref="R45" si="202">R46+Q45</f>
        <v>-1580275.0380384515</v>
      </c>
      <c r="S45">
        <f t="shared" ref="S45" si="203">R45/100000</f>
        <v>-15.802750380384515</v>
      </c>
      <c r="T45">
        <f t="shared" ref="T45" si="204">S45/1000</f>
        <v>-1.5802750380384513E-2</v>
      </c>
    </row>
    <row r="46" spans="1:20" x14ac:dyDescent="0.25">
      <c r="A46" s="5">
        <v>44547</v>
      </c>
      <c r="B46">
        <v>32.6</v>
      </c>
      <c r="C46">
        <v>33.4</v>
      </c>
      <c r="D46">
        <v>29.8</v>
      </c>
      <c r="E46">
        <v>31.2</v>
      </c>
      <c r="F46">
        <v>47821.684000000001</v>
      </c>
      <c r="G46">
        <v>31.2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-0.22222222222222254</v>
      </c>
      <c r="Q46">
        <f t="shared" ref="Q46" si="206">F46*P46</f>
        <v>-10627.040888888905</v>
      </c>
      <c r="R46">
        <f t="shared" ref="R46" si="207">R47+Q46</f>
        <v>-1547581.3593827137</v>
      </c>
      <c r="S46">
        <f t="shared" ref="S46" si="208">R46/100000</f>
        <v>-15.475813593827137</v>
      </c>
      <c r="T46">
        <f t="shared" ref="T46" si="209">S46/1000</f>
        <v>-1.5475813593827136E-2</v>
      </c>
    </row>
    <row r="47" spans="1:20" x14ac:dyDescent="0.25">
      <c r="A47" s="5">
        <v>44546</v>
      </c>
      <c r="B47">
        <v>34.200000000000003</v>
      </c>
      <c r="C47">
        <v>34.799999999999997</v>
      </c>
      <c r="D47">
        <v>32.299999999999997</v>
      </c>
      <c r="E47">
        <v>32.6</v>
      </c>
      <c r="F47">
        <v>28709.667000000001</v>
      </c>
      <c r="G47">
        <v>32.6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-0.75999999999999657</v>
      </c>
      <c r="Q47">
        <f t="shared" ref="Q47" si="211">F47*P47</f>
        <v>-21819.346919999902</v>
      </c>
      <c r="R47">
        <f t="shared" ref="R47" si="212">R48+Q47</f>
        <v>-1536954.3184938247</v>
      </c>
      <c r="S47">
        <f t="shared" ref="S47" si="213">R47/100000</f>
        <v>-15.369543184938246</v>
      </c>
      <c r="T47">
        <f t="shared" ref="T47" si="214">S47/1000</f>
        <v>-1.5369543184938246E-2</v>
      </c>
    </row>
    <row r="48" spans="1:20" x14ac:dyDescent="0.25">
      <c r="A48" s="5">
        <v>44545</v>
      </c>
      <c r="B48">
        <v>34.700000000000003</v>
      </c>
      <c r="C48">
        <v>35</v>
      </c>
      <c r="D48">
        <v>31.4</v>
      </c>
      <c r="E48">
        <v>34.200000000000003</v>
      </c>
      <c r="F48">
        <v>45340.61</v>
      </c>
      <c r="G48">
        <v>34.200000000000003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0.55555555555555736</v>
      </c>
      <c r="Q48">
        <f t="shared" ref="Q48" si="216">F48*P48</f>
        <v>25189.227777777858</v>
      </c>
      <c r="R48">
        <f t="shared" ref="R48" si="217">R49+Q48</f>
        <v>-1515134.9715738248</v>
      </c>
      <c r="S48">
        <f t="shared" ref="S48" si="218">R48/100000</f>
        <v>-15.151349715738247</v>
      </c>
      <c r="T48">
        <f t="shared" ref="T48" si="219">S48/1000</f>
        <v>-1.5151349715738248E-2</v>
      </c>
    </row>
    <row r="49" spans="1:20" x14ac:dyDescent="0.25">
      <c r="A49" s="5">
        <v>44544</v>
      </c>
      <c r="B49">
        <v>34.200000000000003</v>
      </c>
      <c r="C49">
        <v>35.6</v>
      </c>
      <c r="D49">
        <v>32.6</v>
      </c>
      <c r="E49">
        <v>34.799999999999997</v>
      </c>
      <c r="F49">
        <v>52362.68</v>
      </c>
      <c r="G49">
        <v>34.799999999999997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0.46666666666666384</v>
      </c>
      <c r="Q49">
        <f t="shared" ref="Q49" si="221">F49*P49</f>
        <v>24435.917333333186</v>
      </c>
      <c r="R49">
        <f t="shared" ref="R49" si="222">R50+Q49</f>
        <v>-1540324.1993516027</v>
      </c>
      <c r="S49">
        <f t="shared" ref="S49" si="223">R49/100000</f>
        <v>-15.403241993516026</v>
      </c>
      <c r="T49">
        <f t="shared" ref="T49" si="224">S49/1000</f>
        <v>-1.5403241993516026E-2</v>
      </c>
    </row>
    <row r="50" spans="1:20" x14ac:dyDescent="0.25">
      <c r="A50" s="5">
        <v>44543</v>
      </c>
      <c r="B50">
        <v>36.9</v>
      </c>
      <c r="C50">
        <v>42</v>
      </c>
      <c r="D50">
        <v>32.5</v>
      </c>
      <c r="E50">
        <v>34.200000000000003</v>
      </c>
      <c r="F50">
        <v>89953.932000000001</v>
      </c>
      <c r="G50">
        <v>34.200000000000003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-0.64210526315789418</v>
      </c>
      <c r="Q50">
        <f t="shared" ref="Q50" si="226">F50*P50</f>
        <v>-57759.893178947321</v>
      </c>
      <c r="R50">
        <f t="shared" ref="R50" si="227">R51+Q50</f>
        <v>-1564760.116684936</v>
      </c>
      <c r="S50">
        <f t="shared" ref="S50" si="228">R50/100000</f>
        <v>-15.647601166849359</v>
      </c>
      <c r="T50">
        <f t="shared" ref="T50" si="229">S50/1000</f>
        <v>-1.5647601166849358E-2</v>
      </c>
    </row>
    <row r="51" spans="1:20" x14ac:dyDescent="0.25">
      <c r="A51" s="5">
        <v>44542</v>
      </c>
      <c r="B51">
        <v>35</v>
      </c>
      <c r="C51">
        <v>38.9</v>
      </c>
      <c r="D51">
        <v>34.700000000000003</v>
      </c>
      <c r="E51">
        <v>37</v>
      </c>
      <c r="F51">
        <v>28791.58</v>
      </c>
      <c r="G51">
        <v>37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9.5238095238094997E-2</v>
      </c>
      <c r="Q51">
        <f t="shared" ref="Q51" si="231">F51*P51</f>
        <v>2742.0552380952313</v>
      </c>
      <c r="R51">
        <f t="shared" ref="R51" si="232">R52+Q51</f>
        <v>-1507000.2235059887</v>
      </c>
      <c r="S51">
        <f t="shared" ref="S51" si="233">R51/100000</f>
        <v>-15.070002235059887</v>
      </c>
      <c r="T51">
        <f t="shared" ref="T51" si="234">S51/1000</f>
        <v>-1.5070002235059887E-2</v>
      </c>
    </row>
    <row r="52" spans="1:20" x14ac:dyDescent="0.25">
      <c r="A52" s="5">
        <v>44541</v>
      </c>
      <c r="B52">
        <v>34.799999999999997</v>
      </c>
      <c r="C52">
        <v>35.5</v>
      </c>
      <c r="D52">
        <v>34.200000000000003</v>
      </c>
      <c r="E52">
        <v>34.9</v>
      </c>
      <c r="F52">
        <v>2097.252</v>
      </c>
      <c r="G52">
        <v>34.9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7.6923076923072722E-2</v>
      </c>
      <c r="Q52">
        <f t="shared" ref="Q52" si="236">F52*P52</f>
        <v>161.32707692306812</v>
      </c>
      <c r="R52">
        <f t="shared" ref="R52" si="237">R53+Q52</f>
        <v>-1509742.2787440841</v>
      </c>
      <c r="S52">
        <f t="shared" ref="S52" si="238">R52/100000</f>
        <v>-15.097422787440841</v>
      </c>
      <c r="T52">
        <f t="shared" ref="T52" si="239">S52/1000</f>
        <v>-1.5097422787440841E-2</v>
      </c>
    </row>
    <row r="53" spans="1:20" x14ac:dyDescent="0.25">
      <c r="A53" s="5">
        <v>44540</v>
      </c>
      <c r="B53">
        <v>39.9</v>
      </c>
      <c r="C53">
        <v>41.9</v>
      </c>
      <c r="D53">
        <v>34.700000000000003</v>
      </c>
      <c r="E53">
        <v>34.799999999999997</v>
      </c>
      <c r="F53">
        <v>82002.27</v>
      </c>
      <c r="G53">
        <v>34.799999999999997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-0.97222222222222376</v>
      </c>
      <c r="Q53">
        <f t="shared" ref="Q53" si="241">F53*P53</f>
        <v>-79724.4291666668</v>
      </c>
      <c r="R53">
        <f t="shared" ref="R53" si="242">R54+Q53</f>
        <v>-1509903.6058210072</v>
      </c>
      <c r="S53">
        <f t="shared" ref="S53" si="243">R53/100000</f>
        <v>-15.099036058210071</v>
      </c>
      <c r="T53">
        <f t="shared" ref="T53" si="244">S53/1000</f>
        <v>-1.5099036058210072E-2</v>
      </c>
    </row>
    <row r="54" spans="1:20" x14ac:dyDescent="0.25">
      <c r="A54" s="5">
        <v>44539</v>
      </c>
      <c r="B54">
        <v>38.700000000000003</v>
      </c>
      <c r="C54">
        <v>48</v>
      </c>
      <c r="D54">
        <v>34.4</v>
      </c>
      <c r="E54">
        <v>39.9</v>
      </c>
      <c r="F54">
        <v>222906.372</v>
      </c>
      <c r="G54">
        <v>39.9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-0.19117647058823539</v>
      </c>
      <c r="Q54">
        <f t="shared" ref="Q54" si="246">F54*P54</f>
        <v>-42614.453470588254</v>
      </c>
      <c r="R54">
        <f t="shared" ref="R54" si="247">R55+Q54</f>
        <v>-1430179.1766543405</v>
      </c>
      <c r="S54">
        <f t="shared" ref="S54" si="248">R54/100000</f>
        <v>-14.301791766543404</v>
      </c>
      <c r="T54">
        <f t="shared" ref="T54" si="249">S54/1000</f>
        <v>-1.4301791766543405E-2</v>
      </c>
    </row>
    <row r="55" spans="1:20" x14ac:dyDescent="0.25">
      <c r="A55" s="5">
        <v>44538</v>
      </c>
      <c r="B55">
        <v>32.200000000000003</v>
      </c>
      <c r="C55">
        <v>41</v>
      </c>
      <c r="D55">
        <v>32</v>
      </c>
      <c r="E55">
        <v>38.799999999999997</v>
      </c>
      <c r="F55">
        <v>171618.14799999999</v>
      </c>
      <c r="G55">
        <v>38.799999999999997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0.51111111111111052</v>
      </c>
      <c r="Q55">
        <f t="shared" ref="Q55" si="251">F55*P55</f>
        <v>87715.942311111008</v>
      </c>
      <c r="R55">
        <f t="shared" ref="R55" si="252">R56+Q55</f>
        <v>-1387564.7231837523</v>
      </c>
      <c r="S55">
        <f t="shared" ref="S55" si="253">R55/100000</f>
        <v>-13.875647231837522</v>
      </c>
      <c r="T55">
        <f t="shared" ref="T55" si="254">S55/1000</f>
        <v>-1.3875647231837523E-2</v>
      </c>
    </row>
    <row r="56" spans="1:20" x14ac:dyDescent="0.25">
      <c r="A56" s="5">
        <v>44537</v>
      </c>
      <c r="B56">
        <v>31</v>
      </c>
      <c r="C56">
        <v>34.1</v>
      </c>
      <c r="D56">
        <v>29.4</v>
      </c>
      <c r="E56">
        <v>32.200000000000003</v>
      </c>
      <c r="F56">
        <v>58605.057999999997</v>
      </c>
      <c r="G56">
        <v>32.200000000000003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0.19148936170212874</v>
      </c>
      <c r="Q56">
        <f t="shared" ref="Q56" si="256">F56*P56</f>
        <v>11222.245148936234</v>
      </c>
      <c r="R56">
        <f t="shared" ref="R56" si="257">R57+Q56</f>
        <v>-1475280.6654948632</v>
      </c>
      <c r="S56">
        <f t="shared" ref="S56" si="258">R56/100000</f>
        <v>-14.752806654948632</v>
      </c>
      <c r="T56">
        <f t="shared" ref="T56" si="259">S56/1000</f>
        <v>-1.4752806654948632E-2</v>
      </c>
    </row>
    <row r="57" spans="1:20" x14ac:dyDescent="0.25">
      <c r="A57" s="5">
        <v>44536</v>
      </c>
      <c r="B57">
        <v>30.1</v>
      </c>
      <c r="C57">
        <v>31.8</v>
      </c>
      <c r="D57">
        <v>24.9</v>
      </c>
      <c r="E57">
        <v>31</v>
      </c>
      <c r="F57">
        <v>71448.578999999998</v>
      </c>
      <c r="G57">
        <v>31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0.76811594202898537</v>
      </c>
      <c r="Q57">
        <f t="shared" ref="Q57" si="261">F57*P57</f>
        <v>54880.79256521738</v>
      </c>
      <c r="R57">
        <f t="shared" ref="R57" si="262">R58+Q57</f>
        <v>-1486502.9106437995</v>
      </c>
      <c r="S57">
        <f t="shared" ref="S57" si="263">R57/100000</f>
        <v>-14.865029106437994</v>
      </c>
      <c r="T57">
        <f t="shared" ref="T57" si="264">S57/1000</f>
        <v>-1.4865029106437994E-2</v>
      </c>
    </row>
    <row r="58" spans="1:20" x14ac:dyDescent="0.25">
      <c r="A58" s="5">
        <v>44535</v>
      </c>
      <c r="B58">
        <v>30.1</v>
      </c>
      <c r="C58">
        <v>32.1</v>
      </c>
      <c r="D58">
        <v>28.9</v>
      </c>
      <c r="E58">
        <v>30.3</v>
      </c>
      <c r="F58">
        <v>53586.271999999997</v>
      </c>
      <c r="G58">
        <v>30.3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-0.12499999999999944</v>
      </c>
      <c r="Q58">
        <f t="shared" ref="Q58" si="266">F58*P58</f>
        <v>-6698.2839999999696</v>
      </c>
      <c r="R58">
        <f t="shared" ref="R58" si="267">R59+Q58</f>
        <v>-1541383.7032090169</v>
      </c>
      <c r="S58">
        <f t="shared" ref="S58" si="268">R58/100000</f>
        <v>-15.41383703209017</v>
      </c>
      <c r="T58">
        <f t="shared" ref="T58" si="269">S58/1000</f>
        <v>-1.541383703209017E-2</v>
      </c>
    </row>
    <row r="59" spans="1:20" x14ac:dyDescent="0.25">
      <c r="A59" s="5">
        <v>44534</v>
      </c>
      <c r="B59">
        <v>33.4</v>
      </c>
      <c r="C59">
        <v>33.5</v>
      </c>
      <c r="D59">
        <v>25.5</v>
      </c>
      <c r="E59">
        <v>30.1</v>
      </c>
      <c r="F59">
        <v>104833.07980000001</v>
      </c>
      <c r="G59">
        <v>30.1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0.15000000000000036</v>
      </c>
      <c r="Q59">
        <f t="shared" ref="Q59" si="271">F59*P59</f>
        <v>15724.961970000038</v>
      </c>
      <c r="R59">
        <f t="shared" ref="R59" si="272">R60+Q59</f>
        <v>-1534685.419209017</v>
      </c>
      <c r="S59">
        <f t="shared" ref="S59" si="273">R59/100000</f>
        <v>-15.34685419209017</v>
      </c>
      <c r="T59">
        <f t="shared" ref="T59" si="274">S59/1000</f>
        <v>-1.534685419209017E-2</v>
      </c>
    </row>
    <row r="60" spans="1:20" x14ac:dyDescent="0.25">
      <c r="A60" s="5">
        <v>44533</v>
      </c>
      <c r="B60">
        <v>34.700000000000003</v>
      </c>
      <c r="C60">
        <v>35.9</v>
      </c>
      <c r="D60">
        <v>33</v>
      </c>
      <c r="E60">
        <v>33.4</v>
      </c>
      <c r="F60">
        <v>53688.993000000002</v>
      </c>
      <c r="G60">
        <v>33.4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-0.72413793103448365</v>
      </c>
      <c r="Q60">
        <f t="shared" ref="Q60" si="276">F60*P60</f>
        <v>-38878.236310344881</v>
      </c>
      <c r="R60">
        <f t="shared" ref="R60" si="277">R61+Q60</f>
        <v>-1550410.381179017</v>
      </c>
      <c r="S60">
        <f t="shared" ref="S60" si="278">R60/100000</f>
        <v>-15.50410381179017</v>
      </c>
      <c r="T60">
        <f t="shared" ref="T60" si="279">S60/1000</f>
        <v>-1.550410381179017E-2</v>
      </c>
    </row>
    <row r="61" spans="1:20" x14ac:dyDescent="0.25">
      <c r="A61" s="5">
        <v>44532</v>
      </c>
      <c r="B61">
        <v>34.799999999999997</v>
      </c>
      <c r="C61">
        <v>35.9</v>
      </c>
      <c r="D61">
        <v>33.200000000000003</v>
      </c>
      <c r="E61">
        <v>34.700000000000003</v>
      </c>
      <c r="F61">
        <v>47510.534</v>
      </c>
      <c r="G61">
        <v>34.700000000000003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0.11111111111111287</v>
      </c>
      <c r="Q61">
        <f t="shared" ref="Q61" si="281">F61*P61</f>
        <v>5278.948222222306</v>
      </c>
      <c r="R61">
        <f t="shared" ref="R61" si="282">R62+Q61</f>
        <v>-1511532.1448686721</v>
      </c>
      <c r="S61">
        <f t="shared" ref="S61" si="283">R61/100000</f>
        <v>-15.115321448686721</v>
      </c>
      <c r="T61">
        <f t="shared" ref="T61" si="284">S61/1000</f>
        <v>-1.5115321448686721E-2</v>
      </c>
    </row>
    <row r="62" spans="1:20" x14ac:dyDescent="0.25">
      <c r="A62" s="5">
        <v>44531</v>
      </c>
      <c r="B62">
        <v>35.9</v>
      </c>
      <c r="C62">
        <v>36.6</v>
      </c>
      <c r="D62">
        <v>34.200000000000003</v>
      </c>
      <c r="E62">
        <v>34.9</v>
      </c>
      <c r="F62">
        <v>50522.993000000002</v>
      </c>
      <c r="G62">
        <v>34.9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-0.41666666666666985</v>
      </c>
      <c r="Q62">
        <f t="shared" ref="Q62" si="286">F62*P62</f>
        <v>-21051.247083333496</v>
      </c>
      <c r="R62">
        <f t="shared" ref="R62" si="287">R63+Q62</f>
        <v>-1516811.0930908944</v>
      </c>
      <c r="S62">
        <f t="shared" ref="S62" si="288">R62/100000</f>
        <v>-15.168110930908943</v>
      </c>
      <c r="T62">
        <f t="shared" ref="T62" si="289">S62/1000</f>
        <v>-1.5168110930908944E-2</v>
      </c>
    </row>
    <row r="63" spans="1:20" x14ac:dyDescent="0.25">
      <c r="A63" s="5">
        <v>44530</v>
      </c>
      <c r="B63">
        <v>35.700000000000003</v>
      </c>
      <c r="C63">
        <v>35.9</v>
      </c>
      <c r="D63">
        <v>34</v>
      </c>
      <c r="E63">
        <v>35.9</v>
      </c>
      <c r="F63">
        <v>68684.684999999998</v>
      </c>
      <c r="G63">
        <v>35.9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1</v>
      </c>
      <c r="Q63">
        <f t="shared" ref="Q63" si="291">F63*P63</f>
        <v>68684.684999999998</v>
      </c>
      <c r="R63">
        <f t="shared" ref="R63" si="292">R64+Q63</f>
        <v>-1495759.8460075608</v>
      </c>
      <c r="S63">
        <f t="shared" ref="S63" si="293">R63/100000</f>
        <v>-14.957598460075609</v>
      </c>
      <c r="T63">
        <f t="shared" ref="T63" si="294">S63/1000</f>
        <v>-1.4957598460075609E-2</v>
      </c>
    </row>
    <row r="64" spans="1:20" x14ac:dyDescent="0.25">
      <c r="A64" s="5">
        <v>44529</v>
      </c>
      <c r="B64">
        <v>35.1</v>
      </c>
      <c r="C64">
        <v>37.5</v>
      </c>
      <c r="D64">
        <v>34.6</v>
      </c>
      <c r="E64">
        <v>35.700000000000003</v>
      </c>
      <c r="F64">
        <v>77765.471000000005</v>
      </c>
      <c r="G64">
        <v>35.700000000000003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-0.24137931034482624</v>
      </c>
      <c r="Q64">
        <f t="shared" ref="Q64" si="296">F64*P64</f>
        <v>-18770.975758620585</v>
      </c>
      <c r="R64">
        <f t="shared" ref="R64" si="297">R65+Q64</f>
        <v>-1564444.5310075609</v>
      </c>
      <c r="S64">
        <f t="shared" ref="S64" si="298">R64/100000</f>
        <v>-15.644445310075609</v>
      </c>
      <c r="T64">
        <f t="shared" ref="T64" si="299">S64/1000</f>
        <v>-1.5644445310075607E-2</v>
      </c>
    </row>
    <row r="65" spans="1:20" x14ac:dyDescent="0.25">
      <c r="A65" s="5">
        <v>44528</v>
      </c>
      <c r="B65">
        <v>35.700000000000003</v>
      </c>
      <c r="C65">
        <v>36.4</v>
      </c>
      <c r="D65">
        <v>33.700000000000003</v>
      </c>
      <c r="E65">
        <v>35</v>
      </c>
      <c r="F65">
        <v>65617.178</v>
      </c>
      <c r="G65">
        <v>35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-3.7037037037037625E-2</v>
      </c>
      <c r="Q65">
        <f t="shared" ref="Q65" si="301">F65*P65</f>
        <v>-2430.2658518518906</v>
      </c>
      <c r="R65">
        <f t="shared" ref="R65" si="302">R66+Q65</f>
        <v>-1545673.5552489404</v>
      </c>
      <c r="S65">
        <f t="shared" ref="S65" si="303">R65/100000</f>
        <v>-15.456735552489404</v>
      </c>
      <c r="T65">
        <f t="shared" ref="T65" si="304">S65/1000</f>
        <v>-1.5456735552489404E-2</v>
      </c>
    </row>
    <row r="66" spans="1:20" x14ac:dyDescent="0.25">
      <c r="A66" s="5">
        <v>44527</v>
      </c>
      <c r="B66">
        <v>36.5</v>
      </c>
      <c r="C66">
        <v>39.1</v>
      </c>
      <c r="D66">
        <v>35</v>
      </c>
      <c r="E66">
        <v>35.799999999999997</v>
      </c>
      <c r="F66">
        <v>62846.514000000003</v>
      </c>
      <c r="G66">
        <v>35.799999999999997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-0.60975609756097715</v>
      </c>
      <c r="Q66">
        <f t="shared" ref="Q66" si="306">F66*P66</f>
        <v>-38321.04512195132</v>
      </c>
      <c r="R66">
        <f t="shared" ref="R66" si="307">R67+Q66</f>
        <v>-1543243.2893970886</v>
      </c>
      <c r="S66">
        <f t="shared" ref="S66" si="308">R66/100000</f>
        <v>-15.432432893970885</v>
      </c>
      <c r="T66">
        <f t="shared" ref="T66" si="309">S66/1000</f>
        <v>-1.5432432893970885E-2</v>
      </c>
    </row>
    <row r="67" spans="1:20" x14ac:dyDescent="0.25">
      <c r="A67" s="5">
        <v>44526</v>
      </c>
      <c r="B67">
        <v>41.7</v>
      </c>
      <c r="C67">
        <v>41.9</v>
      </c>
      <c r="D67">
        <v>36.5</v>
      </c>
      <c r="E67">
        <v>36.5</v>
      </c>
      <c r="F67">
        <v>76922.771999999997</v>
      </c>
      <c r="G67">
        <v>36.5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-1</v>
      </c>
      <c r="Q67">
        <f t="shared" ref="Q67" si="311">F67*P67</f>
        <v>-76922.771999999997</v>
      </c>
      <c r="R67">
        <f t="shared" ref="R67" si="312">R68+Q67</f>
        <v>-1504922.2442751373</v>
      </c>
      <c r="S67">
        <f t="shared" ref="S67" si="313">R67/100000</f>
        <v>-15.049222442751374</v>
      </c>
      <c r="T67">
        <f t="shared" ref="T67" si="314">S67/1000</f>
        <v>-1.5049222442751373E-2</v>
      </c>
    </row>
    <row r="68" spans="1:20" x14ac:dyDescent="0.25">
      <c r="A68" s="5">
        <v>44525</v>
      </c>
      <c r="B68">
        <v>44.1</v>
      </c>
      <c r="C68">
        <v>44.1</v>
      </c>
      <c r="D68">
        <v>40.700000000000003</v>
      </c>
      <c r="E68">
        <v>41.7</v>
      </c>
      <c r="F68">
        <v>85756.088000000003</v>
      </c>
      <c r="G68">
        <v>41.7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-0.4117647058823527</v>
      </c>
      <c r="Q68">
        <f t="shared" ref="Q68" si="316">F68*P68</f>
        <v>-35311.330352941157</v>
      </c>
      <c r="R68">
        <f t="shared" ref="R68" si="317">R69+Q68</f>
        <v>-1427999.4722751374</v>
      </c>
      <c r="S68">
        <f t="shared" ref="S68" si="318">R68/100000</f>
        <v>-14.279994722751374</v>
      </c>
      <c r="T68">
        <f t="shared" ref="T68" si="319">S68/1000</f>
        <v>-1.4279994722751373E-2</v>
      </c>
    </row>
    <row r="69" spans="1:20" x14ac:dyDescent="0.25">
      <c r="A69" s="5">
        <v>44524</v>
      </c>
      <c r="B69">
        <v>43.2</v>
      </c>
      <c r="C69">
        <v>43.5</v>
      </c>
      <c r="D69">
        <v>40.5</v>
      </c>
      <c r="E69">
        <v>41</v>
      </c>
      <c r="F69">
        <v>19777.951000000001</v>
      </c>
      <c r="G69">
        <v>41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-0.66666666666666663</v>
      </c>
      <c r="Q69">
        <f t="shared" ref="Q69" si="321">F69*P69</f>
        <v>-13185.300666666666</v>
      </c>
      <c r="R69">
        <f t="shared" ref="R69" si="322">R70+Q69</f>
        <v>-1392688.1419221964</v>
      </c>
      <c r="S69">
        <f t="shared" ref="S69" si="323">R69/100000</f>
        <v>-13.926881419221964</v>
      </c>
      <c r="T69">
        <f t="shared" ref="T69" si="324">S69/1000</f>
        <v>-1.3926881419221963E-2</v>
      </c>
    </row>
    <row r="70" spans="1:20" x14ac:dyDescent="0.25">
      <c r="A70" s="5">
        <v>44523</v>
      </c>
      <c r="B70">
        <v>40.4</v>
      </c>
      <c r="C70">
        <v>47.7</v>
      </c>
      <c r="D70">
        <v>38.9</v>
      </c>
      <c r="E70">
        <v>43.2</v>
      </c>
      <c r="F70">
        <v>125416.193</v>
      </c>
      <c r="G70">
        <v>43.2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-2.2727272727272232E-2</v>
      </c>
      <c r="Q70">
        <f t="shared" ref="Q70" si="326">F70*P70</f>
        <v>-2850.3680227272107</v>
      </c>
      <c r="R70">
        <f t="shared" ref="R70" si="327">R71+Q70</f>
        <v>-1379502.8412555298</v>
      </c>
      <c r="S70">
        <f t="shared" ref="S70" si="328">R70/100000</f>
        <v>-13.795028412555299</v>
      </c>
      <c r="T70">
        <f t="shared" ref="T70" si="329">S70/1000</f>
        <v>-1.3795028412555298E-2</v>
      </c>
    </row>
    <row r="71" spans="1:20" x14ac:dyDescent="0.25">
      <c r="A71" s="5">
        <v>44522</v>
      </c>
      <c r="B71">
        <v>44.9</v>
      </c>
      <c r="C71">
        <v>45.1</v>
      </c>
      <c r="D71">
        <v>39.1</v>
      </c>
      <c r="E71">
        <v>40.299999999999997</v>
      </c>
      <c r="F71">
        <v>94433.341</v>
      </c>
      <c r="G71">
        <v>40.299999999999997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-0.60000000000000142</v>
      </c>
      <c r="Q71">
        <f t="shared" ref="Q71" si="331">F71*P71</f>
        <v>-56660.004600000131</v>
      </c>
      <c r="R71">
        <f t="shared" ref="R71" si="332">R72+Q71</f>
        <v>-1376652.4732328025</v>
      </c>
      <c r="S71">
        <f t="shared" ref="S71" si="333">R71/100000</f>
        <v>-13.766524732328024</v>
      </c>
      <c r="T71">
        <f t="shared" ref="T71" si="334">S71/1000</f>
        <v>-1.3766524732328025E-2</v>
      </c>
    </row>
    <row r="72" spans="1:20" x14ac:dyDescent="0.25">
      <c r="A72" s="5">
        <v>44521</v>
      </c>
      <c r="B72">
        <v>49.7</v>
      </c>
      <c r="C72">
        <v>50.6</v>
      </c>
      <c r="D72">
        <v>44.1</v>
      </c>
      <c r="E72">
        <v>44.9</v>
      </c>
      <c r="F72">
        <v>162001.864</v>
      </c>
      <c r="G72">
        <v>44.9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-0.75384615384615472</v>
      </c>
      <c r="Q72">
        <f t="shared" ref="Q72" si="336">F72*P72</f>
        <v>-122124.48209230784</v>
      </c>
      <c r="R72">
        <f t="shared" ref="R72" si="337">R73+Q72</f>
        <v>-1319992.4686328024</v>
      </c>
      <c r="S72">
        <f t="shared" ref="S72" si="338">R72/100000</f>
        <v>-13.199924686328023</v>
      </c>
      <c r="T72">
        <f t="shared" ref="T72" si="339">S72/1000</f>
        <v>-1.3199924686328022E-2</v>
      </c>
    </row>
    <row r="73" spans="1:20" x14ac:dyDescent="0.25">
      <c r="A73" s="5">
        <v>44520</v>
      </c>
      <c r="B73">
        <v>56.5</v>
      </c>
      <c r="C73">
        <v>61.5</v>
      </c>
      <c r="D73">
        <v>46.8</v>
      </c>
      <c r="E73">
        <v>49.6</v>
      </c>
      <c r="F73">
        <v>393569.19500000001</v>
      </c>
      <c r="G73">
        <v>49.6</v>
      </c>
      <c r="L73" t="s">
        <v>7</v>
      </c>
      <c r="M73" t="s">
        <v>7</v>
      </c>
      <c r="N73" t="s">
        <v>8</v>
      </c>
      <c r="P73">
        <f t="shared" ref="P73" si="340">IF(C73=D73,0,((E73-D73)-(C73-E73))/(C73-D73))</f>
        <v>-0.61904761904761851</v>
      </c>
      <c r="Q73">
        <f t="shared" ref="Q73" si="341">F73*P73</f>
        <v>-243638.07309523789</v>
      </c>
      <c r="R73">
        <f t="shared" ref="R73" si="342">R74+Q73</f>
        <v>-1197867.9865404945</v>
      </c>
      <c r="S73">
        <f t="shared" ref="S73" si="343">R73/100000</f>
        <v>-11.978679865404946</v>
      </c>
      <c r="T73">
        <f t="shared" ref="T73" si="344">S73/1000</f>
        <v>-1.1978679865404946E-2</v>
      </c>
    </row>
    <row r="74" spans="1:20" x14ac:dyDescent="0.25">
      <c r="A74" s="5">
        <v>44519</v>
      </c>
      <c r="B74">
        <v>34</v>
      </c>
      <c r="C74">
        <v>64.599999999999994</v>
      </c>
      <c r="D74">
        <v>32.299999999999997</v>
      </c>
      <c r="E74">
        <v>56.6</v>
      </c>
      <c r="F74">
        <v>915474.66500000004</v>
      </c>
      <c r="G74">
        <v>56.6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0.5046439628482976</v>
      </c>
      <c r="Q74">
        <f t="shared" ref="Q74" si="346">F74*P74</f>
        <v>461988.76283281774</v>
      </c>
      <c r="R74">
        <f t="shared" ref="R74" si="347">R75+Q74</f>
        <v>-954229.91344525653</v>
      </c>
      <c r="S74">
        <f t="shared" ref="S74" si="348">R74/100000</f>
        <v>-9.5422991344525645</v>
      </c>
      <c r="T74">
        <f t="shared" ref="T74" si="349">S74/1000</f>
        <v>-9.5422991344525643E-3</v>
      </c>
    </row>
    <row r="75" spans="1:20" x14ac:dyDescent="0.25">
      <c r="A75" s="5">
        <v>44518</v>
      </c>
      <c r="B75">
        <v>40.299999999999997</v>
      </c>
      <c r="C75">
        <v>40.5</v>
      </c>
      <c r="D75">
        <v>32.5</v>
      </c>
      <c r="E75">
        <v>33.9</v>
      </c>
      <c r="F75">
        <v>109410.6584</v>
      </c>
      <c r="G75">
        <v>33.9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-0.65000000000000036</v>
      </c>
      <c r="Q75">
        <f t="shared" ref="Q75" si="351">F75*P75</f>
        <v>-71116.927960000045</v>
      </c>
      <c r="R75">
        <f t="shared" ref="R75" si="352">R76+Q75</f>
        <v>-1416218.6762780743</v>
      </c>
      <c r="S75">
        <f t="shared" ref="S75" si="353">R75/100000</f>
        <v>-14.162186762780742</v>
      </c>
      <c r="T75">
        <f t="shared" ref="T75" si="354">S75/1000</f>
        <v>-1.4162186762780742E-2</v>
      </c>
    </row>
    <row r="76" spans="1:20" x14ac:dyDescent="0.25">
      <c r="A76" s="5">
        <v>44517</v>
      </c>
      <c r="B76">
        <v>43.4</v>
      </c>
      <c r="C76">
        <v>43.9</v>
      </c>
      <c r="D76">
        <v>38.700000000000003</v>
      </c>
      <c r="E76">
        <v>40.299999999999997</v>
      </c>
      <c r="F76">
        <v>87261.232999999993</v>
      </c>
      <c r="G76">
        <v>40.299999999999997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-0.3846153846153863</v>
      </c>
      <c r="Q76">
        <f t="shared" ref="Q76" si="356">F76*P76</f>
        <v>-33562.012692307835</v>
      </c>
      <c r="R76">
        <f t="shared" ref="R76" si="357">R77+Q76</f>
        <v>-1345101.7483180743</v>
      </c>
      <c r="S76">
        <f t="shared" ref="S76" si="358">R76/100000</f>
        <v>-13.451017483180742</v>
      </c>
      <c r="T76">
        <f t="shared" ref="T76" si="359">S76/1000</f>
        <v>-1.3451017483180741E-2</v>
      </c>
    </row>
    <row r="77" spans="1:20" x14ac:dyDescent="0.25">
      <c r="A77" s="5">
        <v>44516</v>
      </c>
      <c r="B77">
        <v>47.1</v>
      </c>
      <c r="C77">
        <v>47.1</v>
      </c>
      <c r="D77">
        <v>37.799999999999997</v>
      </c>
      <c r="E77">
        <v>43.3</v>
      </c>
      <c r="F77">
        <v>180630.23300000001</v>
      </c>
      <c r="G77">
        <v>43.3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0.18279569892473063</v>
      </c>
      <c r="Q77">
        <f t="shared" ref="Q77" si="361">F77*P77</f>
        <v>33018.429688171942</v>
      </c>
      <c r="R77">
        <f t="shared" ref="R77" si="362">R78+Q77</f>
        <v>-1311539.7356257665</v>
      </c>
      <c r="S77">
        <f t="shared" ref="S77" si="363">R77/100000</f>
        <v>-13.115397356257665</v>
      </c>
      <c r="T77">
        <f t="shared" ref="T77" si="364">S77/1000</f>
        <v>-1.3115397356257665E-2</v>
      </c>
    </row>
    <row r="78" spans="1:20" x14ac:dyDescent="0.25">
      <c r="A78" s="5">
        <v>44515</v>
      </c>
      <c r="B78">
        <v>55.1</v>
      </c>
      <c r="C78">
        <v>55.1</v>
      </c>
      <c r="D78">
        <v>45.3</v>
      </c>
      <c r="E78">
        <v>47</v>
      </c>
      <c r="F78">
        <v>194902.16399999999</v>
      </c>
      <c r="G78">
        <v>47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-0.65306122448979553</v>
      </c>
      <c r="Q78">
        <f t="shared" ref="Q78" si="366">F78*P78</f>
        <v>-127283.04587755093</v>
      </c>
      <c r="R78">
        <f t="shared" ref="R78" si="367">R79+Q78</f>
        <v>-1344558.1653139384</v>
      </c>
      <c r="S78">
        <f t="shared" ref="S78" si="368">R78/100000</f>
        <v>-13.445581653139383</v>
      </c>
      <c r="T78">
        <f t="shared" ref="T78" si="369">S78/1000</f>
        <v>-1.3445581653139383E-2</v>
      </c>
    </row>
    <row r="79" spans="1:20" x14ac:dyDescent="0.25">
      <c r="A79" s="5">
        <v>44514</v>
      </c>
      <c r="B79">
        <v>57.3</v>
      </c>
      <c r="C79">
        <v>58</v>
      </c>
      <c r="D79">
        <v>54</v>
      </c>
      <c r="E79">
        <v>55.1</v>
      </c>
      <c r="F79">
        <v>212527.446</v>
      </c>
      <c r="G79">
        <v>55.1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-0.44999999999999929</v>
      </c>
      <c r="Q79">
        <f t="shared" ref="Q79" si="371">F79*P79</f>
        <v>-95637.35069999985</v>
      </c>
      <c r="R79">
        <f t="shared" ref="R79" si="372">R80+Q79</f>
        <v>-1217275.1194363874</v>
      </c>
      <c r="S79">
        <f t="shared" ref="S79" si="373">R79/100000</f>
        <v>-12.172751194363874</v>
      </c>
      <c r="T79">
        <f t="shared" ref="T79" si="374">S79/1000</f>
        <v>-1.2172751194363875E-2</v>
      </c>
    </row>
    <row r="80" spans="1:20" x14ac:dyDescent="0.25">
      <c r="A80" s="5">
        <v>44513</v>
      </c>
      <c r="B80">
        <v>85</v>
      </c>
      <c r="C80">
        <v>88.7</v>
      </c>
      <c r="D80">
        <v>50.3</v>
      </c>
      <c r="E80">
        <v>57.3</v>
      </c>
      <c r="F80">
        <v>421503.18589999998</v>
      </c>
      <c r="G80">
        <v>57.3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-0.63541666666666674</v>
      </c>
      <c r="Q80">
        <f t="shared" ref="Q80" si="376">F80*P80</f>
        <v>-267830.14937395835</v>
      </c>
      <c r="R80">
        <f t="shared" ref="R80" si="377">R81+Q80</f>
        <v>-1121637.7687363876</v>
      </c>
      <c r="S80">
        <f t="shared" ref="S80" si="378">R80/100000</f>
        <v>-11.216377687363876</v>
      </c>
      <c r="T80">
        <f t="shared" ref="T80" si="379">S80/1000</f>
        <v>-1.1216377687363875E-2</v>
      </c>
    </row>
    <row r="81" spans="1:20" x14ac:dyDescent="0.25">
      <c r="A81" s="5">
        <v>44512</v>
      </c>
      <c r="B81">
        <v>91.3</v>
      </c>
      <c r="C81">
        <v>91.3</v>
      </c>
      <c r="D81">
        <v>83.3</v>
      </c>
      <c r="E81">
        <v>85.1</v>
      </c>
      <c r="F81">
        <v>7192.3729999999996</v>
      </c>
      <c r="G81">
        <v>85.1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-0.55000000000000071</v>
      </c>
      <c r="Q81">
        <f t="shared" ref="Q81" si="381">F81*P81</f>
        <v>-3955.8051500000047</v>
      </c>
      <c r="R81">
        <f t="shared" ref="R81" si="382">R82+Q81</f>
        <v>-853807.61936242937</v>
      </c>
      <c r="S81">
        <f t="shared" ref="S81" si="383">R81/100000</f>
        <v>-8.5380761936242937</v>
      </c>
      <c r="T81">
        <f t="shared" ref="T81" si="384">S81/1000</f>
        <v>-8.538076193624294E-3</v>
      </c>
    </row>
    <row r="82" spans="1:20" x14ac:dyDescent="0.25">
      <c r="A82" s="5">
        <v>44511</v>
      </c>
      <c r="B82">
        <v>88.7</v>
      </c>
      <c r="C82">
        <v>92.3</v>
      </c>
      <c r="D82">
        <v>84.7</v>
      </c>
      <c r="E82">
        <v>91.3</v>
      </c>
      <c r="F82">
        <v>10223.022999999999</v>
      </c>
      <c r="G82">
        <v>91.3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0.73684210526315774</v>
      </c>
      <c r="Q82">
        <f t="shared" ref="Q82" si="386">F82*P82</f>
        <v>7532.7537894736824</v>
      </c>
      <c r="R82">
        <f t="shared" ref="R82" si="387">R83+Q82</f>
        <v>-849851.81421242934</v>
      </c>
      <c r="S82">
        <f t="shared" ref="S82" si="388">R82/100000</f>
        <v>-8.4985181421242935</v>
      </c>
      <c r="T82">
        <f t="shared" ref="T82" si="389">S82/1000</f>
        <v>-8.4985181421242933E-3</v>
      </c>
    </row>
    <row r="83" spans="1:20" x14ac:dyDescent="0.25">
      <c r="A83" s="5">
        <v>44510</v>
      </c>
      <c r="B83">
        <v>93.5</v>
      </c>
      <c r="C83">
        <v>94.9</v>
      </c>
      <c r="D83">
        <v>86.9</v>
      </c>
      <c r="E83">
        <v>88.8</v>
      </c>
      <c r="F83">
        <v>8221.1470000000008</v>
      </c>
      <c r="G83">
        <v>88.8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-0.52500000000000213</v>
      </c>
      <c r="Q83">
        <f t="shared" ref="Q83" si="391">F83*P83</f>
        <v>-4316.1021750000182</v>
      </c>
      <c r="R83">
        <f t="shared" ref="R83" si="392">R84+Q83</f>
        <v>-857384.56800190301</v>
      </c>
      <c r="S83">
        <f t="shared" ref="S83" si="393">R83/100000</f>
        <v>-8.5738456800190299</v>
      </c>
      <c r="T83">
        <f t="shared" ref="T83" si="394">S83/1000</f>
        <v>-8.5738456800190307E-3</v>
      </c>
    </row>
    <row r="84" spans="1:20" x14ac:dyDescent="0.25">
      <c r="A84" s="5">
        <v>44509</v>
      </c>
      <c r="B84">
        <v>91.7</v>
      </c>
      <c r="C84">
        <v>95.8</v>
      </c>
      <c r="D84">
        <v>90.7</v>
      </c>
      <c r="E84">
        <v>93.3</v>
      </c>
      <c r="F84">
        <v>10225.216</v>
      </c>
      <c r="G84">
        <v>93.3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1.9607843137253809E-2</v>
      </c>
      <c r="Q84">
        <f t="shared" ref="Q84" si="396">F84*P84</f>
        <v>200.49443137253786</v>
      </c>
      <c r="R84">
        <f t="shared" ref="R84" si="397">R85+Q84</f>
        <v>-853068.465826903</v>
      </c>
      <c r="S84">
        <f t="shared" ref="S84" si="398">R84/100000</f>
        <v>-8.5306846582690294</v>
      </c>
      <c r="T84">
        <f t="shared" ref="T84" si="399">S84/1000</f>
        <v>-8.5306846582690297E-3</v>
      </c>
    </row>
    <row r="85" spans="1:20" x14ac:dyDescent="0.25">
      <c r="A85" s="5">
        <v>44508</v>
      </c>
      <c r="B85">
        <v>92</v>
      </c>
      <c r="C85">
        <v>94.8</v>
      </c>
      <c r="D85">
        <v>89.9</v>
      </c>
      <c r="E85">
        <v>91.7</v>
      </c>
      <c r="F85">
        <v>7112.0569999999998</v>
      </c>
      <c r="G85">
        <v>91.7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-0.2653061224489795</v>
      </c>
      <c r="Q85">
        <f t="shared" ref="Q85" si="401">F85*P85</f>
        <v>-1886.8722653061218</v>
      </c>
      <c r="R85">
        <f t="shared" ref="R85" si="402">R86+Q85</f>
        <v>-853268.9602582755</v>
      </c>
      <c r="S85">
        <f t="shared" ref="S85" si="403">R85/100000</f>
        <v>-8.5326896025827548</v>
      </c>
      <c r="T85">
        <f t="shared" ref="T85" si="404">S85/1000</f>
        <v>-8.5326896025827541E-3</v>
      </c>
    </row>
    <row r="86" spans="1:20" x14ac:dyDescent="0.25">
      <c r="A86" s="5">
        <v>44507</v>
      </c>
      <c r="B86">
        <v>91.2</v>
      </c>
      <c r="C86">
        <v>93.4</v>
      </c>
      <c r="D86">
        <v>89.5</v>
      </c>
      <c r="E86">
        <v>91.9</v>
      </c>
      <c r="F86">
        <v>6874.6989999999996</v>
      </c>
      <c r="G86">
        <v>91.9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0.23076923076923189</v>
      </c>
      <c r="Q86">
        <f t="shared" ref="Q86" si="406">F86*P86</f>
        <v>1586.4690000000076</v>
      </c>
      <c r="R86">
        <f t="shared" ref="R86" si="407">R87+Q86</f>
        <v>-851382.08799296943</v>
      </c>
      <c r="S86">
        <f t="shared" ref="S86" si="408">R86/100000</f>
        <v>-8.5138208799296944</v>
      </c>
      <c r="T86">
        <f t="shared" ref="T86" si="409">S86/1000</f>
        <v>-8.5138208799296951E-3</v>
      </c>
    </row>
    <row r="87" spans="1:20" x14ac:dyDescent="0.25">
      <c r="A87" s="5">
        <v>44506</v>
      </c>
      <c r="B87">
        <v>92.5</v>
      </c>
      <c r="C87">
        <v>94.6</v>
      </c>
      <c r="D87">
        <v>89.4</v>
      </c>
      <c r="E87">
        <v>91.2</v>
      </c>
      <c r="F87">
        <v>7052.6275999999998</v>
      </c>
      <c r="G87">
        <v>91.2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-0.30769230769230727</v>
      </c>
      <c r="Q87">
        <f t="shared" ref="Q87" si="411">F87*P87</f>
        <v>-2170.0392615384585</v>
      </c>
      <c r="R87">
        <f t="shared" ref="R87" si="412">R88+Q87</f>
        <v>-852968.55699296948</v>
      </c>
      <c r="S87">
        <f t="shared" ref="S87" si="413">R87/100000</f>
        <v>-8.5296855699296952</v>
      </c>
      <c r="T87">
        <f t="shared" ref="T87" si="414">S87/1000</f>
        <v>-8.5296855699296958E-3</v>
      </c>
    </row>
    <row r="88" spans="1:20" x14ac:dyDescent="0.25">
      <c r="A88" s="5">
        <v>44505</v>
      </c>
      <c r="B88">
        <v>94.4</v>
      </c>
      <c r="C88">
        <v>95.2</v>
      </c>
      <c r="D88">
        <v>91.8</v>
      </c>
      <c r="E88">
        <v>92.5</v>
      </c>
      <c r="F88">
        <v>7946.701</v>
      </c>
      <c r="G88">
        <v>92.5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-0.58823529411764608</v>
      </c>
      <c r="Q88">
        <f t="shared" ref="Q88" si="416">F88*P88</f>
        <v>-4674.5299999999925</v>
      </c>
      <c r="R88">
        <f t="shared" ref="R88" si="417">R89+Q88</f>
        <v>-850798.51773143106</v>
      </c>
      <c r="S88">
        <f t="shared" ref="S88" si="418">R88/100000</f>
        <v>-8.5079851773143105</v>
      </c>
      <c r="T88">
        <f t="shared" ref="T88" si="419">S88/1000</f>
        <v>-8.50798517731431E-3</v>
      </c>
    </row>
    <row r="89" spans="1:20" x14ac:dyDescent="0.25">
      <c r="A89" s="5">
        <v>44504</v>
      </c>
      <c r="B89">
        <v>94.5</v>
      </c>
      <c r="C89">
        <v>95.7</v>
      </c>
      <c r="D89">
        <v>93</v>
      </c>
      <c r="E89">
        <v>94.4</v>
      </c>
      <c r="F89">
        <v>13258.045</v>
      </c>
      <c r="G89">
        <v>94.4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3.7037037037040157E-2</v>
      </c>
      <c r="Q89">
        <f t="shared" ref="Q89" si="421">F89*P89</f>
        <v>491.03870370374506</v>
      </c>
      <c r="R89">
        <f t="shared" ref="R89" si="422">R90+Q89</f>
        <v>-846123.98773143103</v>
      </c>
      <c r="S89">
        <f t="shared" ref="S89" si="423">R89/100000</f>
        <v>-8.4612398773143109</v>
      </c>
      <c r="T89">
        <f t="shared" ref="T89" si="424">S89/1000</f>
        <v>-8.4612398773143103E-3</v>
      </c>
    </row>
    <row r="90" spans="1:20" x14ac:dyDescent="0.25">
      <c r="A90" s="5">
        <v>44503</v>
      </c>
      <c r="B90">
        <v>99.9</v>
      </c>
      <c r="C90">
        <v>101.3</v>
      </c>
      <c r="D90">
        <v>92.4</v>
      </c>
      <c r="E90">
        <v>94.4</v>
      </c>
      <c r="F90">
        <v>20877.252</v>
      </c>
      <c r="G90">
        <v>94.4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-0.55056179775280856</v>
      </c>
      <c r="Q90">
        <f t="shared" ref="Q90" si="426">F90*P90</f>
        <v>-11494.217393258417</v>
      </c>
      <c r="R90">
        <f t="shared" ref="R90" si="427">R91+Q90</f>
        <v>-846615.02643513482</v>
      </c>
      <c r="S90">
        <f t="shared" ref="S90" si="428">R90/100000</f>
        <v>-8.4661502643513487</v>
      </c>
      <c r="T90">
        <f t="shared" ref="T90" si="429">S90/1000</f>
        <v>-8.4661502643513485E-3</v>
      </c>
    </row>
    <row r="91" spans="1:20" x14ac:dyDescent="0.25">
      <c r="A91" s="5">
        <v>44502</v>
      </c>
      <c r="B91">
        <v>101.4</v>
      </c>
      <c r="C91">
        <v>101.6</v>
      </c>
      <c r="D91">
        <v>98</v>
      </c>
      <c r="E91">
        <v>100</v>
      </c>
      <c r="F91">
        <v>12712.078</v>
      </c>
      <c r="G91">
        <v>100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0.11111111111111287</v>
      </c>
      <c r="Q91">
        <f t="shared" ref="Q91" si="431">F91*P91</f>
        <v>1412.4531111111335</v>
      </c>
      <c r="R91">
        <f t="shared" ref="R91" si="432">R92+Q91</f>
        <v>-835120.80904187635</v>
      </c>
      <c r="S91">
        <f t="shared" ref="S91" si="433">R91/100000</f>
        <v>-8.3512080904187638</v>
      </c>
      <c r="T91">
        <f t="shared" ref="T91" si="434">S91/1000</f>
        <v>-8.3512080904187633E-3</v>
      </c>
    </row>
    <row r="92" spans="1:20" x14ac:dyDescent="0.25">
      <c r="A92" s="5">
        <v>44501</v>
      </c>
      <c r="B92">
        <v>100.7</v>
      </c>
      <c r="C92">
        <v>102.6</v>
      </c>
      <c r="D92">
        <v>99.5</v>
      </c>
      <c r="E92">
        <v>101.3</v>
      </c>
      <c r="F92">
        <v>9807.9240000000009</v>
      </c>
      <c r="G92">
        <v>101.3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0.16129032258064546</v>
      </c>
      <c r="Q92">
        <f t="shared" ref="Q92" si="436">F92*P92</f>
        <v>1581.9232258064546</v>
      </c>
      <c r="R92">
        <f t="shared" ref="R92" si="437">R93+Q92</f>
        <v>-836533.26215298753</v>
      </c>
      <c r="S92">
        <f t="shared" ref="S92" si="438">R92/100000</f>
        <v>-8.3653326215298751</v>
      </c>
      <c r="T92">
        <f t="shared" ref="T92" si="439">S92/1000</f>
        <v>-8.3653326215298758E-3</v>
      </c>
    </row>
    <row r="93" spans="1:20" x14ac:dyDescent="0.25">
      <c r="A93" s="5">
        <v>44500</v>
      </c>
      <c r="B93">
        <v>98.5</v>
      </c>
      <c r="C93">
        <v>103.7</v>
      </c>
      <c r="D93">
        <v>96</v>
      </c>
      <c r="E93">
        <v>100.8</v>
      </c>
      <c r="F93">
        <v>30993.159</v>
      </c>
      <c r="G93">
        <v>100.8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0.24675324675324556</v>
      </c>
      <c r="Q93">
        <f t="shared" ref="Q93" si="441">F93*P93</f>
        <v>7647.6626103895733</v>
      </c>
      <c r="R93">
        <f t="shared" ref="R93" si="442">R94+Q93</f>
        <v>-838115.18537879398</v>
      </c>
      <c r="S93">
        <f t="shared" ref="S93" si="443">R93/100000</f>
        <v>-8.381151853787939</v>
      </c>
      <c r="T93">
        <f t="shared" ref="T93" si="444">S93/1000</f>
        <v>-8.3811518537879395E-3</v>
      </c>
    </row>
    <row r="94" spans="1:20" x14ac:dyDescent="0.25">
      <c r="A94" s="5">
        <v>44499</v>
      </c>
      <c r="B94">
        <v>105.8</v>
      </c>
      <c r="C94">
        <v>109.1</v>
      </c>
      <c r="D94">
        <v>97.7</v>
      </c>
      <c r="E94">
        <v>98.7</v>
      </c>
      <c r="F94">
        <v>25067.546999999999</v>
      </c>
      <c r="G94">
        <v>98.7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-0.82456140350877183</v>
      </c>
      <c r="Q94">
        <f t="shared" ref="Q94" si="446">F94*P94</f>
        <v>-20669.731736842103</v>
      </c>
      <c r="R94">
        <f t="shared" ref="R94" si="447">R95+Q94</f>
        <v>-845762.8479891835</v>
      </c>
      <c r="S94">
        <f t="shared" ref="S94" si="448">R94/100000</f>
        <v>-8.4576284798918344</v>
      </c>
      <c r="T94">
        <f t="shared" ref="T94" si="449">S94/1000</f>
        <v>-8.4576284798918346E-3</v>
      </c>
    </row>
    <row r="95" spans="1:20" x14ac:dyDescent="0.25">
      <c r="A95" s="5">
        <v>44498</v>
      </c>
      <c r="B95">
        <v>107.5</v>
      </c>
      <c r="C95">
        <v>110</v>
      </c>
      <c r="D95">
        <v>102.2</v>
      </c>
      <c r="E95">
        <v>105.7</v>
      </c>
      <c r="F95">
        <v>33823.076000000001</v>
      </c>
      <c r="G95">
        <v>105.7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-0.10256410256410224</v>
      </c>
      <c r="Q95">
        <f t="shared" ref="Q95" si="451">F95*P95</f>
        <v>-3469.0334358974251</v>
      </c>
      <c r="R95">
        <f t="shared" ref="R95" si="452">R96+Q95</f>
        <v>-825093.11625234142</v>
      </c>
      <c r="S95">
        <f t="shared" ref="S95" si="453">R95/100000</f>
        <v>-8.2509311625234147</v>
      </c>
      <c r="T95">
        <f t="shared" ref="T95" si="454">S95/1000</f>
        <v>-8.2509311625234144E-3</v>
      </c>
    </row>
    <row r="96" spans="1:20" x14ac:dyDescent="0.25">
      <c r="A96" s="5">
        <v>44497</v>
      </c>
      <c r="B96">
        <v>106.4</v>
      </c>
      <c r="C96">
        <v>117.9</v>
      </c>
      <c r="D96">
        <v>93.7</v>
      </c>
      <c r="E96">
        <v>107.5</v>
      </c>
      <c r="F96">
        <v>115286.7531</v>
      </c>
      <c r="G96">
        <v>107.5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0.14049586776859468</v>
      </c>
      <c r="Q96">
        <f t="shared" ref="Q96" si="456">F96*P96</f>
        <v>16197.312419008224</v>
      </c>
      <c r="R96">
        <f t="shared" ref="R96" si="457">R97+Q96</f>
        <v>-821624.08281644399</v>
      </c>
      <c r="S96">
        <f t="shared" ref="S96" si="458">R96/100000</f>
        <v>-8.2162408281644392</v>
      </c>
      <c r="T96">
        <f t="shared" ref="T96" si="459">S96/1000</f>
        <v>-8.2162408281644395E-3</v>
      </c>
    </row>
    <row r="97" spans="1:20" x14ac:dyDescent="0.25">
      <c r="A97" s="5">
        <v>44496</v>
      </c>
      <c r="B97">
        <v>153.19999999999999</v>
      </c>
      <c r="C97">
        <v>157.5</v>
      </c>
      <c r="D97">
        <v>102.5</v>
      </c>
      <c r="E97">
        <v>106.3</v>
      </c>
      <c r="F97">
        <v>141222.14259999999</v>
      </c>
      <c r="G97">
        <v>106.3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-0.86181818181818193</v>
      </c>
      <c r="Q97">
        <f t="shared" ref="Q97" si="461">F97*P97</f>
        <v>-121707.81016800001</v>
      </c>
      <c r="R97">
        <f t="shared" ref="R97" si="462">R98+Q97</f>
        <v>-837821.39523545222</v>
      </c>
      <c r="S97">
        <f t="shared" ref="S97" si="463">R97/100000</f>
        <v>-8.3782139523545229</v>
      </c>
      <c r="T97">
        <f t="shared" ref="T97" si="464">S97/1000</f>
        <v>-8.3782139523545223E-3</v>
      </c>
    </row>
    <row r="98" spans="1:20" x14ac:dyDescent="0.25">
      <c r="A98" s="5">
        <v>44495</v>
      </c>
      <c r="B98">
        <v>156.5</v>
      </c>
      <c r="C98">
        <v>160</v>
      </c>
      <c r="D98">
        <v>150.80000000000001</v>
      </c>
      <c r="E98">
        <v>153.19999999999999</v>
      </c>
      <c r="F98">
        <v>5224.0349999999999</v>
      </c>
      <c r="G98">
        <v>153.19999999999999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-0.47826086956522168</v>
      </c>
      <c r="Q98">
        <f t="shared" ref="Q98" si="466">F98*P98</f>
        <v>-2498.4515217391527</v>
      </c>
      <c r="R98">
        <f t="shared" ref="R98" si="467">R99+Q98</f>
        <v>-716113.58506745216</v>
      </c>
      <c r="S98">
        <f t="shared" ref="S98" si="468">R98/100000</f>
        <v>-7.1611358506745217</v>
      </c>
      <c r="T98">
        <f t="shared" ref="T98" si="469">S98/1000</f>
        <v>-7.161135850674522E-3</v>
      </c>
    </row>
    <row r="99" spans="1:20" x14ac:dyDescent="0.25">
      <c r="A99" s="5">
        <v>44494</v>
      </c>
      <c r="B99">
        <v>154.5</v>
      </c>
      <c r="C99">
        <v>158.69999999999999</v>
      </c>
      <c r="D99">
        <v>152.5</v>
      </c>
      <c r="E99">
        <v>156.4</v>
      </c>
      <c r="F99">
        <v>2054.453</v>
      </c>
      <c r="G99">
        <v>156.4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0.25806451612903641</v>
      </c>
      <c r="Q99">
        <f t="shared" ref="Q99" si="471">F99*P99</f>
        <v>530.18141935484721</v>
      </c>
      <c r="R99">
        <f t="shared" ref="R99" si="472">R100+Q99</f>
        <v>-713615.13354571303</v>
      </c>
      <c r="S99">
        <f t="shared" ref="S99" si="473">R99/100000</f>
        <v>-7.1361513354571304</v>
      </c>
      <c r="T99">
        <f t="shared" ref="T99" si="474">S99/1000</f>
        <v>-7.1361513354571303E-3</v>
      </c>
    </row>
    <row r="100" spans="1:20" x14ac:dyDescent="0.25">
      <c r="A100" s="5">
        <v>44493</v>
      </c>
      <c r="B100">
        <v>155.69999999999999</v>
      </c>
      <c r="C100">
        <v>157.5</v>
      </c>
      <c r="D100">
        <v>153.9</v>
      </c>
      <c r="E100">
        <v>154.5</v>
      </c>
      <c r="F100">
        <v>2304.5279999999998</v>
      </c>
      <c r="G100">
        <v>154.5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-0.66666666666666929</v>
      </c>
      <c r="Q100">
        <f t="shared" ref="Q100" si="476">F100*P100</f>
        <v>-1536.352000000006</v>
      </c>
      <c r="R100">
        <f t="shared" ref="R100" si="477">R101+Q100</f>
        <v>-714145.3149650679</v>
      </c>
      <c r="S100">
        <f t="shared" ref="S100" si="478">R100/100000</f>
        <v>-7.1414531496506788</v>
      </c>
      <c r="T100">
        <f t="shared" ref="T100" si="479">S100/1000</f>
        <v>-7.1414531496506789E-3</v>
      </c>
    </row>
    <row r="101" spans="1:20" x14ac:dyDescent="0.25">
      <c r="A101" s="5">
        <v>44492</v>
      </c>
      <c r="B101">
        <v>154.6</v>
      </c>
      <c r="C101">
        <v>157.19999999999999</v>
      </c>
      <c r="D101">
        <v>152.9</v>
      </c>
      <c r="E101">
        <v>155.5</v>
      </c>
      <c r="F101">
        <v>1813.981</v>
      </c>
      <c r="G101">
        <v>155.5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0.2093023255813975</v>
      </c>
      <c r="Q101">
        <f t="shared" ref="Q101" si="481">F101*P101</f>
        <v>379.670441860469</v>
      </c>
      <c r="R101">
        <f t="shared" ref="R101" si="482">R102+Q101</f>
        <v>-712608.96296506794</v>
      </c>
      <c r="S101">
        <f t="shared" ref="S101" si="483">R101/100000</f>
        <v>-7.1260896296506795</v>
      </c>
      <c r="T101">
        <f t="shared" ref="T101" si="484">S101/1000</f>
        <v>-7.1260896296506792E-3</v>
      </c>
    </row>
    <row r="102" spans="1:20" x14ac:dyDescent="0.25">
      <c r="A102" s="5">
        <v>44491</v>
      </c>
      <c r="B102">
        <v>151.1</v>
      </c>
      <c r="C102">
        <v>157.19999999999999</v>
      </c>
      <c r="D102">
        <v>150.80000000000001</v>
      </c>
      <c r="E102">
        <v>154.6</v>
      </c>
      <c r="F102">
        <v>9659.5239999999994</v>
      </c>
      <c r="G102">
        <v>154.6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0.18749999999999889</v>
      </c>
      <c r="Q102">
        <f t="shared" ref="Q102" si="486">F102*P102</f>
        <v>1811.1607499999891</v>
      </c>
      <c r="R102">
        <f t="shared" ref="R102" si="487">R103+Q102</f>
        <v>-712988.63340692839</v>
      </c>
      <c r="S102">
        <f t="shared" ref="S102" si="488">R102/100000</f>
        <v>-7.1298863340692842</v>
      </c>
      <c r="T102">
        <f t="shared" ref="T102" si="489">S102/1000</f>
        <v>-7.1298863340692846E-3</v>
      </c>
    </row>
    <row r="103" spans="1:20" x14ac:dyDescent="0.25">
      <c r="A103" s="5">
        <v>44490</v>
      </c>
      <c r="B103">
        <v>153.9</v>
      </c>
      <c r="C103">
        <v>157</v>
      </c>
      <c r="D103">
        <v>149.9</v>
      </c>
      <c r="E103">
        <v>151.19999999999999</v>
      </c>
      <c r="F103">
        <v>8791.7510000000002</v>
      </c>
      <c r="G103">
        <v>151.19999999999999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-0.63380281690141294</v>
      </c>
      <c r="Q103">
        <f t="shared" ref="Q103" si="491">F103*P103</f>
        <v>-5572.2365492958143</v>
      </c>
      <c r="R103">
        <f t="shared" ref="R103" si="492">R104+Q103</f>
        <v>-714799.79415692843</v>
      </c>
      <c r="S103">
        <f t="shared" ref="S103" si="493">R103/100000</f>
        <v>-7.147997941569284</v>
      </c>
      <c r="T103">
        <f t="shared" ref="T103" si="494">S103/1000</f>
        <v>-7.147997941569284E-3</v>
      </c>
    </row>
    <row r="104" spans="1:20" x14ac:dyDescent="0.25">
      <c r="A104" s="5">
        <v>44489</v>
      </c>
      <c r="B104">
        <v>149.5</v>
      </c>
      <c r="C104">
        <v>159.9</v>
      </c>
      <c r="D104">
        <v>145</v>
      </c>
      <c r="E104">
        <v>153.69999999999999</v>
      </c>
      <c r="F104">
        <v>10293.145</v>
      </c>
      <c r="G104">
        <v>153.69999999999999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0.1677852348993269</v>
      </c>
      <c r="Q104">
        <f t="shared" ref="Q104" si="496">F104*P104</f>
        <v>1727.0377516778321</v>
      </c>
      <c r="R104">
        <f t="shared" ref="R104" si="497">R105+Q104</f>
        <v>-709227.5576076326</v>
      </c>
      <c r="S104">
        <f t="shared" ref="S104" si="498">R104/100000</f>
        <v>-7.0922755760763261</v>
      </c>
      <c r="T104">
        <f t="shared" ref="T104" si="499">S104/1000</f>
        <v>-7.0922755760763258E-3</v>
      </c>
    </row>
    <row r="105" spans="1:20" x14ac:dyDescent="0.25">
      <c r="A105" s="5">
        <v>44488</v>
      </c>
      <c r="B105">
        <v>141</v>
      </c>
      <c r="C105">
        <v>160</v>
      </c>
      <c r="D105">
        <v>140.4</v>
      </c>
      <c r="E105">
        <v>149.5</v>
      </c>
      <c r="F105">
        <v>23841.674999999999</v>
      </c>
      <c r="G105">
        <v>149.5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-7.1428571428571744E-2</v>
      </c>
      <c r="Q105">
        <f t="shared" ref="Q105" si="501">F105*P105</f>
        <v>-1702.9767857142931</v>
      </c>
      <c r="R105">
        <f t="shared" ref="R105" si="502">R106+Q105</f>
        <v>-710954.59535931039</v>
      </c>
      <c r="S105">
        <f t="shared" ref="S105" si="503">R105/100000</f>
        <v>-7.1095459535931038</v>
      </c>
      <c r="T105">
        <f t="shared" ref="T105" si="504">S105/1000</f>
        <v>-7.1095459535931039E-3</v>
      </c>
    </row>
    <row r="106" spans="1:20" x14ac:dyDescent="0.25">
      <c r="A106" s="5">
        <v>44487</v>
      </c>
      <c r="B106">
        <v>141.30000000000001</v>
      </c>
      <c r="C106">
        <v>144.69999999999999</v>
      </c>
      <c r="D106">
        <v>138.30000000000001</v>
      </c>
      <c r="E106">
        <v>141.30000000000001</v>
      </c>
      <c r="F106">
        <v>3334.482</v>
      </c>
      <c r="G106">
        <v>141.30000000000001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-6.2499999999996669E-2</v>
      </c>
      <c r="Q106">
        <f t="shared" ref="Q106" si="506">F106*P106</f>
        <v>-208.40512499998889</v>
      </c>
      <c r="R106">
        <f t="shared" ref="R106" si="507">R107+Q106</f>
        <v>-709251.61857359612</v>
      </c>
      <c r="S106">
        <f t="shared" ref="S106" si="508">R106/100000</f>
        <v>-7.0925161857359615</v>
      </c>
      <c r="T106">
        <f t="shared" ref="T106" si="509">S106/1000</f>
        <v>-7.0925161857359614E-3</v>
      </c>
    </row>
    <row r="107" spans="1:20" x14ac:dyDescent="0.25">
      <c r="A107" s="5">
        <v>44486</v>
      </c>
      <c r="B107">
        <v>142.4</v>
      </c>
      <c r="C107">
        <v>142.9</v>
      </c>
      <c r="D107">
        <v>138.30000000000001</v>
      </c>
      <c r="E107">
        <v>141.19999999999999</v>
      </c>
      <c r="F107">
        <v>3636.9520000000002</v>
      </c>
      <c r="G107">
        <v>141.19999999999999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0.26086956521738297</v>
      </c>
      <c r="Q107">
        <f t="shared" ref="Q107" si="511">F107*P107</f>
        <v>948.77008695649147</v>
      </c>
      <c r="R107">
        <f t="shared" ref="R107" si="512">R108+Q107</f>
        <v>-709043.21344859619</v>
      </c>
      <c r="S107">
        <f t="shared" ref="S107" si="513">R107/100000</f>
        <v>-7.0904321344859618</v>
      </c>
      <c r="T107">
        <f t="shared" ref="T107" si="514">S107/1000</f>
        <v>-7.0904321344859621E-3</v>
      </c>
    </row>
    <row r="108" spans="1:20" x14ac:dyDescent="0.25">
      <c r="A108" s="5">
        <v>44485</v>
      </c>
      <c r="B108">
        <v>140.9</v>
      </c>
      <c r="C108">
        <v>143.9</v>
      </c>
      <c r="D108">
        <v>138.80000000000001</v>
      </c>
      <c r="E108">
        <v>142.80000000000001</v>
      </c>
      <c r="F108">
        <v>5670.8609999999999</v>
      </c>
      <c r="G108">
        <v>142.80000000000001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0.56862745098039391</v>
      </c>
      <c r="Q108">
        <f t="shared" ref="Q108" si="516">F108*P108</f>
        <v>3224.6072352941273</v>
      </c>
      <c r="R108">
        <f t="shared" ref="R108" si="517">R109+Q108</f>
        <v>-709991.98353555263</v>
      </c>
      <c r="S108">
        <f t="shared" ref="S108" si="518">R108/100000</f>
        <v>-7.099919835355526</v>
      </c>
      <c r="T108">
        <f t="shared" ref="T108" si="519">S108/1000</f>
        <v>-7.0999198353555257E-3</v>
      </c>
    </row>
    <row r="109" spans="1:20" x14ac:dyDescent="0.25">
      <c r="A109" s="5">
        <v>44484</v>
      </c>
      <c r="B109">
        <v>141.69999999999999</v>
      </c>
      <c r="C109">
        <v>145.30000000000001</v>
      </c>
      <c r="D109">
        <v>138</v>
      </c>
      <c r="E109">
        <v>140.9</v>
      </c>
      <c r="F109">
        <v>11463.856</v>
      </c>
      <c r="G109">
        <v>140.9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-0.2054794520547942</v>
      </c>
      <c r="Q109">
        <f t="shared" ref="Q109" si="521">F109*P109</f>
        <v>-2355.5868493150647</v>
      </c>
      <c r="R109">
        <f t="shared" ref="R109" si="522">R110+Q109</f>
        <v>-713216.59077084681</v>
      </c>
      <c r="S109">
        <f t="shared" ref="S109" si="523">R109/100000</f>
        <v>-7.132165907708468</v>
      </c>
      <c r="T109">
        <f t="shared" ref="T109" si="524">S109/1000</f>
        <v>-7.1321659077084676E-3</v>
      </c>
    </row>
    <row r="110" spans="1:20" x14ac:dyDescent="0.25">
      <c r="A110" s="5">
        <v>44483</v>
      </c>
      <c r="B110">
        <v>134.30000000000001</v>
      </c>
      <c r="C110">
        <v>157.4</v>
      </c>
      <c r="D110">
        <v>133.5</v>
      </c>
      <c r="E110">
        <v>141.9</v>
      </c>
      <c r="F110">
        <v>26243.413</v>
      </c>
      <c r="G110">
        <v>141.9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-0.29707112970711264</v>
      </c>
      <c r="Q110">
        <f t="shared" ref="Q110" si="526">F110*P110</f>
        <v>-7796.1603472803263</v>
      </c>
      <c r="R110">
        <f t="shared" ref="R110" si="527">R111+Q110</f>
        <v>-710861.00392153172</v>
      </c>
      <c r="S110">
        <f t="shared" ref="S110" si="528">R110/100000</f>
        <v>-7.1086100392153169</v>
      </c>
      <c r="T110">
        <f t="shared" ref="T110" si="529">S110/1000</f>
        <v>-7.1086100392153172E-3</v>
      </c>
    </row>
    <row r="111" spans="1:20" x14ac:dyDescent="0.25">
      <c r="A111" s="5">
        <v>44482</v>
      </c>
      <c r="B111">
        <v>132</v>
      </c>
      <c r="C111">
        <v>140</v>
      </c>
      <c r="D111">
        <v>131.4</v>
      </c>
      <c r="E111">
        <v>134.30000000000001</v>
      </c>
      <c r="F111">
        <v>8961.8459999999995</v>
      </c>
      <c r="G111">
        <v>134.30000000000001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-0.32558139534883546</v>
      </c>
      <c r="Q111">
        <f t="shared" ref="Q111" si="531">F111*P111</f>
        <v>-2917.8103255813794</v>
      </c>
      <c r="R111">
        <f t="shared" ref="R111" si="532">R112+Q111</f>
        <v>-703064.8435742514</v>
      </c>
      <c r="S111">
        <f t="shared" ref="S111" si="533">R111/100000</f>
        <v>-7.0306484357425143</v>
      </c>
      <c r="T111">
        <f t="shared" ref="T111" si="534">S111/1000</f>
        <v>-7.0306484357425146E-3</v>
      </c>
    </row>
    <row r="112" spans="1:20" x14ac:dyDescent="0.25">
      <c r="A112" s="5">
        <v>44481</v>
      </c>
      <c r="B112">
        <v>140.30000000000001</v>
      </c>
      <c r="C112">
        <v>143.30000000000001</v>
      </c>
      <c r="D112">
        <v>128.5</v>
      </c>
      <c r="E112">
        <v>132</v>
      </c>
      <c r="F112">
        <v>15362.9205</v>
      </c>
      <c r="G112">
        <v>132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-0.52702702702702742</v>
      </c>
      <c r="Q112">
        <f t="shared" ref="Q112" si="536">F112*P112</f>
        <v>-8096.6743175675738</v>
      </c>
      <c r="R112">
        <f t="shared" ref="R112" si="537">R113+Q112</f>
        <v>-700147.03324867005</v>
      </c>
      <c r="S112">
        <f t="shared" ref="S112" si="538">R112/100000</f>
        <v>-7.0014703324867007</v>
      </c>
      <c r="T112">
        <f t="shared" ref="T112" si="539">S112/1000</f>
        <v>-7.0014703324867006E-3</v>
      </c>
    </row>
    <row r="113" spans="1:20" x14ac:dyDescent="0.25">
      <c r="A113" s="5">
        <v>44480</v>
      </c>
      <c r="B113">
        <v>142.1</v>
      </c>
      <c r="C113">
        <v>144.69999999999999</v>
      </c>
      <c r="D113">
        <v>139.1</v>
      </c>
      <c r="E113">
        <v>140</v>
      </c>
      <c r="F113">
        <v>12266.379000000001</v>
      </c>
      <c r="G113">
        <v>140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-0.67857142857142616</v>
      </c>
      <c r="Q113">
        <f t="shared" ref="Q113" si="541">F113*P113</f>
        <v>-8323.6143214285421</v>
      </c>
      <c r="R113">
        <f t="shared" ref="R113" si="542">R114+Q113</f>
        <v>-692050.35893110244</v>
      </c>
      <c r="S113">
        <f t="shared" ref="S113" si="543">R113/100000</f>
        <v>-6.9205035893110241</v>
      </c>
      <c r="T113">
        <f t="shared" ref="T113" si="544">S113/1000</f>
        <v>-6.9205035893110242E-3</v>
      </c>
    </row>
    <row r="114" spans="1:20" x14ac:dyDescent="0.25">
      <c r="A114" s="5">
        <v>44479</v>
      </c>
      <c r="B114">
        <v>141.6</v>
      </c>
      <c r="C114">
        <v>145.80000000000001</v>
      </c>
      <c r="D114">
        <v>137.5</v>
      </c>
      <c r="E114">
        <v>142.4</v>
      </c>
      <c r="F114">
        <v>11523.162</v>
      </c>
      <c r="G114">
        <v>142.4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0.18072289156626481</v>
      </c>
      <c r="Q114">
        <f t="shared" ref="Q114" si="546">F114*P114</f>
        <v>2082.499156626503</v>
      </c>
      <c r="R114">
        <f t="shared" ref="R114" si="547">R115+Q114</f>
        <v>-683726.74460967386</v>
      </c>
      <c r="S114">
        <f t="shared" ref="S114" si="548">R114/100000</f>
        <v>-6.8372674460967389</v>
      </c>
      <c r="T114">
        <f t="shared" ref="T114" si="549">S114/1000</f>
        <v>-6.8372674460967387E-3</v>
      </c>
    </row>
    <row r="115" spans="1:20" x14ac:dyDescent="0.25">
      <c r="A115" s="5">
        <v>44478</v>
      </c>
      <c r="B115">
        <v>146.5</v>
      </c>
      <c r="C115">
        <v>147.1</v>
      </c>
      <c r="D115">
        <v>140.69999999999999</v>
      </c>
      <c r="E115">
        <v>142</v>
      </c>
      <c r="F115">
        <v>13895.348</v>
      </c>
      <c r="G115">
        <v>142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-0.59374999999999678</v>
      </c>
      <c r="Q115">
        <f t="shared" ref="Q115" si="551">F115*P115</f>
        <v>-8250.3628749999552</v>
      </c>
      <c r="R115">
        <f t="shared" ref="R115" si="552">R116+Q115</f>
        <v>-685809.24376630038</v>
      </c>
      <c r="S115">
        <f t="shared" ref="S115" si="553">R115/100000</f>
        <v>-6.8580924376630037</v>
      </c>
      <c r="T115">
        <f t="shared" ref="T115" si="554">S115/1000</f>
        <v>-6.8580924376630036E-3</v>
      </c>
    </row>
    <row r="116" spans="1:20" x14ac:dyDescent="0.25">
      <c r="A116" s="5">
        <v>44477</v>
      </c>
      <c r="B116">
        <v>143.1</v>
      </c>
      <c r="C116">
        <v>148.9</v>
      </c>
      <c r="D116">
        <v>140.6</v>
      </c>
      <c r="E116">
        <v>146.30000000000001</v>
      </c>
      <c r="F116">
        <v>11258.614</v>
      </c>
      <c r="G116">
        <v>146.30000000000001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0.37349397590361666</v>
      </c>
      <c r="Q116">
        <f t="shared" ref="Q116" si="556">F116*P116</f>
        <v>4205.0245060241214</v>
      </c>
      <c r="R116">
        <f t="shared" ref="R116" si="557">R117+Q116</f>
        <v>-677558.88089130039</v>
      </c>
      <c r="S116">
        <f t="shared" ref="S116" si="558">R116/100000</f>
        <v>-6.7755888089130041</v>
      </c>
      <c r="T116">
        <f t="shared" ref="T116" si="559">S116/1000</f>
        <v>-6.7755888089130042E-3</v>
      </c>
    </row>
    <row r="117" spans="1:20" x14ac:dyDescent="0.25">
      <c r="A117" s="5">
        <v>44476</v>
      </c>
      <c r="B117">
        <v>142.9</v>
      </c>
      <c r="C117">
        <v>147.80000000000001</v>
      </c>
      <c r="D117">
        <v>141</v>
      </c>
      <c r="E117">
        <v>142.9</v>
      </c>
      <c r="F117">
        <v>6364</v>
      </c>
      <c r="G117">
        <v>142.9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-0.44117647058823456</v>
      </c>
      <c r="Q117">
        <f t="shared" ref="Q117" si="561">F117*P117</f>
        <v>-2807.6470588235247</v>
      </c>
      <c r="R117">
        <f t="shared" ref="R117" si="562">R118+Q117</f>
        <v>-681763.90539732447</v>
      </c>
      <c r="S117">
        <f t="shared" ref="S117" si="563">R117/100000</f>
        <v>-6.8176390539732443</v>
      </c>
      <c r="T117">
        <f t="shared" ref="T117" si="564">S117/1000</f>
        <v>-6.8176390539732446E-3</v>
      </c>
    </row>
    <row r="118" spans="1:20" x14ac:dyDescent="0.25">
      <c r="A118" s="5">
        <v>44475</v>
      </c>
      <c r="B118">
        <v>147.19999999999999</v>
      </c>
      <c r="C118">
        <v>150.19999999999999</v>
      </c>
      <c r="D118">
        <v>142.1</v>
      </c>
      <c r="E118">
        <v>143.19999999999999</v>
      </c>
      <c r="F118">
        <v>7512.7579999999998</v>
      </c>
      <c r="G118">
        <v>143.19999999999999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-0.7283950617283963</v>
      </c>
      <c r="Q118">
        <f t="shared" ref="Q118" si="566">F118*P118</f>
        <v>-5472.255827160503</v>
      </c>
      <c r="R118">
        <f t="shared" ref="R118" si="567">R119+Q118</f>
        <v>-678956.25833850098</v>
      </c>
      <c r="S118">
        <f t="shared" ref="S118" si="568">R118/100000</f>
        <v>-6.7895625833850097</v>
      </c>
      <c r="T118">
        <f t="shared" ref="T118" si="569">S118/1000</f>
        <v>-6.7895625833850094E-3</v>
      </c>
    </row>
    <row r="119" spans="1:20" x14ac:dyDescent="0.25">
      <c r="A119" s="5">
        <v>44474</v>
      </c>
      <c r="B119">
        <v>144.30000000000001</v>
      </c>
      <c r="C119">
        <v>149.5</v>
      </c>
      <c r="D119">
        <v>142.80000000000001</v>
      </c>
      <c r="E119">
        <v>147</v>
      </c>
      <c r="F119">
        <v>6715.1310000000003</v>
      </c>
      <c r="G119">
        <v>147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0.25373134328358082</v>
      </c>
      <c r="Q119">
        <f t="shared" ref="Q119" si="571">F119*P119</f>
        <v>1703.8392089552156</v>
      </c>
      <c r="R119">
        <f t="shared" ref="R119" si="572">R120+Q119</f>
        <v>-673484.00251134043</v>
      </c>
      <c r="S119">
        <f t="shared" ref="S119" si="573">R119/100000</f>
        <v>-6.734840025113404</v>
      </c>
      <c r="T119">
        <f t="shared" ref="T119" si="574">S119/1000</f>
        <v>-6.7348400251134042E-3</v>
      </c>
    </row>
    <row r="120" spans="1:20" x14ac:dyDescent="0.25">
      <c r="A120" s="5">
        <v>44473</v>
      </c>
      <c r="B120">
        <v>145.6</v>
      </c>
      <c r="C120">
        <v>148.1</v>
      </c>
      <c r="D120">
        <v>142.5</v>
      </c>
      <c r="E120">
        <v>146.4</v>
      </c>
      <c r="F120">
        <v>2302.3510000000001</v>
      </c>
      <c r="G120">
        <v>146.4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0.39285714285714629</v>
      </c>
      <c r="Q120">
        <f t="shared" ref="Q120" si="576">F120*P120</f>
        <v>904.49503571429364</v>
      </c>
      <c r="R120">
        <f t="shared" ref="R120" si="577">R121+Q120</f>
        <v>-675187.8417202956</v>
      </c>
      <c r="S120">
        <f t="shared" ref="S120" si="578">R120/100000</f>
        <v>-6.7518784172029562</v>
      </c>
      <c r="T120">
        <f t="shared" ref="T120" si="579">S120/1000</f>
        <v>-6.7518784172029564E-3</v>
      </c>
    </row>
    <row r="121" spans="1:20" x14ac:dyDescent="0.25">
      <c r="A121" s="5">
        <v>44472</v>
      </c>
      <c r="B121">
        <v>150.30000000000001</v>
      </c>
      <c r="C121">
        <v>154.80000000000001</v>
      </c>
      <c r="D121">
        <v>143</v>
      </c>
      <c r="E121">
        <v>145.1</v>
      </c>
      <c r="F121">
        <v>6929.48</v>
      </c>
      <c r="G121">
        <v>145.1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-0.64406779661017077</v>
      </c>
      <c r="Q121">
        <f t="shared" ref="Q121" si="581">F121*P121</f>
        <v>-4463.0549152542462</v>
      </c>
      <c r="R121">
        <f t="shared" ref="R121" si="582">R122+Q121</f>
        <v>-676092.33675600984</v>
      </c>
      <c r="S121">
        <f t="shared" ref="S121" si="583">R121/100000</f>
        <v>-6.7609233675600988</v>
      </c>
      <c r="T121">
        <f t="shared" ref="T121" si="584">S121/1000</f>
        <v>-6.760923367560099E-3</v>
      </c>
    </row>
    <row r="122" spans="1:20" x14ac:dyDescent="0.25">
      <c r="A122" s="5">
        <v>44471</v>
      </c>
      <c r="B122">
        <v>148.30000000000001</v>
      </c>
      <c r="C122">
        <v>152.1</v>
      </c>
      <c r="D122">
        <v>145.6</v>
      </c>
      <c r="E122">
        <v>150.30000000000001</v>
      </c>
      <c r="F122">
        <v>10756.652</v>
      </c>
      <c r="G122">
        <v>150.30000000000001</v>
      </c>
      <c r="L122" t="s">
        <v>7</v>
      </c>
      <c r="M122" t="s">
        <v>7</v>
      </c>
      <c r="N122" t="s">
        <v>7</v>
      </c>
      <c r="P122">
        <f t="shared" ref="P122" si="585">IF(C122=D122,0,((E122-D122)-(C122-E122))/(C122-D122))</f>
        <v>0.4461538461538514</v>
      </c>
      <c r="Q122">
        <f t="shared" ref="Q122" si="586">F122*P122</f>
        <v>4799.1216615385183</v>
      </c>
      <c r="R122">
        <f t="shared" ref="R122" si="587">R123+Q122</f>
        <v>-671629.2818407556</v>
      </c>
      <c r="S122">
        <f t="shared" ref="S122" si="588">R122/100000</f>
        <v>-6.7162928184075561</v>
      </c>
      <c r="T122">
        <f t="shared" ref="T122" si="589">S122/1000</f>
        <v>-6.7162928184075557E-3</v>
      </c>
    </row>
    <row r="123" spans="1:20" x14ac:dyDescent="0.25">
      <c r="A123" s="5">
        <v>44470</v>
      </c>
      <c r="B123">
        <v>145.6</v>
      </c>
      <c r="C123">
        <v>155</v>
      </c>
      <c r="D123">
        <v>145.4</v>
      </c>
      <c r="E123">
        <v>148.19999999999999</v>
      </c>
      <c r="F123">
        <v>16400.151000000002</v>
      </c>
      <c r="G123">
        <v>148.19999999999999</v>
      </c>
      <c r="L123" t="s">
        <v>7</v>
      </c>
      <c r="M123" t="s">
        <v>7</v>
      </c>
      <c r="N123" t="s">
        <v>7</v>
      </c>
      <c r="P123">
        <f t="shared" ref="P123" si="590">IF(C123=D123,0,((E123-D123)-(C123-E123))/(C123-D123))</f>
        <v>-0.41666666666666985</v>
      </c>
      <c r="Q123">
        <f t="shared" ref="Q123" si="591">F123*P123</f>
        <v>-6833.3962500000525</v>
      </c>
      <c r="R123">
        <f t="shared" ref="R123" si="592">R124+Q123</f>
        <v>-676428.4035022941</v>
      </c>
      <c r="S123">
        <f t="shared" ref="S123" si="593">R123/100000</f>
        <v>-6.764284035022941</v>
      </c>
      <c r="T123">
        <f t="shared" ref="T123" si="594">S123/1000</f>
        <v>-6.7642840350229409E-3</v>
      </c>
    </row>
    <row r="124" spans="1:20" x14ac:dyDescent="0.25">
      <c r="A124" s="5">
        <v>44469</v>
      </c>
      <c r="B124">
        <v>149.30000000000001</v>
      </c>
      <c r="C124">
        <v>163.5</v>
      </c>
      <c r="D124">
        <v>144.5</v>
      </c>
      <c r="E124">
        <v>145.5</v>
      </c>
      <c r="F124">
        <v>18318.241000000002</v>
      </c>
      <c r="G124">
        <v>145.5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-0.89473684210526316</v>
      </c>
      <c r="Q124">
        <f t="shared" ref="Q124" si="596">F124*P124</f>
        <v>-16390.005105263161</v>
      </c>
      <c r="R124">
        <f t="shared" ref="R124" si="597">R125+Q124</f>
        <v>-669595.00725229399</v>
      </c>
      <c r="S124">
        <f t="shared" ref="S124" si="598">R124/100000</f>
        <v>-6.6959500725229395</v>
      </c>
      <c r="T124">
        <f t="shared" ref="T124" si="599">S124/1000</f>
        <v>-6.6959500725229399E-3</v>
      </c>
    </row>
    <row r="125" spans="1:20" x14ac:dyDescent="0.25">
      <c r="A125" s="5">
        <v>44468</v>
      </c>
      <c r="B125">
        <v>132.1</v>
      </c>
      <c r="C125">
        <v>169.9</v>
      </c>
      <c r="D125">
        <v>130.4</v>
      </c>
      <c r="E125">
        <v>149</v>
      </c>
      <c r="F125">
        <v>63367.010999999999</v>
      </c>
      <c r="G125">
        <v>149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-5.8227848101266112E-2</v>
      </c>
      <c r="Q125">
        <f t="shared" ref="Q125" si="601">F125*P125</f>
        <v>-3689.724691139259</v>
      </c>
      <c r="R125">
        <f t="shared" ref="R125" si="602">R126+Q125</f>
        <v>-653205.00214703078</v>
      </c>
      <c r="S125">
        <f t="shared" ref="S125" si="603">R125/100000</f>
        <v>-6.5320500214703081</v>
      </c>
      <c r="T125">
        <f t="shared" ref="T125" si="604">S125/1000</f>
        <v>-6.5320500214703084E-3</v>
      </c>
    </row>
    <row r="126" spans="1:20" x14ac:dyDescent="0.25">
      <c r="A126" s="5">
        <v>44467</v>
      </c>
      <c r="B126">
        <v>134.6</v>
      </c>
      <c r="C126">
        <v>135.19999999999999</v>
      </c>
      <c r="D126">
        <v>129.6</v>
      </c>
      <c r="E126">
        <v>132.19999999999999</v>
      </c>
      <c r="F126">
        <v>9912.1648999999998</v>
      </c>
      <c r="G126">
        <v>132.19999999999999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-7.1428571428572521E-2</v>
      </c>
      <c r="Q126">
        <f t="shared" ref="Q126" si="606">F126*P126</f>
        <v>-708.01177857143944</v>
      </c>
      <c r="R126">
        <f t="shared" ref="R126" si="607">R127+Q126</f>
        <v>-649515.27745589148</v>
      </c>
      <c r="S126">
        <f t="shared" ref="S126" si="608">R126/100000</f>
        <v>-6.4951527745589148</v>
      </c>
      <c r="T126">
        <f t="shared" ref="T126" si="609">S126/1000</f>
        <v>-6.495152774558915E-3</v>
      </c>
    </row>
    <row r="127" spans="1:20" x14ac:dyDescent="0.25">
      <c r="A127" s="5">
        <v>44466</v>
      </c>
      <c r="B127">
        <v>138.9</v>
      </c>
      <c r="C127">
        <v>172.8</v>
      </c>
      <c r="D127">
        <v>133.19999999999999</v>
      </c>
      <c r="E127">
        <v>134</v>
      </c>
      <c r="F127">
        <v>41207.324000000001</v>
      </c>
      <c r="G127">
        <v>134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-0.959595959595959</v>
      </c>
      <c r="Q127">
        <f t="shared" ref="Q127" si="611">F127*P127</f>
        <v>-39542.381616161591</v>
      </c>
      <c r="R127">
        <f t="shared" ref="R127" si="612">R128+Q127</f>
        <v>-648807.26567732007</v>
      </c>
      <c r="S127">
        <f t="shared" ref="S127" si="613">R127/100000</f>
        <v>-6.488072656773201</v>
      </c>
      <c r="T127">
        <f t="shared" ref="T127" si="614">S127/1000</f>
        <v>-6.488072656773201E-3</v>
      </c>
    </row>
    <row r="128" spans="1:20" x14ac:dyDescent="0.25">
      <c r="A128" s="5">
        <v>44465</v>
      </c>
      <c r="B128">
        <v>137.80000000000001</v>
      </c>
      <c r="C128">
        <v>144.30000000000001</v>
      </c>
      <c r="D128">
        <v>133.6</v>
      </c>
      <c r="E128">
        <v>138.9</v>
      </c>
      <c r="F128">
        <v>6772.3856999999998</v>
      </c>
      <c r="G128">
        <v>138.9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-9.3457943925228191E-3</v>
      </c>
      <c r="Q128">
        <f t="shared" ref="Q128" si="616">F128*P128</f>
        <v>-63.293324299061723</v>
      </c>
      <c r="R128">
        <f t="shared" ref="R128" si="617">R129+Q128</f>
        <v>-609264.88406115852</v>
      </c>
      <c r="S128">
        <f t="shared" ref="S128" si="618">R128/100000</f>
        <v>-6.0926488406115853</v>
      </c>
      <c r="T128">
        <f t="shared" ref="T128" si="619">S128/1000</f>
        <v>-6.0926488406115855E-3</v>
      </c>
    </row>
    <row r="129" spans="1:20" x14ac:dyDescent="0.25">
      <c r="A129" s="5">
        <v>44464</v>
      </c>
      <c r="B129">
        <v>140.9</v>
      </c>
      <c r="C129">
        <v>143.9</v>
      </c>
      <c r="D129">
        <v>137.19999999999999</v>
      </c>
      <c r="E129">
        <v>137.5</v>
      </c>
      <c r="F129">
        <v>6008.2119000000002</v>
      </c>
      <c r="G129">
        <v>137.5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-0.91044776119402671</v>
      </c>
      <c r="Q129">
        <f t="shared" ref="Q129" si="621">F129*P129</f>
        <v>-5470.1630731343093</v>
      </c>
      <c r="R129">
        <f t="shared" ref="R129" si="622">R130+Q129</f>
        <v>-609201.59073685948</v>
      </c>
      <c r="S129">
        <f t="shared" ref="S129" si="623">R129/100000</f>
        <v>-6.0920159073685944</v>
      </c>
      <c r="T129">
        <f t="shared" ref="T129" si="624">S129/1000</f>
        <v>-6.0920159073685944E-3</v>
      </c>
    </row>
    <row r="130" spans="1:20" x14ac:dyDescent="0.25">
      <c r="A130" s="5">
        <v>44463</v>
      </c>
      <c r="B130">
        <v>156.9</v>
      </c>
      <c r="C130">
        <v>158</v>
      </c>
      <c r="D130">
        <v>139</v>
      </c>
      <c r="E130">
        <v>140.80000000000001</v>
      </c>
      <c r="F130">
        <v>12263.9594</v>
      </c>
      <c r="G130">
        <v>140.80000000000001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-0.81052631578947254</v>
      </c>
      <c r="Q130">
        <f t="shared" ref="Q130" si="626">F130*P130</f>
        <v>-9940.2618294736694</v>
      </c>
      <c r="R130">
        <f t="shared" ref="R130" si="627">R131+Q130</f>
        <v>-603731.42766372522</v>
      </c>
      <c r="S130">
        <f t="shared" ref="S130" si="628">R130/100000</f>
        <v>-6.0373142766372521</v>
      </c>
      <c r="T130">
        <f t="shared" ref="T130" si="629">S130/1000</f>
        <v>-6.0373142766372524E-3</v>
      </c>
    </row>
    <row r="131" spans="1:20" x14ac:dyDescent="0.25">
      <c r="A131" s="5">
        <v>44462</v>
      </c>
      <c r="B131">
        <v>157.19999999999999</v>
      </c>
      <c r="C131">
        <v>162.6</v>
      </c>
      <c r="D131">
        <v>154</v>
      </c>
      <c r="E131">
        <v>156.9</v>
      </c>
      <c r="F131">
        <v>10777.303</v>
      </c>
      <c r="G131">
        <v>156.9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-0.32558139534883546</v>
      </c>
      <c r="Q131">
        <f t="shared" ref="Q131" si="631">F131*P131</f>
        <v>-3508.8893488371905</v>
      </c>
      <c r="R131">
        <f t="shared" ref="R131" si="632">R132+Q131</f>
        <v>-593791.16583425156</v>
      </c>
      <c r="S131">
        <f t="shared" ref="S131" si="633">R131/100000</f>
        <v>-5.9379116583425153</v>
      </c>
      <c r="T131">
        <f t="shared" ref="T131" si="634">S131/1000</f>
        <v>-5.9379116583425156E-3</v>
      </c>
    </row>
    <row r="132" spans="1:20" x14ac:dyDescent="0.25">
      <c r="A132" s="5">
        <v>44461</v>
      </c>
      <c r="B132">
        <v>153.4</v>
      </c>
      <c r="C132">
        <v>160.80000000000001</v>
      </c>
      <c r="D132">
        <v>152.6</v>
      </c>
      <c r="E132">
        <v>157.5</v>
      </c>
      <c r="F132">
        <v>5556.634</v>
      </c>
      <c r="G132">
        <v>157.5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0.19512195121951109</v>
      </c>
      <c r="Q132">
        <f t="shared" ref="Q132" si="636">F132*P132</f>
        <v>1084.2212682926768</v>
      </c>
      <c r="R132">
        <f t="shared" ref="R132" si="637">R133+Q132</f>
        <v>-590282.27648541436</v>
      </c>
      <c r="S132">
        <f t="shared" ref="S132" si="638">R132/100000</f>
        <v>-5.902822764854144</v>
      </c>
      <c r="T132">
        <f t="shared" ref="T132" si="639">S132/1000</f>
        <v>-5.9028227648541438E-3</v>
      </c>
    </row>
    <row r="133" spans="1:20" x14ac:dyDescent="0.25">
      <c r="A133" s="5">
        <v>44460</v>
      </c>
      <c r="B133">
        <v>157.30000000000001</v>
      </c>
      <c r="C133">
        <v>165.2</v>
      </c>
      <c r="D133">
        <v>151.6</v>
      </c>
      <c r="E133">
        <v>153.9</v>
      </c>
      <c r="F133">
        <v>15066.401</v>
      </c>
      <c r="G133">
        <v>153.9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-0.66176470588235115</v>
      </c>
      <c r="Q133">
        <f t="shared" ref="Q133" si="641">F133*P133</f>
        <v>-9970.4124264705606</v>
      </c>
      <c r="R133">
        <f t="shared" ref="R133" si="642">R134+Q133</f>
        <v>-591366.49775370699</v>
      </c>
      <c r="S133">
        <f t="shared" ref="S133" si="643">R133/100000</f>
        <v>-5.9136649775370698</v>
      </c>
      <c r="T133">
        <f t="shared" ref="T133" si="644">S133/1000</f>
        <v>-5.9136649775370694E-3</v>
      </c>
    </row>
    <row r="134" spans="1:20" x14ac:dyDescent="0.25">
      <c r="A134" s="5">
        <v>44459</v>
      </c>
      <c r="B134">
        <v>170.6</v>
      </c>
      <c r="C134">
        <v>215.1</v>
      </c>
      <c r="D134">
        <v>157.9</v>
      </c>
      <c r="E134">
        <v>174.9</v>
      </c>
      <c r="F134">
        <v>80020.192899999995</v>
      </c>
      <c r="G134">
        <v>174.9</v>
      </c>
      <c r="L134" t="s">
        <v>7</v>
      </c>
      <c r="M134" t="s">
        <v>8</v>
      </c>
      <c r="N134" t="s">
        <v>8</v>
      </c>
      <c r="P134">
        <f t="shared" ref="P134" si="645">IF(C134=D134,0,((E134-D134)-(C134-E134))/(C134-D134))</f>
        <v>-0.40559440559440546</v>
      </c>
      <c r="Q134">
        <f t="shared" ref="Q134" si="646">F134*P134</f>
        <v>-32455.742574825163</v>
      </c>
      <c r="R134">
        <f t="shared" ref="R134" si="647">R135+Q134</f>
        <v>-581396.08532723645</v>
      </c>
      <c r="S134">
        <f t="shared" ref="S134" si="648">R134/100000</f>
        <v>-5.8139608532723646</v>
      </c>
      <c r="T134">
        <f t="shared" ref="T134" si="649">S134/1000</f>
        <v>-5.8139608532723642E-3</v>
      </c>
    </row>
    <row r="135" spans="1:20" x14ac:dyDescent="0.25">
      <c r="A135" s="5">
        <v>44458</v>
      </c>
      <c r="B135">
        <v>172.9</v>
      </c>
      <c r="C135">
        <v>174</v>
      </c>
      <c r="D135">
        <v>168.4</v>
      </c>
      <c r="E135">
        <v>170.7</v>
      </c>
      <c r="F135">
        <v>5424.1059999999998</v>
      </c>
      <c r="G135">
        <v>170.7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-0.17857142857143382</v>
      </c>
      <c r="Q135">
        <f t="shared" ref="Q135" si="651">F135*P135</f>
        <v>-968.59035714288552</v>
      </c>
      <c r="R135">
        <f t="shared" ref="R135" si="652">R136+Q135</f>
        <v>-548940.34275241126</v>
      </c>
      <c r="S135">
        <f t="shared" ref="S135" si="653">R135/100000</f>
        <v>-5.4894034275241124</v>
      </c>
      <c r="T135">
        <f t="shared" ref="T135" si="654">S135/1000</f>
        <v>-5.4894034275241119E-3</v>
      </c>
    </row>
    <row r="136" spans="1:20" x14ac:dyDescent="0.25">
      <c r="A136" s="5">
        <v>44457</v>
      </c>
      <c r="B136">
        <v>172.9</v>
      </c>
      <c r="C136">
        <v>178.7</v>
      </c>
      <c r="D136">
        <v>169.1</v>
      </c>
      <c r="E136">
        <v>172.9</v>
      </c>
      <c r="F136">
        <v>8245.7129999999997</v>
      </c>
      <c r="G136">
        <v>172.9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-0.20833333333333048</v>
      </c>
      <c r="Q136">
        <f t="shared" ref="Q136" si="656">F136*P136</f>
        <v>-1717.8568749999765</v>
      </c>
      <c r="R136">
        <f t="shared" ref="R136" si="657">R137+Q136</f>
        <v>-547971.75239526841</v>
      </c>
      <c r="S136">
        <f t="shared" ref="S136" si="658">R136/100000</f>
        <v>-5.4797175239526839</v>
      </c>
      <c r="T136">
        <f t="shared" ref="T136" si="659">S136/1000</f>
        <v>-5.4797175239526836E-3</v>
      </c>
    </row>
    <row r="137" spans="1:20" x14ac:dyDescent="0.25">
      <c r="A137" s="5">
        <v>44456</v>
      </c>
      <c r="B137">
        <v>177.3</v>
      </c>
      <c r="C137">
        <v>177.9</v>
      </c>
      <c r="D137">
        <v>167.1</v>
      </c>
      <c r="E137">
        <v>172.9</v>
      </c>
      <c r="F137">
        <v>7519.6880000000001</v>
      </c>
      <c r="G137">
        <v>172.9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7.4074074074075055E-2</v>
      </c>
      <c r="Q137">
        <f t="shared" ref="Q137" si="661">F137*P137</f>
        <v>557.01392592593334</v>
      </c>
      <c r="R137">
        <f t="shared" ref="R137" si="662">R138+Q137</f>
        <v>-546253.89552026847</v>
      </c>
      <c r="S137">
        <f t="shared" ref="S137" si="663">R137/100000</f>
        <v>-5.4625389552026844</v>
      </c>
      <c r="T137">
        <f t="shared" ref="T137" si="664">S137/1000</f>
        <v>-5.4625389552026846E-3</v>
      </c>
    </row>
    <row r="138" spans="1:20" x14ac:dyDescent="0.25">
      <c r="A138" s="5">
        <v>44455</v>
      </c>
      <c r="B138">
        <v>172</v>
      </c>
      <c r="C138">
        <v>179.7</v>
      </c>
      <c r="D138">
        <v>171.7</v>
      </c>
      <c r="E138">
        <v>177.5</v>
      </c>
      <c r="F138">
        <v>5519.7920000000004</v>
      </c>
      <c r="G138">
        <v>177.5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0.45000000000000284</v>
      </c>
      <c r="Q138">
        <f t="shared" ref="Q138" si="666">F138*P138</f>
        <v>2483.9064000000158</v>
      </c>
      <c r="R138">
        <f t="shared" ref="R138" si="667">R139+Q138</f>
        <v>-546810.90944619442</v>
      </c>
      <c r="S138">
        <f t="shared" ref="S138" si="668">R138/100000</f>
        <v>-5.4681090944619442</v>
      </c>
      <c r="T138">
        <f t="shared" ref="T138" si="669">S138/1000</f>
        <v>-5.468109094461944E-3</v>
      </c>
    </row>
    <row r="139" spans="1:20" x14ac:dyDescent="0.25">
      <c r="A139" s="5">
        <v>44454</v>
      </c>
      <c r="B139">
        <v>164</v>
      </c>
      <c r="C139">
        <v>174.4</v>
      </c>
      <c r="D139">
        <v>160.69999999999999</v>
      </c>
      <c r="E139">
        <v>172</v>
      </c>
      <c r="F139">
        <v>9428.3420000000006</v>
      </c>
      <c r="G139">
        <v>172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0.64963503649635002</v>
      </c>
      <c r="Q139">
        <f t="shared" ref="Q139" si="671">F139*P139</f>
        <v>6124.9812992700699</v>
      </c>
      <c r="R139">
        <f t="shared" ref="R139" si="672">R140+Q139</f>
        <v>-549294.8158461944</v>
      </c>
      <c r="S139">
        <f t="shared" ref="S139" si="673">R139/100000</f>
        <v>-5.4929481584619442</v>
      </c>
      <c r="T139">
        <f t="shared" ref="T139" si="674">S139/1000</f>
        <v>-5.4929481584619442E-3</v>
      </c>
    </row>
    <row r="140" spans="1:20" x14ac:dyDescent="0.25">
      <c r="A140" s="5">
        <v>44453</v>
      </c>
      <c r="B140">
        <v>157.30000000000001</v>
      </c>
      <c r="C140">
        <v>167.8</v>
      </c>
      <c r="D140">
        <v>155.19999999999999</v>
      </c>
      <c r="E140">
        <v>164</v>
      </c>
      <c r="F140">
        <v>9408.0609999999997</v>
      </c>
      <c r="G140">
        <v>164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0.39682539682539608</v>
      </c>
      <c r="Q140">
        <f t="shared" ref="Q140" si="676">F140*P140</f>
        <v>3733.3575396825327</v>
      </c>
      <c r="R140">
        <f t="shared" ref="R140" si="677">R141+Q140</f>
        <v>-555419.79714546446</v>
      </c>
      <c r="S140">
        <f t="shared" ref="S140" si="678">R140/100000</f>
        <v>-5.554197971454645</v>
      </c>
      <c r="T140">
        <f t="shared" ref="T140" si="679">S140/1000</f>
        <v>-5.5541979714546453E-3</v>
      </c>
    </row>
    <row r="141" spans="1:20" x14ac:dyDescent="0.25">
      <c r="A141" s="5">
        <v>44452</v>
      </c>
      <c r="B141">
        <v>156.1</v>
      </c>
      <c r="C141">
        <v>159.5</v>
      </c>
      <c r="D141">
        <v>151.19999999999999</v>
      </c>
      <c r="E141">
        <v>157.30000000000001</v>
      </c>
      <c r="F141">
        <v>3327.364</v>
      </c>
      <c r="G141">
        <v>157.30000000000001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0.46987951807229261</v>
      </c>
      <c r="Q141">
        <f t="shared" ref="Q141" si="681">F141*P141</f>
        <v>1563.4601927710958</v>
      </c>
      <c r="R141">
        <f t="shared" ref="R141" si="682">R142+Q141</f>
        <v>-559153.15468514699</v>
      </c>
      <c r="S141">
        <f t="shared" ref="S141" si="683">R141/100000</f>
        <v>-5.5915315468514697</v>
      </c>
      <c r="T141">
        <f t="shared" ref="T141" si="684">S141/1000</f>
        <v>-5.5915315468514698E-3</v>
      </c>
    </row>
    <row r="142" spans="1:20" x14ac:dyDescent="0.25">
      <c r="A142" s="5">
        <v>44451</v>
      </c>
      <c r="B142">
        <v>159.5</v>
      </c>
      <c r="C142">
        <v>161.69999999999999</v>
      </c>
      <c r="D142">
        <v>152.69999999999999</v>
      </c>
      <c r="E142">
        <v>156.19999999999999</v>
      </c>
      <c r="F142">
        <v>3089.3110000000001</v>
      </c>
      <c r="G142">
        <v>156.19999999999999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-0.22222222222222221</v>
      </c>
      <c r="Q142">
        <f t="shared" ref="Q142" si="686">F142*P142</f>
        <v>-686.51355555555551</v>
      </c>
      <c r="R142">
        <f t="shared" ref="R142" si="687">R143+Q142</f>
        <v>-560716.61487791804</v>
      </c>
      <c r="S142">
        <f t="shared" ref="S142" si="688">R142/100000</f>
        <v>-5.6071661487791804</v>
      </c>
      <c r="T142">
        <f t="shared" ref="T142" si="689">S142/1000</f>
        <v>-5.6071661487791802E-3</v>
      </c>
    </row>
    <row r="143" spans="1:20" x14ac:dyDescent="0.25">
      <c r="A143" s="5">
        <v>44450</v>
      </c>
      <c r="B143">
        <v>161.1</v>
      </c>
      <c r="C143">
        <v>162.6</v>
      </c>
      <c r="D143">
        <v>158.5</v>
      </c>
      <c r="E143">
        <v>159.5</v>
      </c>
      <c r="F143">
        <v>2357.9029999999998</v>
      </c>
      <c r="G143">
        <v>159.5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-0.51219512195121886</v>
      </c>
      <c r="Q143">
        <f t="shared" ref="Q143" si="691">F143*P143</f>
        <v>-1207.7064146341447</v>
      </c>
      <c r="R143">
        <f t="shared" ref="R143" si="692">R144+Q143</f>
        <v>-560030.10132236243</v>
      </c>
      <c r="S143">
        <f t="shared" ref="S143" si="693">R143/100000</f>
        <v>-5.6003010132236239</v>
      </c>
      <c r="T143">
        <f t="shared" ref="T143" si="694">S143/1000</f>
        <v>-5.6003010132236238E-3</v>
      </c>
    </row>
    <row r="144" spans="1:20" x14ac:dyDescent="0.25">
      <c r="A144" s="5">
        <v>44449</v>
      </c>
      <c r="B144">
        <v>165.6</v>
      </c>
      <c r="C144">
        <v>166.1</v>
      </c>
      <c r="D144">
        <v>157.69999999999999</v>
      </c>
      <c r="E144">
        <v>161</v>
      </c>
      <c r="F144">
        <v>9853.3310000000001</v>
      </c>
      <c r="G144">
        <v>161</v>
      </c>
      <c r="L144" t="s">
        <v>8</v>
      </c>
      <c r="M144" t="s">
        <v>7</v>
      </c>
      <c r="N144" t="s">
        <v>7</v>
      </c>
      <c r="P144">
        <f t="shared" ref="P144" si="695">IF(C144=D144,0,((E144-D144)-(C144-E144))/(C144-D144))</f>
        <v>-0.21428571428571211</v>
      </c>
      <c r="Q144">
        <f t="shared" ref="Q144" si="696">F144*P144</f>
        <v>-2111.4280714285501</v>
      </c>
      <c r="R144">
        <f t="shared" ref="R144" si="697">R145+Q144</f>
        <v>-558822.3949077283</v>
      </c>
      <c r="S144">
        <f t="shared" ref="S144" si="698">R144/100000</f>
        <v>-5.5882239490772827</v>
      </c>
      <c r="T144">
        <f t="shared" ref="T144" si="699">S144/1000</f>
        <v>-5.5882239490772827E-3</v>
      </c>
    </row>
    <row r="145" spans="1:20" x14ac:dyDescent="0.25">
      <c r="A145" s="5">
        <v>44448</v>
      </c>
      <c r="B145">
        <v>165.1</v>
      </c>
      <c r="C145">
        <v>167</v>
      </c>
      <c r="D145">
        <v>156.80000000000001</v>
      </c>
      <c r="E145">
        <v>165.2</v>
      </c>
      <c r="F145">
        <v>10326.819</v>
      </c>
      <c r="G145">
        <v>165.2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0.64705882352940913</v>
      </c>
      <c r="Q145">
        <f t="shared" ref="Q145" si="701">F145*P145</f>
        <v>6682.059352941149</v>
      </c>
      <c r="R145">
        <f t="shared" ref="R145" si="702">R146+Q145</f>
        <v>-556710.96683629975</v>
      </c>
      <c r="S145">
        <f t="shared" ref="S145" si="703">R145/100000</f>
        <v>-5.5671096683629973</v>
      </c>
      <c r="T145">
        <f t="shared" ref="T145" si="704">S145/1000</f>
        <v>-5.5671096683629975E-3</v>
      </c>
    </row>
    <row r="146" spans="1:20" x14ac:dyDescent="0.25">
      <c r="A146" s="5">
        <v>44447</v>
      </c>
      <c r="B146">
        <v>160.4</v>
      </c>
      <c r="C146">
        <v>165.7</v>
      </c>
      <c r="D146">
        <v>148</v>
      </c>
      <c r="E146">
        <v>164.8</v>
      </c>
      <c r="F146">
        <v>9239.1710000000003</v>
      </c>
      <c r="G146">
        <v>164.8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0.8983050847457652</v>
      </c>
      <c r="Q146">
        <f t="shared" ref="Q146" si="706">F146*P146</f>
        <v>8299.5942881356168</v>
      </c>
      <c r="R146">
        <f t="shared" ref="R146" si="707">R147+Q146</f>
        <v>-563393.02618924086</v>
      </c>
      <c r="S146">
        <f t="shared" ref="S146" si="708">R146/100000</f>
        <v>-5.6339302618924085</v>
      </c>
      <c r="T146">
        <f t="shared" ref="T146" si="709">S146/1000</f>
        <v>-5.6339302618924085E-3</v>
      </c>
    </row>
    <row r="147" spans="1:20" x14ac:dyDescent="0.25">
      <c r="A147" s="5">
        <v>44446</v>
      </c>
      <c r="B147">
        <v>178.2</v>
      </c>
      <c r="C147">
        <v>187</v>
      </c>
      <c r="D147">
        <v>140</v>
      </c>
      <c r="E147">
        <v>159.5</v>
      </c>
      <c r="F147">
        <v>18605.424299999999</v>
      </c>
      <c r="G147">
        <v>159.5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-0.1702127659574468</v>
      </c>
      <c r="Q147">
        <f t="shared" ref="Q147" si="711">F147*P147</f>
        <v>-3166.8807319148932</v>
      </c>
      <c r="R147">
        <f t="shared" ref="R147" si="712">R148+Q147</f>
        <v>-571692.62047737651</v>
      </c>
      <c r="S147">
        <f t="shared" ref="S147" si="713">R147/100000</f>
        <v>-5.716926204773765</v>
      </c>
      <c r="T147">
        <f t="shared" ref="T147" si="714">S147/1000</f>
        <v>-5.7169262047737654E-3</v>
      </c>
    </row>
    <row r="148" spans="1:20" x14ac:dyDescent="0.25">
      <c r="A148" s="5">
        <v>44445</v>
      </c>
      <c r="B148">
        <v>169.4</v>
      </c>
      <c r="C148">
        <v>180.4</v>
      </c>
      <c r="D148">
        <v>166.6</v>
      </c>
      <c r="E148">
        <v>178.3</v>
      </c>
      <c r="F148">
        <v>7659.94</v>
      </c>
      <c r="G148">
        <v>178.3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0.69565217391304457</v>
      </c>
      <c r="Q148">
        <f t="shared" ref="Q148" si="716">F148*P148</f>
        <v>5328.6539130434867</v>
      </c>
      <c r="R148">
        <f t="shared" ref="R148" si="717">R149+Q148</f>
        <v>-568525.73974546161</v>
      </c>
      <c r="S148">
        <f t="shared" ref="S148" si="718">R148/100000</f>
        <v>-5.6852573974546159</v>
      </c>
      <c r="T148">
        <f t="shared" ref="T148" si="719">S148/1000</f>
        <v>-5.6852573974546161E-3</v>
      </c>
    </row>
    <row r="149" spans="1:20" x14ac:dyDescent="0.25">
      <c r="A149" s="5">
        <v>44444</v>
      </c>
      <c r="B149">
        <v>169.6</v>
      </c>
      <c r="C149">
        <v>173</v>
      </c>
      <c r="D149">
        <v>166.7</v>
      </c>
      <c r="E149">
        <v>169.2</v>
      </c>
      <c r="F149">
        <v>4712.4179999999997</v>
      </c>
      <c r="G149">
        <v>169.2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-0.20634920634920778</v>
      </c>
      <c r="Q149">
        <f t="shared" ref="Q149" si="721">F149*P149</f>
        <v>-972.40371428572098</v>
      </c>
      <c r="R149">
        <f t="shared" ref="R149" si="722">R150+Q149</f>
        <v>-573854.39365850505</v>
      </c>
      <c r="S149">
        <f t="shared" ref="S149" si="723">R149/100000</f>
        <v>-5.7385439365850504</v>
      </c>
      <c r="T149">
        <f t="shared" ref="T149" si="724">S149/1000</f>
        <v>-5.7385439365850504E-3</v>
      </c>
    </row>
    <row r="150" spans="1:20" x14ac:dyDescent="0.25">
      <c r="A150" s="5">
        <v>44443</v>
      </c>
      <c r="B150">
        <v>167.9</v>
      </c>
      <c r="C150">
        <v>171.6</v>
      </c>
      <c r="D150">
        <v>167.3</v>
      </c>
      <c r="E150">
        <v>169.5</v>
      </c>
      <c r="F150">
        <v>3869.9639999999999</v>
      </c>
      <c r="G150">
        <v>169.5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2.3255813953487144E-2</v>
      </c>
      <c r="Q150">
        <f t="shared" ref="Q150" si="726">F150*P150</f>
        <v>89.999162790692921</v>
      </c>
      <c r="R150">
        <f t="shared" ref="R150" si="727">R151+Q150</f>
        <v>-572881.98994421936</v>
      </c>
      <c r="S150">
        <f t="shared" ref="S150" si="728">R150/100000</f>
        <v>-5.7288198994421933</v>
      </c>
      <c r="T150">
        <f t="shared" ref="T150" si="729">S150/1000</f>
        <v>-5.728819899442193E-3</v>
      </c>
    </row>
    <row r="151" spans="1:20" x14ac:dyDescent="0.25">
      <c r="A151" s="5">
        <v>44442</v>
      </c>
      <c r="B151">
        <v>166.4</v>
      </c>
      <c r="C151">
        <v>170.5</v>
      </c>
      <c r="D151">
        <v>165.1</v>
      </c>
      <c r="E151">
        <v>167.7</v>
      </c>
      <c r="F151">
        <v>3421.6610000000001</v>
      </c>
      <c r="G151">
        <v>167.7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-3.7037037037040157E-2</v>
      </c>
      <c r="Q151">
        <f t="shared" ref="Q151" si="731">F151*P151</f>
        <v>-126.72818518519587</v>
      </c>
      <c r="R151">
        <f t="shared" ref="R151" si="732">R152+Q151</f>
        <v>-572971.98910701007</v>
      </c>
      <c r="S151">
        <f t="shared" ref="S151" si="733">R151/100000</f>
        <v>-5.7297198910701006</v>
      </c>
      <c r="T151">
        <f t="shared" ref="T151" si="734">S151/1000</f>
        <v>-5.7297198910701008E-3</v>
      </c>
    </row>
    <row r="152" spans="1:20" x14ac:dyDescent="0.25">
      <c r="A152" s="5">
        <v>44441</v>
      </c>
      <c r="B152">
        <v>171.3</v>
      </c>
      <c r="C152">
        <v>172.4</v>
      </c>
      <c r="D152">
        <v>165.9</v>
      </c>
      <c r="E152">
        <v>166.5</v>
      </c>
      <c r="F152">
        <v>3489.239</v>
      </c>
      <c r="G152">
        <v>166.5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-0.81538461538461715</v>
      </c>
      <c r="Q152">
        <f t="shared" ref="Q152" si="736">F152*P152</f>
        <v>-2845.0718000000061</v>
      </c>
      <c r="R152">
        <f t="shared" ref="R152" si="737">R153+Q152</f>
        <v>-572845.26092182484</v>
      </c>
      <c r="S152">
        <f t="shared" ref="S152" si="738">R152/100000</f>
        <v>-5.7284526092182482</v>
      </c>
      <c r="T152">
        <f t="shared" ref="T152" si="739">S152/1000</f>
        <v>-5.7284526092182481E-3</v>
      </c>
    </row>
    <row r="153" spans="1:20" x14ac:dyDescent="0.25">
      <c r="A153" s="5">
        <v>44440</v>
      </c>
      <c r="B153">
        <v>159.19999999999999</v>
      </c>
      <c r="C153">
        <v>173.9</v>
      </c>
      <c r="D153">
        <v>155.9</v>
      </c>
      <c r="E153">
        <v>171.3</v>
      </c>
      <c r="F153">
        <v>5700.2897999999996</v>
      </c>
      <c r="G153">
        <v>171.3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0.71111111111111169</v>
      </c>
      <c r="Q153">
        <f t="shared" ref="Q153" si="741">F153*P153</f>
        <v>4053.5394133333361</v>
      </c>
      <c r="R153">
        <f t="shared" ref="R153" si="742">R154+Q153</f>
        <v>-570000.18912182481</v>
      </c>
      <c r="S153">
        <f t="shared" ref="S153" si="743">R153/100000</f>
        <v>-5.700001891218248</v>
      </c>
      <c r="T153">
        <f t="shared" ref="T153" si="744">S153/1000</f>
        <v>-5.7000018912182482E-3</v>
      </c>
    </row>
    <row r="154" spans="1:20" x14ac:dyDescent="0.25">
      <c r="A154" s="5">
        <v>44439</v>
      </c>
      <c r="B154">
        <v>162.9</v>
      </c>
      <c r="C154">
        <v>167.6</v>
      </c>
      <c r="D154">
        <v>158.4</v>
      </c>
      <c r="E154">
        <v>159.9</v>
      </c>
      <c r="F154">
        <v>7105.0451999999996</v>
      </c>
      <c r="G154">
        <v>159.9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-0.67391304347826042</v>
      </c>
      <c r="Q154">
        <f t="shared" ref="Q154" si="746">F154*P154</f>
        <v>-4788.1826347826054</v>
      </c>
      <c r="R154">
        <f t="shared" ref="R154" si="747">R155+Q154</f>
        <v>-574053.72853515809</v>
      </c>
      <c r="S154">
        <f t="shared" ref="S154" si="748">R154/100000</f>
        <v>-5.7405372853515813</v>
      </c>
      <c r="T154">
        <f t="shared" ref="T154" si="749">S154/1000</f>
        <v>-5.7405372853515813E-3</v>
      </c>
    </row>
    <row r="155" spans="1:20" x14ac:dyDescent="0.25">
      <c r="A155" s="5">
        <v>44438</v>
      </c>
      <c r="B155">
        <v>175.9</v>
      </c>
      <c r="C155">
        <v>181.1</v>
      </c>
      <c r="D155">
        <v>159.9</v>
      </c>
      <c r="E155">
        <v>161.80000000000001</v>
      </c>
      <c r="F155">
        <v>20369.430499999999</v>
      </c>
      <c r="G155">
        <v>161.80000000000001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-0.82075471698113145</v>
      </c>
      <c r="Q155">
        <f t="shared" ref="Q155" si="751">F155*P155</f>
        <v>-16718.306165094327</v>
      </c>
      <c r="R155">
        <f t="shared" ref="R155" si="752">R156+Q155</f>
        <v>-569265.54590037547</v>
      </c>
      <c r="S155">
        <f t="shared" ref="S155" si="753">R155/100000</f>
        <v>-5.6926554590037544</v>
      </c>
      <c r="T155">
        <f t="shared" ref="T155" si="754">S155/1000</f>
        <v>-5.6926554590037547E-3</v>
      </c>
    </row>
    <row r="156" spans="1:20" x14ac:dyDescent="0.25">
      <c r="A156" s="5">
        <v>44437</v>
      </c>
      <c r="B156">
        <v>175</v>
      </c>
      <c r="C156">
        <v>182</v>
      </c>
      <c r="D156">
        <v>174</v>
      </c>
      <c r="E156">
        <v>176</v>
      </c>
      <c r="F156">
        <v>2319.953</v>
      </c>
      <c r="G156">
        <v>176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-0.5</v>
      </c>
      <c r="Q156">
        <f t="shared" ref="Q156" si="756">F156*P156</f>
        <v>-1159.9765</v>
      </c>
      <c r="R156">
        <f t="shared" ref="R156" si="757">R157+Q156</f>
        <v>-552547.23973528109</v>
      </c>
      <c r="S156">
        <f t="shared" ref="S156" si="758">R156/100000</f>
        <v>-5.5254723973528108</v>
      </c>
      <c r="T156">
        <f t="shared" ref="T156" si="759">S156/1000</f>
        <v>-5.5254723973528104E-3</v>
      </c>
    </row>
    <row r="157" spans="1:20" x14ac:dyDescent="0.25">
      <c r="A157" s="5">
        <v>44436</v>
      </c>
      <c r="B157">
        <v>174.9</v>
      </c>
      <c r="C157">
        <v>176.1</v>
      </c>
      <c r="D157">
        <v>171.4</v>
      </c>
      <c r="E157">
        <v>174.9</v>
      </c>
      <c r="F157">
        <v>2772.8020000000001</v>
      </c>
      <c r="G157">
        <v>174.9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0.48936170212766317</v>
      </c>
      <c r="Q157">
        <f t="shared" ref="Q157" si="761">F157*P157</f>
        <v>1356.9031063829887</v>
      </c>
      <c r="R157">
        <f t="shared" ref="R157" si="762">R158+Q157</f>
        <v>-551387.26323528111</v>
      </c>
      <c r="S157">
        <f t="shared" ref="S157" si="763">R157/100000</f>
        <v>-5.5138726323528111</v>
      </c>
      <c r="T157">
        <f t="shared" ref="T157" si="764">S157/1000</f>
        <v>-5.5138726323528111E-3</v>
      </c>
    </row>
    <row r="158" spans="1:20" x14ac:dyDescent="0.25">
      <c r="A158" s="5">
        <v>44435</v>
      </c>
      <c r="B158">
        <v>170.5</v>
      </c>
      <c r="C158">
        <v>176</v>
      </c>
      <c r="D158">
        <v>170.1</v>
      </c>
      <c r="E158">
        <v>175.4</v>
      </c>
      <c r="F158">
        <v>2717.6390000000001</v>
      </c>
      <c r="G158">
        <v>175.4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0.79661016949152752</v>
      </c>
      <c r="Q158">
        <f t="shared" ref="Q158" si="766">F158*P158</f>
        <v>2164.8988644067854</v>
      </c>
      <c r="R158">
        <f t="shared" ref="R158" si="767">R159+Q158</f>
        <v>-552744.16634166404</v>
      </c>
      <c r="S158">
        <f t="shared" ref="S158" si="768">R158/100000</f>
        <v>-5.5274416634166403</v>
      </c>
      <c r="T158">
        <f t="shared" ref="T158" si="769">S158/1000</f>
        <v>-5.5274416634166403E-3</v>
      </c>
    </row>
    <row r="159" spans="1:20" x14ac:dyDescent="0.25">
      <c r="A159" s="5">
        <v>44434</v>
      </c>
      <c r="B159">
        <v>180.45</v>
      </c>
      <c r="C159">
        <v>182</v>
      </c>
      <c r="D159">
        <v>170.5</v>
      </c>
      <c r="E159">
        <v>170.6</v>
      </c>
      <c r="F159">
        <v>2908.5821000000001</v>
      </c>
      <c r="G159">
        <v>170.6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-0.9826086956521749</v>
      </c>
      <c r="Q159">
        <f t="shared" ref="Q159" si="771">F159*P159</f>
        <v>-2857.9980634782637</v>
      </c>
      <c r="R159">
        <f t="shared" ref="R159" si="772">R160+Q159</f>
        <v>-554909.06520607078</v>
      </c>
      <c r="S159">
        <f t="shared" ref="S159" si="773">R159/100000</f>
        <v>-5.5490906520607082</v>
      </c>
      <c r="T159">
        <f t="shared" ref="T159" si="774">S159/1000</f>
        <v>-5.549090652060708E-3</v>
      </c>
    </row>
    <row r="160" spans="1:20" x14ac:dyDescent="0.25">
      <c r="A160" s="5">
        <v>44433</v>
      </c>
      <c r="B160">
        <v>179</v>
      </c>
      <c r="C160">
        <v>183.74</v>
      </c>
      <c r="D160">
        <v>175.19</v>
      </c>
      <c r="E160">
        <v>180</v>
      </c>
      <c r="F160">
        <v>10390.382600000001</v>
      </c>
      <c r="G160">
        <v>180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0.12514619883040839</v>
      </c>
      <c r="Q160">
        <f t="shared" ref="Q160" si="776">F160*P160</f>
        <v>1300.3168867836159</v>
      </c>
      <c r="R160">
        <f t="shared" ref="R160" si="777">R161+Q160</f>
        <v>-552051.06714259251</v>
      </c>
      <c r="S160">
        <f t="shared" ref="S160" si="778">R160/100000</f>
        <v>-5.5205106714259253</v>
      </c>
      <c r="T160">
        <f t="shared" ref="T160" si="779">S160/1000</f>
        <v>-5.5205106714259254E-3</v>
      </c>
    </row>
    <row r="161" spans="1:20" x14ac:dyDescent="0.25">
      <c r="A161" s="5">
        <v>44432</v>
      </c>
      <c r="B161">
        <v>180.78</v>
      </c>
      <c r="C161">
        <v>183.74</v>
      </c>
      <c r="D161">
        <v>174.24</v>
      </c>
      <c r="E161">
        <v>179</v>
      </c>
      <c r="F161">
        <v>17801.254700000001</v>
      </c>
      <c r="G161">
        <v>179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2.1052631578928221E-3</v>
      </c>
      <c r="Q161">
        <f t="shared" ref="Q161" si="781">F161*P161</f>
        <v>37.476325684176444</v>
      </c>
      <c r="R161">
        <f t="shared" ref="R161" si="782">R162+Q161</f>
        <v>-553351.38402937609</v>
      </c>
      <c r="S161">
        <f t="shared" ref="S161" si="783">R161/100000</f>
        <v>-5.5335138402937609</v>
      </c>
      <c r="T161">
        <f t="shared" ref="T161" si="784">S161/1000</f>
        <v>-5.5335138402937611E-3</v>
      </c>
    </row>
    <row r="162" spans="1:20" x14ac:dyDescent="0.25">
      <c r="A162" s="5">
        <v>44431</v>
      </c>
      <c r="B162">
        <v>180.4</v>
      </c>
      <c r="C162">
        <v>187.23</v>
      </c>
      <c r="D162">
        <v>180.09</v>
      </c>
      <c r="E162">
        <v>180.79</v>
      </c>
      <c r="F162">
        <v>5068.1323000000002</v>
      </c>
      <c r="G162">
        <v>180.79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-0.80392156862745379</v>
      </c>
      <c r="Q162">
        <f t="shared" ref="Q162" si="786">F162*P162</f>
        <v>-4074.3808686274656</v>
      </c>
      <c r="R162">
        <f t="shared" ref="R162" si="787">R163+Q162</f>
        <v>-553388.86035506031</v>
      </c>
      <c r="S162">
        <f t="shared" ref="S162" si="788">R162/100000</f>
        <v>-5.5338886035506034</v>
      </c>
      <c r="T162">
        <f t="shared" ref="T162" si="789">S162/1000</f>
        <v>-5.5338886035506034E-3</v>
      </c>
    </row>
    <row r="163" spans="1:20" x14ac:dyDescent="0.25">
      <c r="A163" s="5">
        <v>44430</v>
      </c>
      <c r="B163">
        <v>189.28</v>
      </c>
      <c r="C163">
        <v>191.37</v>
      </c>
      <c r="D163">
        <v>188.1</v>
      </c>
      <c r="E163">
        <v>189.68</v>
      </c>
      <c r="F163">
        <v>1451.5137999999999</v>
      </c>
      <c r="G163">
        <v>189.68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-3.3639143730882226E-2</v>
      </c>
      <c r="Q163">
        <f t="shared" ref="Q163" si="791">F163*P163</f>
        <v>-48.827681345559036</v>
      </c>
      <c r="R163">
        <f t="shared" ref="R163" si="792">R164+Q163</f>
        <v>-549314.47948643286</v>
      </c>
      <c r="S163">
        <f t="shared" ref="S163" si="793">R163/100000</f>
        <v>-5.4931447948643282</v>
      </c>
      <c r="T163">
        <f t="shared" ref="T163" si="794">S163/1000</f>
        <v>-5.4931447948643282E-3</v>
      </c>
    </row>
    <row r="164" spans="1:20" x14ac:dyDescent="0.25">
      <c r="A164" s="5">
        <v>44429</v>
      </c>
      <c r="B164">
        <v>198.29</v>
      </c>
      <c r="C164">
        <v>198.29</v>
      </c>
      <c r="D164">
        <v>184.57</v>
      </c>
      <c r="E164">
        <v>189.12</v>
      </c>
      <c r="F164">
        <v>7762.1291000000001</v>
      </c>
      <c r="G164">
        <v>189.12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-0.33673469387754928</v>
      </c>
      <c r="Q164">
        <f t="shared" ref="Q164" si="796">F164*P164</f>
        <v>-2613.7781663265173</v>
      </c>
      <c r="R164">
        <f t="shared" ref="R164" si="797">R165+Q164</f>
        <v>-549265.65180508734</v>
      </c>
      <c r="S164">
        <f t="shared" ref="S164" si="798">R164/100000</f>
        <v>-5.4926565180508735</v>
      </c>
      <c r="T164">
        <f t="shared" ref="T164" si="799">S164/1000</f>
        <v>-5.4926565180508733E-3</v>
      </c>
    </row>
    <row r="165" spans="1:20" x14ac:dyDescent="0.25">
      <c r="A165" s="5">
        <v>44428</v>
      </c>
      <c r="B165">
        <v>191.84</v>
      </c>
      <c r="C165">
        <v>199.86</v>
      </c>
      <c r="D165">
        <v>190.44</v>
      </c>
      <c r="E165">
        <v>199.26</v>
      </c>
      <c r="F165">
        <v>4257.6370999999999</v>
      </c>
      <c r="G165">
        <v>199.26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0.87261146496814823</v>
      </c>
      <c r="Q165">
        <f t="shared" ref="Q165" si="801">F165*P165</f>
        <v>3715.2629471337382</v>
      </c>
      <c r="R165">
        <f t="shared" ref="R165" si="802">R166+Q165</f>
        <v>-546651.87363876088</v>
      </c>
      <c r="S165">
        <f t="shared" ref="S165" si="803">R165/100000</f>
        <v>-5.4665187363876084</v>
      </c>
      <c r="T165">
        <f t="shared" ref="T165" si="804">S165/1000</f>
        <v>-5.4665187363876081E-3</v>
      </c>
    </row>
    <row r="166" spans="1:20" x14ac:dyDescent="0.25">
      <c r="A166" s="5">
        <v>44427</v>
      </c>
      <c r="B166">
        <v>185</v>
      </c>
      <c r="C166">
        <v>194.38</v>
      </c>
      <c r="D166">
        <v>181.96</v>
      </c>
      <c r="E166">
        <v>191.84</v>
      </c>
      <c r="F166">
        <v>4079.5313999999998</v>
      </c>
      <c r="G166">
        <v>191.84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0.5909822866344614</v>
      </c>
      <c r="Q166">
        <f t="shared" ref="Q166" si="806">F166*P166</f>
        <v>2410.9307951690853</v>
      </c>
      <c r="R166">
        <f t="shared" ref="R166" si="807">R167+Q166</f>
        <v>-550367.13658589462</v>
      </c>
      <c r="S166">
        <f t="shared" ref="S166" si="808">R166/100000</f>
        <v>-5.5036713658589465</v>
      </c>
      <c r="T166">
        <f t="shared" ref="T166" si="809">S166/1000</f>
        <v>-5.5036713658589463E-3</v>
      </c>
    </row>
    <row r="167" spans="1:20" x14ac:dyDescent="0.25">
      <c r="A167" s="5">
        <v>44426</v>
      </c>
      <c r="B167">
        <v>185.03</v>
      </c>
      <c r="C167">
        <v>189.02</v>
      </c>
      <c r="D167">
        <v>176.99</v>
      </c>
      <c r="E167">
        <v>185</v>
      </c>
      <c r="F167">
        <v>6357.2424000000001</v>
      </c>
      <c r="G167">
        <v>185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0.33167082294264177</v>
      </c>
      <c r="Q167">
        <f t="shared" ref="Q167" si="811">F167*P167</f>
        <v>2108.5118184538551</v>
      </c>
      <c r="R167">
        <f t="shared" ref="R167" si="812">R168+Q167</f>
        <v>-552778.06738106371</v>
      </c>
      <c r="S167">
        <f t="shared" ref="S167" si="813">R167/100000</f>
        <v>-5.5277806738106374</v>
      </c>
      <c r="T167">
        <f t="shared" ref="T167" si="814">S167/1000</f>
        <v>-5.527780673810637E-3</v>
      </c>
    </row>
    <row r="168" spans="1:20" x14ac:dyDescent="0.25">
      <c r="A168" s="5">
        <v>44425</v>
      </c>
      <c r="B168">
        <v>204.56</v>
      </c>
      <c r="C168">
        <v>211</v>
      </c>
      <c r="D168">
        <v>185</v>
      </c>
      <c r="E168">
        <v>185.17</v>
      </c>
      <c r="F168">
        <v>8848.7657999999992</v>
      </c>
      <c r="G168">
        <v>185.17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-0.9869230769230779</v>
      </c>
      <c r="Q168">
        <f t="shared" ref="Q168" si="816">F168*P168</f>
        <v>-8733.0511703077009</v>
      </c>
      <c r="R168">
        <f t="shared" ref="R168" si="817">R169+Q168</f>
        <v>-554886.57919951761</v>
      </c>
      <c r="S168">
        <f t="shared" ref="S168" si="818">R168/100000</f>
        <v>-5.5488657919951763</v>
      </c>
      <c r="T168">
        <f t="shared" ref="T168" si="819">S168/1000</f>
        <v>-5.5488657919951761E-3</v>
      </c>
    </row>
    <row r="169" spans="1:20" x14ac:dyDescent="0.25">
      <c r="A169" s="5">
        <v>44424</v>
      </c>
      <c r="B169">
        <v>211.32</v>
      </c>
      <c r="C169">
        <v>218.99</v>
      </c>
      <c r="D169">
        <v>203.58</v>
      </c>
      <c r="E169">
        <v>204.69</v>
      </c>
      <c r="F169">
        <v>5261.4395999999997</v>
      </c>
      <c r="G169">
        <v>204.69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-0.85593770279039771</v>
      </c>
      <c r="Q169">
        <f t="shared" ref="Q169" si="821">F169*P169</f>
        <v>-4503.4645245944284</v>
      </c>
      <c r="R169">
        <f t="shared" ref="R169" si="822">R170+Q169</f>
        <v>-546153.52802920993</v>
      </c>
      <c r="S169">
        <f t="shared" ref="S169" si="823">R169/100000</f>
        <v>-5.4615352802920993</v>
      </c>
      <c r="T169">
        <f t="shared" ref="T169" si="824">S169/1000</f>
        <v>-5.4615352802920994E-3</v>
      </c>
    </row>
    <row r="170" spans="1:20" x14ac:dyDescent="0.25">
      <c r="A170" s="5">
        <v>44423</v>
      </c>
      <c r="B170">
        <v>203.6</v>
      </c>
      <c r="C170">
        <v>214.39</v>
      </c>
      <c r="D170">
        <v>196.97</v>
      </c>
      <c r="E170">
        <v>211.32</v>
      </c>
      <c r="F170">
        <v>2893.1666</v>
      </c>
      <c r="G170">
        <v>211.32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0.64753157290470775</v>
      </c>
      <c r="Q170">
        <f t="shared" ref="Q170" si="826">F170*P170</f>
        <v>1873.4167191733654</v>
      </c>
      <c r="R170">
        <f t="shared" ref="R170" si="827">R171+Q170</f>
        <v>-541650.06350461545</v>
      </c>
      <c r="S170">
        <f t="shared" ref="S170" si="828">R170/100000</f>
        <v>-5.4165006350461544</v>
      </c>
      <c r="T170">
        <f t="shared" ref="T170" si="829">S170/1000</f>
        <v>-5.416500635046154E-3</v>
      </c>
    </row>
    <row r="171" spans="1:20" x14ac:dyDescent="0.25">
      <c r="A171" s="5">
        <v>44422</v>
      </c>
      <c r="B171">
        <v>207.19</v>
      </c>
      <c r="C171">
        <v>211.12</v>
      </c>
      <c r="D171">
        <v>191.01</v>
      </c>
      <c r="E171">
        <v>203.61</v>
      </c>
      <c r="F171">
        <v>5412.5739000000003</v>
      </c>
      <c r="G171">
        <v>203.61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0.25310790651417348</v>
      </c>
      <c r="Q171">
        <f t="shared" ref="Q171" si="831">F171*P171</f>
        <v>1369.9652486822554</v>
      </c>
      <c r="R171">
        <f t="shared" ref="R171" si="832">R172+Q171</f>
        <v>-543523.48022378876</v>
      </c>
      <c r="S171">
        <f t="shared" ref="S171" si="833">R171/100000</f>
        <v>-5.435234802237888</v>
      </c>
      <c r="T171">
        <f t="shared" ref="T171" si="834">S171/1000</f>
        <v>-5.4352348022378878E-3</v>
      </c>
    </row>
    <row r="172" spans="1:20" x14ac:dyDescent="0.25">
      <c r="A172" s="5">
        <v>44421</v>
      </c>
      <c r="B172">
        <v>192.94</v>
      </c>
      <c r="C172">
        <v>213.56</v>
      </c>
      <c r="D172">
        <v>192.6</v>
      </c>
      <c r="E172">
        <v>207.62</v>
      </c>
      <c r="F172">
        <v>5964.1061</v>
      </c>
      <c r="G172">
        <v>207.62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0.43320610687022942</v>
      </c>
      <c r="Q172">
        <f t="shared" ref="Q172" si="836">F172*P172</f>
        <v>2583.6871845419873</v>
      </c>
      <c r="R172">
        <f t="shared" ref="R172" si="837">R173+Q172</f>
        <v>-544893.44547247107</v>
      </c>
      <c r="S172">
        <f t="shared" ref="S172" si="838">R172/100000</f>
        <v>-5.4489344547247107</v>
      </c>
      <c r="T172">
        <f t="shared" ref="T172" si="839">S172/1000</f>
        <v>-5.4489344547247109E-3</v>
      </c>
    </row>
    <row r="173" spans="1:20" x14ac:dyDescent="0.25">
      <c r="A173" s="5">
        <v>44420</v>
      </c>
      <c r="B173">
        <v>203.86</v>
      </c>
      <c r="C173">
        <v>208.8</v>
      </c>
      <c r="D173">
        <v>189.31</v>
      </c>
      <c r="E173">
        <v>192.95</v>
      </c>
      <c r="F173">
        <v>4243.326</v>
      </c>
      <c r="G173">
        <v>192.95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-0.62647511544381895</v>
      </c>
      <c r="Q173">
        <f t="shared" ref="Q173" si="841">F173*P173</f>
        <v>-2658.3381457157584</v>
      </c>
      <c r="R173">
        <f t="shared" ref="R173" si="842">R174+Q173</f>
        <v>-547477.13265701302</v>
      </c>
      <c r="S173">
        <f t="shared" ref="S173" si="843">R173/100000</f>
        <v>-5.4747713265701305</v>
      </c>
      <c r="T173">
        <f t="shared" ref="T173" si="844">S173/1000</f>
        <v>-5.4747713265701301E-3</v>
      </c>
    </row>
    <row r="174" spans="1:20" x14ac:dyDescent="0.25">
      <c r="A174" s="5">
        <v>44419</v>
      </c>
      <c r="B174">
        <v>201.99</v>
      </c>
      <c r="C174">
        <v>210.8</v>
      </c>
      <c r="D174">
        <v>198.81</v>
      </c>
      <c r="E174">
        <v>204.15</v>
      </c>
      <c r="F174">
        <v>4794.0433999999996</v>
      </c>
      <c r="G174">
        <v>204.15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-0.10925771476230202</v>
      </c>
      <c r="Q174">
        <f t="shared" ref="Q174" si="846">F174*P174</f>
        <v>-523.78622635529655</v>
      </c>
      <c r="R174">
        <f t="shared" ref="R174" si="847">R175+Q174</f>
        <v>-544818.79451129725</v>
      </c>
      <c r="S174">
        <f t="shared" ref="S174" si="848">R174/100000</f>
        <v>-5.4481879451129727</v>
      </c>
      <c r="T174">
        <f t="shared" ref="T174" si="849">S174/1000</f>
        <v>-5.4481879451129724E-3</v>
      </c>
    </row>
    <row r="175" spans="1:20" x14ac:dyDescent="0.25">
      <c r="A175" s="5">
        <v>44418</v>
      </c>
      <c r="B175">
        <v>200.37</v>
      </c>
      <c r="C175">
        <v>204.86</v>
      </c>
      <c r="D175">
        <v>194.02</v>
      </c>
      <c r="E175">
        <v>201.67</v>
      </c>
      <c r="F175">
        <v>4128.0933999999997</v>
      </c>
      <c r="G175">
        <v>201.67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0.41143911439113928</v>
      </c>
      <c r="Q175">
        <f t="shared" ref="Q175" si="851">F175*P175</f>
        <v>1698.4590926199071</v>
      </c>
      <c r="R175">
        <f t="shared" ref="R175" si="852">R176+Q175</f>
        <v>-544295.0082849419</v>
      </c>
      <c r="S175">
        <f t="shared" ref="S175" si="853">R175/100000</f>
        <v>-5.4429500828494186</v>
      </c>
      <c r="T175">
        <f t="shared" ref="T175" si="854">S175/1000</f>
        <v>-5.4429500828494185E-3</v>
      </c>
    </row>
    <row r="176" spans="1:20" x14ac:dyDescent="0.25">
      <c r="A176" s="5">
        <v>44417</v>
      </c>
      <c r="B176">
        <v>197.23</v>
      </c>
      <c r="C176">
        <v>206.94</v>
      </c>
      <c r="D176">
        <v>191.09</v>
      </c>
      <c r="E176">
        <v>200.37</v>
      </c>
      <c r="F176">
        <v>5306.8984</v>
      </c>
      <c r="G176">
        <v>200.37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0.17097791798107312</v>
      </c>
      <c r="Q176">
        <f t="shared" ref="Q176" si="856">F176*P176</f>
        <v>907.36243936908818</v>
      </c>
      <c r="R176">
        <f t="shared" ref="R176" si="857">R177+Q176</f>
        <v>-545993.46737756184</v>
      </c>
      <c r="S176">
        <f t="shared" ref="S176" si="858">R176/100000</f>
        <v>-5.459934673775618</v>
      </c>
      <c r="T176">
        <f t="shared" ref="T176" si="859">S176/1000</f>
        <v>-5.4599346737756183E-3</v>
      </c>
    </row>
    <row r="177" spans="1:20" x14ac:dyDescent="0.25">
      <c r="A177" s="5">
        <v>44416</v>
      </c>
      <c r="B177">
        <v>194.5</v>
      </c>
      <c r="C177">
        <v>223.87</v>
      </c>
      <c r="D177">
        <v>194.5</v>
      </c>
      <c r="E177">
        <v>197.36</v>
      </c>
      <c r="F177">
        <v>16193.9031</v>
      </c>
      <c r="G177">
        <v>197.36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-0.80524344569288298</v>
      </c>
      <c r="Q177">
        <f t="shared" ref="Q177" si="861">F177*P177</f>
        <v>-13040.034331460658</v>
      </c>
      <c r="R177">
        <f t="shared" ref="R177" si="862">R178+Q177</f>
        <v>-546900.82981693093</v>
      </c>
      <c r="S177">
        <f t="shared" ref="S177" si="863">R177/100000</f>
        <v>-5.4690082981693093</v>
      </c>
      <c r="T177">
        <f t="shared" ref="T177" si="864">S177/1000</f>
        <v>-5.4690082981693096E-3</v>
      </c>
    </row>
    <row r="178" spans="1:20" x14ac:dyDescent="0.25">
      <c r="A178" s="5">
        <v>44415</v>
      </c>
      <c r="B178">
        <v>191.15</v>
      </c>
      <c r="C178">
        <v>198.95</v>
      </c>
      <c r="D178">
        <v>186.85</v>
      </c>
      <c r="E178">
        <v>194.46</v>
      </c>
      <c r="F178">
        <v>4634.5102999999999</v>
      </c>
      <c r="G178">
        <v>194.46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0.25785123966942436</v>
      </c>
      <c r="Q178">
        <f t="shared" ref="Q178" si="866">F178*P178</f>
        <v>1195.0142261157157</v>
      </c>
      <c r="R178">
        <f t="shared" ref="R178" si="867">R179+Q178</f>
        <v>-533860.79548547021</v>
      </c>
      <c r="S178">
        <f t="shared" ref="S178" si="868">R178/100000</f>
        <v>-5.3386079548547025</v>
      </c>
      <c r="T178">
        <f t="shared" ref="T178" si="869">S178/1000</f>
        <v>-5.3386079548547027E-3</v>
      </c>
    </row>
    <row r="179" spans="1:20" x14ac:dyDescent="0.25">
      <c r="A179" s="5">
        <v>44414</v>
      </c>
      <c r="B179">
        <v>193.74</v>
      </c>
      <c r="C179">
        <v>197.46</v>
      </c>
      <c r="D179">
        <v>182.33</v>
      </c>
      <c r="E179">
        <v>191.16</v>
      </c>
      <c r="F179">
        <v>6897.9160000000002</v>
      </c>
      <c r="G179">
        <v>191.16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0.16721744877726197</v>
      </c>
      <c r="Q179">
        <f t="shared" ref="Q179" si="871">F179*P179</f>
        <v>1153.4519153998558</v>
      </c>
      <c r="R179">
        <f t="shared" ref="R179" si="872">R180+Q179</f>
        <v>-535055.80971158587</v>
      </c>
      <c r="S179">
        <f t="shared" ref="S179" si="873">R179/100000</f>
        <v>-5.3505580971158588</v>
      </c>
      <c r="T179">
        <f t="shared" ref="T179" si="874">S179/1000</f>
        <v>-5.3505580971158588E-3</v>
      </c>
    </row>
    <row r="180" spans="1:20" x14ac:dyDescent="0.25">
      <c r="A180" s="5">
        <v>44413</v>
      </c>
      <c r="B180">
        <v>200.87</v>
      </c>
      <c r="C180">
        <v>205</v>
      </c>
      <c r="D180">
        <v>187.13</v>
      </c>
      <c r="E180">
        <v>193.33</v>
      </c>
      <c r="F180">
        <v>11639.039000000001</v>
      </c>
      <c r="G180">
        <v>193.33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-0.3060996082820352</v>
      </c>
      <c r="Q180">
        <f t="shared" ref="Q180" si="876">F180*P180</f>
        <v>-3562.7052786793311</v>
      </c>
      <c r="R180">
        <f t="shared" ref="R180" si="877">R181+Q180</f>
        <v>-536209.26162698574</v>
      </c>
      <c r="S180">
        <f t="shared" ref="S180" si="878">R180/100000</f>
        <v>-5.362092616269857</v>
      </c>
      <c r="T180">
        <f t="shared" ref="T180" si="879">S180/1000</f>
        <v>-5.3620926162698569E-3</v>
      </c>
    </row>
    <row r="181" spans="1:20" x14ac:dyDescent="0.25">
      <c r="A181" s="5">
        <v>44412</v>
      </c>
      <c r="B181">
        <v>188.06</v>
      </c>
      <c r="C181">
        <v>209.97</v>
      </c>
      <c r="D181">
        <v>187.52</v>
      </c>
      <c r="E181">
        <v>201.24</v>
      </c>
      <c r="F181">
        <v>8764.5403000000006</v>
      </c>
      <c r="G181">
        <v>201.24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0.22227171492204953</v>
      </c>
      <c r="Q181">
        <f t="shared" ref="Q181" si="881">F181*P181</f>
        <v>1948.1094029844146</v>
      </c>
      <c r="R181">
        <f t="shared" ref="R181" si="882">R182+Q181</f>
        <v>-532646.55634830636</v>
      </c>
      <c r="S181">
        <f t="shared" ref="S181" si="883">R181/100000</f>
        <v>-5.3264655634830635</v>
      </c>
      <c r="T181">
        <f t="shared" ref="T181" si="884">S181/1000</f>
        <v>-5.3264655634830639E-3</v>
      </c>
    </row>
    <row r="182" spans="1:20" x14ac:dyDescent="0.25">
      <c r="A182" s="5">
        <v>44411</v>
      </c>
      <c r="B182">
        <v>187.87</v>
      </c>
      <c r="C182">
        <v>190.22</v>
      </c>
      <c r="D182">
        <v>177.45</v>
      </c>
      <c r="E182">
        <v>187.79</v>
      </c>
      <c r="F182">
        <v>8785.2687999999998</v>
      </c>
      <c r="G182">
        <v>187.79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0.61942051683633437</v>
      </c>
      <c r="Q182">
        <f t="shared" ref="Q182" si="886">F182*P182</f>
        <v>5441.7757406421233</v>
      </c>
      <c r="R182">
        <f t="shared" ref="R182" si="887">R183+Q182</f>
        <v>-534594.66575129074</v>
      </c>
      <c r="S182">
        <f t="shared" ref="S182" si="888">R182/100000</f>
        <v>-5.3459466575129078</v>
      </c>
      <c r="T182">
        <f t="shared" ref="T182" si="889">S182/1000</f>
        <v>-5.3459466575129077E-3</v>
      </c>
    </row>
    <row r="183" spans="1:20" x14ac:dyDescent="0.25">
      <c r="A183" s="5">
        <v>44410</v>
      </c>
      <c r="B183">
        <v>191.17</v>
      </c>
      <c r="C183">
        <v>209.8</v>
      </c>
      <c r="D183">
        <v>185.03</v>
      </c>
      <c r="E183">
        <v>188.16</v>
      </c>
      <c r="F183">
        <v>16611.541399999998</v>
      </c>
      <c r="G183">
        <v>188.16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-0.74727492935002071</v>
      </c>
      <c r="Q183">
        <f t="shared" ref="Q183" si="891">F183*P183</f>
        <v>-12413.388426079942</v>
      </c>
      <c r="R183">
        <f t="shared" ref="R183" si="892">R184+Q183</f>
        <v>-540036.44149193284</v>
      </c>
      <c r="S183">
        <f t="shared" ref="S183" si="893">R183/100000</f>
        <v>-5.4003644149193288</v>
      </c>
      <c r="T183">
        <f t="shared" ref="T183" si="894">S183/1000</f>
        <v>-5.4003644149193284E-3</v>
      </c>
    </row>
    <row r="184" spans="1:20" x14ac:dyDescent="0.25">
      <c r="A184" s="5">
        <v>44409</v>
      </c>
      <c r="B184">
        <v>181.82</v>
      </c>
      <c r="C184">
        <v>200</v>
      </c>
      <c r="D184">
        <v>181.82</v>
      </c>
      <c r="E184">
        <v>191.81</v>
      </c>
      <c r="F184">
        <v>12885.0308</v>
      </c>
      <c r="G184">
        <v>191.81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9.9009900990099597E-2</v>
      </c>
      <c r="Q184">
        <f t="shared" ref="Q184" si="896">F184*P184</f>
        <v>1275.745623762384</v>
      </c>
      <c r="R184">
        <f t="shared" ref="R184" si="897">R185+Q184</f>
        <v>-527623.05306585284</v>
      </c>
      <c r="S184">
        <f t="shared" ref="S184" si="898">R184/100000</f>
        <v>-5.2762305306585287</v>
      </c>
      <c r="T184">
        <f t="shared" ref="T184" si="899">S184/1000</f>
        <v>-5.2762305306585291E-3</v>
      </c>
    </row>
    <row r="185" spans="1:20" x14ac:dyDescent="0.25">
      <c r="A185" s="5">
        <v>44408</v>
      </c>
      <c r="B185">
        <v>165.9</v>
      </c>
      <c r="C185">
        <v>185.01</v>
      </c>
      <c r="D185">
        <v>165.2</v>
      </c>
      <c r="E185">
        <v>181.58</v>
      </c>
      <c r="F185">
        <v>8331.7913000000008</v>
      </c>
      <c r="G185">
        <v>181.58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0.65371024734982552</v>
      </c>
      <c r="Q185">
        <f t="shared" ref="Q185" si="901">F185*P185</f>
        <v>5446.5773515901246</v>
      </c>
      <c r="R185">
        <f t="shared" ref="R185" si="902">R186+Q185</f>
        <v>-528898.79868961521</v>
      </c>
      <c r="S185">
        <f t="shared" ref="S185" si="903">R185/100000</f>
        <v>-5.288987986896152</v>
      </c>
      <c r="T185">
        <f t="shared" ref="T185" si="904">S185/1000</f>
        <v>-5.2889879868961518E-3</v>
      </c>
    </row>
    <row r="186" spans="1:20" x14ac:dyDescent="0.25">
      <c r="A186" s="5">
        <v>44407</v>
      </c>
      <c r="B186">
        <v>164.66</v>
      </c>
      <c r="C186">
        <v>167.76</v>
      </c>
      <c r="D186">
        <v>160.02000000000001</v>
      </c>
      <c r="E186">
        <v>165.25</v>
      </c>
      <c r="F186">
        <v>4199.2682000000004</v>
      </c>
      <c r="G186">
        <v>165.25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0.35142118863049171</v>
      </c>
      <c r="Q186">
        <f t="shared" ref="Q186" si="906">F186*P186</f>
        <v>1475.7118222222255</v>
      </c>
      <c r="R186">
        <f t="shared" ref="R186" si="907">R187+Q186</f>
        <v>-534345.37604120537</v>
      </c>
      <c r="S186">
        <f t="shared" ref="S186" si="908">R186/100000</f>
        <v>-5.3434537604120536</v>
      </c>
      <c r="T186">
        <f t="shared" ref="T186" si="909">S186/1000</f>
        <v>-5.3434537604120534E-3</v>
      </c>
    </row>
    <row r="187" spans="1:20" x14ac:dyDescent="0.25">
      <c r="A187" s="5">
        <v>44406</v>
      </c>
      <c r="B187">
        <v>165.23</v>
      </c>
      <c r="C187">
        <v>167.01</v>
      </c>
      <c r="D187">
        <v>161.12</v>
      </c>
      <c r="E187">
        <v>164.79</v>
      </c>
      <c r="F187">
        <v>2687.8096999999998</v>
      </c>
      <c r="G187">
        <v>164.79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0.24617996604414125</v>
      </c>
      <c r="Q187">
        <f t="shared" ref="Q187" si="911">F187*P187</f>
        <v>661.68490067911341</v>
      </c>
      <c r="R187">
        <f t="shared" ref="R187" si="912">R188+Q187</f>
        <v>-535821.08786342759</v>
      </c>
      <c r="S187">
        <f t="shared" ref="S187" si="913">R187/100000</f>
        <v>-5.3582108786342761</v>
      </c>
      <c r="T187">
        <f t="shared" ref="T187" si="914">S187/1000</f>
        <v>-5.358210878634276E-3</v>
      </c>
    </row>
    <row r="188" spans="1:20" x14ac:dyDescent="0.25">
      <c r="A188" s="5">
        <v>44405</v>
      </c>
      <c r="B188">
        <v>164.2</v>
      </c>
      <c r="C188">
        <v>175</v>
      </c>
      <c r="D188">
        <v>160.53</v>
      </c>
      <c r="E188">
        <v>165.23</v>
      </c>
      <c r="F188">
        <v>4841.3854000000001</v>
      </c>
      <c r="G188">
        <v>165.23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-0.35038009675190201</v>
      </c>
      <c r="Q188">
        <f t="shared" ref="Q188" si="916">F188*P188</f>
        <v>-1696.3250848652458</v>
      </c>
      <c r="R188">
        <f t="shared" ref="R188" si="917">R189+Q188</f>
        <v>-536482.77276410675</v>
      </c>
      <c r="S188">
        <f t="shared" ref="S188" si="918">R188/100000</f>
        <v>-5.3648277276410674</v>
      </c>
      <c r="T188">
        <f t="shared" ref="T188" si="919">S188/1000</f>
        <v>-5.3648277276410672E-3</v>
      </c>
    </row>
    <row r="189" spans="1:20" x14ac:dyDescent="0.25">
      <c r="A189" s="5">
        <v>44404</v>
      </c>
      <c r="B189">
        <v>165.45</v>
      </c>
      <c r="C189">
        <v>168.98</v>
      </c>
      <c r="D189">
        <v>155.44</v>
      </c>
      <c r="E189">
        <v>164.27</v>
      </c>
      <c r="F189">
        <v>6476.5156999999999</v>
      </c>
      <c r="G189">
        <v>164.27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0.30428360413589628</v>
      </c>
      <c r="Q189">
        <f t="shared" ref="Q189" si="921">F189*P189</f>
        <v>1970.6975394387171</v>
      </c>
      <c r="R189">
        <f t="shared" ref="R189" si="922">R190+Q189</f>
        <v>-534786.44767924154</v>
      </c>
      <c r="S189">
        <f t="shared" ref="S189" si="923">R189/100000</f>
        <v>-5.3478644767924157</v>
      </c>
      <c r="T189">
        <f t="shared" ref="T189" si="924">S189/1000</f>
        <v>-5.3478644767924154E-3</v>
      </c>
    </row>
    <row r="190" spans="1:20" x14ac:dyDescent="0.25">
      <c r="A190" s="5">
        <v>44403</v>
      </c>
      <c r="B190">
        <v>165.02</v>
      </c>
      <c r="C190">
        <v>176.62</v>
      </c>
      <c r="D190">
        <v>161.25</v>
      </c>
      <c r="E190">
        <v>165.96</v>
      </c>
      <c r="F190">
        <v>11216.284100000001</v>
      </c>
      <c r="G190">
        <v>165.96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-0.38711776187377922</v>
      </c>
      <c r="Q190">
        <f t="shared" ref="Q190" si="926">F190*P190</f>
        <v>-4342.0227973324563</v>
      </c>
      <c r="R190">
        <f t="shared" ref="R190" si="927">R191+Q190</f>
        <v>-536757.14521868026</v>
      </c>
      <c r="S190">
        <f t="shared" ref="S190" si="928">R190/100000</f>
        <v>-5.3675714521868025</v>
      </c>
      <c r="T190">
        <f t="shared" ref="T190" si="929">S190/1000</f>
        <v>-5.3675714521868026E-3</v>
      </c>
    </row>
    <row r="191" spans="1:20" x14ac:dyDescent="0.25">
      <c r="A191" s="5">
        <v>44402</v>
      </c>
      <c r="B191">
        <v>167.76</v>
      </c>
      <c r="C191">
        <v>171.82</v>
      </c>
      <c r="D191">
        <v>162.5</v>
      </c>
      <c r="E191">
        <v>165.02</v>
      </c>
      <c r="F191">
        <v>5826.3262999999997</v>
      </c>
      <c r="G191">
        <v>165.02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-0.4592274678111562</v>
      </c>
      <c r="Q191">
        <f t="shared" ref="Q191" si="931">F191*P191</f>
        <v>-2675.6090733905426</v>
      </c>
      <c r="R191">
        <f t="shared" ref="R191" si="932">R192+Q191</f>
        <v>-532415.12242134777</v>
      </c>
      <c r="S191">
        <f t="shared" ref="S191" si="933">R191/100000</f>
        <v>-5.3241512242134776</v>
      </c>
      <c r="T191">
        <f t="shared" ref="T191:T197" si="934">S191/1000</f>
        <v>-5.3241512242134777E-3</v>
      </c>
    </row>
    <row r="192" spans="1:20" x14ac:dyDescent="0.25">
      <c r="A192" s="5">
        <v>44401</v>
      </c>
      <c r="B192">
        <v>168.9</v>
      </c>
      <c r="C192">
        <v>172.92</v>
      </c>
      <c r="D192">
        <v>161.34</v>
      </c>
      <c r="E192">
        <v>167.9</v>
      </c>
      <c r="F192">
        <v>14594.6561</v>
      </c>
      <c r="G192">
        <v>167.9</v>
      </c>
      <c r="L192" t="s">
        <v>7</v>
      </c>
      <c r="M192" t="s">
        <v>7</v>
      </c>
      <c r="N192" t="s">
        <v>8</v>
      </c>
      <c r="P192">
        <f t="shared" ref="P192" si="935">IF(C192=D192,0,((E192-D192)-(C192-E192))/(C192-D192))</f>
        <v>0.13298791018998468</v>
      </c>
      <c r="Q192">
        <f t="shared" ref="Q192" si="936">F192*P192</f>
        <v>1940.9128146805122</v>
      </c>
      <c r="R192">
        <f t="shared" ref="R192" si="937">R193+Q192</f>
        <v>-529739.51334795728</v>
      </c>
      <c r="S192">
        <f t="shared" ref="S192" si="938">R192/100000</f>
        <v>-5.297395133479573</v>
      </c>
      <c r="T192">
        <f t="shared" si="934"/>
        <v>-5.2973951334795728E-3</v>
      </c>
    </row>
    <row r="193" spans="1:20" x14ac:dyDescent="0.25">
      <c r="A193" s="5">
        <v>44400</v>
      </c>
      <c r="B193">
        <v>162.19999999999999</v>
      </c>
      <c r="C193">
        <v>172.65</v>
      </c>
      <c r="D193">
        <v>160</v>
      </c>
      <c r="E193">
        <v>169.67</v>
      </c>
      <c r="F193">
        <v>15653.001899999999</v>
      </c>
      <c r="G193">
        <v>169.67</v>
      </c>
      <c r="L193" t="s">
        <v>8</v>
      </c>
      <c r="M193" t="s">
        <v>7</v>
      </c>
      <c r="N193" t="s">
        <v>8</v>
      </c>
      <c r="P193">
        <f t="shared" ref="P193" si="939">IF(C193=D193,0,((E193-D193)-(C193-E193))/(C193-D193))</f>
        <v>0.52885375494070885</v>
      </c>
      <c r="Q193">
        <f t="shared" ref="Q193" si="940">F193*P193</f>
        <v>8278.1488309090491</v>
      </c>
      <c r="R193">
        <f t="shared" ref="R193" si="941">R194+Q193</f>
        <v>-531680.42616263777</v>
      </c>
      <c r="S193">
        <f t="shared" ref="S193" si="942">R193/100000</f>
        <v>-5.3168042616263778</v>
      </c>
      <c r="T193">
        <f t="shared" si="934"/>
        <v>-5.3168042616263782E-3</v>
      </c>
    </row>
    <row r="194" spans="1:20" x14ac:dyDescent="0.25">
      <c r="A194" s="5">
        <v>44399</v>
      </c>
      <c r="B194">
        <v>155.86000000000001</v>
      </c>
      <c r="C194">
        <v>166.04</v>
      </c>
      <c r="D194">
        <v>155.36000000000001</v>
      </c>
      <c r="E194">
        <v>162.15</v>
      </c>
      <c r="F194">
        <v>13417.196599999999</v>
      </c>
      <c r="G194">
        <v>162.15</v>
      </c>
      <c r="L194" t="s">
        <v>8</v>
      </c>
      <c r="M194" t="s">
        <v>7</v>
      </c>
      <c r="N194" t="s">
        <v>8</v>
      </c>
      <c r="P194">
        <f t="shared" ref="P194" si="943">IF(C194=D194,0,((E194-D194)-(C194-E194))/(C194-D194))</f>
        <v>0.27153558052434568</v>
      </c>
      <c r="Q194">
        <f t="shared" ref="Q194" si="944">F194*P194</f>
        <v>3643.2462677902768</v>
      </c>
      <c r="R194">
        <f t="shared" ref="R194" si="945">R195+Q194</f>
        <v>-539958.57499354682</v>
      </c>
      <c r="S194">
        <f t="shared" ref="S194" si="946">R194/100000</f>
        <v>-5.3995857499354685</v>
      </c>
      <c r="T194">
        <f t="shared" si="934"/>
        <v>-5.399585749935468E-3</v>
      </c>
    </row>
    <row r="195" spans="1:20" x14ac:dyDescent="0.25">
      <c r="A195" s="5">
        <v>44398</v>
      </c>
      <c r="B195">
        <v>148.6</v>
      </c>
      <c r="C195">
        <v>159.74</v>
      </c>
      <c r="D195">
        <v>146.16</v>
      </c>
      <c r="E195">
        <v>155.87</v>
      </c>
      <c r="F195">
        <v>7925.0030999999999</v>
      </c>
      <c r="G195">
        <v>155.87</v>
      </c>
      <c r="L195" t="s">
        <v>8</v>
      </c>
      <c r="M195" t="s">
        <v>7</v>
      </c>
      <c r="N195" t="s">
        <v>8</v>
      </c>
      <c r="P195">
        <f t="shared" ref="P195" si="947">IF(C195=D195,0,((E195-D195)-(C195-E195))/(C195-D195))</f>
        <v>0.43004418262150207</v>
      </c>
      <c r="Q195">
        <f t="shared" ref="Q195" si="948">F195*P195</f>
        <v>3408.1014804123702</v>
      </c>
      <c r="R195">
        <f t="shared" ref="R195" si="949">R196+Q195</f>
        <v>-543601.82126133714</v>
      </c>
      <c r="S195">
        <f t="shared" ref="S195" si="950">R195/100000</f>
        <v>-5.4360182126133711</v>
      </c>
      <c r="T195">
        <f t="shared" si="934"/>
        <v>-5.4360182126133713E-3</v>
      </c>
    </row>
    <row r="196" spans="1:20" x14ac:dyDescent="0.25">
      <c r="A196" s="5">
        <v>44397</v>
      </c>
      <c r="B196">
        <v>158.74</v>
      </c>
      <c r="C196">
        <v>160.38</v>
      </c>
      <c r="D196">
        <v>145.22999999999999</v>
      </c>
      <c r="E196">
        <v>148.62</v>
      </c>
      <c r="F196">
        <v>9016.4593000000004</v>
      </c>
      <c r="G196">
        <v>148.62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-0.55247524752475075</v>
      </c>
      <c r="Q196">
        <f t="shared" ref="Q196" si="952">F196*P196</f>
        <v>-4981.3705835643414</v>
      </c>
      <c r="R196">
        <f t="shared" ref="R196" si="953">R197+Q196</f>
        <v>-547009.92274174956</v>
      </c>
      <c r="S196">
        <f t="shared" ref="S196" si="954">R196/100000</f>
        <v>-5.4700992274174958</v>
      </c>
      <c r="T196">
        <f t="shared" si="934"/>
        <v>-5.4700992274174954E-3</v>
      </c>
    </row>
    <row r="197" spans="1:20" x14ac:dyDescent="0.25">
      <c r="A197" s="5">
        <v>44396</v>
      </c>
      <c r="B197">
        <v>166.53</v>
      </c>
      <c r="C197">
        <v>169.65</v>
      </c>
      <c r="D197">
        <v>154.44999999999999</v>
      </c>
      <c r="E197">
        <v>159.08000000000001</v>
      </c>
      <c r="F197">
        <v>8657.6558999999997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-0.39078947368420808</v>
      </c>
      <c r="Q197">
        <f t="shared" ref="Q197" si="956">F197*P197</f>
        <v>-3383.3207924999788</v>
      </c>
      <c r="R197">
        <f t="shared" ref="R197" si="957">R198+Q197</f>
        <v>-542028.55215818516</v>
      </c>
      <c r="S197">
        <f t="shared" ref="S197" si="958">R197/100000</f>
        <v>-5.4202855215818513</v>
      </c>
      <c r="T197">
        <f t="shared" si="934"/>
        <v>-5.420285521581851E-3</v>
      </c>
    </row>
    <row r="198" spans="1:20" x14ac:dyDescent="0.25">
      <c r="A198" s="5">
        <v>44395</v>
      </c>
      <c r="B198">
        <v>168.1</v>
      </c>
      <c r="C198">
        <v>179.33</v>
      </c>
      <c r="D198">
        <v>165.08</v>
      </c>
      <c r="E198">
        <v>166.63</v>
      </c>
      <c r="F198">
        <v>6073.1355999999996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-0.78245614035087963</v>
      </c>
      <c r="Q198">
        <f t="shared" ref="Q198:Q261" si="960">F198*P198</f>
        <v>-4751.962241403523</v>
      </c>
      <c r="R198">
        <f t="shared" ref="R198:R261" si="961">R199+Q198</f>
        <v>-538645.23136568523</v>
      </c>
      <c r="S198">
        <f t="shared" ref="S198:S261" si="962">R198/100000</f>
        <v>-5.3864523136568527</v>
      </c>
      <c r="T198">
        <f t="shared" ref="T198:T261" si="963">S198/1000</f>
        <v>-5.386452313656853E-3</v>
      </c>
    </row>
    <row r="199" spans="1:20" x14ac:dyDescent="0.25">
      <c r="A199" s="5">
        <v>44394</v>
      </c>
      <c r="B199">
        <v>178.94</v>
      </c>
      <c r="C199">
        <v>179.32</v>
      </c>
      <c r="D199">
        <v>164.14</v>
      </c>
      <c r="E199">
        <v>168.15</v>
      </c>
      <c r="F199">
        <v>7031.6553000000004</v>
      </c>
      <c r="G199">
        <v>0</v>
      </c>
      <c r="L199" t="s">
        <v>7</v>
      </c>
      <c r="M199" t="s">
        <v>8</v>
      </c>
      <c r="N199" t="s">
        <v>8</v>
      </c>
      <c r="P199">
        <f t="shared" si="959"/>
        <v>-0.47167325428194762</v>
      </c>
      <c r="Q199">
        <f t="shared" si="960"/>
        <v>-3316.6437383399048</v>
      </c>
      <c r="R199">
        <f t="shared" si="961"/>
        <v>-533893.26912428171</v>
      </c>
      <c r="S199">
        <f t="shared" si="962"/>
        <v>-5.3389326912428174</v>
      </c>
      <c r="T199">
        <f t="shared" si="963"/>
        <v>-5.3389326912428176E-3</v>
      </c>
    </row>
    <row r="200" spans="1:20" x14ac:dyDescent="0.25">
      <c r="A200" s="5">
        <v>44393</v>
      </c>
      <c r="B200">
        <v>180.88</v>
      </c>
      <c r="C200">
        <v>190.5</v>
      </c>
      <c r="D200">
        <v>173.2</v>
      </c>
      <c r="E200">
        <v>178.94</v>
      </c>
      <c r="F200">
        <v>15541.1286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-0.33641618497109765</v>
      </c>
      <c r="Q200">
        <f t="shared" si="960"/>
        <v>-5228.2871937572163</v>
      </c>
      <c r="R200">
        <f t="shared" si="961"/>
        <v>-530576.62538594182</v>
      </c>
      <c r="S200">
        <f t="shared" si="962"/>
        <v>-5.3057662538594181</v>
      </c>
      <c r="T200">
        <f t="shared" si="963"/>
        <v>-5.3057662538594178E-3</v>
      </c>
    </row>
    <row r="201" spans="1:20" x14ac:dyDescent="0.25">
      <c r="A201" s="5">
        <v>44392</v>
      </c>
      <c r="B201">
        <v>159.16</v>
      </c>
      <c r="C201">
        <v>182.54</v>
      </c>
      <c r="D201">
        <v>157.18</v>
      </c>
      <c r="E201">
        <v>180.88</v>
      </c>
      <c r="F201">
        <v>17099.980100000001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0.86908517350157743</v>
      </c>
      <c r="Q201">
        <f t="shared" si="960"/>
        <v>14861.339172082022</v>
      </c>
      <c r="R201">
        <f t="shared" si="961"/>
        <v>-525348.33819218457</v>
      </c>
      <c r="S201">
        <f t="shared" si="962"/>
        <v>-5.2534833819218454</v>
      </c>
      <c r="T201">
        <f t="shared" si="963"/>
        <v>-5.2534833819218455E-3</v>
      </c>
    </row>
    <row r="202" spans="1:20" x14ac:dyDescent="0.25">
      <c r="A202" s="5">
        <v>44391</v>
      </c>
      <c r="B202">
        <v>160.12</v>
      </c>
      <c r="C202">
        <v>163.99</v>
      </c>
      <c r="D202">
        <v>153.69</v>
      </c>
      <c r="E202">
        <v>159.07</v>
      </c>
      <c r="F202">
        <v>3647.0702000000001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4.4660194174755245E-2</v>
      </c>
      <c r="Q202">
        <f t="shared" si="960"/>
        <v>162.87886330096345</v>
      </c>
      <c r="R202">
        <f t="shared" si="961"/>
        <v>-540209.67736426659</v>
      </c>
      <c r="S202">
        <f t="shared" si="962"/>
        <v>-5.4020967736426657</v>
      </c>
      <c r="T202">
        <f t="shared" si="963"/>
        <v>-5.4020967736426659E-3</v>
      </c>
    </row>
    <row r="203" spans="1:20" x14ac:dyDescent="0.25">
      <c r="A203" s="5">
        <v>44390</v>
      </c>
      <c r="B203">
        <v>160.56</v>
      </c>
      <c r="C203">
        <v>164.97</v>
      </c>
      <c r="D203">
        <v>156.16999999999999</v>
      </c>
      <c r="E203">
        <v>159.41</v>
      </c>
      <c r="F203">
        <v>5131.2897999999996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-0.2636363636363625</v>
      </c>
      <c r="Q203">
        <f t="shared" si="960"/>
        <v>-1352.7945836363576</v>
      </c>
      <c r="R203">
        <f t="shared" si="961"/>
        <v>-540372.55622756761</v>
      </c>
      <c r="S203">
        <f t="shared" si="962"/>
        <v>-5.4037255622756764</v>
      </c>
      <c r="T203">
        <f t="shared" si="963"/>
        <v>-5.4037255622756764E-3</v>
      </c>
    </row>
    <row r="204" spans="1:20" x14ac:dyDescent="0.25">
      <c r="A204" s="5">
        <v>44389</v>
      </c>
      <c r="B204">
        <v>166.16</v>
      </c>
      <c r="C204">
        <v>168.8</v>
      </c>
      <c r="D204">
        <v>159.32</v>
      </c>
      <c r="E204">
        <v>160.56</v>
      </c>
      <c r="F204">
        <v>2496.6862000000001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-0.73839662447257237</v>
      </c>
      <c r="Q204">
        <f t="shared" si="960"/>
        <v>-1843.5446624472538</v>
      </c>
      <c r="R204">
        <f t="shared" si="961"/>
        <v>-539019.76164393127</v>
      </c>
      <c r="S204">
        <f t="shared" si="962"/>
        <v>-5.3901976164393126</v>
      </c>
      <c r="T204">
        <f t="shared" si="963"/>
        <v>-5.390197616439313E-3</v>
      </c>
    </row>
    <row r="205" spans="1:20" x14ac:dyDescent="0.25">
      <c r="A205" s="5">
        <v>44388</v>
      </c>
      <c r="B205">
        <v>164.3</v>
      </c>
      <c r="C205">
        <v>168</v>
      </c>
      <c r="D205">
        <v>163.86</v>
      </c>
      <c r="E205">
        <v>166.27</v>
      </c>
      <c r="F205">
        <v>2565.4488999999999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0.1642512077294708</v>
      </c>
      <c r="Q205">
        <f t="shared" si="960"/>
        <v>421.37808019324234</v>
      </c>
      <c r="R205">
        <f t="shared" si="961"/>
        <v>-537176.21698148397</v>
      </c>
      <c r="S205">
        <f t="shared" si="962"/>
        <v>-5.3717621698148399</v>
      </c>
      <c r="T205">
        <f t="shared" si="963"/>
        <v>-5.3717621698148397E-3</v>
      </c>
    </row>
    <row r="206" spans="1:20" x14ac:dyDescent="0.25">
      <c r="A206" s="5">
        <v>44387</v>
      </c>
      <c r="B206">
        <v>162.59</v>
      </c>
      <c r="C206">
        <v>166.29</v>
      </c>
      <c r="D206">
        <v>162.13</v>
      </c>
      <c r="E206">
        <v>164.02</v>
      </c>
      <c r="F206">
        <v>2750.3872000000001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-9.1346153846146E-2</v>
      </c>
      <c r="Q206">
        <f t="shared" si="960"/>
        <v>-251.23729230767074</v>
      </c>
      <c r="R206">
        <f t="shared" si="961"/>
        <v>-537597.59506167716</v>
      </c>
      <c r="S206">
        <f t="shared" si="962"/>
        <v>-5.3759759506167715</v>
      </c>
      <c r="T206">
        <f t="shared" si="963"/>
        <v>-5.3759759506167718E-3</v>
      </c>
    </row>
    <row r="207" spans="1:20" x14ac:dyDescent="0.25">
      <c r="A207" s="5">
        <v>44386</v>
      </c>
      <c r="B207">
        <v>161.58000000000001</v>
      </c>
      <c r="C207">
        <v>163.47999999999999</v>
      </c>
      <c r="D207">
        <v>158</v>
      </c>
      <c r="E207">
        <v>162.9</v>
      </c>
      <c r="F207">
        <v>3295.4850999999999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0.78832116788321704</v>
      </c>
      <c r="Q207">
        <f t="shared" si="960"/>
        <v>2597.9006627737404</v>
      </c>
      <c r="R207">
        <f t="shared" si="961"/>
        <v>-537346.3577693695</v>
      </c>
      <c r="S207">
        <f t="shared" si="962"/>
        <v>-5.3734635776936948</v>
      </c>
      <c r="T207">
        <f t="shared" si="963"/>
        <v>-5.3734635776936952E-3</v>
      </c>
    </row>
    <row r="208" spans="1:20" x14ac:dyDescent="0.25">
      <c r="A208" s="5">
        <v>44385</v>
      </c>
      <c r="B208">
        <v>166.86</v>
      </c>
      <c r="C208">
        <v>169.48</v>
      </c>
      <c r="D208">
        <v>161</v>
      </c>
      <c r="E208">
        <v>161.59</v>
      </c>
      <c r="F208">
        <v>4064.0477000000001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-0.86084905660377264</v>
      </c>
      <c r="Q208">
        <f t="shared" si="960"/>
        <v>-3498.5316285377321</v>
      </c>
      <c r="R208">
        <f t="shared" si="961"/>
        <v>-539944.25843214325</v>
      </c>
      <c r="S208">
        <f t="shared" si="962"/>
        <v>-5.3994425843214326</v>
      </c>
      <c r="T208">
        <f t="shared" si="963"/>
        <v>-5.3994425843214323E-3</v>
      </c>
    </row>
    <row r="209" spans="1:20" x14ac:dyDescent="0.25">
      <c r="A209" s="5">
        <v>44384</v>
      </c>
      <c r="B209">
        <v>164.34</v>
      </c>
      <c r="C209">
        <v>175</v>
      </c>
      <c r="D209">
        <v>160.91999999999999</v>
      </c>
      <c r="E209">
        <v>166.91</v>
      </c>
      <c r="F209">
        <v>8217.0141000000003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-0.14914772727272674</v>
      </c>
      <c r="Q209">
        <f t="shared" si="960"/>
        <v>-1225.5489779829502</v>
      </c>
      <c r="R209">
        <f t="shared" si="961"/>
        <v>-536445.72680360556</v>
      </c>
      <c r="S209">
        <f t="shared" si="962"/>
        <v>-5.3644572680360554</v>
      </c>
      <c r="T209">
        <f t="shared" si="963"/>
        <v>-5.3644572680360556E-3</v>
      </c>
    </row>
    <row r="210" spans="1:20" x14ac:dyDescent="0.25">
      <c r="A210" s="5">
        <v>44383</v>
      </c>
      <c r="B210">
        <v>166.61</v>
      </c>
      <c r="C210">
        <v>169.54</v>
      </c>
      <c r="D210">
        <v>162.99</v>
      </c>
      <c r="E210">
        <v>164.82</v>
      </c>
      <c r="F210">
        <v>7497.4088000000002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-0.44122137404580491</v>
      </c>
      <c r="Q210">
        <f t="shared" si="960"/>
        <v>-3308.0170125191094</v>
      </c>
      <c r="R210">
        <f t="shared" si="961"/>
        <v>-535220.17782562261</v>
      </c>
      <c r="S210">
        <f t="shared" si="962"/>
        <v>-5.3522017782562257</v>
      </c>
      <c r="T210">
        <f t="shared" si="963"/>
        <v>-5.352201778256226E-3</v>
      </c>
    </row>
    <row r="211" spans="1:20" x14ac:dyDescent="0.25">
      <c r="A211" s="5">
        <v>44382</v>
      </c>
      <c r="B211">
        <v>166.77</v>
      </c>
      <c r="C211">
        <v>174.2</v>
      </c>
      <c r="D211">
        <v>158.58000000000001</v>
      </c>
      <c r="E211">
        <v>166.86</v>
      </c>
      <c r="F211">
        <v>11515.2502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6.017925736235772E-2</v>
      </c>
      <c r="Q211">
        <f t="shared" si="960"/>
        <v>692.97920537774121</v>
      </c>
      <c r="R211">
        <f t="shared" si="961"/>
        <v>-531912.16081310355</v>
      </c>
      <c r="S211">
        <f t="shared" si="962"/>
        <v>-5.3191216081310353</v>
      </c>
      <c r="T211">
        <f t="shared" si="963"/>
        <v>-5.3191216081310356E-3</v>
      </c>
    </row>
    <row r="212" spans="1:20" x14ac:dyDescent="0.25">
      <c r="A212" s="5">
        <v>44381</v>
      </c>
      <c r="B212">
        <v>164</v>
      </c>
      <c r="C212">
        <v>169.51</v>
      </c>
      <c r="D212">
        <v>163.97</v>
      </c>
      <c r="E212">
        <v>166.77</v>
      </c>
      <c r="F212">
        <v>10763.6579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1.0830324909752848E-2</v>
      </c>
      <c r="Q212">
        <f t="shared" si="960"/>
        <v>116.57391227442804</v>
      </c>
      <c r="R212">
        <f t="shared" si="961"/>
        <v>-532605.1400184813</v>
      </c>
      <c r="S212">
        <f t="shared" si="962"/>
        <v>-5.3260514001848129</v>
      </c>
      <c r="T212">
        <f t="shared" si="963"/>
        <v>-5.3260514001848133E-3</v>
      </c>
    </row>
    <row r="213" spans="1:20" x14ac:dyDescent="0.25">
      <c r="A213" s="5">
        <v>44380</v>
      </c>
      <c r="B213">
        <v>160.16999999999999</v>
      </c>
      <c r="C213">
        <v>166</v>
      </c>
      <c r="D213">
        <v>159.94</v>
      </c>
      <c r="E213">
        <v>163.97</v>
      </c>
      <c r="F213">
        <v>7196.3684999999996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0.33003300330032992</v>
      </c>
      <c r="Q213">
        <f t="shared" si="960"/>
        <v>2375.0391089108903</v>
      </c>
      <c r="R213">
        <f t="shared" si="961"/>
        <v>-532721.71393075574</v>
      </c>
      <c r="S213">
        <f t="shared" si="962"/>
        <v>-5.3272171393075576</v>
      </c>
      <c r="T213">
        <f t="shared" si="963"/>
        <v>-5.3272171393075572E-3</v>
      </c>
    </row>
    <row r="214" spans="1:20" x14ac:dyDescent="0.25">
      <c r="A214" s="5">
        <v>44379</v>
      </c>
      <c r="B214">
        <v>141.53</v>
      </c>
      <c r="C214">
        <v>161.41999999999999</v>
      </c>
      <c r="D214">
        <v>141.52000000000001</v>
      </c>
      <c r="E214">
        <v>160.4</v>
      </c>
      <c r="F214">
        <v>17169.439699999999</v>
      </c>
      <c r="G214">
        <v>0</v>
      </c>
      <c r="L214" t="s">
        <v>8</v>
      </c>
      <c r="M214" t="s">
        <v>8</v>
      </c>
      <c r="N214" t="s">
        <v>7</v>
      </c>
      <c r="P214">
        <f t="shared" si="959"/>
        <v>0.89748743718593138</v>
      </c>
      <c r="Q214">
        <f t="shared" si="960"/>
        <v>15409.356434271385</v>
      </c>
      <c r="R214">
        <f t="shared" si="961"/>
        <v>-535096.75303966668</v>
      </c>
      <c r="S214">
        <f t="shared" si="962"/>
        <v>-5.3509675303966668</v>
      </c>
      <c r="T214">
        <f t="shared" si="963"/>
        <v>-5.3509675303966666E-3</v>
      </c>
    </row>
    <row r="215" spans="1:20" x14ac:dyDescent="0.25">
      <c r="A215" s="5">
        <v>44378</v>
      </c>
      <c r="B215">
        <v>155.91999999999999</v>
      </c>
      <c r="C215">
        <v>157.57</v>
      </c>
      <c r="D215">
        <v>136.01</v>
      </c>
      <c r="E215">
        <v>141.93</v>
      </c>
      <c r="F215">
        <v>15107.0993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-0.45083487940630657</v>
      </c>
      <c r="Q215">
        <f t="shared" si="960"/>
        <v>-6810.8072910945984</v>
      </c>
      <c r="R215">
        <f t="shared" si="961"/>
        <v>-550506.10947393812</v>
      </c>
      <c r="S215">
        <f t="shared" si="962"/>
        <v>-5.5050610947393812</v>
      </c>
      <c r="T215">
        <f t="shared" si="963"/>
        <v>-5.5050610947393816E-3</v>
      </c>
    </row>
    <row r="216" spans="1:20" x14ac:dyDescent="0.25">
      <c r="A216" s="5">
        <v>44377</v>
      </c>
      <c r="B216">
        <v>156.99</v>
      </c>
      <c r="C216">
        <v>158.22999999999999</v>
      </c>
      <c r="D216">
        <v>148.5</v>
      </c>
      <c r="E216">
        <v>155.83000000000001</v>
      </c>
      <c r="F216">
        <v>7246.1475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0.50668036998972665</v>
      </c>
      <c r="Q216">
        <f t="shared" si="960"/>
        <v>3671.4806963001329</v>
      </c>
      <c r="R216">
        <f t="shared" si="961"/>
        <v>-543695.30218284356</v>
      </c>
      <c r="S216">
        <f t="shared" si="962"/>
        <v>-5.4369530218284359</v>
      </c>
      <c r="T216">
        <f t="shared" si="963"/>
        <v>-5.4369530218284362E-3</v>
      </c>
    </row>
    <row r="217" spans="1:20" x14ac:dyDescent="0.25">
      <c r="A217" s="5">
        <v>44376</v>
      </c>
      <c r="B217">
        <v>150.87</v>
      </c>
      <c r="C217">
        <v>160.11000000000001</v>
      </c>
      <c r="D217">
        <v>146</v>
      </c>
      <c r="E217">
        <v>157.08000000000001</v>
      </c>
      <c r="F217">
        <v>8654.1007000000009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0.57051736357193505</v>
      </c>
      <c r="Q217">
        <f t="shared" si="960"/>
        <v>4937.3147154500384</v>
      </c>
      <c r="R217">
        <f t="shared" si="961"/>
        <v>-547366.78287914372</v>
      </c>
      <c r="S217">
        <f t="shared" si="962"/>
        <v>-5.4736678287914371</v>
      </c>
      <c r="T217">
        <f t="shared" si="963"/>
        <v>-5.4736678287914372E-3</v>
      </c>
    </row>
    <row r="218" spans="1:20" x14ac:dyDescent="0.25">
      <c r="A218" s="5">
        <v>44375</v>
      </c>
      <c r="B218">
        <v>145.51</v>
      </c>
      <c r="C218">
        <v>154.74</v>
      </c>
      <c r="D218">
        <v>144.63999999999999</v>
      </c>
      <c r="E218">
        <v>151.01</v>
      </c>
      <c r="F218">
        <v>7648.3887000000004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0.26138613861385945</v>
      </c>
      <c r="Q218">
        <f t="shared" si="960"/>
        <v>1999.1827889108765</v>
      </c>
      <c r="R218">
        <f t="shared" si="961"/>
        <v>-552304.09759459377</v>
      </c>
      <c r="S218">
        <f t="shared" si="962"/>
        <v>-5.5230409759459373</v>
      </c>
      <c r="T218">
        <f t="shared" si="963"/>
        <v>-5.5230409759459377E-3</v>
      </c>
    </row>
    <row r="219" spans="1:20" x14ac:dyDescent="0.25">
      <c r="A219" s="5">
        <v>44374</v>
      </c>
      <c r="B219">
        <v>142.71</v>
      </c>
      <c r="C219">
        <v>146.1</v>
      </c>
      <c r="D219">
        <v>141.1</v>
      </c>
      <c r="E219">
        <v>145.63999999999999</v>
      </c>
      <c r="F219">
        <v>4598.4942000000001</v>
      </c>
      <c r="G219">
        <v>0</v>
      </c>
      <c r="L219" t="s">
        <v>7</v>
      </c>
      <c r="M219" t="s">
        <v>8</v>
      </c>
      <c r="N219" t="s">
        <v>7</v>
      </c>
      <c r="P219">
        <f t="shared" si="959"/>
        <v>0.81599999999999684</v>
      </c>
      <c r="Q219">
        <f t="shared" si="960"/>
        <v>3752.3712671999856</v>
      </c>
      <c r="R219">
        <f t="shared" si="961"/>
        <v>-554303.28038350469</v>
      </c>
      <c r="S219">
        <f t="shared" si="962"/>
        <v>-5.5430328038350467</v>
      </c>
      <c r="T219">
        <f t="shared" si="963"/>
        <v>-5.543032803835047E-3</v>
      </c>
    </row>
    <row r="220" spans="1:20" x14ac:dyDescent="0.25">
      <c r="A220" s="5">
        <v>44373</v>
      </c>
      <c r="B220">
        <v>140.63</v>
      </c>
      <c r="C220">
        <v>148</v>
      </c>
      <c r="D220">
        <v>136.47999999999999</v>
      </c>
      <c r="E220">
        <v>142.69999999999999</v>
      </c>
      <c r="F220">
        <v>6261.4044999999996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7.9861111111109953E-2</v>
      </c>
      <c r="Q220">
        <f t="shared" si="960"/>
        <v>500.0427204861038</v>
      </c>
      <c r="R220">
        <f t="shared" si="961"/>
        <v>-558055.65165070468</v>
      </c>
      <c r="S220">
        <f t="shared" si="962"/>
        <v>-5.5805565165070465</v>
      </c>
      <c r="T220">
        <f t="shared" si="963"/>
        <v>-5.5805565165070467E-3</v>
      </c>
    </row>
    <row r="221" spans="1:20" x14ac:dyDescent="0.25">
      <c r="A221" s="5">
        <v>44372</v>
      </c>
      <c r="B221">
        <v>148.29</v>
      </c>
      <c r="C221">
        <v>158.44</v>
      </c>
      <c r="D221">
        <v>140.4</v>
      </c>
      <c r="E221">
        <v>140.63</v>
      </c>
      <c r="F221">
        <v>11166.0548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-0.97450110864745121</v>
      </c>
      <c r="Q221">
        <f t="shared" si="960"/>
        <v>-10881.332781818193</v>
      </c>
      <c r="R221">
        <f t="shared" si="961"/>
        <v>-558555.69437119074</v>
      </c>
      <c r="S221">
        <f t="shared" si="962"/>
        <v>-5.5855569437119073</v>
      </c>
      <c r="T221">
        <f t="shared" si="963"/>
        <v>-5.5855569437119074E-3</v>
      </c>
    </row>
    <row r="222" spans="1:20" x14ac:dyDescent="0.25">
      <c r="A222" s="5">
        <v>44371</v>
      </c>
      <c r="B222">
        <v>142.04</v>
      </c>
      <c r="C222">
        <v>151.81</v>
      </c>
      <c r="D222">
        <v>140.06</v>
      </c>
      <c r="E222">
        <v>148.13</v>
      </c>
      <c r="F222">
        <v>6664.1345000000001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0.37361702127659457</v>
      </c>
      <c r="Q222">
        <f t="shared" si="960"/>
        <v>2489.8340812765878</v>
      </c>
      <c r="R222">
        <f t="shared" si="961"/>
        <v>-547674.36158937251</v>
      </c>
      <c r="S222">
        <f t="shared" si="962"/>
        <v>-5.4767436158937253</v>
      </c>
      <c r="T222">
        <f t="shared" si="963"/>
        <v>-5.476743615893725E-3</v>
      </c>
    </row>
    <row r="223" spans="1:20" x14ac:dyDescent="0.25">
      <c r="A223" s="5">
        <v>44370</v>
      </c>
      <c r="B223">
        <v>130.32</v>
      </c>
      <c r="C223">
        <v>149.11000000000001</v>
      </c>
      <c r="D223">
        <v>130</v>
      </c>
      <c r="E223">
        <v>142.04</v>
      </c>
      <c r="F223">
        <v>9841.2433999999994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0.26007326007325832</v>
      </c>
      <c r="Q223">
        <f t="shared" si="960"/>
        <v>2559.4442542124366</v>
      </c>
      <c r="R223">
        <f t="shared" si="961"/>
        <v>-550164.19567064906</v>
      </c>
      <c r="S223">
        <f t="shared" si="962"/>
        <v>-5.5016419567064903</v>
      </c>
      <c r="T223">
        <f t="shared" si="963"/>
        <v>-5.5016419567064899E-3</v>
      </c>
    </row>
    <row r="224" spans="1:20" x14ac:dyDescent="0.25">
      <c r="A224" s="5">
        <v>44369</v>
      </c>
      <c r="B224">
        <v>129.22</v>
      </c>
      <c r="C224">
        <v>132.80000000000001</v>
      </c>
      <c r="D224">
        <v>121.42</v>
      </c>
      <c r="E224">
        <v>130.09</v>
      </c>
      <c r="F224">
        <v>14431.069799999999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0.52372583479789003</v>
      </c>
      <c r="Q224">
        <f t="shared" si="960"/>
        <v>7557.9240780316195</v>
      </c>
      <c r="R224">
        <f t="shared" si="961"/>
        <v>-552723.63992486149</v>
      </c>
      <c r="S224">
        <f t="shared" si="962"/>
        <v>-5.5272363992486149</v>
      </c>
      <c r="T224">
        <f t="shared" si="963"/>
        <v>-5.5272363992486147E-3</v>
      </c>
    </row>
    <row r="225" spans="1:20" x14ac:dyDescent="0.25">
      <c r="A225" s="5">
        <v>44368</v>
      </c>
      <c r="B225">
        <v>144.58000000000001</v>
      </c>
      <c r="C225">
        <v>145.47999999999999</v>
      </c>
      <c r="D225">
        <v>127.7</v>
      </c>
      <c r="E225">
        <v>129.21</v>
      </c>
      <c r="F225">
        <v>17545.8024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-0.83014623172103419</v>
      </c>
      <c r="Q225">
        <f t="shared" si="960"/>
        <v>-14565.581744881878</v>
      </c>
      <c r="R225">
        <f t="shared" si="961"/>
        <v>-560281.56400289317</v>
      </c>
      <c r="S225">
        <f t="shared" si="962"/>
        <v>-5.6028156400289317</v>
      </c>
      <c r="T225">
        <f t="shared" si="963"/>
        <v>-5.6028156400289315E-3</v>
      </c>
    </row>
    <row r="226" spans="1:20" x14ac:dyDescent="0.25">
      <c r="A226" s="5">
        <v>44367</v>
      </c>
      <c r="B226">
        <v>138.44999999999999</v>
      </c>
      <c r="C226">
        <v>145.99</v>
      </c>
      <c r="D226">
        <v>134.93</v>
      </c>
      <c r="E226">
        <v>144.52000000000001</v>
      </c>
      <c r="F226">
        <v>8213.4567000000006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0.73417721518987367</v>
      </c>
      <c r="Q226">
        <f t="shared" si="960"/>
        <v>6030.1327670886103</v>
      </c>
      <c r="R226">
        <f t="shared" si="961"/>
        <v>-545715.98225801124</v>
      </c>
      <c r="S226">
        <f t="shared" si="962"/>
        <v>-5.4571598225801123</v>
      </c>
      <c r="T226">
        <f t="shared" si="963"/>
        <v>-5.4571598225801122E-3</v>
      </c>
    </row>
    <row r="227" spans="1:20" x14ac:dyDescent="0.25">
      <c r="A227" s="5">
        <v>44366</v>
      </c>
      <c r="B227">
        <v>145.55000000000001</v>
      </c>
      <c r="C227">
        <v>146.41</v>
      </c>
      <c r="D227">
        <v>137.51</v>
      </c>
      <c r="E227">
        <v>138.63999999999999</v>
      </c>
      <c r="F227">
        <v>6824.9222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-0.7460674157303383</v>
      </c>
      <c r="Q227">
        <f t="shared" si="960"/>
        <v>-5091.8520683146153</v>
      </c>
      <c r="R227">
        <f t="shared" si="961"/>
        <v>-551746.11502509983</v>
      </c>
      <c r="S227">
        <f t="shared" si="962"/>
        <v>-5.5174611502509983</v>
      </c>
      <c r="T227">
        <f t="shared" si="963"/>
        <v>-5.5174611502509987E-3</v>
      </c>
    </row>
    <row r="228" spans="1:20" x14ac:dyDescent="0.25">
      <c r="A228" s="5">
        <v>44365</v>
      </c>
      <c r="B228">
        <v>155.82</v>
      </c>
      <c r="C228">
        <v>163.28</v>
      </c>
      <c r="D228">
        <v>145.25</v>
      </c>
      <c r="E228">
        <v>145.58000000000001</v>
      </c>
      <c r="F228">
        <v>8861.1870999999992</v>
      </c>
      <c r="G228">
        <v>0</v>
      </c>
      <c r="L228" t="s">
        <v>7</v>
      </c>
      <c r="M228" t="s">
        <v>8</v>
      </c>
      <c r="N228" t="s">
        <v>8</v>
      </c>
      <c r="P228">
        <f t="shared" si="959"/>
        <v>-0.96339434276206182</v>
      </c>
      <c r="Q228">
        <f t="shared" si="960"/>
        <v>-8536.81752229616</v>
      </c>
      <c r="R228">
        <f t="shared" si="961"/>
        <v>-546654.26295678527</v>
      </c>
      <c r="S228">
        <f t="shared" si="962"/>
        <v>-5.4665426295678525</v>
      </c>
      <c r="T228">
        <f t="shared" si="963"/>
        <v>-5.4665426295678523E-3</v>
      </c>
    </row>
    <row r="229" spans="1:20" x14ac:dyDescent="0.25">
      <c r="A229" s="5">
        <v>44364</v>
      </c>
      <c r="B229">
        <v>164.78</v>
      </c>
      <c r="C229">
        <v>169.75</v>
      </c>
      <c r="D229">
        <v>155.19999999999999</v>
      </c>
      <c r="E229">
        <v>156.13999999999999</v>
      </c>
      <c r="F229">
        <v>11829.405699999999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-0.87079037800687331</v>
      </c>
      <c r="Q229">
        <f t="shared" si="960"/>
        <v>-10300.932661099661</v>
      </c>
      <c r="R229">
        <f t="shared" si="961"/>
        <v>-538117.44543448905</v>
      </c>
      <c r="S229">
        <f t="shared" si="962"/>
        <v>-5.3811744543448903</v>
      </c>
      <c r="T229">
        <f t="shared" si="963"/>
        <v>-5.3811744543448906E-3</v>
      </c>
    </row>
    <row r="230" spans="1:20" x14ac:dyDescent="0.25">
      <c r="A230" s="5">
        <v>44363</v>
      </c>
      <c r="B230">
        <v>166.88</v>
      </c>
      <c r="C230">
        <v>171.63</v>
      </c>
      <c r="D230">
        <v>163.76</v>
      </c>
      <c r="E230">
        <v>164.79</v>
      </c>
      <c r="F230">
        <v>12385.5949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-0.73824650571791595</v>
      </c>
      <c r="Q230">
        <f t="shared" si="960"/>
        <v>-9143.6221561626407</v>
      </c>
      <c r="R230">
        <f t="shared" si="961"/>
        <v>-527816.51277338935</v>
      </c>
      <c r="S230">
        <f t="shared" si="962"/>
        <v>-5.2781651277338932</v>
      </c>
      <c r="T230">
        <f t="shared" si="963"/>
        <v>-5.2781651277338934E-3</v>
      </c>
    </row>
    <row r="231" spans="1:20" x14ac:dyDescent="0.25">
      <c r="A231" s="5">
        <v>44362</v>
      </c>
      <c r="B231">
        <v>170.04</v>
      </c>
      <c r="C231">
        <v>172.99</v>
      </c>
      <c r="D231">
        <v>164.57</v>
      </c>
      <c r="E231">
        <v>166.91</v>
      </c>
      <c r="F231">
        <v>9355.8495999999996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-0.44418052256532092</v>
      </c>
      <c r="Q231">
        <f t="shared" si="960"/>
        <v>-4155.6861643705488</v>
      </c>
      <c r="R231">
        <f t="shared" si="961"/>
        <v>-518672.89061722666</v>
      </c>
      <c r="S231">
        <f t="shared" si="962"/>
        <v>-5.1867289061722666</v>
      </c>
      <c r="T231">
        <f t="shared" si="963"/>
        <v>-5.1867289061722664E-3</v>
      </c>
    </row>
    <row r="232" spans="1:20" x14ac:dyDescent="0.25">
      <c r="A232" s="5">
        <v>44361</v>
      </c>
      <c r="B232">
        <v>169.16</v>
      </c>
      <c r="C232">
        <v>173.75</v>
      </c>
      <c r="D232">
        <v>162.38999999999999</v>
      </c>
      <c r="E232">
        <v>170.02</v>
      </c>
      <c r="F232">
        <v>14976.806200000001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0.34330985915493217</v>
      </c>
      <c r="Q232">
        <f t="shared" si="960"/>
        <v>5141.6852271127154</v>
      </c>
      <c r="R232">
        <f t="shared" si="961"/>
        <v>-514517.20445285609</v>
      </c>
      <c r="S232">
        <f t="shared" si="962"/>
        <v>-5.1451720445285609</v>
      </c>
      <c r="T232">
        <f t="shared" si="963"/>
        <v>-5.1451720445285613E-3</v>
      </c>
    </row>
    <row r="233" spans="1:20" x14ac:dyDescent="0.25">
      <c r="A233" s="5">
        <v>44360</v>
      </c>
      <c r="B233">
        <v>144.31</v>
      </c>
      <c r="C233">
        <v>171.41</v>
      </c>
      <c r="D233">
        <v>144.12</v>
      </c>
      <c r="E233">
        <v>168.94</v>
      </c>
      <c r="F233">
        <v>15772.520699999999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0.81898131183583733</v>
      </c>
      <c r="Q233">
        <f t="shared" si="960"/>
        <v>12917.3996938439</v>
      </c>
      <c r="R233">
        <f t="shared" si="961"/>
        <v>-519658.88967996882</v>
      </c>
      <c r="S233">
        <f t="shared" si="962"/>
        <v>-5.1965888967996881</v>
      </c>
      <c r="T233">
        <f t="shared" si="963"/>
        <v>-5.1965888967996877E-3</v>
      </c>
    </row>
    <row r="234" spans="1:20" x14ac:dyDescent="0.25">
      <c r="A234" s="5">
        <v>44359</v>
      </c>
      <c r="B234">
        <v>150.05000000000001</v>
      </c>
      <c r="C234">
        <v>150.33000000000001</v>
      </c>
      <c r="D234">
        <v>132.1</v>
      </c>
      <c r="E234">
        <v>144.03</v>
      </c>
      <c r="F234">
        <v>16567.220099999999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0.30883159626988427</v>
      </c>
      <c r="Q234">
        <f t="shared" si="960"/>
        <v>5116.4810292375114</v>
      </c>
      <c r="R234">
        <f t="shared" si="961"/>
        <v>-532576.28937381273</v>
      </c>
      <c r="S234">
        <f t="shared" si="962"/>
        <v>-5.3257628937381272</v>
      </c>
      <c r="T234">
        <f t="shared" si="963"/>
        <v>-5.3257628937381273E-3</v>
      </c>
    </row>
    <row r="235" spans="1:20" x14ac:dyDescent="0.25">
      <c r="A235" s="5">
        <v>44358</v>
      </c>
      <c r="B235">
        <v>152.93</v>
      </c>
      <c r="C235">
        <v>155</v>
      </c>
      <c r="D235">
        <v>140.31</v>
      </c>
      <c r="E235">
        <v>150.01</v>
      </c>
      <c r="F235">
        <v>14014.3056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0.32062627637848745</v>
      </c>
      <c r="Q235">
        <f t="shared" si="960"/>
        <v>4493.3546205581843</v>
      </c>
      <c r="R235">
        <f t="shared" si="961"/>
        <v>-537692.77040305024</v>
      </c>
      <c r="S235">
        <f t="shared" si="962"/>
        <v>-5.3769277040305026</v>
      </c>
      <c r="T235">
        <f t="shared" si="963"/>
        <v>-5.3769277040305024E-3</v>
      </c>
    </row>
    <row r="236" spans="1:20" x14ac:dyDescent="0.25">
      <c r="A236" s="5">
        <v>44357</v>
      </c>
      <c r="B236">
        <v>161.49</v>
      </c>
      <c r="C236">
        <v>165.1</v>
      </c>
      <c r="D236">
        <v>150.5</v>
      </c>
      <c r="E236">
        <v>153.33000000000001</v>
      </c>
      <c r="F236">
        <v>10608.749900000001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-0.61232876712328577</v>
      </c>
      <c r="Q236">
        <f t="shared" si="960"/>
        <v>-6496.0427469862816</v>
      </c>
      <c r="R236">
        <f t="shared" si="961"/>
        <v>-542186.12502360845</v>
      </c>
      <c r="S236">
        <f t="shared" si="962"/>
        <v>-5.4218612502360841</v>
      </c>
      <c r="T236">
        <f t="shared" si="963"/>
        <v>-5.4218612502360845E-3</v>
      </c>
    </row>
    <row r="237" spans="1:20" x14ac:dyDescent="0.25">
      <c r="A237" s="5">
        <v>44356</v>
      </c>
      <c r="B237">
        <v>157.07</v>
      </c>
      <c r="C237">
        <v>178</v>
      </c>
      <c r="D237">
        <v>154.81</v>
      </c>
      <c r="E237">
        <v>161.68</v>
      </c>
      <c r="F237">
        <v>17728.320800000001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-0.40750323415265155</v>
      </c>
      <c r="Q237">
        <f t="shared" si="960"/>
        <v>-7224.3480620957234</v>
      </c>
      <c r="R237">
        <f t="shared" si="961"/>
        <v>-535690.08227662218</v>
      </c>
      <c r="S237">
        <f t="shared" si="962"/>
        <v>-5.3569008227662218</v>
      </c>
      <c r="T237">
        <f t="shared" si="963"/>
        <v>-5.3569008227662218E-3</v>
      </c>
    </row>
    <row r="238" spans="1:20" x14ac:dyDescent="0.25">
      <c r="A238" s="5">
        <v>44355</v>
      </c>
      <c r="B238">
        <v>163.12</v>
      </c>
      <c r="C238">
        <v>163.28</v>
      </c>
      <c r="D238">
        <v>143.33000000000001</v>
      </c>
      <c r="E238">
        <v>157.06</v>
      </c>
      <c r="F238">
        <v>15592.847299999999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0.37644110275689197</v>
      </c>
      <c r="Q238">
        <f t="shared" si="960"/>
        <v>5869.7886327318256</v>
      </c>
      <c r="R238">
        <f t="shared" si="961"/>
        <v>-528465.73421452648</v>
      </c>
      <c r="S238">
        <f t="shared" si="962"/>
        <v>-5.2846573421452652</v>
      </c>
      <c r="T238">
        <f t="shared" si="963"/>
        <v>-5.2846573421452651E-3</v>
      </c>
    </row>
    <row r="239" spans="1:20" x14ac:dyDescent="0.25">
      <c r="A239" s="5">
        <v>44354</v>
      </c>
      <c r="B239">
        <v>170.24</v>
      </c>
      <c r="C239">
        <v>174.79</v>
      </c>
      <c r="D239">
        <v>155.55000000000001</v>
      </c>
      <c r="E239">
        <v>163.12</v>
      </c>
      <c r="F239">
        <v>19233.990000000002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-0.21309771309771303</v>
      </c>
      <c r="Q239">
        <f t="shared" si="960"/>
        <v>-4098.7192827442814</v>
      </c>
      <c r="R239">
        <f t="shared" si="961"/>
        <v>-534335.52284725825</v>
      </c>
      <c r="S239">
        <f t="shared" si="962"/>
        <v>-5.3433552284725829</v>
      </c>
      <c r="T239">
        <f t="shared" si="963"/>
        <v>-5.343355228472583E-3</v>
      </c>
    </row>
    <row r="240" spans="1:20" x14ac:dyDescent="0.25">
      <c r="A240" s="5">
        <v>44353</v>
      </c>
      <c r="B240">
        <v>167.6</v>
      </c>
      <c r="C240">
        <v>173.9</v>
      </c>
      <c r="D240">
        <v>165.33</v>
      </c>
      <c r="E240">
        <v>170.24</v>
      </c>
      <c r="F240">
        <v>9540.7972000000009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0.1458576429404902</v>
      </c>
      <c r="Q240">
        <f t="shared" si="960"/>
        <v>1391.5981913652288</v>
      </c>
      <c r="R240">
        <f t="shared" si="961"/>
        <v>-530236.80356451392</v>
      </c>
      <c r="S240">
        <f t="shared" si="962"/>
        <v>-5.3023680356451388</v>
      </c>
      <c r="T240">
        <f t="shared" si="963"/>
        <v>-5.3023680356451388E-3</v>
      </c>
    </row>
    <row r="241" spans="1:20" x14ac:dyDescent="0.25">
      <c r="A241" s="5">
        <v>44352</v>
      </c>
      <c r="B241">
        <v>172.25</v>
      </c>
      <c r="C241">
        <v>174.55</v>
      </c>
      <c r="D241">
        <v>164</v>
      </c>
      <c r="E241">
        <v>167.6</v>
      </c>
      <c r="F241">
        <v>11903.348099999999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-0.31753554502369852</v>
      </c>
      <c r="Q241">
        <f t="shared" si="960"/>
        <v>-3779.736126540306</v>
      </c>
      <c r="R241">
        <f t="shared" si="961"/>
        <v>-531628.40175587917</v>
      </c>
      <c r="S241">
        <f t="shared" si="962"/>
        <v>-5.3162840175587913</v>
      </c>
      <c r="T241">
        <f t="shared" si="963"/>
        <v>-5.3162840175587913E-3</v>
      </c>
    </row>
    <row r="242" spans="1:20" x14ac:dyDescent="0.25">
      <c r="A242" s="5">
        <v>44351</v>
      </c>
      <c r="B242">
        <v>167.6</v>
      </c>
      <c r="C242">
        <v>174.98</v>
      </c>
      <c r="D242">
        <v>160</v>
      </c>
      <c r="E242">
        <v>172.56</v>
      </c>
      <c r="F242">
        <v>24627.621800000001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0.67690253671562228</v>
      </c>
      <c r="Q242">
        <f t="shared" si="960"/>
        <v>16670.499669692959</v>
      </c>
      <c r="R242">
        <f t="shared" si="961"/>
        <v>-527848.66562933882</v>
      </c>
      <c r="S242">
        <f t="shared" si="962"/>
        <v>-5.2784866562933885</v>
      </c>
      <c r="T242">
        <f t="shared" si="963"/>
        <v>-5.2784866562933883E-3</v>
      </c>
    </row>
    <row r="243" spans="1:20" x14ac:dyDescent="0.25">
      <c r="A243" s="5">
        <v>44350</v>
      </c>
      <c r="B243">
        <v>154.15</v>
      </c>
      <c r="C243">
        <v>175.39</v>
      </c>
      <c r="D243">
        <v>149.1</v>
      </c>
      <c r="E243">
        <v>167.39</v>
      </c>
      <c r="F243">
        <v>25927.4267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0.39140357550399374</v>
      </c>
      <c r="Q243">
        <f t="shared" si="960"/>
        <v>10148.087513997712</v>
      </c>
      <c r="R243">
        <f t="shared" si="961"/>
        <v>-544519.16529903177</v>
      </c>
      <c r="S243">
        <f t="shared" si="962"/>
        <v>-5.4451916529903173</v>
      </c>
      <c r="T243">
        <f t="shared" si="963"/>
        <v>-5.4451916529903175E-3</v>
      </c>
    </row>
    <row r="244" spans="1:20" x14ac:dyDescent="0.25">
      <c r="A244" s="5">
        <v>44349</v>
      </c>
      <c r="B244">
        <v>131.6</v>
      </c>
      <c r="C244">
        <v>160</v>
      </c>
      <c r="D244">
        <v>130.07</v>
      </c>
      <c r="E244">
        <v>153.97999999999999</v>
      </c>
      <c r="F244">
        <v>25120.141800000001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0.59772803207484071</v>
      </c>
      <c r="Q244">
        <f t="shared" si="960"/>
        <v>15015.012923554948</v>
      </c>
      <c r="R244">
        <f t="shared" si="961"/>
        <v>-554667.25281302945</v>
      </c>
      <c r="S244">
        <f t="shared" si="962"/>
        <v>-5.5466725281302942</v>
      </c>
      <c r="T244">
        <f t="shared" si="963"/>
        <v>-5.5466725281302946E-3</v>
      </c>
    </row>
    <row r="245" spans="1:20" x14ac:dyDescent="0.25">
      <c r="A245" s="5">
        <v>44348</v>
      </c>
      <c r="B245">
        <v>127.09</v>
      </c>
      <c r="C245">
        <v>136.02000000000001</v>
      </c>
      <c r="D245">
        <v>123.9</v>
      </c>
      <c r="E245">
        <v>131.72999999999999</v>
      </c>
      <c r="F245">
        <v>11227.963100000001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0.29207920792078895</v>
      </c>
      <c r="Q245">
        <f t="shared" si="960"/>
        <v>3279.4545688118465</v>
      </c>
      <c r="R245">
        <f t="shared" si="961"/>
        <v>-569682.26573658444</v>
      </c>
      <c r="S245">
        <f t="shared" si="962"/>
        <v>-5.6968226573658445</v>
      </c>
      <c r="T245">
        <f t="shared" si="963"/>
        <v>-5.6968226573658447E-3</v>
      </c>
    </row>
    <row r="246" spans="1:20" x14ac:dyDescent="0.25">
      <c r="A246" s="5">
        <v>44347</v>
      </c>
      <c r="B246">
        <v>123.94</v>
      </c>
      <c r="C246">
        <v>128.93</v>
      </c>
      <c r="D246">
        <v>116.71</v>
      </c>
      <c r="E246">
        <v>127.09</v>
      </c>
      <c r="F246">
        <v>8830.6785999999993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0.69885433715220924</v>
      </c>
      <c r="Q246">
        <f t="shared" si="960"/>
        <v>6171.3580396071984</v>
      </c>
      <c r="R246">
        <f t="shared" si="961"/>
        <v>-572961.72030539624</v>
      </c>
      <c r="S246">
        <f t="shared" si="962"/>
        <v>-5.7296172030539623</v>
      </c>
      <c r="T246">
        <f t="shared" si="963"/>
        <v>-5.7296172030539619E-3</v>
      </c>
    </row>
    <row r="247" spans="1:20" x14ac:dyDescent="0.25">
      <c r="A247" s="5">
        <v>44346</v>
      </c>
      <c r="B247">
        <v>111.01</v>
      </c>
      <c r="C247">
        <v>126.02</v>
      </c>
      <c r="D247">
        <v>110</v>
      </c>
      <c r="E247">
        <v>124.03</v>
      </c>
      <c r="F247">
        <v>10674.228300000001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0.75156054931335892</v>
      </c>
      <c r="Q247">
        <f t="shared" si="960"/>
        <v>8022.3288846442019</v>
      </c>
      <c r="R247">
        <f t="shared" si="961"/>
        <v>-579133.07834500342</v>
      </c>
      <c r="S247">
        <f t="shared" si="962"/>
        <v>-5.791330783450034</v>
      </c>
      <c r="T247">
        <f t="shared" si="963"/>
        <v>-5.7913307834500339E-3</v>
      </c>
    </row>
    <row r="248" spans="1:20" x14ac:dyDescent="0.25">
      <c r="A248" s="5">
        <v>44345</v>
      </c>
      <c r="B248">
        <v>115.47</v>
      </c>
      <c r="C248">
        <v>121.61</v>
      </c>
      <c r="D248">
        <v>110</v>
      </c>
      <c r="E248">
        <v>110.93</v>
      </c>
      <c r="F248">
        <v>12111.1039</v>
      </c>
      <c r="G248">
        <v>0</v>
      </c>
      <c r="L248" t="s">
        <v>8</v>
      </c>
      <c r="M248" t="s">
        <v>7</v>
      </c>
      <c r="N248" t="s">
        <v>8</v>
      </c>
      <c r="P248">
        <f t="shared" si="959"/>
        <v>-0.83979328165374556</v>
      </c>
      <c r="Q248">
        <f t="shared" si="960"/>
        <v>-10170.823688630477</v>
      </c>
      <c r="R248">
        <f t="shared" si="961"/>
        <v>-587155.40722964762</v>
      </c>
      <c r="S248">
        <f t="shared" si="962"/>
        <v>-5.8715540722964761</v>
      </c>
      <c r="T248">
        <f t="shared" si="963"/>
        <v>-5.8715540722964763E-3</v>
      </c>
    </row>
    <row r="249" spans="1:20" x14ac:dyDescent="0.25">
      <c r="A249" s="5">
        <v>44344</v>
      </c>
      <c r="B249">
        <v>120.76</v>
      </c>
      <c r="C249">
        <v>121.53</v>
      </c>
      <c r="D249">
        <v>107</v>
      </c>
      <c r="E249">
        <v>115.31</v>
      </c>
      <c r="F249">
        <v>20254.103200000001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0.14384033035099816</v>
      </c>
      <c r="Q249">
        <f t="shared" si="960"/>
        <v>2913.3568952512092</v>
      </c>
      <c r="R249">
        <f t="shared" si="961"/>
        <v>-576984.58354101714</v>
      </c>
      <c r="S249">
        <f t="shared" si="962"/>
        <v>-5.7698458354101714</v>
      </c>
      <c r="T249">
        <f t="shared" si="963"/>
        <v>-5.7698458354101716E-3</v>
      </c>
    </row>
    <row r="250" spans="1:20" x14ac:dyDescent="0.25">
      <c r="A250" s="5">
        <v>44343</v>
      </c>
      <c r="B250">
        <v>126.21</v>
      </c>
      <c r="C250">
        <v>126.29</v>
      </c>
      <c r="D250">
        <v>120.2</v>
      </c>
      <c r="E250">
        <v>120.87</v>
      </c>
      <c r="F250">
        <v>11124.4782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-0.77996715927750371</v>
      </c>
      <c r="Q250">
        <f t="shared" si="960"/>
        <v>-8676.7276600985169</v>
      </c>
      <c r="R250">
        <f t="shared" si="961"/>
        <v>-579897.94043626834</v>
      </c>
      <c r="S250">
        <f t="shared" si="962"/>
        <v>-5.798979404362683</v>
      </c>
      <c r="T250">
        <f t="shared" si="963"/>
        <v>-5.7989794043626832E-3</v>
      </c>
    </row>
    <row r="251" spans="1:20" x14ac:dyDescent="0.25">
      <c r="A251" s="5">
        <v>44342</v>
      </c>
      <c r="B251">
        <v>113.09</v>
      </c>
      <c r="C251">
        <v>129</v>
      </c>
      <c r="D251">
        <v>112.46</v>
      </c>
      <c r="E251">
        <v>126.21</v>
      </c>
      <c r="F251">
        <v>13266.0972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0.66263603385731495</v>
      </c>
      <c r="Q251">
        <f t="shared" si="960"/>
        <v>8790.5940333736307</v>
      </c>
      <c r="R251">
        <f t="shared" si="961"/>
        <v>-571221.21277616988</v>
      </c>
      <c r="S251">
        <f t="shared" si="962"/>
        <v>-5.7122121277616991</v>
      </c>
      <c r="T251">
        <f t="shared" si="963"/>
        <v>-5.7122121277616992E-3</v>
      </c>
    </row>
    <row r="252" spans="1:20" x14ac:dyDescent="0.25">
      <c r="A252" s="5">
        <v>44341</v>
      </c>
      <c r="B252">
        <v>113.96</v>
      </c>
      <c r="C252">
        <v>119.42</v>
      </c>
      <c r="D252">
        <v>108</v>
      </c>
      <c r="E252">
        <v>113.46</v>
      </c>
      <c r="F252">
        <v>10484.9092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-4.378283712784712E-2</v>
      </c>
      <c r="Q252">
        <f t="shared" si="960"/>
        <v>-459.05907180386583</v>
      </c>
      <c r="R252">
        <f t="shared" si="961"/>
        <v>-580011.80680954352</v>
      </c>
      <c r="S252">
        <f t="shared" si="962"/>
        <v>-5.8001180680954354</v>
      </c>
      <c r="T252">
        <f t="shared" si="963"/>
        <v>-5.8001180680954355E-3</v>
      </c>
    </row>
    <row r="253" spans="1:20" x14ac:dyDescent="0.25">
      <c r="A253" s="5">
        <v>44340</v>
      </c>
      <c r="B253">
        <v>97.85</v>
      </c>
      <c r="C253">
        <v>118.51</v>
      </c>
      <c r="D253">
        <v>96.82</v>
      </c>
      <c r="E253">
        <v>113.52</v>
      </c>
      <c r="F253">
        <v>18012.932000000001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0.53988012909174676</v>
      </c>
      <c r="Q253">
        <f t="shared" si="960"/>
        <v>9724.8240534808574</v>
      </c>
      <c r="R253">
        <f t="shared" si="961"/>
        <v>-579552.7477377397</v>
      </c>
      <c r="S253">
        <f t="shared" si="962"/>
        <v>-5.795527477377397</v>
      </c>
      <c r="T253">
        <f t="shared" si="963"/>
        <v>-5.7955274773773971E-3</v>
      </c>
    </row>
    <row r="254" spans="1:20" x14ac:dyDescent="0.25">
      <c r="A254" s="5">
        <v>44339</v>
      </c>
      <c r="B254">
        <v>104.41</v>
      </c>
      <c r="C254">
        <v>109.9</v>
      </c>
      <c r="D254">
        <v>87</v>
      </c>
      <c r="E254">
        <v>97.84</v>
      </c>
      <c r="F254">
        <v>20285.3128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-5.3275109170305611E-2</v>
      </c>
      <c r="Q254">
        <f t="shared" si="960"/>
        <v>-1080.7022539737977</v>
      </c>
      <c r="R254">
        <f t="shared" si="961"/>
        <v>-589277.57179122057</v>
      </c>
      <c r="S254">
        <f t="shared" si="962"/>
        <v>-5.8927757179122056</v>
      </c>
      <c r="T254">
        <f t="shared" si="963"/>
        <v>-5.8927757179122056E-3</v>
      </c>
    </row>
    <row r="255" spans="1:20" x14ac:dyDescent="0.25">
      <c r="A255" s="5">
        <v>44338</v>
      </c>
      <c r="B255">
        <v>112.56</v>
      </c>
      <c r="C255">
        <v>113.76</v>
      </c>
      <c r="D255">
        <v>103.47</v>
      </c>
      <c r="E255">
        <v>104.42</v>
      </c>
      <c r="F255">
        <v>14036.55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-0.81535471331389653</v>
      </c>
      <c r="Q255">
        <f t="shared" si="960"/>
        <v>-11444.767201166174</v>
      </c>
      <c r="R255">
        <f t="shared" si="961"/>
        <v>-588196.86953724676</v>
      </c>
      <c r="S255">
        <f t="shared" si="962"/>
        <v>-5.8819686953724677</v>
      </c>
      <c r="T255">
        <f t="shared" si="963"/>
        <v>-5.8819686953724675E-3</v>
      </c>
    </row>
    <row r="256" spans="1:20" x14ac:dyDescent="0.25">
      <c r="A256" s="5">
        <v>44337</v>
      </c>
      <c r="B256">
        <v>116.75</v>
      </c>
      <c r="C256">
        <v>122.3</v>
      </c>
      <c r="D256">
        <v>99</v>
      </c>
      <c r="E256">
        <v>113.29</v>
      </c>
      <c r="F256">
        <v>18533.315600000002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0.22660944206008651</v>
      </c>
      <c r="Q256">
        <f t="shared" si="960"/>
        <v>4199.8243076394983</v>
      </c>
      <c r="R256">
        <f t="shared" si="961"/>
        <v>-576752.10233608063</v>
      </c>
      <c r="S256">
        <f t="shared" si="962"/>
        <v>-5.7675210233608061</v>
      </c>
      <c r="T256">
        <f t="shared" si="963"/>
        <v>-5.7675210233608058E-3</v>
      </c>
    </row>
    <row r="257" spans="1:20" x14ac:dyDescent="0.25">
      <c r="A257" s="5">
        <v>44336</v>
      </c>
      <c r="B257">
        <v>98.69</v>
      </c>
      <c r="C257">
        <v>123</v>
      </c>
      <c r="D257">
        <v>92</v>
      </c>
      <c r="E257">
        <v>116.7</v>
      </c>
      <c r="F257">
        <v>17528.265200000002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0.59354838709677438</v>
      </c>
      <c r="Q257">
        <f t="shared" si="960"/>
        <v>10403.873538064521</v>
      </c>
      <c r="R257">
        <f t="shared" si="961"/>
        <v>-580951.92664372013</v>
      </c>
      <c r="S257">
        <f t="shared" si="962"/>
        <v>-5.8095192664372011</v>
      </c>
      <c r="T257">
        <f t="shared" si="963"/>
        <v>-5.8095192664372013E-3</v>
      </c>
    </row>
    <row r="258" spans="1:20" x14ac:dyDescent="0.25">
      <c r="A258" s="5">
        <v>44335</v>
      </c>
      <c r="B258">
        <v>142.34</v>
      </c>
      <c r="C258">
        <v>144.47</v>
      </c>
      <c r="D258">
        <v>95.76</v>
      </c>
      <c r="E258">
        <v>98.02</v>
      </c>
      <c r="F258">
        <v>46171.5821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-0.90720591254362593</v>
      </c>
      <c r="Q258">
        <f t="shared" si="960"/>
        <v>-41887.132272613446</v>
      </c>
      <c r="R258">
        <f t="shared" si="961"/>
        <v>-591355.80018178467</v>
      </c>
      <c r="S258">
        <f t="shared" si="962"/>
        <v>-5.9135580018178464</v>
      </c>
      <c r="T258">
        <f t="shared" si="963"/>
        <v>-5.9135580018178464E-3</v>
      </c>
    </row>
    <row r="259" spans="1:20" x14ac:dyDescent="0.25">
      <c r="A259" s="5">
        <v>44334</v>
      </c>
      <c r="B259">
        <v>123.11</v>
      </c>
      <c r="C259">
        <v>149.18</v>
      </c>
      <c r="D259">
        <v>123.11</v>
      </c>
      <c r="E259">
        <v>141.66999999999999</v>
      </c>
      <c r="F259">
        <v>29837.56</v>
      </c>
      <c r="G259">
        <v>0</v>
      </c>
      <c r="L259" t="s">
        <v>7</v>
      </c>
      <c r="M259" t="s">
        <v>7</v>
      </c>
      <c r="N259" t="s">
        <v>8</v>
      </c>
      <c r="P259">
        <f t="shared" si="959"/>
        <v>0.42385884158035925</v>
      </c>
      <c r="Q259">
        <f t="shared" si="960"/>
        <v>12646.913617184464</v>
      </c>
      <c r="R259">
        <f t="shared" si="961"/>
        <v>-549468.6679091712</v>
      </c>
      <c r="S259">
        <f t="shared" si="962"/>
        <v>-5.4946866790917124</v>
      </c>
      <c r="T259">
        <f t="shared" si="963"/>
        <v>-5.494686679091712E-3</v>
      </c>
    </row>
    <row r="260" spans="1:20" x14ac:dyDescent="0.25">
      <c r="A260" s="5">
        <v>44333</v>
      </c>
      <c r="B260">
        <v>138.28</v>
      </c>
      <c r="C260">
        <v>147.66</v>
      </c>
      <c r="D260">
        <v>121.01</v>
      </c>
      <c r="E260">
        <v>122.94</v>
      </c>
      <c r="F260">
        <v>25893.379499999999</v>
      </c>
      <c r="G260">
        <v>0</v>
      </c>
      <c r="L260" t="s">
        <v>8</v>
      </c>
      <c r="M260" t="s">
        <v>8</v>
      </c>
      <c r="N260" t="s">
        <v>8</v>
      </c>
      <c r="P260">
        <f t="shared" si="959"/>
        <v>-0.85515947467167031</v>
      </c>
      <c r="Q260">
        <f t="shared" si="960"/>
        <v>-22142.968810694198</v>
      </c>
      <c r="R260">
        <f t="shared" si="961"/>
        <v>-562115.5815263557</v>
      </c>
      <c r="S260">
        <f t="shared" si="962"/>
        <v>-5.621155815263557</v>
      </c>
      <c r="T260">
        <f t="shared" si="963"/>
        <v>-5.6211558152635573E-3</v>
      </c>
    </row>
    <row r="261" spans="1:20" x14ac:dyDescent="0.25">
      <c r="A261" s="5">
        <v>44332</v>
      </c>
      <c r="B261">
        <v>128.6</v>
      </c>
      <c r="C261">
        <v>151</v>
      </c>
      <c r="D261">
        <v>120.1</v>
      </c>
      <c r="E261">
        <v>138.21</v>
      </c>
      <c r="F261">
        <v>27289.019400000001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0.17216828478964469</v>
      </c>
      <c r="Q261">
        <f t="shared" si="960"/>
        <v>4698.3036636893394</v>
      </c>
      <c r="R261">
        <f t="shared" si="961"/>
        <v>-539972.61271566153</v>
      </c>
      <c r="S261">
        <f t="shared" si="962"/>
        <v>-5.3997261271566153</v>
      </c>
      <c r="T261">
        <f t="shared" si="963"/>
        <v>-5.3997261271566156E-3</v>
      </c>
    </row>
    <row r="262" spans="1:20" x14ac:dyDescent="0.25">
      <c r="A262" s="5">
        <v>44331</v>
      </c>
      <c r="B262">
        <v>138</v>
      </c>
      <c r="C262">
        <v>170</v>
      </c>
      <c r="D262">
        <v>126.03</v>
      </c>
      <c r="E262">
        <v>128.78</v>
      </c>
      <c r="F262">
        <v>46904.155700000003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-0.87491471457812142</v>
      </c>
      <c r="Q262">
        <f t="shared" ref="Q262:Q325" si="965">F262*P262</f>
        <v>-41037.135996793273</v>
      </c>
      <c r="R262">
        <f t="shared" ref="R262:R325" si="966">R263+Q262</f>
        <v>-544670.91637935082</v>
      </c>
      <c r="S262">
        <f t="shared" ref="S262:S325" si="967">R262/100000</f>
        <v>-5.4467091637935079</v>
      </c>
      <c r="T262">
        <f t="shared" ref="T262:T325" si="968">S262/1000</f>
        <v>-5.4467091637935075E-3</v>
      </c>
    </row>
    <row r="263" spans="1:20" x14ac:dyDescent="0.25">
      <c r="A263" s="5">
        <v>44330</v>
      </c>
      <c r="B263">
        <v>116.23</v>
      </c>
      <c r="C263">
        <v>140</v>
      </c>
      <c r="D263">
        <v>115.16</v>
      </c>
      <c r="E263">
        <v>138.18</v>
      </c>
      <c r="F263">
        <v>15653.214900000001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0.85346215780998447</v>
      </c>
      <c r="Q263">
        <f t="shared" si="965"/>
        <v>13359.426565217402</v>
      </c>
      <c r="R263">
        <f t="shared" si="966"/>
        <v>-503633.78038255754</v>
      </c>
      <c r="S263">
        <f t="shared" si="967"/>
        <v>-5.0363378038255755</v>
      </c>
      <c r="T263">
        <f t="shared" si="968"/>
        <v>-5.0363378038255757E-3</v>
      </c>
    </row>
    <row r="264" spans="1:20" x14ac:dyDescent="0.25">
      <c r="A264" s="5">
        <v>44329</v>
      </c>
      <c r="B264">
        <v>114.98</v>
      </c>
      <c r="C264">
        <v>141.79</v>
      </c>
      <c r="D264">
        <v>109.2</v>
      </c>
      <c r="E264">
        <v>115.77</v>
      </c>
      <c r="F264">
        <v>28461.875899999999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-0.59680883706658516</v>
      </c>
      <c r="Q264">
        <f t="shared" si="965"/>
        <v>-16986.299056612468</v>
      </c>
      <c r="R264">
        <f t="shared" si="966"/>
        <v>-516993.20694777492</v>
      </c>
      <c r="S264">
        <f t="shared" si="967"/>
        <v>-5.1699320694777491</v>
      </c>
      <c r="T264">
        <f t="shared" si="968"/>
        <v>-5.1699320694777494E-3</v>
      </c>
    </row>
    <row r="265" spans="1:20" x14ac:dyDescent="0.25">
      <c r="A265" s="5">
        <v>44328</v>
      </c>
      <c r="B265">
        <v>129.72999999999999</v>
      </c>
      <c r="C265">
        <v>150</v>
      </c>
      <c r="D265">
        <v>114.05</v>
      </c>
      <c r="E265">
        <v>114.57</v>
      </c>
      <c r="F265">
        <v>50645.0334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-0.97107093184979165</v>
      </c>
      <c r="Q265">
        <f t="shared" si="965"/>
        <v>-49179.919777301824</v>
      </c>
      <c r="R265">
        <f t="shared" si="966"/>
        <v>-500006.90789116244</v>
      </c>
      <c r="S265">
        <f t="shared" si="967"/>
        <v>-5.0000690789116247</v>
      </c>
      <c r="T265">
        <f t="shared" si="968"/>
        <v>-5.0000690789116248E-3</v>
      </c>
    </row>
    <row r="266" spans="1:20" x14ac:dyDescent="0.25">
      <c r="A266" s="5">
        <v>44327</v>
      </c>
      <c r="B266">
        <v>115.8</v>
      </c>
      <c r="C266">
        <v>137.52000000000001</v>
      </c>
      <c r="D266">
        <v>105.2</v>
      </c>
      <c r="E266">
        <v>130.41999999999999</v>
      </c>
      <c r="F266">
        <v>27466.525399999999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0.56064356435643437</v>
      </c>
      <c r="Q266">
        <f t="shared" si="965"/>
        <v>15398.930700742538</v>
      </c>
      <c r="R266">
        <f t="shared" si="966"/>
        <v>-450826.9881138606</v>
      </c>
      <c r="S266">
        <f t="shared" si="967"/>
        <v>-4.5082698811386059</v>
      </c>
      <c r="T266">
        <f t="shared" si="968"/>
        <v>-4.5082698811386062E-3</v>
      </c>
    </row>
    <row r="267" spans="1:20" x14ac:dyDescent="0.25">
      <c r="A267" s="5">
        <v>44326</v>
      </c>
      <c r="B267">
        <v>133.54</v>
      </c>
      <c r="C267">
        <v>139.56</v>
      </c>
      <c r="D267">
        <v>114.03</v>
      </c>
      <c r="E267">
        <v>115.76</v>
      </c>
      <c r="F267">
        <v>19614.928199999998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-0.86447316882099456</v>
      </c>
      <c r="Q267">
        <f t="shared" si="965"/>
        <v>-16956.579137250286</v>
      </c>
      <c r="R267">
        <f t="shared" si="966"/>
        <v>-466225.91881460312</v>
      </c>
      <c r="S267">
        <f t="shared" si="967"/>
        <v>-4.6622591881460309</v>
      </c>
      <c r="T267">
        <f t="shared" si="968"/>
        <v>-4.6622591881460311E-3</v>
      </c>
    </row>
    <row r="268" spans="1:20" x14ac:dyDescent="0.25">
      <c r="A268" s="5">
        <v>44325</v>
      </c>
      <c r="B268">
        <v>137.59</v>
      </c>
      <c r="C268">
        <v>139.99</v>
      </c>
      <c r="D268">
        <v>129.13</v>
      </c>
      <c r="E268">
        <v>133.04</v>
      </c>
      <c r="F268">
        <v>13106.834500000001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-0.27992633517495547</v>
      </c>
      <c r="Q268">
        <f t="shared" si="965"/>
        <v>-3668.9481473296701</v>
      </c>
      <c r="R268">
        <f t="shared" si="966"/>
        <v>-449269.33967735287</v>
      </c>
      <c r="S268">
        <f t="shared" si="967"/>
        <v>-4.4926933967735287</v>
      </c>
      <c r="T268">
        <f t="shared" si="968"/>
        <v>-4.4926933967735288E-3</v>
      </c>
    </row>
    <row r="269" spans="1:20" x14ac:dyDescent="0.25">
      <c r="A269" s="5">
        <v>44324</v>
      </c>
      <c r="B269">
        <v>137.94999999999999</v>
      </c>
      <c r="C269">
        <v>146.69999999999999</v>
      </c>
      <c r="D269">
        <v>133.96</v>
      </c>
      <c r="E269">
        <v>138.26</v>
      </c>
      <c r="F269">
        <v>18492.524000000001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-0.32496075353218373</v>
      </c>
      <c r="Q269">
        <f t="shared" si="965"/>
        <v>-6009.3445337519925</v>
      </c>
      <c r="R269">
        <f t="shared" si="966"/>
        <v>-445600.39153002319</v>
      </c>
      <c r="S269">
        <f t="shared" si="967"/>
        <v>-4.456003915300232</v>
      </c>
      <c r="T269">
        <f t="shared" si="968"/>
        <v>-4.4560039153002324E-3</v>
      </c>
    </row>
    <row r="270" spans="1:20" x14ac:dyDescent="0.25">
      <c r="A270" s="5">
        <v>44323</v>
      </c>
      <c r="B270">
        <v>133.36000000000001</v>
      </c>
      <c r="C270">
        <v>150.76</v>
      </c>
      <c r="D270">
        <v>131.1</v>
      </c>
      <c r="E270">
        <v>138.57</v>
      </c>
      <c r="F270">
        <v>23917.926100000001</v>
      </c>
      <c r="G270">
        <v>0</v>
      </c>
      <c r="L270" t="s">
        <v>8</v>
      </c>
      <c r="M270" t="s">
        <v>7</v>
      </c>
      <c r="N270" t="s">
        <v>7</v>
      </c>
      <c r="P270">
        <f t="shared" si="964"/>
        <v>-0.24008138351983721</v>
      </c>
      <c r="Q270">
        <f t="shared" si="965"/>
        <v>-5742.2487890132243</v>
      </c>
      <c r="R270">
        <f t="shared" si="966"/>
        <v>-439591.04699627118</v>
      </c>
      <c r="S270">
        <f t="shared" si="967"/>
        <v>-4.3959104699627121</v>
      </c>
      <c r="T270">
        <f t="shared" si="968"/>
        <v>-4.3959104699627122E-3</v>
      </c>
    </row>
    <row r="271" spans="1:20" x14ac:dyDescent="0.25">
      <c r="A271" s="5">
        <v>44322</v>
      </c>
      <c r="B271">
        <v>145.22</v>
      </c>
      <c r="C271">
        <v>151.68</v>
      </c>
      <c r="D271">
        <v>131.12</v>
      </c>
      <c r="E271">
        <v>133.37</v>
      </c>
      <c r="F271">
        <v>25933.659199999998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-0.7811284046692607</v>
      </c>
      <c r="Q271">
        <f t="shared" si="965"/>
        <v>-20257.517838132295</v>
      </c>
      <c r="R271">
        <f t="shared" si="966"/>
        <v>-433848.79820725793</v>
      </c>
      <c r="S271">
        <f t="shared" si="967"/>
        <v>-4.3384879820725795</v>
      </c>
      <c r="T271">
        <f t="shared" si="968"/>
        <v>-4.3384879820725798E-3</v>
      </c>
    </row>
    <row r="272" spans="1:20" x14ac:dyDescent="0.25">
      <c r="A272" s="5">
        <v>44321</v>
      </c>
      <c r="B272">
        <v>135.03</v>
      </c>
      <c r="C272">
        <v>153.02000000000001</v>
      </c>
      <c r="D272">
        <v>133</v>
      </c>
      <c r="E272">
        <v>145.55000000000001</v>
      </c>
      <c r="F272">
        <v>32394.946499999998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0.25374625374625426</v>
      </c>
      <c r="Q272">
        <f t="shared" si="965"/>
        <v>8220.0963146853301</v>
      </c>
      <c r="R272">
        <f t="shared" si="966"/>
        <v>-413591.28036912566</v>
      </c>
      <c r="S272">
        <f t="shared" si="967"/>
        <v>-4.1359128036912569</v>
      </c>
      <c r="T272">
        <f t="shared" si="968"/>
        <v>-4.135912803691257E-3</v>
      </c>
    </row>
    <row r="273" spans="1:20" x14ac:dyDescent="0.25">
      <c r="A273" s="5">
        <v>44320</v>
      </c>
      <c r="B273">
        <v>166.37</v>
      </c>
      <c r="C273">
        <v>167.23</v>
      </c>
      <c r="D273">
        <v>132.41</v>
      </c>
      <c r="E273">
        <v>135.02000000000001</v>
      </c>
      <c r="F273">
        <v>47677.680699999997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-0.85008615738081483</v>
      </c>
      <c r="Q273">
        <f t="shared" si="965"/>
        <v>-40530.136379092437</v>
      </c>
      <c r="R273">
        <f t="shared" si="966"/>
        <v>-421811.37668381096</v>
      </c>
      <c r="S273">
        <f t="shared" si="967"/>
        <v>-4.2181137668381092</v>
      </c>
      <c r="T273">
        <f t="shared" si="968"/>
        <v>-4.2181137668381094E-3</v>
      </c>
    </row>
    <row r="274" spans="1:20" x14ac:dyDescent="0.25">
      <c r="A274" s="5">
        <v>44319</v>
      </c>
      <c r="B274">
        <v>163.9</v>
      </c>
      <c r="C274">
        <v>195</v>
      </c>
      <c r="D274">
        <v>151.32</v>
      </c>
      <c r="E274">
        <v>166.31</v>
      </c>
      <c r="F274">
        <v>78661.419399999999</v>
      </c>
      <c r="G274">
        <v>0</v>
      </c>
      <c r="L274" t="s">
        <v>8</v>
      </c>
      <c r="M274" t="s">
        <v>8</v>
      </c>
      <c r="N274" t="s">
        <v>7</v>
      </c>
      <c r="P274">
        <f t="shared" si="964"/>
        <v>-0.31364468864468836</v>
      </c>
      <c r="Q274">
        <f t="shared" si="965"/>
        <v>-24671.73639606225</v>
      </c>
      <c r="R274">
        <f t="shared" si="966"/>
        <v>-381281.24030471855</v>
      </c>
      <c r="S274">
        <f t="shared" si="967"/>
        <v>-3.8128124030471855</v>
      </c>
      <c r="T274">
        <f t="shared" si="968"/>
        <v>-3.8128124030471855E-3</v>
      </c>
    </row>
    <row r="275" spans="1:20" x14ac:dyDescent="0.25">
      <c r="A275" s="5">
        <v>44318</v>
      </c>
      <c r="B275">
        <v>152.76</v>
      </c>
      <c r="C275">
        <v>178</v>
      </c>
      <c r="D275">
        <v>150.11000000000001</v>
      </c>
      <c r="E275">
        <v>164.06</v>
      </c>
      <c r="F275">
        <v>40752.381200000003</v>
      </c>
      <c r="G275">
        <v>0</v>
      </c>
      <c r="L275" t="s">
        <v>8</v>
      </c>
      <c r="M275" t="s">
        <v>8</v>
      </c>
      <c r="N275" t="s">
        <v>7</v>
      </c>
      <c r="P275">
        <f t="shared" si="964"/>
        <v>3.585514521330552E-4</v>
      </c>
      <c r="Q275">
        <f t="shared" si="965"/>
        <v>14.611825457139821</v>
      </c>
      <c r="R275">
        <f t="shared" si="966"/>
        <v>-356609.5039086563</v>
      </c>
      <c r="S275">
        <f t="shared" si="967"/>
        <v>-3.5660950390865631</v>
      </c>
      <c r="T275">
        <f t="shared" si="968"/>
        <v>-3.566095039086563E-3</v>
      </c>
    </row>
    <row r="276" spans="1:20" x14ac:dyDescent="0.25">
      <c r="A276" s="5">
        <v>44317</v>
      </c>
      <c r="B276">
        <v>151.4</v>
      </c>
      <c r="C276">
        <v>164.11</v>
      </c>
      <c r="D276">
        <v>145</v>
      </c>
      <c r="E276">
        <v>152.77000000000001</v>
      </c>
      <c r="F276">
        <v>34372.772299999997</v>
      </c>
      <c r="G276">
        <v>0</v>
      </c>
      <c r="L276" t="s">
        <v>7</v>
      </c>
      <c r="M276" t="s">
        <v>7</v>
      </c>
      <c r="N276" t="s">
        <v>7</v>
      </c>
      <c r="P276">
        <f t="shared" si="964"/>
        <v>-0.18681318681318632</v>
      </c>
      <c r="Q276">
        <f t="shared" si="965"/>
        <v>-6421.2871329670152</v>
      </c>
      <c r="R276">
        <f t="shared" si="966"/>
        <v>-356624.11573411344</v>
      </c>
      <c r="S276">
        <f t="shared" si="967"/>
        <v>-3.5662411573411346</v>
      </c>
      <c r="T276">
        <f t="shared" si="968"/>
        <v>-3.5662411573411344E-3</v>
      </c>
    </row>
    <row r="277" spans="1:20" x14ac:dyDescent="0.25">
      <c r="A277" s="5">
        <v>44316</v>
      </c>
      <c r="B277">
        <v>155.81</v>
      </c>
      <c r="C277">
        <v>185</v>
      </c>
      <c r="D277">
        <v>147.09</v>
      </c>
      <c r="E277">
        <v>151.26</v>
      </c>
      <c r="F277">
        <v>107715.4938</v>
      </c>
      <c r="G277">
        <v>0</v>
      </c>
      <c r="L277" t="s">
        <v>7</v>
      </c>
      <c r="M277" t="s">
        <v>7</v>
      </c>
      <c r="N277" t="s">
        <v>7</v>
      </c>
      <c r="P277">
        <f t="shared" si="964"/>
        <v>-0.78000527565286271</v>
      </c>
      <c r="Q277">
        <f t="shared" si="965"/>
        <v>-84018.65343355322</v>
      </c>
      <c r="R277">
        <f t="shared" si="966"/>
        <v>-350202.82860114641</v>
      </c>
      <c r="S277">
        <f t="shared" si="967"/>
        <v>-3.502028286011464</v>
      </c>
      <c r="T277">
        <f t="shared" si="968"/>
        <v>-3.502028286011464E-3</v>
      </c>
    </row>
    <row r="278" spans="1:20" x14ac:dyDescent="0.25">
      <c r="A278" s="5">
        <v>44315</v>
      </c>
      <c r="B278">
        <v>118.52</v>
      </c>
      <c r="C278">
        <v>220</v>
      </c>
      <c r="D278">
        <v>118.21</v>
      </c>
      <c r="E278">
        <v>155.62</v>
      </c>
      <c r="F278">
        <v>131059.7052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-0.26495726495726479</v>
      </c>
      <c r="Q278">
        <f t="shared" si="965"/>
        <v>-34725.221035897412</v>
      </c>
      <c r="R278">
        <f t="shared" si="966"/>
        <v>-266184.17516759317</v>
      </c>
      <c r="S278">
        <f t="shared" si="967"/>
        <v>-2.6618417516759316</v>
      </c>
      <c r="T278">
        <f t="shared" si="968"/>
        <v>-2.6618417516759314E-3</v>
      </c>
    </row>
    <row r="279" spans="1:20" x14ac:dyDescent="0.25">
      <c r="A279" s="5">
        <v>44314</v>
      </c>
      <c r="B279">
        <v>123.22</v>
      </c>
      <c r="C279">
        <v>123.88</v>
      </c>
      <c r="D279">
        <v>108.41</v>
      </c>
      <c r="E279">
        <v>118.52</v>
      </c>
      <c r="F279">
        <v>11002.3027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0.30704589528118942</v>
      </c>
      <c r="Q279">
        <f t="shared" si="965"/>
        <v>3378.2118826761475</v>
      </c>
      <c r="R279">
        <f t="shared" si="966"/>
        <v>-231458.95413169576</v>
      </c>
      <c r="S279">
        <f t="shared" si="967"/>
        <v>-2.3145895413169577</v>
      </c>
      <c r="T279">
        <f t="shared" si="968"/>
        <v>-2.3145895413169575E-3</v>
      </c>
    </row>
    <row r="280" spans="1:20" x14ac:dyDescent="0.25">
      <c r="A280" s="5">
        <v>44313</v>
      </c>
      <c r="B280">
        <v>105.56</v>
      </c>
      <c r="C280">
        <v>128.12</v>
      </c>
      <c r="D280">
        <v>103.57</v>
      </c>
      <c r="E280">
        <v>122.82</v>
      </c>
      <c r="F280">
        <v>20633.3956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0.5682281059063129</v>
      </c>
      <c r="Q280">
        <f t="shared" si="965"/>
        <v>11724.47530020365</v>
      </c>
      <c r="R280">
        <f t="shared" si="966"/>
        <v>-234837.16601437191</v>
      </c>
      <c r="S280">
        <f t="shared" si="967"/>
        <v>-2.348371660143719</v>
      </c>
      <c r="T280">
        <f t="shared" si="968"/>
        <v>-2.3483716601437189E-3</v>
      </c>
    </row>
    <row r="281" spans="1:20" x14ac:dyDescent="0.25">
      <c r="A281" s="5">
        <v>44312</v>
      </c>
      <c r="B281">
        <v>93.28</v>
      </c>
      <c r="C281">
        <v>109.59</v>
      </c>
      <c r="D281">
        <v>93.28</v>
      </c>
      <c r="E281">
        <v>105.25</v>
      </c>
      <c r="F281">
        <v>14259.5039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0.46781115879828294</v>
      </c>
      <c r="Q281">
        <f t="shared" si="965"/>
        <v>6670.7550433476345</v>
      </c>
      <c r="R281">
        <f t="shared" si="966"/>
        <v>-246561.64131457557</v>
      </c>
      <c r="S281">
        <f t="shared" si="967"/>
        <v>-2.4656164131457556</v>
      </c>
      <c r="T281">
        <f t="shared" si="968"/>
        <v>-2.4656164131457558E-3</v>
      </c>
    </row>
    <row r="282" spans="1:20" x14ac:dyDescent="0.25">
      <c r="A282" s="5">
        <v>44311</v>
      </c>
      <c r="B282">
        <v>89.762</v>
      </c>
      <c r="C282">
        <v>101.39</v>
      </c>
      <c r="D282">
        <v>87.54</v>
      </c>
      <c r="E282">
        <v>93.28</v>
      </c>
      <c r="F282">
        <v>8280.0010000000002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-0.17111913357400763</v>
      </c>
      <c r="Q282">
        <f t="shared" si="965"/>
        <v>-1416.8665971119167</v>
      </c>
      <c r="R282">
        <f t="shared" si="966"/>
        <v>-253232.39635792319</v>
      </c>
      <c r="S282">
        <f t="shared" si="967"/>
        <v>-2.5323239635792318</v>
      </c>
      <c r="T282">
        <f t="shared" si="968"/>
        <v>-2.532323963579232E-3</v>
      </c>
    </row>
    <row r="283" spans="1:20" x14ac:dyDescent="0.25">
      <c r="A283" s="5">
        <v>44310</v>
      </c>
      <c r="B283">
        <v>92.808000000000007</v>
      </c>
      <c r="C283">
        <v>96.433000000000007</v>
      </c>
      <c r="D283">
        <v>85</v>
      </c>
      <c r="E283">
        <v>89.867000000000004</v>
      </c>
      <c r="F283">
        <v>9528.4560000000001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-0.14860491559520661</v>
      </c>
      <c r="Q283">
        <f t="shared" si="965"/>
        <v>-1415.9753996326401</v>
      </c>
      <c r="R283">
        <f t="shared" si="966"/>
        <v>-251815.52976081127</v>
      </c>
      <c r="S283">
        <f t="shared" si="967"/>
        <v>-2.518155297608113</v>
      </c>
      <c r="T283">
        <f t="shared" si="968"/>
        <v>-2.5181552976081129E-3</v>
      </c>
    </row>
    <row r="284" spans="1:20" x14ac:dyDescent="0.25">
      <c r="A284" s="5">
        <v>44309</v>
      </c>
      <c r="B284">
        <v>104</v>
      </c>
      <c r="C284">
        <v>106.157</v>
      </c>
      <c r="D284">
        <v>81.882000000000005</v>
      </c>
      <c r="E284">
        <v>92.001000000000005</v>
      </c>
      <c r="F284">
        <v>35862.07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-0.16630278063851672</v>
      </c>
      <c r="Q284">
        <f t="shared" si="965"/>
        <v>-5963.9619604531317</v>
      </c>
      <c r="R284">
        <f t="shared" si="966"/>
        <v>-250399.55436117863</v>
      </c>
      <c r="S284">
        <f t="shared" si="967"/>
        <v>-2.5039955436117864</v>
      </c>
      <c r="T284">
        <f t="shared" si="968"/>
        <v>-2.5039955436117864E-3</v>
      </c>
    </row>
    <row r="285" spans="1:20" x14ac:dyDescent="0.25">
      <c r="A285" s="5">
        <v>44308</v>
      </c>
      <c r="B285">
        <v>111.791</v>
      </c>
      <c r="C285">
        <v>123.59399999999999</v>
      </c>
      <c r="D285">
        <v>104</v>
      </c>
      <c r="E285">
        <v>104</v>
      </c>
      <c r="F285">
        <v>13636.215</v>
      </c>
      <c r="G285">
        <v>0</v>
      </c>
      <c r="L285" t="s">
        <v>7</v>
      </c>
      <c r="M285" t="s">
        <v>8</v>
      </c>
      <c r="N285" t="s">
        <v>7</v>
      </c>
      <c r="P285">
        <f t="shared" si="964"/>
        <v>-1</v>
      </c>
      <c r="Q285">
        <f t="shared" si="965"/>
        <v>-13636.215</v>
      </c>
      <c r="R285">
        <f t="shared" si="966"/>
        <v>-244435.59240072549</v>
      </c>
      <c r="S285">
        <f t="shared" si="967"/>
        <v>-2.444355924007255</v>
      </c>
      <c r="T285">
        <f t="shared" si="968"/>
        <v>-2.4443559240072549E-3</v>
      </c>
    </row>
    <row r="286" spans="1:20" x14ac:dyDescent="0.25">
      <c r="A286" s="5">
        <v>44307</v>
      </c>
      <c r="B286">
        <v>106.15300000000001</v>
      </c>
      <c r="C286">
        <v>125</v>
      </c>
      <c r="D286">
        <v>101.246</v>
      </c>
      <c r="E286">
        <v>111.792</v>
      </c>
      <c r="F286">
        <v>42803.296999999999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-0.11206533636440143</v>
      </c>
      <c r="Q286">
        <f t="shared" si="965"/>
        <v>-4796.7658758103744</v>
      </c>
      <c r="R286">
        <f t="shared" si="966"/>
        <v>-230799.3774007255</v>
      </c>
      <c r="S286">
        <f t="shared" si="967"/>
        <v>-2.3079937740072549</v>
      </c>
      <c r="T286">
        <f t="shared" si="968"/>
        <v>-2.3079937740072549E-3</v>
      </c>
    </row>
    <row r="287" spans="1:20" x14ac:dyDescent="0.25">
      <c r="A287" s="5">
        <v>44306</v>
      </c>
      <c r="B287">
        <v>118.02</v>
      </c>
      <c r="C287">
        <v>120.88200000000001</v>
      </c>
      <c r="D287">
        <v>105</v>
      </c>
      <c r="E287">
        <v>106.586</v>
      </c>
      <c r="F287">
        <v>20797.96</v>
      </c>
      <c r="G287">
        <v>0</v>
      </c>
      <c r="L287" t="s">
        <v>8</v>
      </c>
      <c r="M287" t="s">
        <v>8</v>
      </c>
      <c r="N287" t="s">
        <v>7</v>
      </c>
      <c r="P287">
        <f t="shared" si="964"/>
        <v>-0.80027704319355275</v>
      </c>
      <c r="Q287">
        <f t="shared" si="965"/>
        <v>-16644.12993325778</v>
      </c>
      <c r="R287">
        <f t="shared" si="966"/>
        <v>-226002.61152491512</v>
      </c>
      <c r="S287">
        <f t="shared" si="967"/>
        <v>-2.260026115249151</v>
      </c>
      <c r="T287">
        <f t="shared" si="968"/>
        <v>-2.260026115249151E-3</v>
      </c>
    </row>
    <row r="288" spans="1:20" x14ac:dyDescent="0.25">
      <c r="A288" s="5">
        <v>44305</v>
      </c>
      <c r="B288">
        <v>139.501</v>
      </c>
      <c r="C288">
        <v>139.90799999999999</v>
      </c>
      <c r="D288">
        <v>102.736</v>
      </c>
      <c r="E288">
        <v>118.02</v>
      </c>
      <c r="F288">
        <v>53770.695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-0.17766060475626821</v>
      </c>
      <c r="Q288">
        <f t="shared" si="965"/>
        <v>-9552.9341918648479</v>
      </c>
      <c r="R288">
        <f t="shared" si="966"/>
        <v>-209358.48159165733</v>
      </c>
      <c r="S288">
        <f t="shared" si="967"/>
        <v>-2.0935848159165733</v>
      </c>
      <c r="T288">
        <f t="shared" si="968"/>
        <v>-2.0935848159165734E-3</v>
      </c>
    </row>
    <row r="289" spans="1:20" x14ac:dyDescent="0.25">
      <c r="A289" s="5">
        <v>44304</v>
      </c>
      <c r="B289">
        <v>164.86</v>
      </c>
      <c r="C289">
        <v>166.178</v>
      </c>
      <c r="D289">
        <v>119.631</v>
      </c>
      <c r="E289">
        <v>139.501</v>
      </c>
      <c r="F289">
        <v>15759.727999999999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-0.1462392850237392</v>
      </c>
      <c r="Q289">
        <f t="shared" si="965"/>
        <v>-2304.6913548886032</v>
      </c>
      <c r="R289">
        <f t="shared" si="966"/>
        <v>-199805.54739979247</v>
      </c>
      <c r="S289">
        <f t="shared" si="967"/>
        <v>-1.9980554739979246</v>
      </c>
      <c r="T289">
        <f t="shared" si="968"/>
        <v>-1.9980554739979246E-3</v>
      </c>
    </row>
    <row r="290" spans="1:20" x14ac:dyDescent="0.25">
      <c r="A290" s="5">
        <v>44303</v>
      </c>
      <c r="B290">
        <v>156.333</v>
      </c>
      <c r="C290">
        <v>189.3</v>
      </c>
      <c r="D290">
        <v>156.16499999999999</v>
      </c>
      <c r="E290">
        <v>164.86099999999999</v>
      </c>
      <c r="F290">
        <v>15182.290999999999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-0.47511694582767511</v>
      </c>
      <c r="Q290">
        <f t="shared" si="965"/>
        <v>-7213.3637305869988</v>
      </c>
      <c r="R290">
        <f t="shared" si="966"/>
        <v>-197500.85604490386</v>
      </c>
      <c r="S290">
        <f t="shared" si="967"/>
        <v>-1.9750085604490386</v>
      </c>
      <c r="T290">
        <f t="shared" si="968"/>
        <v>-1.9750085604490386E-3</v>
      </c>
    </row>
    <row r="291" spans="1:20" x14ac:dyDescent="0.25">
      <c r="A291" s="5">
        <v>44302</v>
      </c>
      <c r="B291">
        <v>177.999</v>
      </c>
      <c r="C291">
        <v>178.38399999999999</v>
      </c>
      <c r="D291">
        <v>155</v>
      </c>
      <c r="E291">
        <v>156.333</v>
      </c>
      <c r="F291">
        <v>9041.5789999999997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-0.88599042080054746</v>
      </c>
      <c r="Q291">
        <f t="shared" si="965"/>
        <v>-8010.7523829113925</v>
      </c>
      <c r="R291">
        <f t="shared" si="966"/>
        <v>-190287.49231431686</v>
      </c>
      <c r="S291">
        <f t="shared" si="967"/>
        <v>-1.9028749231431685</v>
      </c>
      <c r="T291">
        <f t="shared" si="968"/>
        <v>-1.9028749231431686E-3</v>
      </c>
    </row>
    <row r="292" spans="1:20" x14ac:dyDescent="0.25">
      <c r="A292" s="5">
        <v>44301</v>
      </c>
      <c r="B292">
        <v>152.78299999999999</v>
      </c>
      <c r="C292">
        <v>180</v>
      </c>
      <c r="D292">
        <v>150.26499999999999</v>
      </c>
      <c r="E292">
        <v>178.03299999999999</v>
      </c>
      <c r="F292">
        <v>14584.066000000001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0.86769799899108713</v>
      </c>
      <c r="Q292">
        <f t="shared" si="965"/>
        <v>12654.564885353948</v>
      </c>
      <c r="R292">
        <f t="shared" si="966"/>
        <v>-182276.73993140546</v>
      </c>
      <c r="S292">
        <f t="shared" si="967"/>
        <v>-1.8227673993140547</v>
      </c>
      <c r="T292">
        <f t="shared" si="968"/>
        <v>-1.8227673993140548E-3</v>
      </c>
    </row>
    <row r="293" spans="1:20" x14ac:dyDescent="0.25">
      <c r="A293" s="5">
        <v>44300</v>
      </c>
      <c r="B293">
        <v>157.559</v>
      </c>
      <c r="C293">
        <v>164.5</v>
      </c>
      <c r="D293">
        <v>150.834</v>
      </c>
      <c r="E293">
        <v>152.74199999999999</v>
      </c>
      <c r="F293">
        <v>11009.950999999999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-0.72076686667642509</v>
      </c>
      <c r="Q293">
        <f t="shared" si="965"/>
        <v>-7935.6078845309721</v>
      </c>
      <c r="R293">
        <f t="shared" si="966"/>
        <v>-194931.30481675942</v>
      </c>
      <c r="S293">
        <f t="shared" si="967"/>
        <v>-1.9493130481675942</v>
      </c>
      <c r="T293">
        <f t="shared" si="968"/>
        <v>-1.9493130481675943E-3</v>
      </c>
    </row>
    <row r="294" spans="1:20" x14ac:dyDescent="0.25">
      <c r="A294" s="5">
        <v>44299</v>
      </c>
      <c r="B294">
        <v>156.13999999999999</v>
      </c>
      <c r="C294">
        <v>165</v>
      </c>
      <c r="D294">
        <v>144.08799999999999</v>
      </c>
      <c r="E294">
        <v>157.001</v>
      </c>
      <c r="F294">
        <v>15466.191000000001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0.23498469778117895</v>
      </c>
      <c r="Q294">
        <f t="shared" si="965"/>
        <v>3634.3182179609898</v>
      </c>
      <c r="R294">
        <f t="shared" si="966"/>
        <v>-186995.69693222846</v>
      </c>
      <c r="S294">
        <f t="shared" si="967"/>
        <v>-1.8699569693222846</v>
      </c>
      <c r="T294">
        <f t="shared" si="968"/>
        <v>-1.8699569693222846E-3</v>
      </c>
    </row>
    <row r="295" spans="1:20" x14ac:dyDescent="0.25">
      <c r="A295" s="5">
        <v>44298</v>
      </c>
      <c r="B295">
        <v>157.36799999999999</v>
      </c>
      <c r="C295">
        <v>162.922</v>
      </c>
      <c r="D295">
        <v>140.31299999999999</v>
      </c>
      <c r="E295">
        <v>156.09200000000001</v>
      </c>
      <c r="F295">
        <v>11251.778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0.3958158255561961</v>
      </c>
      <c r="Q295">
        <f t="shared" si="965"/>
        <v>4453.6317980450449</v>
      </c>
      <c r="R295">
        <f t="shared" si="966"/>
        <v>-190630.01515018946</v>
      </c>
      <c r="S295">
        <f t="shared" si="967"/>
        <v>-1.9063001515018945</v>
      </c>
      <c r="T295">
        <f t="shared" si="968"/>
        <v>-1.9063001515018945E-3</v>
      </c>
    </row>
    <row r="296" spans="1:20" x14ac:dyDescent="0.25">
      <c r="A296" s="5">
        <v>44297</v>
      </c>
      <c r="B296">
        <v>145.07</v>
      </c>
      <c r="C296">
        <v>158</v>
      </c>
      <c r="D296">
        <v>138.72200000000001</v>
      </c>
      <c r="E296">
        <v>156.59299999999999</v>
      </c>
      <c r="F296">
        <v>7253.8829999999998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0.85403050108932343</v>
      </c>
      <c r="Q296">
        <f t="shared" si="965"/>
        <v>6195.0373333333246</v>
      </c>
      <c r="R296">
        <f t="shared" si="966"/>
        <v>-195083.6469482345</v>
      </c>
      <c r="S296">
        <f t="shared" si="967"/>
        <v>-1.950836469482345</v>
      </c>
      <c r="T296">
        <f t="shared" si="968"/>
        <v>-1.950836469482345E-3</v>
      </c>
    </row>
    <row r="297" spans="1:20" x14ac:dyDescent="0.25">
      <c r="A297" s="5">
        <v>44296</v>
      </c>
      <c r="B297">
        <v>153.73099999999999</v>
      </c>
      <c r="C297">
        <v>161.09299999999999</v>
      </c>
      <c r="D297">
        <v>144</v>
      </c>
      <c r="E297">
        <v>144</v>
      </c>
      <c r="F297">
        <v>7102.3779999999997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-1</v>
      </c>
      <c r="Q297">
        <f t="shared" si="965"/>
        <v>-7102.3779999999997</v>
      </c>
      <c r="R297">
        <f t="shared" si="966"/>
        <v>-201278.68428156781</v>
      </c>
      <c r="S297">
        <f t="shared" si="967"/>
        <v>-2.0127868428156779</v>
      </c>
      <c r="T297">
        <f t="shared" si="968"/>
        <v>-2.0127868428156778E-3</v>
      </c>
    </row>
    <row r="298" spans="1:20" x14ac:dyDescent="0.25">
      <c r="A298" s="5">
        <v>44295</v>
      </c>
      <c r="B298">
        <v>165.00200000000001</v>
      </c>
      <c r="C298">
        <v>170.30600000000001</v>
      </c>
      <c r="D298">
        <v>147.96199999999999</v>
      </c>
      <c r="E298">
        <v>153.72999999999999</v>
      </c>
      <c r="F298">
        <v>15069.351000000001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-0.48370927318295787</v>
      </c>
      <c r="Q298">
        <f t="shared" si="965"/>
        <v>-7289.1848195488792</v>
      </c>
      <c r="R298">
        <f t="shared" si="966"/>
        <v>-194176.30628156781</v>
      </c>
      <c r="S298">
        <f t="shared" si="967"/>
        <v>-1.9417630628156781</v>
      </c>
      <c r="T298">
        <f t="shared" si="968"/>
        <v>-1.9417630628156782E-3</v>
      </c>
    </row>
    <row r="299" spans="1:20" x14ac:dyDescent="0.25">
      <c r="A299" s="5">
        <v>44294</v>
      </c>
      <c r="B299">
        <v>145.126</v>
      </c>
      <c r="C299">
        <v>166.64500000000001</v>
      </c>
      <c r="D299">
        <v>141.63200000000001</v>
      </c>
      <c r="E299">
        <v>165.06899999999999</v>
      </c>
      <c r="F299">
        <v>8810.9009999999998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0.87398552752568492</v>
      </c>
      <c r="Q299">
        <f t="shared" si="965"/>
        <v>7700.5999584615847</v>
      </c>
      <c r="R299">
        <f t="shared" si="966"/>
        <v>-186887.12146201893</v>
      </c>
      <c r="S299">
        <f t="shared" si="967"/>
        <v>-1.8688712146201893</v>
      </c>
      <c r="T299">
        <f t="shared" si="968"/>
        <v>-1.8688712146201893E-3</v>
      </c>
    </row>
    <row r="300" spans="1:20" x14ac:dyDescent="0.25">
      <c r="A300" s="5">
        <v>44293</v>
      </c>
      <c r="B300">
        <v>173.09899999999999</v>
      </c>
      <c r="C300">
        <v>181.05600000000001</v>
      </c>
      <c r="D300">
        <v>137.18700000000001</v>
      </c>
      <c r="E300">
        <v>145.26300000000001</v>
      </c>
      <c r="F300">
        <v>23849.428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-0.63181289749025538</v>
      </c>
      <c r="Q300">
        <f t="shared" si="965"/>
        <v>-15068.376208165226</v>
      </c>
      <c r="R300">
        <f t="shared" si="966"/>
        <v>-194587.72142048052</v>
      </c>
      <c r="S300">
        <f t="shared" si="967"/>
        <v>-1.9458772142048053</v>
      </c>
      <c r="T300">
        <f t="shared" si="968"/>
        <v>-1.9458772142048053E-3</v>
      </c>
    </row>
    <row r="301" spans="1:20" x14ac:dyDescent="0.25">
      <c r="A301" s="5">
        <v>44292</v>
      </c>
      <c r="B301">
        <v>149.93</v>
      </c>
      <c r="C301">
        <v>175</v>
      </c>
      <c r="D301">
        <v>145.024</v>
      </c>
      <c r="E301">
        <v>172.851</v>
      </c>
      <c r="F301">
        <v>14783.15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0.85661862823592205</v>
      </c>
      <c r="Q301">
        <f t="shared" si="965"/>
        <v>12663.521674005871</v>
      </c>
      <c r="R301">
        <f t="shared" si="966"/>
        <v>-179519.3452123153</v>
      </c>
      <c r="S301">
        <f t="shared" si="967"/>
        <v>-1.795193452123153</v>
      </c>
      <c r="T301">
        <f t="shared" si="968"/>
        <v>-1.795193452123153E-3</v>
      </c>
    </row>
    <row r="302" spans="1:20" x14ac:dyDescent="0.25">
      <c r="A302" s="5">
        <v>44291</v>
      </c>
      <c r="B302">
        <v>142.816</v>
      </c>
      <c r="C302">
        <v>168.999</v>
      </c>
      <c r="D302">
        <v>134.143</v>
      </c>
      <c r="E302">
        <v>149.16999999999999</v>
      </c>
      <c r="F302">
        <v>14120.971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-0.13776681202662444</v>
      </c>
      <c r="Q302">
        <f t="shared" si="965"/>
        <v>-1945.4011573904149</v>
      </c>
      <c r="R302">
        <f t="shared" si="966"/>
        <v>-192182.86688632116</v>
      </c>
      <c r="S302">
        <f t="shared" si="967"/>
        <v>-1.9218286688632116</v>
      </c>
      <c r="T302">
        <f t="shared" si="968"/>
        <v>-1.9218286688632116E-3</v>
      </c>
    </row>
    <row r="303" spans="1:20" x14ac:dyDescent="0.25">
      <c r="A303" s="5">
        <v>44290</v>
      </c>
      <c r="B303">
        <v>128.999</v>
      </c>
      <c r="C303">
        <v>150</v>
      </c>
      <c r="D303">
        <v>126.119</v>
      </c>
      <c r="E303">
        <v>142.87700000000001</v>
      </c>
      <c r="F303">
        <v>10716.953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0.40345881663247013</v>
      </c>
      <c r="Q303">
        <f t="shared" si="965"/>
        <v>4323.8491752858008</v>
      </c>
      <c r="R303">
        <f t="shared" si="966"/>
        <v>-190237.46572893075</v>
      </c>
      <c r="S303">
        <f t="shared" si="967"/>
        <v>-1.9023746572893074</v>
      </c>
      <c r="T303">
        <f t="shared" si="968"/>
        <v>-1.9023746572893075E-3</v>
      </c>
    </row>
    <row r="304" spans="1:20" x14ac:dyDescent="0.25">
      <c r="A304" s="5">
        <v>44289</v>
      </c>
      <c r="B304">
        <v>147.89099999999999</v>
      </c>
      <c r="C304">
        <v>148.983</v>
      </c>
      <c r="D304">
        <v>126.836</v>
      </c>
      <c r="E304">
        <v>128.99700000000001</v>
      </c>
      <c r="F304">
        <v>10951.384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-0.80484941527068998</v>
      </c>
      <c r="Q304">
        <f t="shared" si="965"/>
        <v>-8814.2150088047892</v>
      </c>
      <c r="R304">
        <f t="shared" si="966"/>
        <v>-194561.31490421656</v>
      </c>
      <c r="S304">
        <f t="shared" si="967"/>
        <v>-1.9456131490421655</v>
      </c>
      <c r="T304">
        <f t="shared" si="968"/>
        <v>-1.9456131490421654E-3</v>
      </c>
    </row>
    <row r="305" spans="1:20" x14ac:dyDescent="0.25">
      <c r="A305" s="5">
        <v>44288</v>
      </c>
      <c r="B305">
        <v>146.15</v>
      </c>
      <c r="C305">
        <v>164.94499999999999</v>
      </c>
      <c r="D305">
        <v>144.68799999999999</v>
      </c>
      <c r="E305">
        <v>147.88999999999999</v>
      </c>
      <c r="F305">
        <v>18851.893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-0.68386236856395344</v>
      </c>
      <c r="Q305">
        <f t="shared" si="965"/>
        <v>-12892.100198894213</v>
      </c>
      <c r="R305">
        <f t="shared" si="966"/>
        <v>-185747.09989541178</v>
      </c>
      <c r="S305">
        <f t="shared" si="967"/>
        <v>-1.8574709989541178</v>
      </c>
      <c r="T305">
        <f t="shared" si="968"/>
        <v>-1.8574709989541177E-3</v>
      </c>
    </row>
    <row r="306" spans="1:20" x14ac:dyDescent="0.25">
      <c r="A306" s="5">
        <v>44287</v>
      </c>
      <c r="B306">
        <v>124.88200000000001</v>
      </c>
      <c r="C306">
        <v>146.99</v>
      </c>
      <c r="D306">
        <v>123.20399999999999</v>
      </c>
      <c r="E306">
        <v>146.286</v>
      </c>
      <c r="F306">
        <v>10873.843999999999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0.94080551584965888</v>
      </c>
      <c r="Q306">
        <f t="shared" si="965"/>
        <v>10230.172413688717</v>
      </c>
      <c r="R306">
        <f t="shared" si="966"/>
        <v>-172854.99969651757</v>
      </c>
      <c r="S306">
        <f t="shared" si="967"/>
        <v>-1.7285499969651756</v>
      </c>
      <c r="T306">
        <f t="shared" si="968"/>
        <v>-1.7285499969651756E-3</v>
      </c>
    </row>
    <row r="307" spans="1:20" x14ac:dyDescent="0.25">
      <c r="A307" s="5">
        <v>44286</v>
      </c>
      <c r="B307">
        <v>132.095</v>
      </c>
      <c r="C307">
        <v>137.714</v>
      </c>
      <c r="D307">
        <v>120.17400000000001</v>
      </c>
      <c r="E307">
        <v>124.79300000000001</v>
      </c>
      <c r="F307">
        <v>9326.0689999999995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-0.47331812998859729</v>
      </c>
      <c r="Q307">
        <f t="shared" si="965"/>
        <v>-4414.1975392246277</v>
      </c>
      <c r="R307">
        <f t="shared" si="966"/>
        <v>-183085.17211020627</v>
      </c>
      <c r="S307">
        <f t="shared" si="967"/>
        <v>-1.8308517211020627</v>
      </c>
      <c r="T307">
        <f t="shared" si="968"/>
        <v>-1.8308517211020627E-3</v>
      </c>
    </row>
    <row r="308" spans="1:20" x14ac:dyDescent="0.25">
      <c r="A308" s="5">
        <v>44285</v>
      </c>
      <c r="B308">
        <v>134.55600000000001</v>
      </c>
      <c r="C308">
        <v>141</v>
      </c>
      <c r="D308">
        <v>130.50399999999999</v>
      </c>
      <c r="E308">
        <v>132.49299999999999</v>
      </c>
      <c r="F308">
        <v>8884.5390000000007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-0.62099847560975563</v>
      </c>
      <c r="Q308">
        <f t="shared" si="965"/>
        <v>-5517.2851754954227</v>
      </c>
      <c r="R308">
        <f t="shared" si="966"/>
        <v>-178670.97457098163</v>
      </c>
      <c r="S308">
        <f t="shared" si="967"/>
        <v>-1.7867097457098164</v>
      </c>
      <c r="T308">
        <f t="shared" si="968"/>
        <v>-1.7867097457098164E-3</v>
      </c>
    </row>
    <row r="309" spans="1:20" x14ac:dyDescent="0.25">
      <c r="A309" s="5">
        <v>44284</v>
      </c>
      <c r="B309">
        <v>117.79</v>
      </c>
      <c r="C309">
        <v>138</v>
      </c>
      <c r="D309">
        <v>116.315</v>
      </c>
      <c r="E309">
        <v>133.94900000000001</v>
      </c>
      <c r="F309">
        <v>9961.768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0.62637768042425757</v>
      </c>
      <c r="Q309">
        <f t="shared" si="965"/>
        <v>6239.8291327645957</v>
      </c>
      <c r="R309">
        <f t="shared" si="966"/>
        <v>-173153.6893954862</v>
      </c>
      <c r="S309">
        <f t="shared" si="967"/>
        <v>-1.7315368939548621</v>
      </c>
      <c r="T309">
        <f t="shared" si="968"/>
        <v>-1.7315368939548621E-3</v>
      </c>
    </row>
    <row r="310" spans="1:20" x14ac:dyDescent="0.25">
      <c r="A310" s="5">
        <v>44283</v>
      </c>
      <c r="B310">
        <v>118.813</v>
      </c>
      <c r="C310">
        <v>126.93600000000001</v>
      </c>
      <c r="D310">
        <v>115.372</v>
      </c>
      <c r="E310">
        <v>117.967</v>
      </c>
      <c r="F310">
        <v>5732.2240000000002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-0.55119335869941244</v>
      </c>
      <c r="Q310">
        <f t="shared" si="965"/>
        <v>-3159.5637993773807</v>
      </c>
      <c r="R310">
        <f t="shared" si="966"/>
        <v>-179393.5185282508</v>
      </c>
      <c r="S310">
        <f t="shared" si="967"/>
        <v>-1.7939351852825081</v>
      </c>
      <c r="T310">
        <f t="shared" si="968"/>
        <v>-1.7939351852825081E-3</v>
      </c>
    </row>
    <row r="311" spans="1:20" x14ac:dyDescent="0.25">
      <c r="A311" s="5">
        <v>44282</v>
      </c>
      <c r="B311">
        <v>114.999</v>
      </c>
      <c r="C311">
        <v>130</v>
      </c>
      <c r="D311">
        <v>114.54900000000001</v>
      </c>
      <c r="E311">
        <v>118.81399999999999</v>
      </c>
      <c r="F311">
        <v>9921.9979999999996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-0.44793217267490931</v>
      </c>
      <c r="Q311">
        <f t="shared" si="965"/>
        <v>-4444.3821214161044</v>
      </c>
      <c r="R311">
        <f t="shared" si="966"/>
        <v>-176233.95472887342</v>
      </c>
      <c r="S311">
        <f t="shared" si="967"/>
        <v>-1.7623395472887342</v>
      </c>
      <c r="T311">
        <f t="shared" si="968"/>
        <v>-1.7623395472887342E-3</v>
      </c>
    </row>
    <row r="312" spans="1:20" x14ac:dyDescent="0.25">
      <c r="A312" s="5">
        <v>44281</v>
      </c>
      <c r="B312">
        <v>104.73</v>
      </c>
      <c r="C312">
        <v>117.499</v>
      </c>
      <c r="D312">
        <v>101.765</v>
      </c>
      <c r="E312">
        <v>114.58199999999999</v>
      </c>
      <c r="F312">
        <v>4940.585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0.62921062666836114</v>
      </c>
      <c r="Q312">
        <f t="shared" si="965"/>
        <v>3108.6685839583051</v>
      </c>
      <c r="R312">
        <f t="shared" si="966"/>
        <v>-171789.57260745732</v>
      </c>
      <c r="S312">
        <f t="shared" si="967"/>
        <v>-1.7178957260745731</v>
      </c>
      <c r="T312">
        <f t="shared" si="968"/>
        <v>-1.7178957260745732E-3</v>
      </c>
    </row>
    <row r="313" spans="1:20" x14ac:dyDescent="0.25">
      <c r="A313" s="5">
        <v>44280</v>
      </c>
      <c r="B313">
        <v>105.001</v>
      </c>
      <c r="C313">
        <v>108.65600000000001</v>
      </c>
      <c r="D313">
        <v>99.605000000000004</v>
      </c>
      <c r="E313">
        <v>104.42100000000001</v>
      </c>
      <c r="F313">
        <v>7067.308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6.4191802010827859E-2</v>
      </c>
      <c r="Q313">
        <f t="shared" si="965"/>
        <v>453.66323588553979</v>
      </c>
      <c r="R313">
        <f t="shared" si="966"/>
        <v>-174898.24119141561</v>
      </c>
      <c r="S313">
        <f t="shared" si="967"/>
        <v>-1.7489824119141562</v>
      </c>
      <c r="T313">
        <f t="shared" si="968"/>
        <v>-1.7489824119141561E-3</v>
      </c>
    </row>
    <row r="314" spans="1:20" x14ac:dyDescent="0.25">
      <c r="A314" s="5">
        <v>44279</v>
      </c>
      <c r="B314">
        <v>123.372</v>
      </c>
      <c r="C314">
        <v>125.366</v>
      </c>
      <c r="D314">
        <v>104.28</v>
      </c>
      <c r="E314">
        <v>105</v>
      </c>
      <c r="F314">
        <v>9771.0889999999999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-0.93170824243573946</v>
      </c>
      <c r="Q314">
        <f t="shared" si="965"/>
        <v>-9103.8041588731867</v>
      </c>
      <c r="R314">
        <f t="shared" si="966"/>
        <v>-175351.90442730114</v>
      </c>
      <c r="S314">
        <f t="shared" si="967"/>
        <v>-1.7535190442730113</v>
      </c>
      <c r="T314">
        <f t="shared" si="968"/>
        <v>-1.7535190442730113E-3</v>
      </c>
    </row>
    <row r="315" spans="1:20" x14ac:dyDescent="0.25">
      <c r="A315" s="5">
        <v>44278</v>
      </c>
      <c r="B315">
        <v>124.02</v>
      </c>
      <c r="C315">
        <v>134.691</v>
      </c>
      <c r="D315">
        <v>121.37</v>
      </c>
      <c r="E315">
        <v>122.839</v>
      </c>
      <c r="F315">
        <v>8988.0830000000005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-0.77944598753847394</v>
      </c>
      <c r="Q315">
        <f t="shared" si="965"/>
        <v>-7005.7252300127702</v>
      </c>
      <c r="R315">
        <f t="shared" si="966"/>
        <v>-166248.10026842795</v>
      </c>
      <c r="S315">
        <f t="shared" si="967"/>
        <v>-1.6624810026842796</v>
      </c>
      <c r="T315">
        <f t="shared" si="968"/>
        <v>-1.6624810026842796E-3</v>
      </c>
    </row>
    <row r="316" spans="1:20" x14ac:dyDescent="0.25">
      <c r="A316" s="5">
        <v>44277</v>
      </c>
      <c r="B316">
        <v>121.989</v>
      </c>
      <c r="C316">
        <v>144.392</v>
      </c>
      <c r="D316">
        <v>118.01900000000001</v>
      </c>
      <c r="E316">
        <v>123.55</v>
      </c>
      <c r="F316">
        <v>27148.667000000001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-0.58055587153528276</v>
      </c>
      <c r="Q316">
        <f t="shared" si="965"/>
        <v>-15761.31803120617</v>
      </c>
      <c r="R316">
        <f t="shared" si="966"/>
        <v>-159242.37503841519</v>
      </c>
      <c r="S316">
        <f t="shared" si="967"/>
        <v>-1.5924237503841518</v>
      </c>
      <c r="T316">
        <f t="shared" si="968"/>
        <v>-1.5924237503841519E-3</v>
      </c>
    </row>
    <row r="317" spans="1:20" x14ac:dyDescent="0.25">
      <c r="A317" s="5">
        <v>44276</v>
      </c>
      <c r="B317">
        <v>114.5</v>
      </c>
      <c r="C317">
        <v>123.503</v>
      </c>
      <c r="D317">
        <v>113.1</v>
      </c>
      <c r="E317">
        <v>121.989</v>
      </c>
      <c r="F317">
        <v>7514.4</v>
      </c>
      <c r="G317">
        <v>0</v>
      </c>
      <c r="L317" t="s">
        <v>8</v>
      </c>
      <c r="M317" t="s">
        <v>8</v>
      </c>
      <c r="N317" t="s">
        <v>7</v>
      </c>
      <c r="P317">
        <f t="shared" si="964"/>
        <v>0.70893011631260305</v>
      </c>
      <c r="Q317">
        <f t="shared" si="965"/>
        <v>5327.1844660194238</v>
      </c>
      <c r="R317">
        <f t="shared" si="966"/>
        <v>-143481.05700720902</v>
      </c>
      <c r="S317">
        <f t="shared" si="967"/>
        <v>-1.4348105700720901</v>
      </c>
      <c r="T317">
        <f t="shared" si="968"/>
        <v>-1.4348105700720901E-3</v>
      </c>
    </row>
    <row r="318" spans="1:20" x14ac:dyDescent="0.25">
      <c r="A318" s="5">
        <v>44275</v>
      </c>
      <c r="B318">
        <v>119.577</v>
      </c>
      <c r="C318">
        <v>121.779</v>
      </c>
      <c r="D318">
        <v>111.27200000000001</v>
      </c>
      <c r="E318">
        <v>114.578</v>
      </c>
      <c r="F318">
        <v>10080.295</v>
      </c>
      <c r="G318">
        <v>0</v>
      </c>
      <c r="L318" t="s">
        <v>7</v>
      </c>
      <c r="M318" t="s">
        <v>8</v>
      </c>
      <c r="N318" t="s">
        <v>7</v>
      </c>
      <c r="P318">
        <f t="shared" si="964"/>
        <v>-0.37070524412296557</v>
      </c>
      <c r="Q318">
        <f t="shared" si="965"/>
        <v>-3736.8182188065093</v>
      </c>
      <c r="R318">
        <f t="shared" si="966"/>
        <v>-148808.24147322844</v>
      </c>
      <c r="S318">
        <f t="shared" si="967"/>
        <v>-1.4880824147322844</v>
      </c>
      <c r="T318">
        <f t="shared" si="968"/>
        <v>-1.4880824147322845E-3</v>
      </c>
    </row>
    <row r="319" spans="1:20" x14ac:dyDescent="0.25">
      <c r="A319" s="5">
        <v>44274</v>
      </c>
      <c r="B319">
        <v>108.3</v>
      </c>
      <c r="C319">
        <v>123</v>
      </c>
      <c r="D319">
        <v>103</v>
      </c>
      <c r="E319">
        <v>119.67400000000001</v>
      </c>
      <c r="F319">
        <v>15196.025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0.66740000000000066</v>
      </c>
      <c r="Q319">
        <f t="shared" si="965"/>
        <v>10141.82708500001</v>
      </c>
      <c r="R319">
        <f t="shared" si="966"/>
        <v>-145071.42325442194</v>
      </c>
      <c r="S319">
        <f t="shared" si="967"/>
        <v>-1.4507142325442195</v>
      </c>
      <c r="T319">
        <f t="shared" si="968"/>
        <v>-1.4507142325442194E-3</v>
      </c>
    </row>
    <row r="320" spans="1:20" x14ac:dyDescent="0.25">
      <c r="A320" s="5">
        <v>44273</v>
      </c>
      <c r="B320">
        <v>100.28</v>
      </c>
      <c r="C320">
        <v>111.36</v>
      </c>
      <c r="D320">
        <v>99.611000000000004</v>
      </c>
      <c r="E320">
        <v>108.28100000000001</v>
      </c>
      <c r="F320">
        <v>15945.737999999999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0.47587028683292282</v>
      </c>
      <c r="Q320">
        <f t="shared" si="965"/>
        <v>7588.1029158226365</v>
      </c>
      <c r="R320">
        <f t="shared" si="966"/>
        <v>-155213.25033942194</v>
      </c>
      <c r="S320">
        <f t="shared" si="967"/>
        <v>-1.5521325033942195</v>
      </c>
      <c r="T320">
        <f t="shared" si="968"/>
        <v>-1.5521325033942194E-3</v>
      </c>
    </row>
    <row r="321" spans="1:20" x14ac:dyDescent="0.25">
      <c r="A321" s="5">
        <v>44272</v>
      </c>
      <c r="B321">
        <v>101.96599999999999</v>
      </c>
      <c r="C321">
        <v>103.848</v>
      </c>
      <c r="D321">
        <v>94.7</v>
      </c>
      <c r="E321">
        <v>100.23399999999999</v>
      </c>
      <c r="F321">
        <v>11114.195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0.20988194140795674</v>
      </c>
      <c r="Q321">
        <f t="shared" si="965"/>
        <v>2332.6688237866056</v>
      </c>
      <c r="R321">
        <f t="shared" si="966"/>
        <v>-162801.35325524458</v>
      </c>
      <c r="S321">
        <f t="shared" si="967"/>
        <v>-1.6280135325524459</v>
      </c>
      <c r="T321">
        <f t="shared" si="968"/>
        <v>-1.6280135325524459E-3</v>
      </c>
    </row>
    <row r="322" spans="1:20" x14ac:dyDescent="0.25">
      <c r="A322" s="5">
        <v>44271</v>
      </c>
      <c r="B322">
        <v>108.54300000000001</v>
      </c>
      <c r="C322">
        <v>109.605</v>
      </c>
      <c r="D322">
        <v>98.603999999999999</v>
      </c>
      <c r="E322">
        <v>101.61199999999999</v>
      </c>
      <c r="F322">
        <v>12786.061</v>
      </c>
      <c r="G322">
        <v>0</v>
      </c>
      <c r="L322" t="s">
        <v>8</v>
      </c>
      <c r="M322" t="s">
        <v>7</v>
      </c>
      <c r="N322" t="s">
        <v>7</v>
      </c>
      <c r="P322">
        <f t="shared" si="964"/>
        <v>-0.45314062357967561</v>
      </c>
      <c r="Q322">
        <f t="shared" si="965"/>
        <v>-5793.8836546677703</v>
      </c>
      <c r="R322">
        <f t="shared" si="966"/>
        <v>-165134.02207903119</v>
      </c>
      <c r="S322">
        <f t="shared" si="967"/>
        <v>-1.6513402207903118</v>
      </c>
      <c r="T322">
        <f t="shared" si="968"/>
        <v>-1.6513402207903119E-3</v>
      </c>
    </row>
    <row r="323" spans="1:20" x14ac:dyDescent="0.25">
      <c r="A323" s="5">
        <v>44270</v>
      </c>
      <c r="B323">
        <v>112</v>
      </c>
      <c r="C323">
        <v>114.51</v>
      </c>
      <c r="D323">
        <v>97.161000000000001</v>
      </c>
      <c r="E323">
        <v>107.89100000000001</v>
      </c>
      <c r="F323">
        <v>18956.605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0.23695890253040541</v>
      </c>
      <c r="Q323">
        <f t="shared" si="965"/>
        <v>4491.936316502396</v>
      </c>
      <c r="R323">
        <f t="shared" si="966"/>
        <v>-159340.13842436342</v>
      </c>
      <c r="S323">
        <f t="shared" si="967"/>
        <v>-1.5934013842436343</v>
      </c>
      <c r="T323">
        <f t="shared" si="968"/>
        <v>-1.5934013842436342E-3</v>
      </c>
    </row>
    <row r="324" spans="1:20" x14ac:dyDescent="0.25">
      <c r="A324" s="5">
        <v>44269</v>
      </c>
      <c r="B324">
        <v>116.211</v>
      </c>
      <c r="C324">
        <v>119</v>
      </c>
      <c r="D324">
        <v>111.223</v>
      </c>
      <c r="E324">
        <v>111.88</v>
      </c>
      <c r="F324">
        <v>7868.9139999999998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-0.83104024688183198</v>
      </c>
      <c r="Q324">
        <f t="shared" si="965"/>
        <v>-6539.3842332519034</v>
      </c>
      <c r="R324">
        <f t="shared" si="966"/>
        <v>-163832.07474086582</v>
      </c>
      <c r="S324">
        <f t="shared" si="967"/>
        <v>-1.6383207474086583</v>
      </c>
      <c r="T324">
        <f t="shared" si="968"/>
        <v>-1.6383207474086584E-3</v>
      </c>
    </row>
    <row r="325" spans="1:20" x14ac:dyDescent="0.25">
      <c r="A325" s="5">
        <v>44268</v>
      </c>
      <c r="B325">
        <v>113.33</v>
      </c>
      <c r="C325">
        <v>120.5</v>
      </c>
      <c r="D325">
        <v>111.002</v>
      </c>
      <c r="E325">
        <v>116.872</v>
      </c>
      <c r="F325">
        <v>9467.2139999999999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0.23604969467256298</v>
      </c>
      <c r="Q325">
        <f t="shared" si="965"/>
        <v>2234.7329740998139</v>
      </c>
      <c r="R325">
        <f t="shared" si="966"/>
        <v>-157292.69050761391</v>
      </c>
      <c r="S325">
        <f t="shared" si="967"/>
        <v>-1.5729269050761392</v>
      </c>
      <c r="T325">
        <f t="shared" si="968"/>
        <v>-1.5729269050761391E-3</v>
      </c>
    </row>
    <row r="326" spans="1:20" x14ac:dyDescent="0.25">
      <c r="A326" s="5">
        <v>44267</v>
      </c>
      <c r="B326">
        <v>127.681</v>
      </c>
      <c r="C326">
        <v>128.09299999999999</v>
      </c>
      <c r="D326">
        <v>110</v>
      </c>
      <c r="E326">
        <v>113.884</v>
      </c>
      <c r="F326">
        <v>12058.288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-0.57066268722710412</v>
      </c>
      <c r="Q326">
        <f t="shared" ref="Q326:Q389" si="970">F326*P326</f>
        <v>-6881.2150334383432</v>
      </c>
      <c r="R326">
        <f t="shared" ref="R326:R389" si="971">R327+Q326</f>
        <v>-159527.42348171372</v>
      </c>
      <c r="S326">
        <f t="shared" ref="S326:S389" si="972">R326/100000</f>
        <v>-1.5952742348171371</v>
      </c>
      <c r="T326">
        <f t="shared" ref="T326:T389" si="973">S326/1000</f>
        <v>-1.5952742348171371E-3</v>
      </c>
    </row>
    <row r="327" spans="1:20" x14ac:dyDescent="0.25">
      <c r="A327" s="5">
        <v>44266</v>
      </c>
      <c r="B327">
        <v>129.84100000000001</v>
      </c>
      <c r="C327">
        <v>130.02000000000001</v>
      </c>
      <c r="D327">
        <v>118.5</v>
      </c>
      <c r="E327">
        <v>127.68</v>
      </c>
      <c r="F327">
        <v>8806.5360000000001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0.59374999999999978</v>
      </c>
      <c r="Q327">
        <f t="shared" si="970"/>
        <v>5228.8807499999984</v>
      </c>
      <c r="R327">
        <f t="shared" si="971"/>
        <v>-152646.20844827537</v>
      </c>
      <c r="S327">
        <f t="shared" si="972"/>
        <v>-1.5264620844827537</v>
      </c>
      <c r="T327">
        <f t="shared" si="973"/>
        <v>-1.5264620844827536E-3</v>
      </c>
    </row>
    <row r="328" spans="1:20" x14ac:dyDescent="0.25">
      <c r="A328" s="5">
        <v>44265</v>
      </c>
      <c r="B328">
        <v>131.46</v>
      </c>
      <c r="C328">
        <v>139</v>
      </c>
      <c r="D328">
        <v>124.851</v>
      </c>
      <c r="E328">
        <v>130.08000000000001</v>
      </c>
      <c r="F328">
        <v>10060.945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-0.26086649233161169</v>
      </c>
      <c r="Q328">
        <f t="shared" si="970"/>
        <v>-2624.5634316912669</v>
      </c>
      <c r="R328">
        <f t="shared" si="971"/>
        <v>-157875.08919827538</v>
      </c>
      <c r="S328">
        <f t="shared" si="972"/>
        <v>-1.5787508919827538</v>
      </c>
      <c r="T328">
        <f t="shared" si="973"/>
        <v>-1.5787508919827538E-3</v>
      </c>
    </row>
    <row r="329" spans="1:20" x14ac:dyDescent="0.25">
      <c r="A329" s="5">
        <v>44264</v>
      </c>
      <c r="B329">
        <v>123</v>
      </c>
      <c r="C329">
        <v>138.9</v>
      </c>
      <c r="D329">
        <v>122.084</v>
      </c>
      <c r="E329">
        <v>131.46</v>
      </c>
      <c r="F329">
        <v>14871.576999999999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0.11512844909609936</v>
      </c>
      <c r="Q329">
        <f t="shared" si="970"/>
        <v>1712.141595623222</v>
      </c>
      <c r="R329">
        <f t="shared" si="971"/>
        <v>-155250.52576658412</v>
      </c>
      <c r="S329">
        <f t="shared" si="972"/>
        <v>-1.5525052576658411</v>
      </c>
      <c r="T329">
        <f t="shared" si="973"/>
        <v>-1.5525052576658412E-3</v>
      </c>
    </row>
    <row r="330" spans="1:20" x14ac:dyDescent="0.25">
      <c r="A330" s="5">
        <v>44263</v>
      </c>
      <c r="B330">
        <v>123.581</v>
      </c>
      <c r="C330">
        <v>125.29</v>
      </c>
      <c r="D330">
        <v>116.46</v>
      </c>
      <c r="E330">
        <v>123.09699999999999</v>
      </c>
      <c r="F330">
        <v>10311.697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0.50328425821064349</v>
      </c>
      <c r="Q330">
        <f t="shared" si="970"/>
        <v>5189.7147755379183</v>
      </c>
      <c r="R330">
        <f t="shared" si="971"/>
        <v>-156962.66736220734</v>
      </c>
      <c r="S330">
        <f t="shared" si="972"/>
        <v>-1.5696266736220734</v>
      </c>
      <c r="T330">
        <f t="shared" si="973"/>
        <v>-1.5696266736220735E-3</v>
      </c>
    </row>
    <row r="331" spans="1:20" x14ac:dyDescent="0.25">
      <c r="A331" s="5">
        <v>44262</v>
      </c>
      <c r="B331">
        <v>131.68199999999999</v>
      </c>
      <c r="C331">
        <v>133.27799999999999</v>
      </c>
      <c r="D331">
        <v>121.002</v>
      </c>
      <c r="E331">
        <v>123.581</v>
      </c>
      <c r="F331">
        <v>7347.1660000000002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-0.57983056370153008</v>
      </c>
      <c r="Q331">
        <f t="shared" si="970"/>
        <v>-4260.1114033887161</v>
      </c>
      <c r="R331">
        <f t="shared" si="971"/>
        <v>-162152.38213774527</v>
      </c>
      <c r="S331">
        <f t="shared" si="972"/>
        <v>-1.6215238213774528</v>
      </c>
      <c r="T331">
        <f t="shared" si="973"/>
        <v>-1.6215238213774527E-3</v>
      </c>
    </row>
    <row r="332" spans="1:20" x14ac:dyDescent="0.25">
      <c r="A332" s="5">
        <v>44261</v>
      </c>
      <c r="B332">
        <v>127.176</v>
      </c>
      <c r="C332">
        <v>136.999</v>
      </c>
      <c r="D332">
        <v>121</v>
      </c>
      <c r="E332">
        <v>131.68100000000001</v>
      </c>
      <c r="F332">
        <v>9055.277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0.33520845052815984</v>
      </c>
      <c r="Q332">
        <f t="shared" si="970"/>
        <v>3035.4053722732838</v>
      </c>
      <c r="R332">
        <f t="shared" si="971"/>
        <v>-157892.27073435654</v>
      </c>
      <c r="S332">
        <f t="shared" si="972"/>
        <v>-1.5789227073435654</v>
      </c>
      <c r="T332">
        <f t="shared" si="973"/>
        <v>-1.5789227073435654E-3</v>
      </c>
    </row>
    <row r="333" spans="1:20" x14ac:dyDescent="0.25">
      <c r="A333" s="5">
        <v>44260</v>
      </c>
      <c r="B333">
        <v>127.926</v>
      </c>
      <c r="C333">
        <v>129.18600000000001</v>
      </c>
      <c r="D333">
        <v>116.4</v>
      </c>
      <c r="E333">
        <v>127.45</v>
      </c>
      <c r="F333">
        <v>8170.9520000000002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0.72845299546378794</v>
      </c>
      <c r="Q333">
        <f t="shared" si="970"/>
        <v>5952.154460190829</v>
      </c>
      <c r="R333">
        <f t="shared" si="971"/>
        <v>-160927.67610662983</v>
      </c>
      <c r="S333">
        <f t="shared" si="972"/>
        <v>-1.6092767610662984</v>
      </c>
      <c r="T333">
        <f t="shared" si="973"/>
        <v>-1.6092767610662983E-3</v>
      </c>
    </row>
    <row r="334" spans="1:20" x14ac:dyDescent="0.25">
      <c r="A334" s="5">
        <v>44259</v>
      </c>
      <c r="B334">
        <v>136.05000000000001</v>
      </c>
      <c r="C334">
        <v>145.256</v>
      </c>
      <c r="D334">
        <v>123.383</v>
      </c>
      <c r="E334">
        <v>128.42099999999999</v>
      </c>
      <c r="F334">
        <v>15411.367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-0.53934073972477525</v>
      </c>
      <c r="Q334">
        <f t="shared" si="970"/>
        <v>-8311.9780779499906</v>
      </c>
      <c r="R334">
        <f t="shared" si="971"/>
        <v>-166879.83056682066</v>
      </c>
      <c r="S334">
        <f t="shared" si="972"/>
        <v>-1.6687983056682065</v>
      </c>
      <c r="T334">
        <f t="shared" si="973"/>
        <v>-1.6687983056682064E-3</v>
      </c>
    </row>
    <row r="335" spans="1:20" x14ac:dyDescent="0.25">
      <c r="A335" s="5">
        <v>44258</v>
      </c>
      <c r="B335">
        <v>113.86499999999999</v>
      </c>
      <c r="C335">
        <v>144.999</v>
      </c>
      <c r="D335">
        <v>111.66</v>
      </c>
      <c r="E335">
        <v>137.17400000000001</v>
      </c>
      <c r="F335">
        <v>23027.09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0.53057980143375694</v>
      </c>
      <c r="Q335">
        <f t="shared" si="970"/>
        <v>12217.708839797249</v>
      </c>
      <c r="R335">
        <f t="shared" si="971"/>
        <v>-158567.85248887067</v>
      </c>
      <c r="S335">
        <f t="shared" si="972"/>
        <v>-1.5856785248887066</v>
      </c>
      <c r="T335">
        <f t="shared" si="973"/>
        <v>-1.5856785248887066E-3</v>
      </c>
    </row>
    <row r="336" spans="1:20" x14ac:dyDescent="0.25">
      <c r="A336" s="5">
        <v>44257</v>
      </c>
      <c r="B336">
        <v>121.52</v>
      </c>
      <c r="C336">
        <v>126.697</v>
      </c>
      <c r="D336">
        <v>108.583</v>
      </c>
      <c r="E336">
        <v>113.86499999999999</v>
      </c>
      <c r="F336">
        <v>14344.89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-0.41680468146185323</v>
      </c>
      <c r="Q336">
        <f t="shared" si="970"/>
        <v>-5979.0173070553237</v>
      </c>
      <c r="R336">
        <f t="shared" si="971"/>
        <v>-170785.56132866791</v>
      </c>
      <c r="S336">
        <f t="shared" si="972"/>
        <v>-1.7078556132866791</v>
      </c>
      <c r="T336">
        <f t="shared" si="973"/>
        <v>-1.7078556132866791E-3</v>
      </c>
    </row>
    <row r="337" spans="1:20" x14ac:dyDescent="0.25">
      <c r="A337" s="5">
        <v>44256</v>
      </c>
      <c r="B337">
        <v>117.628</v>
      </c>
      <c r="C337">
        <v>128</v>
      </c>
      <c r="D337">
        <v>111.024</v>
      </c>
      <c r="E337">
        <v>121.289</v>
      </c>
      <c r="F337">
        <v>17412.237000000001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0.20935438265787007</v>
      </c>
      <c r="Q337">
        <f t="shared" si="970"/>
        <v>3645.328127827524</v>
      </c>
      <c r="R337">
        <f t="shared" si="971"/>
        <v>-164806.54402161259</v>
      </c>
      <c r="S337">
        <f t="shared" si="972"/>
        <v>-1.6480654402161259</v>
      </c>
      <c r="T337">
        <f t="shared" si="973"/>
        <v>-1.6480654402161259E-3</v>
      </c>
    </row>
    <row r="338" spans="1:20" x14ac:dyDescent="0.25">
      <c r="A338" s="5">
        <v>44255</v>
      </c>
      <c r="B338">
        <v>123.995</v>
      </c>
      <c r="C338">
        <v>128.25899999999999</v>
      </c>
      <c r="D338">
        <v>102.977</v>
      </c>
      <c r="E338">
        <v>116.693</v>
      </c>
      <c r="F338">
        <v>8535.7659999999996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8.5040740447749674E-2</v>
      </c>
      <c r="Q338">
        <f t="shared" si="970"/>
        <v>725.88786092872647</v>
      </c>
      <c r="R338">
        <f t="shared" si="971"/>
        <v>-168451.87214944011</v>
      </c>
      <c r="S338">
        <f t="shared" si="972"/>
        <v>-1.6845187214944011</v>
      </c>
      <c r="T338">
        <f t="shared" si="973"/>
        <v>-1.684518721494401E-3</v>
      </c>
    </row>
    <row r="339" spans="1:20" x14ac:dyDescent="0.25">
      <c r="A339" s="5">
        <v>44254</v>
      </c>
      <c r="B339">
        <v>123.98399999999999</v>
      </c>
      <c r="C339">
        <v>132.22200000000001</v>
      </c>
      <c r="D339">
        <v>116.563</v>
      </c>
      <c r="E339">
        <v>123.995</v>
      </c>
      <c r="F339">
        <v>17266.587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-5.0769525512484925E-2</v>
      </c>
      <c r="Q339">
        <f t="shared" si="970"/>
        <v>-876.61642921004056</v>
      </c>
      <c r="R339">
        <f t="shared" si="971"/>
        <v>-169177.76001036883</v>
      </c>
      <c r="S339">
        <f t="shared" si="972"/>
        <v>-1.6917776001036884</v>
      </c>
      <c r="T339">
        <f t="shared" si="973"/>
        <v>-1.6917776001036883E-3</v>
      </c>
    </row>
    <row r="340" spans="1:20" x14ac:dyDescent="0.25">
      <c r="A340" s="5">
        <v>44253</v>
      </c>
      <c r="B340">
        <v>131.10499999999999</v>
      </c>
      <c r="C340">
        <v>137.57300000000001</v>
      </c>
      <c r="D340">
        <v>110.658</v>
      </c>
      <c r="E340">
        <v>123.056</v>
      </c>
      <c r="F340">
        <v>9549.5229999999992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-7.8729333085640479E-2</v>
      </c>
      <c r="Q340">
        <f t="shared" si="970"/>
        <v>-751.82757707598466</v>
      </c>
      <c r="R340">
        <f t="shared" si="971"/>
        <v>-168301.1435811588</v>
      </c>
      <c r="S340">
        <f t="shared" si="972"/>
        <v>-1.683011435811588</v>
      </c>
      <c r="T340">
        <f t="shared" si="973"/>
        <v>-1.6830114358115879E-3</v>
      </c>
    </row>
    <row r="341" spans="1:20" x14ac:dyDescent="0.25">
      <c r="A341" s="5">
        <v>44252</v>
      </c>
      <c r="B341">
        <v>133.5</v>
      </c>
      <c r="C341">
        <v>148.80000000000001</v>
      </c>
      <c r="D341">
        <v>130.756</v>
      </c>
      <c r="E341">
        <v>131.10499999999999</v>
      </c>
      <c r="F341">
        <v>13839.728999999999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-0.96131678120150865</v>
      </c>
      <c r="Q341">
        <f t="shared" si="970"/>
        <v>-13304.363734981174</v>
      </c>
      <c r="R341">
        <f t="shared" si="971"/>
        <v>-167549.31600408282</v>
      </c>
      <c r="S341">
        <f t="shared" si="972"/>
        <v>-1.6754931600408283</v>
      </c>
      <c r="T341">
        <f t="shared" si="973"/>
        <v>-1.6754931600408284E-3</v>
      </c>
    </row>
    <row r="342" spans="1:20" x14ac:dyDescent="0.25">
      <c r="A342" s="5">
        <v>44251</v>
      </c>
      <c r="B342">
        <v>133.30000000000001</v>
      </c>
      <c r="C342">
        <v>149.999</v>
      </c>
      <c r="D342">
        <v>120.896</v>
      </c>
      <c r="E342">
        <v>133.5</v>
      </c>
      <c r="F342">
        <v>18335.084999999999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-0.1338349998281963</v>
      </c>
      <c r="Q342">
        <f t="shared" si="970"/>
        <v>-2453.8760978249643</v>
      </c>
      <c r="R342">
        <f t="shared" si="971"/>
        <v>-154244.95226910166</v>
      </c>
      <c r="S342">
        <f t="shared" si="972"/>
        <v>-1.5424495226910167</v>
      </c>
      <c r="T342">
        <f t="shared" si="973"/>
        <v>-1.5424495226910165E-3</v>
      </c>
    </row>
    <row r="343" spans="1:20" x14ac:dyDescent="0.25">
      <c r="A343" s="5">
        <v>44250</v>
      </c>
      <c r="B343">
        <v>179.85</v>
      </c>
      <c r="C343">
        <v>180.45099999999999</v>
      </c>
      <c r="D343">
        <v>101.521</v>
      </c>
      <c r="E343">
        <v>132.65799999999999</v>
      </c>
      <c r="F343">
        <v>35967.648999999998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-0.21102242493348564</v>
      </c>
      <c r="Q343">
        <f t="shared" si="970"/>
        <v>-7589.9805111364594</v>
      </c>
      <c r="R343">
        <f t="shared" si="971"/>
        <v>-151791.07617127668</v>
      </c>
      <c r="S343">
        <f t="shared" si="972"/>
        <v>-1.5179107617127667</v>
      </c>
      <c r="T343">
        <f t="shared" si="973"/>
        <v>-1.5179107617127668E-3</v>
      </c>
    </row>
    <row r="344" spans="1:20" x14ac:dyDescent="0.25">
      <c r="A344" s="5">
        <v>44249</v>
      </c>
      <c r="B344">
        <v>184.07499999999999</v>
      </c>
      <c r="C344">
        <v>184.34800000000001</v>
      </c>
      <c r="D344">
        <v>150</v>
      </c>
      <c r="E344">
        <v>179.85</v>
      </c>
      <c r="F344">
        <v>22803.885999999999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0.73809246535460482</v>
      </c>
      <c r="Q344">
        <f t="shared" si="970"/>
        <v>16831.376437405357</v>
      </c>
      <c r="R344">
        <f t="shared" si="971"/>
        <v>-144201.09566014021</v>
      </c>
      <c r="S344">
        <f t="shared" si="972"/>
        <v>-1.4420109566014021</v>
      </c>
      <c r="T344">
        <f t="shared" si="973"/>
        <v>-1.4420109566014021E-3</v>
      </c>
    </row>
    <row r="345" spans="1:20" x14ac:dyDescent="0.25">
      <c r="A345" s="5">
        <v>44248</v>
      </c>
      <c r="B345">
        <v>176.505</v>
      </c>
      <c r="C345">
        <v>195.33</v>
      </c>
      <c r="D345">
        <v>171.53</v>
      </c>
      <c r="E345">
        <v>183.29400000000001</v>
      </c>
      <c r="F345">
        <v>16569.762999999999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-1.1428571428571061E-2</v>
      </c>
      <c r="Q345">
        <f t="shared" si="970"/>
        <v>-189.36871999999389</v>
      </c>
      <c r="R345">
        <f t="shared" si="971"/>
        <v>-161032.47209754557</v>
      </c>
      <c r="S345">
        <f t="shared" si="972"/>
        <v>-1.6103247209754556</v>
      </c>
      <c r="T345">
        <f t="shared" si="973"/>
        <v>-1.6103247209754556E-3</v>
      </c>
    </row>
    <row r="346" spans="1:20" x14ac:dyDescent="0.25">
      <c r="A346" s="5">
        <v>44247</v>
      </c>
      <c r="B346">
        <v>176.92</v>
      </c>
      <c r="C346">
        <v>202.61500000000001</v>
      </c>
      <c r="D346">
        <v>169.756</v>
      </c>
      <c r="E346">
        <v>176.50399999999999</v>
      </c>
      <c r="F346">
        <v>29359.112000000001</v>
      </c>
      <c r="G346">
        <v>0</v>
      </c>
      <c r="L346" t="s">
        <v>7</v>
      </c>
      <c r="M346" t="s">
        <v>8</v>
      </c>
      <c r="N346" t="s">
        <v>7</v>
      </c>
      <c r="P346">
        <f t="shared" si="969"/>
        <v>-0.58927538878237384</v>
      </c>
      <c r="Q346">
        <f t="shared" si="970"/>
        <v>-17300.60213810526</v>
      </c>
      <c r="R346">
        <f t="shared" si="971"/>
        <v>-160843.10337754557</v>
      </c>
      <c r="S346">
        <f t="shared" si="972"/>
        <v>-1.6084310337754557</v>
      </c>
      <c r="T346">
        <f t="shared" si="973"/>
        <v>-1.6084310337754557E-3</v>
      </c>
    </row>
    <row r="347" spans="1:20" x14ac:dyDescent="0.25">
      <c r="A347" s="5">
        <v>44246</v>
      </c>
      <c r="B347">
        <v>188.982</v>
      </c>
      <c r="C347">
        <v>193.59800000000001</v>
      </c>
      <c r="D347">
        <v>174.00299999999999</v>
      </c>
      <c r="E347">
        <v>176.92</v>
      </c>
      <c r="F347">
        <v>17207.467000000001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-0.70227098749681072</v>
      </c>
      <c r="Q347">
        <f t="shared" si="970"/>
        <v>-12084.304842408783</v>
      </c>
      <c r="R347">
        <f t="shared" si="971"/>
        <v>-143542.50123944032</v>
      </c>
      <c r="S347">
        <f t="shared" si="972"/>
        <v>-1.4354250123944032</v>
      </c>
      <c r="T347">
        <f t="shared" si="973"/>
        <v>-1.4354250123944032E-3</v>
      </c>
    </row>
    <row r="348" spans="1:20" x14ac:dyDescent="0.25">
      <c r="A348" s="5">
        <v>44245</v>
      </c>
      <c r="B348">
        <v>190</v>
      </c>
      <c r="C348">
        <v>199.34</v>
      </c>
      <c r="D348">
        <v>178</v>
      </c>
      <c r="E348">
        <v>189.05699999999999</v>
      </c>
      <c r="F348">
        <v>13523.414000000001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3.6269915651357655E-2</v>
      </c>
      <c r="Q348">
        <f t="shared" si="970"/>
        <v>490.49308509838926</v>
      </c>
      <c r="R348">
        <f t="shared" si="971"/>
        <v>-131458.19639703154</v>
      </c>
      <c r="S348">
        <f t="shared" si="972"/>
        <v>-1.3145819639703153</v>
      </c>
      <c r="T348">
        <f t="shared" si="973"/>
        <v>-1.3145819639703152E-3</v>
      </c>
    </row>
    <row r="349" spans="1:20" x14ac:dyDescent="0.25">
      <c r="A349" s="5">
        <v>44244</v>
      </c>
      <c r="B349">
        <v>189.489</v>
      </c>
      <c r="C349">
        <v>193.9</v>
      </c>
      <c r="D349">
        <v>163.9</v>
      </c>
      <c r="E349">
        <v>190.99799999999999</v>
      </c>
      <c r="F349">
        <v>15851.519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0.80653333333333233</v>
      </c>
      <c r="Q349">
        <f t="shared" si="970"/>
        <v>12784.778457466651</v>
      </c>
      <c r="R349">
        <f t="shared" si="971"/>
        <v>-131948.68948212994</v>
      </c>
      <c r="S349">
        <f t="shared" si="972"/>
        <v>-1.3194868948212994</v>
      </c>
      <c r="T349">
        <f t="shared" si="973"/>
        <v>-1.3194868948212994E-3</v>
      </c>
    </row>
    <row r="350" spans="1:20" x14ac:dyDescent="0.25">
      <c r="A350" s="5">
        <v>44243</v>
      </c>
      <c r="B350">
        <v>211.995</v>
      </c>
      <c r="C350">
        <v>213.59899999999999</v>
      </c>
      <c r="D350">
        <v>168</v>
      </c>
      <c r="E350">
        <v>189.994</v>
      </c>
      <c r="F350">
        <v>17460.502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-3.5329722143029242E-2</v>
      </c>
      <c r="Q350">
        <f t="shared" si="970"/>
        <v>-616.87468413780641</v>
      </c>
      <c r="R350">
        <f t="shared" si="971"/>
        <v>-144733.46793959659</v>
      </c>
      <c r="S350">
        <f t="shared" si="972"/>
        <v>-1.4473346793959661</v>
      </c>
      <c r="T350">
        <f t="shared" si="973"/>
        <v>-1.4473346793959661E-3</v>
      </c>
    </row>
    <row r="351" spans="1:20" x14ac:dyDescent="0.25">
      <c r="A351" s="5">
        <v>44242</v>
      </c>
      <c r="B351">
        <v>201.97399999999999</v>
      </c>
      <c r="C351">
        <v>230</v>
      </c>
      <c r="D351">
        <v>168</v>
      </c>
      <c r="E351">
        <v>211.99700000000001</v>
      </c>
      <c r="F351">
        <v>28054.614000000001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0.41925806451612951</v>
      </c>
      <c r="Q351">
        <f t="shared" si="970"/>
        <v>11762.123166387111</v>
      </c>
      <c r="R351">
        <f t="shared" si="971"/>
        <v>-144116.59325545878</v>
      </c>
      <c r="S351">
        <f t="shared" si="972"/>
        <v>-1.4411659325545878</v>
      </c>
      <c r="T351">
        <f t="shared" si="973"/>
        <v>-1.4411659325545877E-3</v>
      </c>
    </row>
    <row r="352" spans="1:20" x14ac:dyDescent="0.25">
      <c r="A352" s="5">
        <v>44241</v>
      </c>
      <c r="B352">
        <v>226.09</v>
      </c>
      <c r="C352">
        <v>227.31299999999999</v>
      </c>
      <c r="D352">
        <v>193.501</v>
      </c>
      <c r="E352">
        <v>201.99</v>
      </c>
      <c r="F352">
        <v>20257.993999999999</v>
      </c>
      <c r="G352">
        <v>0</v>
      </c>
      <c r="L352" t="s">
        <v>7</v>
      </c>
      <c r="M352" t="s">
        <v>8</v>
      </c>
      <c r="N352" t="s">
        <v>7</v>
      </c>
      <c r="P352">
        <f t="shared" si="969"/>
        <v>-0.49787057849284228</v>
      </c>
      <c r="Q352">
        <f t="shared" si="970"/>
        <v>-10085.859191884527</v>
      </c>
      <c r="R352">
        <f t="shared" si="971"/>
        <v>-155878.71642184589</v>
      </c>
      <c r="S352">
        <f t="shared" si="972"/>
        <v>-1.558787164218459</v>
      </c>
      <c r="T352">
        <f t="shared" si="973"/>
        <v>-1.558787164218459E-3</v>
      </c>
    </row>
    <row r="353" spans="1:20" x14ac:dyDescent="0.25">
      <c r="A353" s="5">
        <v>44240</v>
      </c>
      <c r="B353">
        <v>253.679</v>
      </c>
      <c r="C353">
        <v>294.54000000000002</v>
      </c>
      <c r="D353">
        <v>190</v>
      </c>
      <c r="E353">
        <v>225.99799999999999</v>
      </c>
      <c r="F353">
        <v>64461.811000000002</v>
      </c>
      <c r="G353">
        <v>0</v>
      </c>
      <c r="L353" t="s">
        <v>8</v>
      </c>
      <c r="M353" t="s">
        <v>7</v>
      </c>
      <c r="N353" t="s">
        <v>7</v>
      </c>
      <c r="P353">
        <f t="shared" si="969"/>
        <v>-0.31130667687009789</v>
      </c>
      <c r="Q353">
        <f t="shared" si="970"/>
        <v>-20067.392167438324</v>
      </c>
      <c r="R353">
        <f t="shared" si="971"/>
        <v>-145792.85722996137</v>
      </c>
      <c r="S353">
        <f t="shared" si="972"/>
        <v>-1.4579285722996138</v>
      </c>
      <c r="T353">
        <f t="shared" si="973"/>
        <v>-1.4579285722996138E-3</v>
      </c>
    </row>
    <row r="354" spans="1:20" x14ac:dyDescent="0.25">
      <c r="A354" s="5">
        <v>44239</v>
      </c>
      <c r="B354">
        <v>244.88</v>
      </c>
      <c r="C354">
        <v>273</v>
      </c>
      <c r="D354">
        <v>238</v>
      </c>
      <c r="E354">
        <v>252.5</v>
      </c>
      <c r="F354">
        <v>11061.169</v>
      </c>
      <c r="G354">
        <v>0</v>
      </c>
      <c r="L354" t="s">
        <v>8</v>
      </c>
      <c r="M354" t="s">
        <v>7</v>
      </c>
      <c r="N354" t="s">
        <v>8</v>
      </c>
      <c r="P354">
        <f t="shared" si="969"/>
        <v>-0.17142857142857143</v>
      </c>
      <c r="Q354">
        <f t="shared" si="970"/>
        <v>-1896.2003999999999</v>
      </c>
      <c r="R354">
        <f t="shared" si="971"/>
        <v>-125725.46506252304</v>
      </c>
      <c r="S354">
        <f t="shared" si="972"/>
        <v>-1.2572546506252305</v>
      </c>
      <c r="T354">
        <f t="shared" si="973"/>
        <v>-1.2572546506252305E-3</v>
      </c>
    </row>
    <row r="355" spans="1:20" x14ac:dyDescent="0.25">
      <c r="A355" s="5">
        <v>44238</v>
      </c>
      <c r="B355">
        <v>243.50700000000001</v>
      </c>
      <c r="C355">
        <v>269</v>
      </c>
      <c r="D355">
        <v>230.601</v>
      </c>
      <c r="E355">
        <v>244.88</v>
      </c>
      <c r="F355">
        <v>15321.351000000001</v>
      </c>
      <c r="G355">
        <v>0</v>
      </c>
      <c r="L355" t="s">
        <v>8</v>
      </c>
      <c r="M355" t="s">
        <v>7</v>
      </c>
      <c r="N355" t="s">
        <v>8</v>
      </c>
      <c r="P355">
        <f t="shared" si="969"/>
        <v>-0.25628271569572147</v>
      </c>
      <c r="Q355">
        <f t="shared" si="970"/>
        <v>-3926.5974424073579</v>
      </c>
      <c r="R355">
        <f t="shared" si="971"/>
        <v>-123829.26466252304</v>
      </c>
      <c r="S355">
        <f t="shared" si="972"/>
        <v>-1.2382926466252304</v>
      </c>
      <c r="T355">
        <f t="shared" si="973"/>
        <v>-1.2382926466252304E-3</v>
      </c>
    </row>
    <row r="356" spans="1:20" x14ac:dyDescent="0.25">
      <c r="A356" s="5">
        <v>44237</v>
      </c>
      <c r="B356">
        <v>232.30500000000001</v>
      </c>
      <c r="C356">
        <v>277.38200000000001</v>
      </c>
      <c r="D356">
        <v>218</v>
      </c>
      <c r="E356">
        <v>243.50700000000001</v>
      </c>
      <c r="F356">
        <v>28568.388999999999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-0.14091812333703807</v>
      </c>
      <c r="Q356">
        <f t="shared" si="970"/>
        <v>-4025.8037646424814</v>
      </c>
      <c r="R356">
        <f t="shared" si="971"/>
        <v>-119902.66722011568</v>
      </c>
      <c r="S356">
        <f t="shared" si="972"/>
        <v>-1.1990266722011567</v>
      </c>
      <c r="T356">
        <f t="shared" si="973"/>
        <v>-1.1990266722011567E-3</v>
      </c>
    </row>
    <row r="357" spans="1:20" x14ac:dyDescent="0.25">
      <c r="A357" s="5">
        <v>44236</v>
      </c>
      <c r="B357">
        <v>265.47800000000001</v>
      </c>
      <c r="C357">
        <v>265.69</v>
      </c>
      <c r="D357">
        <v>220</v>
      </c>
      <c r="E357">
        <v>232.19399999999999</v>
      </c>
      <c r="F357">
        <v>20755.766</v>
      </c>
      <c r="G357">
        <v>0</v>
      </c>
      <c r="L357" t="s">
        <v>7</v>
      </c>
      <c r="M357" t="s">
        <v>7</v>
      </c>
      <c r="N357" t="s">
        <v>8</v>
      </c>
      <c r="P357">
        <f t="shared" si="969"/>
        <v>-0.46622893412125238</v>
      </c>
      <c r="Q357">
        <f t="shared" si="970"/>
        <v>-9676.938659050129</v>
      </c>
      <c r="R357">
        <f t="shared" si="971"/>
        <v>-115876.8634554732</v>
      </c>
      <c r="S357">
        <f t="shared" si="972"/>
        <v>-1.1587686345547319</v>
      </c>
      <c r="T357">
        <f t="shared" si="973"/>
        <v>-1.1587686345547318E-3</v>
      </c>
    </row>
    <row r="358" spans="1:20" x14ac:dyDescent="0.25">
      <c r="A358" s="5">
        <v>44235</v>
      </c>
      <c r="B358">
        <v>263.73500000000001</v>
      </c>
      <c r="C358">
        <v>294.2</v>
      </c>
      <c r="D358">
        <v>243.922</v>
      </c>
      <c r="E358">
        <v>265.47800000000001</v>
      </c>
      <c r="F358">
        <v>12059.516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-0.14252754683957136</v>
      </c>
      <c r="Q358">
        <f t="shared" si="970"/>
        <v>-1718.8132315525602</v>
      </c>
      <c r="R358">
        <f t="shared" si="971"/>
        <v>-106199.92479642307</v>
      </c>
      <c r="S358">
        <f t="shared" si="972"/>
        <v>-1.0619992479642308</v>
      </c>
      <c r="T358">
        <f t="shared" si="973"/>
        <v>-1.0619992479642308E-3</v>
      </c>
    </row>
    <row r="359" spans="1:20" x14ac:dyDescent="0.25">
      <c r="A359" s="5">
        <v>44234</v>
      </c>
      <c r="B359">
        <v>265.66300000000001</v>
      </c>
      <c r="C359">
        <v>276.99799999999999</v>
      </c>
      <c r="D359">
        <v>207.078</v>
      </c>
      <c r="E359">
        <v>263.73500000000001</v>
      </c>
      <c r="F359">
        <v>15269.079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0.62062356979405098</v>
      </c>
      <c r="Q359">
        <f t="shared" si="970"/>
        <v>9476.3503164473786</v>
      </c>
      <c r="R359">
        <f t="shared" si="971"/>
        <v>-104481.11156487052</v>
      </c>
      <c r="S359">
        <f t="shared" si="972"/>
        <v>-1.0448111156487052</v>
      </c>
      <c r="T359">
        <f t="shared" si="973"/>
        <v>-1.0448111156487051E-3</v>
      </c>
    </row>
    <row r="360" spans="1:20" x14ac:dyDescent="0.25">
      <c r="A360" s="5">
        <v>44233</v>
      </c>
      <c r="B360">
        <v>308.5</v>
      </c>
      <c r="C360">
        <v>312.178</v>
      </c>
      <c r="D360">
        <v>230</v>
      </c>
      <c r="E360">
        <v>265.66300000000001</v>
      </c>
      <c r="F360">
        <v>30944.927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-0.13205480785611692</v>
      </c>
      <c r="Q360">
        <f t="shared" si="970"/>
        <v>-4086.4263891065648</v>
      </c>
      <c r="R360">
        <f t="shared" si="971"/>
        <v>-113957.4618813179</v>
      </c>
      <c r="S360">
        <f t="shared" si="972"/>
        <v>-1.139574618813179</v>
      </c>
      <c r="T360">
        <f t="shared" si="973"/>
        <v>-1.1395746188131791E-3</v>
      </c>
    </row>
    <row r="361" spans="1:20" x14ac:dyDescent="0.25">
      <c r="A361" s="5">
        <v>44232</v>
      </c>
      <c r="B361">
        <v>301.59800000000001</v>
      </c>
      <c r="C361">
        <v>352.44799999999998</v>
      </c>
      <c r="D361">
        <v>292</v>
      </c>
      <c r="E361">
        <v>308.5</v>
      </c>
      <c r="F361">
        <v>13889.757</v>
      </c>
      <c r="G361">
        <v>0</v>
      </c>
      <c r="L361" t="s">
        <v>7</v>
      </c>
      <c r="M361" t="s">
        <v>7</v>
      </c>
      <c r="N361" t="s">
        <v>8</v>
      </c>
      <c r="P361">
        <f t="shared" si="969"/>
        <v>-0.45407623080995219</v>
      </c>
      <c r="Q361">
        <f t="shared" si="970"/>
        <v>-6307.008505426149</v>
      </c>
      <c r="R361">
        <f t="shared" si="971"/>
        <v>-109871.03549221133</v>
      </c>
      <c r="S361">
        <f t="shared" si="972"/>
        <v>-1.0987103549221133</v>
      </c>
      <c r="T361">
        <f t="shared" si="973"/>
        <v>-1.0987103549221133E-3</v>
      </c>
    </row>
    <row r="362" spans="1:20" x14ac:dyDescent="0.25">
      <c r="A362" s="5">
        <v>44231</v>
      </c>
      <c r="B362">
        <v>283.14499999999998</v>
      </c>
      <c r="C362">
        <v>380</v>
      </c>
      <c r="D362">
        <v>260</v>
      </c>
      <c r="E362">
        <v>301.59800000000001</v>
      </c>
      <c r="F362">
        <v>37965.716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-0.30669999999999981</v>
      </c>
      <c r="Q362">
        <f t="shared" si="970"/>
        <v>-11644.085097199993</v>
      </c>
      <c r="R362">
        <f t="shared" si="971"/>
        <v>-103564.02698678519</v>
      </c>
      <c r="S362">
        <f t="shared" si="972"/>
        <v>-1.035640269867852</v>
      </c>
      <c r="T362">
        <f t="shared" si="973"/>
        <v>-1.035640269867852E-3</v>
      </c>
    </row>
    <row r="363" spans="1:20" x14ac:dyDescent="0.25">
      <c r="A363" s="5">
        <v>44230</v>
      </c>
      <c r="B363">
        <v>260.197</v>
      </c>
      <c r="C363">
        <v>287.89999999999998</v>
      </c>
      <c r="D363">
        <v>253.3</v>
      </c>
      <c r="E363">
        <v>283.14499999999998</v>
      </c>
      <c r="F363">
        <v>16455.839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0.72514450867052027</v>
      </c>
      <c r="Q363">
        <f t="shared" si="970"/>
        <v>11932.861286416186</v>
      </c>
      <c r="R363">
        <f t="shared" si="971"/>
        <v>-91919.9418895852</v>
      </c>
      <c r="S363">
        <f t="shared" si="972"/>
        <v>-0.91919941889585199</v>
      </c>
      <c r="T363">
        <f t="shared" si="973"/>
        <v>-9.1919941889585203E-4</v>
      </c>
    </row>
    <row r="364" spans="1:20" x14ac:dyDescent="0.25">
      <c r="A364" s="5">
        <v>44229</v>
      </c>
      <c r="B364">
        <v>298.00099999999998</v>
      </c>
      <c r="C364">
        <v>320</v>
      </c>
      <c r="D364">
        <v>245.5</v>
      </c>
      <c r="E364">
        <v>260.80099999999999</v>
      </c>
      <c r="F364">
        <v>20832.171999999999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-0.58923489932885942</v>
      </c>
      <c r="Q364">
        <f t="shared" si="970"/>
        <v>-12275.042771221482</v>
      </c>
      <c r="R364">
        <f t="shared" si="971"/>
        <v>-103852.80317600138</v>
      </c>
      <c r="S364">
        <f t="shared" si="972"/>
        <v>-1.0385280317600138</v>
      </c>
      <c r="T364">
        <f t="shared" si="973"/>
        <v>-1.0385280317600138E-3</v>
      </c>
    </row>
    <row r="365" spans="1:20" x14ac:dyDescent="0.25">
      <c r="A365" s="5">
        <v>44228</v>
      </c>
      <c r="B365">
        <v>251.3</v>
      </c>
      <c r="C365">
        <v>309.99</v>
      </c>
      <c r="D365">
        <v>228.5</v>
      </c>
      <c r="E365">
        <v>299.483</v>
      </c>
      <c r="F365">
        <v>18226.758999999998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0.74212786845011647</v>
      </c>
      <c r="Q365">
        <f t="shared" si="970"/>
        <v>13526.585805423974</v>
      </c>
      <c r="R365">
        <f t="shared" si="971"/>
        <v>-91577.760404779896</v>
      </c>
      <c r="S365">
        <f t="shared" si="972"/>
        <v>-0.91577760404779895</v>
      </c>
      <c r="T365">
        <f t="shared" si="973"/>
        <v>-9.1577760404779897E-4</v>
      </c>
    </row>
    <row r="366" spans="1:20" x14ac:dyDescent="0.25">
      <c r="A366" s="5">
        <v>44227</v>
      </c>
      <c r="B366">
        <v>218.756</v>
      </c>
      <c r="C366">
        <v>265</v>
      </c>
      <c r="D366">
        <v>202.727</v>
      </c>
      <c r="E366">
        <v>252.03899999999999</v>
      </c>
      <c r="F366">
        <v>17043.194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0.58373612962278953</v>
      </c>
      <c r="Q366">
        <f t="shared" si="970"/>
        <v>9948.7281019703478</v>
      </c>
      <c r="R366">
        <f t="shared" si="971"/>
        <v>-105104.34621020388</v>
      </c>
      <c r="S366">
        <f t="shared" si="972"/>
        <v>-1.0510434621020388</v>
      </c>
      <c r="T366">
        <f t="shared" si="973"/>
        <v>-1.0510434621020389E-3</v>
      </c>
    </row>
    <row r="367" spans="1:20" x14ac:dyDescent="0.25">
      <c r="A367" s="5">
        <v>44226</v>
      </c>
      <c r="B367">
        <v>165.101</v>
      </c>
      <c r="C367">
        <v>225.4</v>
      </c>
      <c r="D367">
        <v>162.87899999999999</v>
      </c>
      <c r="E367">
        <v>217.20699999999999</v>
      </c>
      <c r="F367">
        <v>19193.205999999998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0.73791206154731981</v>
      </c>
      <c r="Q367">
        <f t="shared" si="970"/>
        <v>14162.898207162387</v>
      </c>
      <c r="R367">
        <f t="shared" si="971"/>
        <v>-115053.07431217423</v>
      </c>
      <c r="S367">
        <f t="shared" si="972"/>
        <v>-1.1505307431217422</v>
      </c>
      <c r="T367">
        <f t="shared" si="973"/>
        <v>-1.1505307431217422E-3</v>
      </c>
    </row>
    <row r="368" spans="1:20" x14ac:dyDescent="0.25">
      <c r="A368" s="5">
        <v>44225</v>
      </c>
      <c r="B368">
        <v>151.428</v>
      </c>
      <c r="C368">
        <v>173</v>
      </c>
      <c r="D368">
        <v>146</v>
      </c>
      <c r="E368">
        <v>165.05</v>
      </c>
      <c r="F368">
        <v>15147.475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0.41111111111111193</v>
      </c>
      <c r="Q368">
        <f t="shared" si="970"/>
        <v>6227.29527777779</v>
      </c>
      <c r="R368">
        <f t="shared" si="971"/>
        <v>-129215.97251933662</v>
      </c>
      <c r="S368">
        <f t="shared" si="972"/>
        <v>-1.2921597251933661</v>
      </c>
      <c r="T368">
        <f t="shared" si="973"/>
        <v>-1.2921597251933661E-3</v>
      </c>
    </row>
    <row r="369" spans="1:20" x14ac:dyDescent="0.25">
      <c r="A369" s="5">
        <v>44224</v>
      </c>
      <c r="B369">
        <v>153.99700000000001</v>
      </c>
      <c r="C369">
        <v>163</v>
      </c>
      <c r="D369">
        <v>142.64699999999999</v>
      </c>
      <c r="E369">
        <v>151.429</v>
      </c>
      <c r="F369">
        <v>11723.209000000001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-0.13703139586301705</v>
      </c>
      <c r="Q369">
        <f t="shared" si="970"/>
        <v>-1606.4476932638843</v>
      </c>
      <c r="R369">
        <f t="shared" si="971"/>
        <v>-135443.26779711441</v>
      </c>
      <c r="S369">
        <f t="shared" si="972"/>
        <v>-1.3544326779711442</v>
      </c>
      <c r="T369">
        <f t="shared" si="973"/>
        <v>-1.3544326779711441E-3</v>
      </c>
    </row>
    <row r="370" spans="1:20" x14ac:dyDescent="0.25">
      <c r="A370" s="5">
        <v>44223</v>
      </c>
      <c r="B370">
        <v>169.87899999999999</v>
      </c>
      <c r="C370">
        <v>179</v>
      </c>
      <c r="D370">
        <v>139.678</v>
      </c>
      <c r="E370">
        <v>154.02000000000001</v>
      </c>
      <c r="F370">
        <v>12086.09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-0.27053557804791151</v>
      </c>
      <c r="Q370">
        <f t="shared" si="970"/>
        <v>-3269.7173444890827</v>
      </c>
      <c r="R370">
        <f t="shared" si="971"/>
        <v>-133836.82010385054</v>
      </c>
      <c r="S370">
        <f t="shared" si="972"/>
        <v>-1.3383682010385054</v>
      </c>
      <c r="T370">
        <f t="shared" si="973"/>
        <v>-1.3383682010385054E-3</v>
      </c>
    </row>
    <row r="371" spans="1:20" x14ac:dyDescent="0.25">
      <c r="A371" s="5">
        <v>44222</v>
      </c>
      <c r="B371">
        <v>170.31200000000001</v>
      </c>
      <c r="C371">
        <v>183</v>
      </c>
      <c r="D371">
        <v>146</v>
      </c>
      <c r="E371">
        <v>168.93899999999999</v>
      </c>
      <c r="F371">
        <v>11465.786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0.23994594594594557</v>
      </c>
      <c r="Q371">
        <f t="shared" si="970"/>
        <v>2751.1688677837797</v>
      </c>
      <c r="R371">
        <f t="shared" si="971"/>
        <v>-130567.10275936146</v>
      </c>
      <c r="S371">
        <f t="shared" si="972"/>
        <v>-1.3056710275936145</v>
      </c>
      <c r="T371">
        <f t="shared" si="973"/>
        <v>-1.3056710275936145E-3</v>
      </c>
    </row>
    <row r="372" spans="1:20" x14ac:dyDescent="0.25">
      <c r="A372" s="5">
        <v>44221</v>
      </c>
      <c r="B372">
        <v>200</v>
      </c>
      <c r="C372">
        <v>204.52</v>
      </c>
      <c r="D372">
        <v>155</v>
      </c>
      <c r="E372">
        <v>171.32599999999999</v>
      </c>
      <c r="F372">
        <v>11302.025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-0.34063004846526695</v>
      </c>
      <c r="Q372">
        <f t="shared" si="970"/>
        <v>-3849.8093235056585</v>
      </c>
      <c r="R372">
        <f t="shared" si="971"/>
        <v>-133318.27162714524</v>
      </c>
      <c r="S372">
        <f t="shared" si="972"/>
        <v>-1.3331827162714525</v>
      </c>
      <c r="T372">
        <f t="shared" si="973"/>
        <v>-1.3331827162714526E-3</v>
      </c>
    </row>
    <row r="373" spans="1:20" x14ac:dyDescent="0.25">
      <c r="A373" s="5">
        <v>44220</v>
      </c>
      <c r="B373">
        <v>177</v>
      </c>
      <c r="C373">
        <v>200.11</v>
      </c>
      <c r="D373">
        <v>168</v>
      </c>
      <c r="E373">
        <v>200.1</v>
      </c>
      <c r="F373">
        <v>9436.6830000000009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0.99937714107754472</v>
      </c>
      <c r="Q373">
        <f t="shared" si="970"/>
        <v>9430.8052777950688</v>
      </c>
      <c r="R373">
        <f t="shared" si="971"/>
        <v>-129468.46230363956</v>
      </c>
      <c r="S373">
        <f t="shared" si="972"/>
        <v>-1.2946846230363955</v>
      </c>
      <c r="T373">
        <f t="shared" si="973"/>
        <v>-1.2946846230363956E-3</v>
      </c>
    </row>
    <row r="374" spans="1:20" x14ac:dyDescent="0.25">
      <c r="A374" s="5">
        <v>44219</v>
      </c>
      <c r="B374">
        <v>157.80500000000001</v>
      </c>
      <c r="C374">
        <v>182.04499999999999</v>
      </c>
      <c r="D374">
        <v>152.36600000000001</v>
      </c>
      <c r="E374">
        <v>177</v>
      </c>
      <c r="F374">
        <v>8290.31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0.6600289767175449</v>
      </c>
      <c r="Q374">
        <f t="shared" si="970"/>
        <v>5471.8448259712295</v>
      </c>
      <c r="R374">
        <f t="shared" si="971"/>
        <v>-138899.26758143463</v>
      </c>
      <c r="S374">
        <f t="shared" si="972"/>
        <v>-1.3889926758143463</v>
      </c>
      <c r="T374">
        <f t="shared" si="973"/>
        <v>-1.3889926758143462E-3</v>
      </c>
    </row>
    <row r="375" spans="1:20" x14ac:dyDescent="0.25">
      <c r="A375" s="5">
        <v>44218</v>
      </c>
      <c r="B375">
        <v>132.69800000000001</v>
      </c>
      <c r="C375">
        <v>170</v>
      </c>
      <c r="D375">
        <v>121</v>
      </c>
      <c r="E375">
        <v>157.559</v>
      </c>
      <c r="F375">
        <v>13363.262000000001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0.49220408163265295</v>
      </c>
      <c r="Q375">
        <f t="shared" si="970"/>
        <v>6577.452100326529</v>
      </c>
      <c r="R375">
        <f t="shared" si="971"/>
        <v>-144371.11240740586</v>
      </c>
      <c r="S375">
        <f t="shared" si="972"/>
        <v>-1.4437111240740585</v>
      </c>
      <c r="T375">
        <f t="shared" si="973"/>
        <v>-1.4437111240740586E-3</v>
      </c>
    </row>
    <row r="376" spans="1:20" x14ac:dyDescent="0.25">
      <c r="A376" s="5">
        <v>44217</v>
      </c>
      <c r="B376">
        <v>174.893</v>
      </c>
      <c r="C376">
        <v>175</v>
      </c>
      <c r="D376">
        <v>130.1</v>
      </c>
      <c r="E376">
        <v>132.69800000000001</v>
      </c>
      <c r="F376">
        <v>10621.123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-0.88427616926503283</v>
      </c>
      <c r="Q376">
        <f t="shared" si="970"/>
        <v>-9392.0059597327327</v>
      </c>
      <c r="R376">
        <f t="shared" si="971"/>
        <v>-150948.5645077324</v>
      </c>
      <c r="S376">
        <f t="shared" si="972"/>
        <v>-1.509485645077324</v>
      </c>
      <c r="T376">
        <f t="shared" si="973"/>
        <v>-1.5094856450773239E-3</v>
      </c>
    </row>
    <row r="377" spans="1:20" x14ac:dyDescent="0.25">
      <c r="A377" s="5">
        <v>44216</v>
      </c>
      <c r="B377">
        <v>146.83199999999999</v>
      </c>
      <c r="C377">
        <v>179.99</v>
      </c>
      <c r="D377">
        <v>135.06100000000001</v>
      </c>
      <c r="E377">
        <v>175</v>
      </c>
      <c r="F377">
        <v>12616.82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0.77787175321062085</v>
      </c>
      <c r="Q377">
        <f t="shared" si="970"/>
        <v>9814.2678933428251</v>
      </c>
      <c r="R377">
        <f t="shared" si="971"/>
        <v>-141556.55854799968</v>
      </c>
      <c r="S377">
        <f t="shared" si="972"/>
        <v>-1.4155655854799969</v>
      </c>
      <c r="T377">
        <f t="shared" si="973"/>
        <v>-1.4155655854799969E-3</v>
      </c>
    </row>
    <row r="378" spans="1:20" x14ac:dyDescent="0.25">
      <c r="A378" s="5">
        <v>44215</v>
      </c>
      <c r="B378">
        <v>189.602</v>
      </c>
      <c r="C378">
        <v>199.9</v>
      </c>
      <c r="D378">
        <v>142.46799999999999</v>
      </c>
      <c r="E378">
        <v>146.804</v>
      </c>
      <c r="F378">
        <v>10428.147999999999</v>
      </c>
      <c r="G378">
        <v>0</v>
      </c>
      <c r="L378" t="s">
        <v>7</v>
      </c>
      <c r="M378" t="s">
        <v>7</v>
      </c>
      <c r="N378" t="s">
        <v>7</v>
      </c>
      <c r="P378">
        <f t="shared" si="969"/>
        <v>-0.84900403955982684</v>
      </c>
      <c r="Q378">
        <f t="shared" si="970"/>
        <v>-8853.5397771277276</v>
      </c>
      <c r="R378">
        <f t="shared" si="971"/>
        <v>-151370.82644134251</v>
      </c>
      <c r="S378">
        <f t="shared" si="972"/>
        <v>-1.513708264413425</v>
      </c>
      <c r="T378">
        <f t="shared" si="973"/>
        <v>-1.5137082644134251E-3</v>
      </c>
    </row>
    <row r="379" spans="1:20" x14ac:dyDescent="0.25">
      <c r="A379" s="5">
        <v>44214</v>
      </c>
      <c r="B379">
        <v>186.87200000000001</v>
      </c>
      <c r="C379">
        <v>210</v>
      </c>
      <c r="D379">
        <v>170</v>
      </c>
      <c r="E379">
        <v>189.602</v>
      </c>
      <c r="F379">
        <v>13737.905000000001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-1.9899999999999807E-2</v>
      </c>
      <c r="Q379">
        <f t="shared" si="970"/>
        <v>-273.38430949999736</v>
      </c>
      <c r="R379">
        <f t="shared" si="971"/>
        <v>-142517.28666421477</v>
      </c>
      <c r="S379">
        <f t="shared" si="972"/>
        <v>-1.4251728666421477</v>
      </c>
      <c r="T379">
        <f t="shared" si="973"/>
        <v>-1.4251728666421477E-3</v>
      </c>
    </row>
    <row r="380" spans="1:20" x14ac:dyDescent="0.25">
      <c r="A380" s="5">
        <v>44213</v>
      </c>
      <c r="B380">
        <v>135</v>
      </c>
      <c r="C380">
        <v>197.9</v>
      </c>
      <c r="D380">
        <v>132.44300000000001</v>
      </c>
      <c r="E380">
        <v>188.999</v>
      </c>
      <c r="F380">
        <v>19910.884999999998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0.72803519868004918</v>
      </c>
      <c r="Q380">
        <f t="shared" si="970"/>
        <v>14495.82511687061</v>
      </c>
      <c r="R380">
        <f t="shared" si="971"/>
        <v>-142243.90235471478</v>
      </c>
      <c r="S380">
        <f t="shared" si="972"/>
        <v>-1.4224390235471478</v>
      </c>
      <c r="T380">
        <f t="shared" si="973"/>
        <v>-1.4224390235471477E-3</v>
      </c>
    </row>
    <row r="381" spans="1:20" x14ac:dyDescent="0.25">
      <c r="A381" s="5">
        <v>44212</v>
      </c>
      <c r="B381">
        <v>124.938</v>
      </c>
      <c r="C381">
        <v>175</v>
      </c>
      <c r="D381">
        <v>122.501</v>
      </c>
      <c r="E381">
        <v>136.44300000000001</v>
      </c>
      <c r="F381">
        <v>19900.973000000002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-0.46886607363949756</v>
      </c>
      <c r="Q381">
        <f t="shared" si="970"/>
        <v>-9330.8910721156535</v>
      </c>
      <c r="R381">
        <f t="shared" si="971"/>
        <v>-156739.72747158539</v>
      </c>
      <c r="S381">
        <f t="shared" si="972"/>
        <v>-1.5673972747158538</v>
      </c>
      <c r="T381">
        <f t="shared" si="973"/>
        <v>-1.5673972747158537E-3</v>
      </c>
    </row>
    <row r="382" spans="1:20" x14ac:dyDescent="0.25">
      <c r="A382" s="5">
        <v>44211</v>
      </c>
      <c r="B382">
        <v>116.399</v>
      </c>
      <c r="C382">
        <v>125.152</v>
      </c>
      <c r="D382">
        <v>80.77</v>
      </c>
      <c r="E382">
        <v>124.851</v>
      </c>
      <c r="F382">
        <v>17907.55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0.98643594249921129</v>
      </c>
      <c r="Q382">
        <f t="shared" si="970"/>
        <v>17664.65096210175</v>
      </c>
      <c r="R382">
        <f t="shared" si="971"/>
        <v>-147408.83639946973</v>
      </c>
      <c r="S382">
        <f t="shared" si="972"/>
        <v>-1.4740883639946973</v>
      </c>
      <c r="T382">
        <f t="shared" si="973"/>
        <v>-1.4740883639946974E-3</v>
      </c>
    </row>
    <row r="383" spans="1:20" x14ac:dyDescent="0.25">
      <c r="A383" s="5">
        <v>44210</v>
      </c>
      <c r="B383">
        <v>97.7</v>
      </c>
      <c r="C383">
        <v>146.05500000000001</v>
      </c>
      <c r="D383">
        <v>88.36</v>
      </c>
      <c r="E383">
        <v>114.008</v>
      </c>
      <c r="F383">
        <v>27452.686000000002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-0.11091082416153937</v>
      </c>
      <c r="Q383">
        <f t="shared" si="970"/>
        <v>-3044.8000297079539</v>
      </c>
      <c r="R383">
        <f t="shared" si="971"/>
        <v>-165073.48736157149</v>
      </c>
      <c r="S383">
        <f t="shared" si="972"/>
        <v>-1.6507348736157148</v>
      </c>
      <c r="T383">
        <f t="shared" si="973"/>
        <v>-1.6507348736157148E-3</v>
      </c>
    </row>
    <row r="384" spans="1:20" x14ac:dyDescent="0.25">
      <c r="A384" s="5">
        <v>44209</v>
      </c>
      <c r="B384">
        <v>69.555000000000007</v>
      </c>
      <c r="C384">
        <v>98.555999999999997</v>
      </c>
      <c r="D384">
        <v>67.05</v>
      </c>
      <c r="E384">
        <v>97.7</v>
      </c>
      <c r="F384">
        <v>7809.4870000000001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0.94566114390909706</v>
      </c>
      <c r="Q384">
        <f t="shared" si="970"/>
        <v>7385.1284097632224</v>
      </c>
      <c r="R384">
        <f t="shared" si="971"/>
        <v>-162028.68733186353</v>
      </c>
      <c r="S384">
        <f t="shared" si="972"/>
        <v>-1.6202868733186353</v>
      </c>
      <c r="T384">
        <f t="shared" si="973"/>
        <v>-1.6202868733186354E-3</v>
      </c>
    </row>
    <row r="385" spans="1:20" x14ac:dyDescent="0.25">
      <c r="A385" s="5">
        <v>44208</v>
      </c>
      <c r="B385">
        <v>75.034999999999997</v>
      </c>
      <c r="C385">
        <v>81.417000000000002</v>
      </c>
      <c r="D385">
        <v>68</v>
      </c>
      <c r="E385">
        <v>69.55</v>
      </c>
      <c r="F385">
        <v>3080.8739999999998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-0.76894983975553444</v>
      </c>
      <c r="Q385">
        <f t="shared" si="970"/>
        <v>-2369.0375686069924</v>
      </c>
      <c r="R385">
        <f t="shared" si="971"/>
        <v>-169413.81574162675</v>
      </c>
      <c r="S385">
        <f t="shared" si="972"/>
        <v>-1.6941381574162675</v>
      </c>
      <c r="T385">
        <f t="shared" si="973"/>
        <v>-1.6941381574162675E-3</v>
      </c>
    </row>
    <row r="386" spans="1:20" x14ac:dyDescent="0.25">
      <c r="A386" s="5">
        <v>44207</v>
      </c>
      <c r="B386">
        <v>94.423000000000002</v>
      </c>
      <c r="C386">
        <v>95.68</v>
      </c>
      <c r="D386">
        <v>57.259</v>
      </c>
      <c r="E386">
        <v>75.616</v>
      </c>
      <c r="F386">
        <v>7756.3050000000003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-4.4428827984696065E-2</v>
      </c>
      <c r="Q386">
        <f t="shared" si="970"/>
        <v>-344.60354064183804</v>
      </c>
      <c r="R386">
        <f t="shared" si="971"/>
        <v>-167044.77817301976</v>
      </c>
      <c r="S386">
        <f t="shared" si="972"/>
        <v>-1.6704477817301977</v>
      </c>
      <c r="T386">
        <f t="shared" si="973"/>
        <v>-1.6704477817301978E-3</v>
      </c>
    </row>
    <row r="387" spans="1:20" x14ac:dyDescent="0.25">
      <c r="A387" s="5">
        <v>44206</v>
      </c>
      <c r="B387">
        <v>87.316999999999993</v>
      </c>
      <c r="C387">
        <v>99</v>
      </c>
      <c r="D387">
        <v>75.486000000000004</v>
      </c>
      <c r="E387">
        <v>94.808000000000007</v>
      </c>
      <c r="F387">
        <v>5757.56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0.64344645742961692</v>
      </c>
      <c r="Q387">
        <f t="shared" si="970"/>
        <v>3704.6815854384654</v>
      </c>
      <c r="R387">
        <f t="shared" si="971"/>
        <v>-166700.17463237792</v>
      </c>
      <c r="S387">
        <f t="shared" si="972"/>
        <v>-1.6670017463237792</v>
      </c>
      <c r="T387">
        <f t="shared" si="973"/>
        <v>-1.6670017463237792E-3</v>
      </c>
    </row>
    <row r="388" spans="1:20" x14ac:dyDescent="0.25">
      <c r="A388" s="5">
        <v>44205</v>
      </c>
      <c r="B388">
        <v>79.834999999999994</v>
      </c>
      <c r="C388">
        <v>90.778000000000006</v>
      </c>
      <c r="D388">
        <v>74.099000000000004</v>
      </c>
      <c r="E388">
        <v>87.778000000000006</v>
      </c>
      <c r="F388">
        <v>5043.2209999999995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0.64026620300977277</v>
      </c>
      <c r="Q388">
        <f t="shared" si="970"/>
        <v>3229.0039606091491</v>
      </c>
      <c r="R388">
        <f t="shared" si="971"/>
        <v>-170404.85621781638</v>
      </c>
      <c r="S388">
        <f t="shared" si="972"/>
        <v>-1.7040485621781638</v>
      </c>
      <c r="T388">
        <f t="shared" si="973"/>
        <v>-1.7040485621781637E-3</v>
      </c>
    </row>
    <row r="389" spans="1:20" x14ac:dyDescent="0.25">
      <c r="A389" s="5">
        <v>44204</v>
      </c>
      <c r="B389">
        <v>84.125</v>
      </c>
      <c r="C389">
        <v>98.867999999999995</v>
      </c>
      <c r="D389">
        <v>72.111000000000004</v>
      </c>
      <c r="E389">
        <v>79.545000000000002</v>
      </c>
      <c r="F389">
        <v>12152.65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-0.44433232425159769</v>
      </c>
      <c r="Q389">
        <f t="shared" si="970"/>
        <v>-5399.8152203161781</v>
      </c>
      <c r="R389">
        <f t="shared" si="971"/>
        <v>-173633.86017842553</v>
      </c>
      <c r="S389">
        <f t="shared" si="972"/>
        <v>-1.7363386017842553</v>
      </c>
      <c r="T389">
        <f t="shared" si="973"/>
        <v>-1.7363386017842553E-3</v>
      </c>
    </row>
    <row r="390" spans="1:20" x14ac:dyDescent="0.25">
      <c r="A390" s="5">
        <v>44203</v>
      </c>
      <c r="B390">
        <v>64.075999999999993</v>
      </c>
      <c r="C390">
        <v>90</v>
      </c>
      <c r="D390">
        <v>60</v>
      </c>
      <c r="E390">
        <v>84.125</v>
      </c>
      <c r="F390">
        <v>20012.393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0.60833333333333328</v>
      </c>
      <c r="Q390">
        <f t="shared" ref="Q390:Q453" si="975">F390*P390</f>
        <v>12174.205741666665</v>
      </c>
      <c r="R390">
        <f t="shared" ref="R390:R453" si="976">R391+Q390</f>
        <v>-168234.04495810936</v>
      </c>
      <c r="S390">
        <f t="shared" ref="S390:S453" si="977">R390/100000</f>
        <v>-1.6823404495810936</v>
      </c>
      <c r="T390">
        <f t="shared" ref="T390:T453" si="978">S390/1000</f>
        <v>-1.6823404495810935E-3</v>
      </c>
    </row>
    <row r="391" spans="1:20" x14ac:dyDescent="0.25">
      <c r="A391" s="5">
        <v>44202</v>
      </c>
      <c r="B391">
        <v>60.204999999999998</v>
      </c>
      <c r="C391">
        <v>64.075999999999993</v>
      </c>
      <c r="D391">
        <v>58.706000000000003</v>
      </c>
      <c r="E391">
        <v>63.738</v>
      </c>
      <c r="F391">
        <v>4067.299</v>
      </c>
      <c r="G391">
        <v>0</v>
      </c>
      <c r="L391" t="s">
        <v>8</v>
      </c>
      <c r="M391" t="s">
        <v>7</v>
      </c>
      <c r="N391" t="s">
        <v>8</v>
      </c>
      <c r="P391">
        <f t="shared" si="974"/>
        <v>0.87411545623836329</v>
      </c>
      <c r="Q391">
        <f t="shared" si="975"/>
        <v>3555.2889210428389</v>
      </c>
      <c r="R391">
        <f t="shared" si="976"/>
        <v>-180408.25069977602</v>
      </c>
      <c r="S391">
        <f t="shared" si="977"/>
        <v>-1.8040825069977602</v>
      </c>
      <c r="T391">
        <f t="shared" si="978"/>
        <v>-1.8040825069977602E-3</v>
      </c>
    </row>
    <row r="392" spans="1:20" x14ac:dyDescent="0.25">
      <c r="A392" s="5">
        <v>44201</v>
      </c>
      <c r="B392">
        <v>63.884</v>
      </c>
      <c r="C392">
        <v>67.709999999999994</v>
      </c>
      <c r="D392">
        <v>56.024000000000001</v>
      </c>
      <c r="E392">
        <v>58.704000000000001</v>
      </c>
      <c r="F392">
        <v>8085.9390000000003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-0.54133150778709549</v>
      </c>
      <c r="Q392">
        <f t="shared" si="975"/>
        <v>-4377.1735507444791</v>
      </c>
      <c r="R392">
        <f t="shared" si="976"/>
        <v>-183963.53962081886</v>
      </c>
      <c r="S392">
        <f t="shared" si="977"/>
        <v>-1.8396353962081886</v>
      </c>
      <c r="T392">
        <f t="shared" si="978"/>
        <v>-1.8396353962081887E-3</v>
      </c>
    </row>
    <row r="393" spans="1:20" x14ac:dyDescent="0.25">
      <c r="A393" s="5">
        <v>44200</v>
      </c>
      <c r="B393">
        <v>63.165999999999997</v>
      </c>
      <c r="C393">
        <v>74.165999999999997</v>
      </c>
      <c r="D393">
        <v>62.4</v>
      </c>
      <c r="E393">
        <v>64.212000000000003</v>
      </c>
      <c r="F393">
        <v>3612.2359999999999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-0.69199388067312506</v>
      </c>
      <c r="Q393">
        <f t="shared" si="975"/>
        <v>-2499.6452075471666</v>
      </c>
      <c r="R393">
        <f t="shared" si="976"/>
        <v>-179586.36607007438</v>
      </c>
      <c r="S393">
        <f t="shared" si="977"/>
        <v>-1.7958636607007439</v>
      </c>
      <c r="T393">
        <f t="shared" si="978"/>
        <v>-1.7958636607007439E-3</v>
      </c>
    </row>
    <row r="394" spans="1:20" x14ac:dyDescent="0.25">
      <c r="A394" s="5">
        <v>44199</v>
      </c>
      <c r="B394">
        <v>64.731999999999999</v>
      </c>
      <c r="C394">
        <v>71.75</v>
      </c>
      <c r="D394">
        <v>62</v>
      </c>
      <c r="E394">
        <v>63.165999999999997</v>
      </c>
      <c r="F394">
        <v>6778.2</v>
      </c>
      <c r="G394">
        <v>0</v>
      </c>
      <c r="L394" t="s">
        <v>7</v>
      </c>
      <c r="M394" t="s">
        <v>8</v>
      </c>
      <c r="N394" t="s">
        <v>8</v>
      </c>
      <c r="P394">
        <f t="shared" si="974"/>
        <v>-0.76082051282051344</v>
      </c>
      <c r="Q394">
        <f t="shared" si="975"/>
        <v>-5156.9936000000043</v>
      </c>
      <c r="R394">
        <f t="shared" si="976"/>
        <v>-177086.7208625272</v>
      </c>
      <c r="S394">
        <f t="shared" si="977"/>
        <v>-1.7708672086252721</v>
      </c>
      <c r="T394">
        <f t="shared" si="978"/>
        <v>-1.7708672086252722E-3</v>
      </c>
    </row>
    <row r="395" spans="1:20" x14ac:dyDescent="0.25">
      <c r="A395" s="5">
        <v>44198</v>
      </c>
      <c r="B395">
        <v>67.494</v>
      </c>
      <c r="C395">
        <v>71</v>
      </c>
      <c r="D395">
        <v>64.5</v>
      </c>
      <c r="E395">
        <v>64.731999999999999</v>
      </c>
      <c r="F395">
        <v>3536.288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-0.92861538461538484</v>
      </c>
      <c r="Q395">
        <f t="shared" si="975"/>
        <v>-3283.85144123077</v>
      </c>
      <c r="R395">
        <f t="shared" si="976"/>
        <v>-171929.72726252719</v>
      </c>
      <c r="S395">
        <f t="shared" si="977"/>
        <v>-1.7192972726252718</v>
      </c>
      <c r="T395">
        <f t="shared" si="978"/>
        <v>-1.7192972726252718E-3</v>
      </c>
    </row>
    <row r="396" spans="1:20" x14ac:dyDescent="0.25">
      <c r="A396" s="5">
        <v>44197</v>
      </c>
      <c r="B396">
        <v>58.557000000000002</v>
      </c>
      <c r="C396">
        <v>69.698999999999998</v>
      </c>
      <c r="D396">
        <v>57.832999999999998</v>
      </c>
      <c r="E396">
        <v>67.494</v>
      </c>
      <c r="F396">
        <v>4780.4369999999999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0.62834990729816309</v>
      </c>
      <c r="Q396">
        <f t="shared" si="975"/>
        <v>3003.787145794709</v>
      </c>
      <c r="R396">
        <f t="shared" si="976"/>
        <v>-168645.87582129642</v>
      </c>
      <c r="S396">
        <f t="shared" si="977"/>
        <v>-1.6864587582129642</v>
      </c>
      <c r="T396">
        <f t="shared" si="978"/>
        <v>-1.6864587582129643E-3</v>
      </c>
    </row>
    <row r="397" spans="1:20" x14ac:dyDescent="0.25">
      <c r="A397" s="5">
        <v>44196</v>
      </c>
      <c r="B397">
        <v>63.453000000000003</v>
      </c>
      <c r="C397">
        <v>65.143000000000001</v>
      </c>
      <c r="D397">
        <v>56.872999999999998</v>
      </c>
      <c r="E397">
        <v>58.554000000000002</v>
      </c>
      <c r="F397">
        <v>5802.8950000000004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-0.59347037484885035</v>
      </c>
      <c r="Q397">
        <f t="shared" si="975"/>
        <v>-3443.8462708585198</v>
      </c>
      <c r="R397">
        <f t="shared" si="976"/>
        <v>-171649.66296709114</v>
      </c>
      <c r="S397">
        <f t="shared" si="977"/>
        <v>-1.7164966296709114</v>
      </c>
      <c r="T397">
        <f t="shared" si="978"/>
        <v>-1.7164966296709114E-3</v>
      </c>
    </row>
    <row r="398" spans="1:20" x14ac:dyDescent="0.25">
      <c r="A398" s="5">
        <v>44195</v>
      </c>
      <c r="B398">
        <v>63.584000000000003</v>
      </c>
      <c r="C398">
        <v>74.599999999999994</v>
      </c>
      <c r="D398">
        <v>61.524999999999999</v>
      </c>
      <c r="E398">
        <v>63.316000000000003</v>
      </c>
      <c r="F398">
        <v>11903.11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-0.72604206500955959</v>
      </c>
      <c r="Q398">
        <f t="shared" si="975"/>
        <v>-8642.1585644359384</v>
      </c>
      <c r="R398">
        <f t="shared" si="976"/>
        <v>-168205.81669623262</v>
      </c>
      <c r="S398">
        <f t="shared" si="977"/>
        <v>-1.6820581669623262</v>
      </c>
      <c r="T398">
        <f t="shared" si="978"/>
        <v>-1.6820581669623263E-3</v>
      </c>
    </row>
    <row r="399" spans="1:20" x14ac:dyDescent="0.25">
      <c r="A399" s="5">
        <v>44194</v>
      </c>
      <c r="B399">
        <v>57.96</v>
      </c>
      <c r="C399">
        <v>65</v>
      </c>
      <c r="D399">
        <v>47</v>
      </c>
      <c r="E399">
        <v>63.667999999999999</v>
      </c>
      <c r="F399">
        <v>7345.6819999999998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0.85199999999999987</v>
      </c>
      <c r="Q399">
        <f t="shared" si="975"/>
        <v>6258.5210639999987</v>
      </c>
      <c r="R399">
        <f t="shared" si="976"/>
        <v>-159563.65813179669</v>
      </c>
      <c r="S399">
        <f t="shared" si="977"/>
        <v>-1.5956365813179669</v>
      </c>
      <c r="T399">
        <f t="shared" si="978"/>
        <v>-1.595636581317967E-3</v>
      </c>
    </row>
    <row r="400" spans="1:20" x14ac:dyDescent="0.25">
      <c r="A400" s="5">
        <v>44193</v>
      </c>
      <c r="B400">
        <v>63.624000000000002</v>
      </c>
      <c r="C400">
        <v>65.516000000000005</v>
      </c>
      <c r="D400">
        <v>57.158000000000001</v>
      </c>
      <c r="E400">
        <v>57.960999999999999</v>
      </c>
      <c r="F400">
        <v>8764.0380000000005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-0.80784876764776337</v>
      </c>
      <c r="Q400">
        <f t="shared" si="975"/>
        <v>-7080.0172979181689</v>
      </c>
      <c r="R400">
        <f t="shared" si="976"/>
        <v>-165822.17919579669</v>
      </c>
      <c r="S400">
        <f t="shared" si="977"/>
        <v>-1.6582217919579669</v>
      </c>
      <c r="T400">
        <f t="shared" si="978"/>
        <v>-1.658221791957967E-3</v>
      </c>
    </row>
    <row r="401" spans="1:20" x14ac:dyDescent="0.25">
      <c r="A401" s="5">
        <v>44192</v>
      </c>
      <c r="B401">
        <v>57.25</v>
      </c>
      <c r="C401">
        <v>66.903999999999996</v>
      </c>
      <c r="D401">
        <v>55.6</v>
      </c>
      <c r="E401">
        <v>63.33</v>
      </c>
      <c r="F401">
        <v>5040.0420000000004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0.3676574663835811</v>
      </c>
      <c r="Q401">
        <f t="shared" si="975"/>
        <v>1853.0090721868371</v>
      </c>
      <c r="R401">
        <f t="shared" si="976"/>
        <v>-158742.16189787851</v>
      </c>
      <c r="S401">
        <f t="shared" si="977"/>
        <v>-1.5874216189787851</v>
      </c>
      <c r="T401">
        <f t="shared" si="978"/>
        <v>-1.587421618978785E-3</v>
      </c>
    </row>
    <row r="402" spans="1:20" x14ac:dyDescent="0.25">
      <c r="A402" s="5">
        <v>44191</v>
      </c>
      <c r="B402">
        <v>58.113</v>
      </c>
      <c r="C402">
        <v>59.962000000000003</v>
      </c>
      <c r="D402">
        <v>57.2</v>
      </c>
      <c r="E402">
        <v>57.247999999999998</v>
      </c>
      <c r="F402">
        <v>2820.8209999999999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-0.96524257784214718</v>
      </c>
      <c r="Q402">
        <f t="shared" si="975"/>
        <v>-2722.7765336712632</v>
      </c>
      <c r="R402">
        <f t="shared" si="976"/>
        <v>-160595.17097006534</v>
      </c>
      <c r="S402">
        <f t="shared" si="977"/>
        <v>-1.6059517097006535</v>
      </c>
      <c r="T402">
        <f t="shared" si="978"/>
        <v>-1.6059517097006535E-3</v>
      </c>
    </row>
    <row r="403" spans="1:20" x14ac:dyDescent="0.25">
      <c r="A403" s="5">
        <v>44190</v>
      </c>
      <c r="B403">
        <v>53.357999999999997</v>
      </c>
      <c r="C403">
        <v>60.366999999999997</v>
      </c>
      <c r="D403">
        <v>52.110999999999997</v>
      </c>
      <c r="E403">
        <v>58.113</v>
      </c>
      <c r="F403">
        <v>3727.6619999999998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0.45397286821705479</v>
      </c>
      <c r="Q403">
        <f t="shared" si="975"/>
        <v>1692.2574098837229</v>
      </c>
      <c r="R403">
        <f t="shared" si="976"/>
        <v>-157872.39443639407</v>
      </c>
      <c r="S403">
        <f t="shared" si="977"/>
        <v>-1.5787239443639407</v>
      </c>
      <c r="T403">
        <f t="shared" si="978"/>
        <v>-1.5787239443639408E-3</v>
      </c>
    </row>
    <row r="404" spans="1:20" x14ac:dyDescent="0.25">
      <c r="A404" s="5">
        <v>44189</v>
      </c>
      <c r="B404">
        <v>52.807000000000002</v>
      </c>
      <c r="C404">
        <v>53.9</v>
      </c>
      <c r="D404">
        <v>51.293999999999997</v>
      </c>
      <c r="E404">
        <v>53.357999999999997</v>
      </c>
      <c r="F404">
        <v>5012.9960000000001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0.5840368380660006</v>
      </c>
      <c r="Q404">
        <f t="shared" si="975"/>
        <v>2927.7743330775088</v>
      </c>
      <c r="R404">
        <f t="shared" si="976"/>
        <v>-159564.65184627779</v>
      </c>
      <c r="S404">
        <f t="shared" si="977"/>
        <v>-1.5956465184627779</v>
      </c>
      <c r="T404">
        <f t="shared" si="978"/>
        <v>-1.595646518462778E-3</v>
      </c>
    </row>
    <row r="405" spans="1:20" x14ac:dyDescent="0.25">
      <c r="A405" s="5">
        <v>44188</v>
      </c>
      <c r="B405">
        <v>59.11</v>
      </c>
      <c r="C405">
        <v>59.334000000000003</v>
      </c>
      <c r="D405">
        <v>50.567</v>
      </c>
      <c r="E405">
        <v>52.807000000000002</v>
      </c>
      <c r="F405">
        <v>8927.5990000000002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-0.48899281396144606</v>
      </c>
      <c r="Q405">
        <f t="shared" si="975"/>
        <v>-4365.531756929392</v>
      </c>
      <c r="R405">
        <f t="shared" si="976"/>
        <v>-162492.4261793553</v>
      </c>
      <c r="S405">
        <f t="shared" si="977"/>
        <v>-1.6249242617935531</v>
      </c>
      <c r="T405">
        <f t="shared" si="978"/>
        <v>-1.624924261793553E-3</v>
      </c>
    </row>
    <row r="406" spans="1:20" x14ac:dyDescent="0.25">
      <c r="A406" s="5">
        <v>44187</v>
      </c>
      <c r="B406">
        <v>61.256</v>
      </c>
      <c r="C406">
        <v>61.606000000000002</v>
      </c>
      <c r="D406">
        <v>57</v>
      </c>
      <c r="E406">
        <v>59.110999999999997</v>
      </c>
      <c r="F406">
        <v>3397.1770000000001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-8.3369518019975539E-2</v>
      </c>
      <c r="Q406">
        <f t="shared" si="975"/>
        <v>-283.22100911854648</v>
      </c>
      <c r="R406">
        <f t="shared" si="976"/>
        <v>-158126.89442242592</v>
      </c>
      <c r="S406">
        <f t="shared" si="977"/>
        <v>-1.5812689442242591</v>
      </c>
      <c r="T406">
        <f t="shared" si="978"/>
        <v>-1.5812689442242592E-3</v>
      </c>
    </row>
    <row r="407" spans="1:20" x14ac:dyDescent="0.25">
      <c r="A407" s="5">
        <v>44186</v>
      </c>
      <c r="B407">
        <v>63.244</v>
      </c>
      <c r="C407">
        <v>64.7</v>
      </c>
      <c r="D407">
        <v>56.695999999999998</v>
      </c>
      <c r="E407">
        <v>61.604999999999997</v>
      </c>
      <c r="F407">
        <v>8551.8430000000008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0.22663668165916939</v>
      </c>
      <c r="Q407">
        <f t="shared" si="975"/>
        <v>1938.1613195901964</v>
      </c>
      <c r="R407">
        <f t="shared" si="976"/>
        <v>-157843.67341330738</v>
      </c>
      <c r="S407">
        <f t="shared" si="977"/>
        <v>-1.5784367341330738</v>
      </c>
      <c r="T407">
        <f t="shared" si="978"/>
        <v>-1.5784367341330739E-3</v>
      </c>
    </row>
    <row r="408" spans="1:20" x14ac:dyDescent="0.25">
      <c r="A408" s="5">
        <v>44185</v>
      </c>
      <c r="B408">
        <v>67.042000000000002</v>
      </c>
      <c r="C408">
        <v>67.042000000000002</v>
      </c>
      <c r="D408">
        <v>60</v>
      </c>
      <c r="E408">
        <v>63.606999999999999</v>
      </c>
      <c r="F408">
        <v>5849.143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2.442487929565422E-2</v>
      </c>
      <c r="Q408">
        <f t="shared" si="975"/>
        <v>142.8646117580208</v>
      </c>
      <c r="R408">
        <f t="shared" si="976"/>
        <v>-159781.83473289758</v>
      </c>
      <c r="S408">
        <f t="shared" si="977"/>
        <v>-1.5978183473289758</v>
      </c>
      <c r="T408">
        <f t="shared" si="978"/>
        <v>-1.5978183473289757E-3</v>
      </c>
    </row>
    <row r="409" spans="1:20" x14ac:dyDescent="0.25">
      <c r="A409" s="5">
        <v>44184</v>
      </c>
      <c r="B409">
        <v>64.692999999999998</v>
      </c>
      <c r="C409">
        <v>70.795000000000002</v>
      </c>
      <c r="D409">
        <v>62.414999999999999</v>
      </c>
      <c r="E409">
        <v>66.674000000000007</v>
      </c>
      <c r="F409">
        <v>5753.3239999999996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1.6467780429595739E-2</v>
      </c>
      <c r="Q409">
        <f t="shared" si="975"/>
        <v>94.744476372323462</v>
      </c>
      <c r="R409">
        <f t="shared" si="976"/>
        <v>-159924.69934465559</v>
      </c>
      <c r="S409">
        <f t="shared" si="977"/>
        <v>-1.5992469934465559</v>
      </c>
      <c r="T409">
        <f t="shared" si="978"/>
        <v>-1.5992469934465558E-3</v>
      </c>
    </row>
    <row r="410" spans="1:20" x14ac:dyDescent="0.25">
      <c r="A410" s="5">
        <v>44183</v>
      </c>
      <c r="B410">
        <v>64.936999999999998</v>
      </c>
      <c r="C410">
        <v>65.796999999999997</v>
      </c>
      <c r="D410">
        <v>60.453000000000003</v>
      </c>
      <c r="E410">
        <v>64.692999999999998</v>
      </c>
      <c r="F410">
        <v>4404.96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0.58682634730538907</v>
      </c>
      <c r="Q410">
        <f t="shared" si="975"/>
        <v>2584.9465868263464</v>
      </c>
      <c r="R410">
        <f t="shared" si="976"/>
        <v>-160019.4438210279</v>
      </c>
      <c r="S410">
        <f t="shared" si="977"/>
        <v>-1.6001944382102791</v>
      </c>
      <c r="T410">
        <f t="shared" si="978"/>
        <v>-1.6001944382102791E-3</v>
      </c>
    </row>
    <row r="411" spans="1:20" x14ac:dyDescent="0.25">
      <c r="A411" s="5">
        <v>44182</v>
      </c>
      <c r="B411">
        <v>69.481999999999999</v>
      </c>
      <c r="C411">
        <v>71.5</v>
      </c>
      <c r="D411">
        <v>63</v>
      </c>
      <c r="E411">
        <v>64.936999999999998</v>
      </c>
      <c r="F411">
        <v>6960.37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-0.54423529411764759</v>
      </c>
      <c r="Q411">
        <f t="shared" si="975"/>
        <v>-3788.0790141176508</v>
      </c>
      <c r="R411">
        <f t="shared" si="976"/>
        <v>-162604.39040785425</v>
      </c>
      <c r="S411">
        <f t="shared" si="977"/>
        <v>-1.6260439040785426</v>
      </c>
      <c r="T411">
        <f t="shared" si="978"/>
        <v>-1.6260439040785427E-3</v>
      </c>
    </row>
    <row r="412" spans="1:20" x14ac:dyDescent="0.25">
      <c r="A412" s="5">
        <v>44181</v>
      </c>
      <c r="B412">
        <v>68.695999999999998</v>
      </c>
      <c r="C412">
        <v>74</v>
      </c>
      <c r="D412">
        <v>66.161000000000001</v>
      </c>
      <c r="E412">
        <v>69.481999999999999</v>
      </c>
      <c r="F412">
        <v>7421.05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-0.15269804822043664</v>
      </c>
      <c r="Q412">
        <f t="shared" si="975"/>
        <v>-1133.1798507462713</v>
      </c>
      <c r="R412">
        <f t="shared" si="976"/>
        <v>-158816.3113937366</v>
      </c>
      <c r="S412">
        <f t="shared" si="977"/>
        <v>-1.588163113937366</v>
      </c>
      <c r="T412">
        <f t="shared" si="978"/>
        <v>-1.5881631139373659E-3</v>
      </c>
    </row>
    <row r="413" spans="1:20" x14ac:dyDescent="0.25">
      <c r="A413" s="5">
        <v>44180</v>
      </c>
      <c r="B413">
        <v>65.665999999999997</v>
      </c>
      <c r="C413">
        <v>69.834999999999994</v>
      </c>
      <c r="D413">
        <v>62.71</v>
      </c>
      <c r="E413">
        <v>69</v>
      </c>
      <c r="F413">
        <v>6978.8540000000003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0.76561403508772086</v>
      </c>
      <c r="Q413">
        <f t="shared" si="975"/>
        <v>5343.108571228081</v>
      </c>
      <c r="R413">
        <f t="shared" si="976"/>
        <v>-157683.13154299033</v>
      </c>
      <c r="S413">
        <f t="shared" si="977"/>
        <v>-1.5768313154299034</v>
      </c>
      <c r="T413">
        <f t="shared" si="978"/>
        <v>-1.5768313154299034E-3</v>
      </c>
    </row>
    <row r="414" spans="1:20" x14ac:dyDescent="0.25">
      <c r="A414" s="5">
        <v>44179</v>
      </c>
      <c r="B414">
        <v>65.108000000000004</v>
      </c>
      <c r="C414">
        <v>66.498999999999995</v>
      </c>
      <c r="D414">
        <v>64.34</v>
      </c>
      <c r="E414">
        <v>66</v>
      </c>
      <c r="F414">
        <v>4071.6619999999998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0.53774895785085952</v>
      </c>
      <c r="Q414">
        <f t="shared" si="975"/>
        <v>2189.5319972209463</v>
      </c>
      <c r="R414">
        <f t="shared" si="976"/>
        <v>-163026.24011421841</v>
      </c>
      <c r="S414">
        <f t="shared" si="977"/>
        <v>-1.630262401142184</v>
      </c>
      <c r="T414">
        <f t="shared" si="978"/>
        <v>-1.6302624011421841E-3</v>
      </c>
    </row>
    <row r="415" spans="1:20" x14ac:dyDescent="0.25">
      <c r="A415" s="5">
        <v>44178</v>
      </c>
      <c r="B415">
        <v>62.570999999999998</v>
      </c>
      <c r="C415">
        <v>68.75</v>
      </c>
      <c r="D415">
        <v>62</v>
      </c>
      <c r="E415">
        <v>65.09</v>
      </c>
      <c r="F415">
        <v>7050.44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-8.4444444444443434E-2</v>
      </c>
      <c r="Q415">
        <f t="shared" si="975"/>
        <v>-595.37048888888171</v>
      </c>
      <c r="R415">
        <f t="shared" si="976"/>
        <v>-165215.77211143935</v>
      </c>
      <c r="S415">
        <f t="shared" si="977"/>
        <v>-1.6521577211143934</v>
      </c>
      <c r="T415">
        <f t="shared" si="978"/>
        <v>-1.6521577211143935E-3</v>
      </c>
    </row>
    <row r="416" spans="1:20" x14ac:dyDescent="0.25">
      <c r="A416" s="5">
        <v>44177</v>
      </c>
      <c r="B416">
        <v>61.100999999999999</v>
      </c>
      <c r="C416">
        <v>66</v>
      </c>
      <c r="D416">
        <v>60.066000000000003</v>
      </c>
      <c r="E416">
        <v>62.587000000000003</v>
      </c>
      <c r="F416">
        <v>8023.3220000000001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-0.15032018874283726</v>
      </c>
      <c r="Q416">
        <f t="shared" si="975"/>
        <v>-1206.0672773845586</v>
      </c>
      <c r="R416">
        <f t="shared" si="976"/>
        <v>-164620.40162255047</v>
      </c>
      <c r="S416">
        <f t="shared" si="977"/>
        <v>-1.6462040162255047</v>
      </c>
      <c r="T416">
        <f t="shared" si="978"/>
        <v>-1.6462040162255047E-3</v>
      </c>
    </row>
    <row r="417" spans="1:20" x14ac:dyDescent="0.25">
      <c r="A417" s="5">
        <v>44176</v>
      </c>
      <c r="B417">
        <v>67.978999999999999</v>
      </c>
      <c r="C417">
        <v>71</v>
      </c>
      <c r="D417">
        <v>58.094999999999999</v>
      </c>
      <c r="E417">
        <v>61.21</v>
      </c>
      <c r="F417">
        <v>10153.082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-0.51724137931034453</v>
      </c>
      <c r="Q417">
        <f t="shared" si="975"/>
        <v>-5251.5941379310316</v>
      </c>
      <c r="R417">
        <f t="shared" si="976"/>
        <v>-163414.3343451659</v>
      </c>
      <c r="S417">
        <f t="shared" si="977"/>
        <v>-1.634143343451659</v>
      </c>
      <c r="T417">
        <f t="shared" si="978"/>
        <v>-1.6341433434516591E-3</v>
      </c>
    </row>
    <row r="418" spans="1:20" x14ac:dyDescent="0.25">
      <c r="A418" s="5">
        <v>44175</v>
      </c>
      <c r="B418">
        <v>71.8</v>
      </c>
      <c r="C418">
        <v>72.55</v>
      </c>
      <c r="D418">
        <v>62.5</v>
      </c>
      <c r="E418">
        <v>67.978999999999999</v>
      </c>
      <c r="F418">
        <v>12259.218999999999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9.0348258706467816E-2</v>
      </c>
      <c r="Q418">
        <f t="shared" si="975"/>
        <v>1107.5990897512456</v>
      </c>
      <c r="R418">
        <f t="shared" si="976"/>
        <v>-158162.74020723486</v>
      </c>
      <c r="S418">
        <f t="shared" si="977"/>
        <v>-1.5816274020723486</v>
      </c>
      <c r="T418">
        <f t="shared" si="978"/>
        <v>-1.5816274020723487E-3</v>
      </c>
    </row>
    <row r="419" spans="1:20" x14ac:dyDescent="0.25">
      <c r="A419" s="5">
        <v>44174</v>
      </c>
      <c r="B419">
        <v>61.5</v>
      </c>
      <c r="C419">
        <v>72.266999999999996</v>
      </c>
      <c r="D419">
        <v>54.83</v>
      </c>
      <c r="E419">
        <v>72</v>
      </c>
      <c r="F419">
        <v>10797.475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0.96937546596318225</v>
      </c>
      <c r="Q419">
        <f t="shared" si="975"/>
        <v>10466.807359350812</v>
      </c>
      <c r="R419">
        <f t="shared" si="976"/>
        <v>-159270.33929698612</v>
      </c>
      <c r="S419">
        <f t="shared" si="977"/>
        <v>-1.5927033929698611</v>
      </c>
      <c r="T419">
        <f t="shared" si="978"/>
        <v>-1.5927033929698611E-3</v>
      </c>
    </row>
    <row r="420" spans="1:20" x14ac:dyDescent="0.25">
      <c r="A420" s="5">
        <v>44173</v>
      </c>
      <c r="B420">
        <v>72.5</v>
      </c>
      <c r="C420">
        <v>72.891999999999996</v>
      </c>
      <c r="D420">
        <v>60.866</v>
      </c>
      <c r="E420">
        <v>61.5</v>
      </c>
      <c r="F420">
        <v>19022.757000000001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-0.89456178280392473</v>
      </c>
      <c r="Q420">
        <f t="shared" si="975"/>
        <v>-17017.031415765839</v>
      </c>
      <c r="R420">
        <f t="shared" si="976"/>
        <v>-169737.14665633693</v>
      </c>
      <c r="S420">
        <f t="shared" si="977"/>
        <v>-1.6973714665633692</v>
      </c>
      <c r="T420">
        <f t="shared" si="978"/>
        <v>-1.6973714665633691E-3</v>
      </c>
    </row>
    <row r="421" spans="1:20" x14ac:dyDescent="0.25">
      <c r="A421" s="5">
        <v>44172</v>
      </c>
      <c r="B421">
        <v>72.893000000000001</v>
      </c>
      <c r="C421">
        <v>88</v>
      </c>
      <c r="D421">
        <v>70.5</v>
      </c>
      <c r="E421">
        <v>73.355000000000004</v>
      </c>
      <c r="F421">
        <v>11891.396000000001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-0.67371428571428527</v>
      </c>
      <c r="Q421">
        <f t="shared" si="975"/>
        <v>-8011.4033622857096</v>
      </c>
      <c r="R421">
        <f t="shared" si="976"/>
        <v>-152720.11524057109</v>
      </c>
      <c r="S421">
        <f t="shared" si="977"/>
        <v>-1.527201152405711</v>
      </c>
      <c r="T421">
        <f t="shared" si="978"/>
        <v>-1.527201152405711E-3</v>
      </c>
    </row>
    <row r="422" spans="1:20" x14ac:dyDescent="0.25">
      <c r="A422" s="5">
        <v>44171</v>
      </c>
      <c r="B422">
        <v>77.78</v>
      </c>
      <c r="C422">
        <v>79.501000000000005</v>
      </c>
      <c r="D422">
        <v>70</v>
      </c>
      <c r="E422">
        <v>72.893000000000001</v>
      </c>
      <c r="F422">
        <v>4199.0429999999997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-0.39101147247658158</v>
      </c>
      <c r="Q422">
        <f t="shared" si="975"/>
        <v>-1641.8739864224824</v>
      </c>
      <c r="R422">
        <f t="shared" si="976"/>
        <v>-144708.71187828539</v>
      </c>
      <c r="S422">
        <f t="shared" si="977"/>
        <v>-1.447087118782854</v>
      </c>
      <c r="T422">
        <f t="shared" si="978"/>
        <v>-1.4470871187828541E-3</v>
      </c>
    </row>
    <row r="423" spans="1:20" x14ac:dyDescent="0.25">
      <c r="A423" s="5">
        <v>44170</v>
      </c>
      <c r="B423">
        <v>72.024000000000001</v>
      </c>
      <c r="C423">
        <v>80</v>
      </c>
      <c r="D423">
        <v>66.040000000000006</v>
      </c>
      <c r="E423">
        <v>77.790000000000006</v>
      </c>
      <c r="F423">
        <v>5925.2370000000001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0.68338108882521564</v>
      </c>
      <c r="Q423">
        <f t="shared" si="975"/>
        <v>4049.1949126074542</v>
      </c>
      <c r="R423">
        <f t="shared" si="976"/>
        <v>-143066.8378918629</v>
      </c>
      <c r="S423">
        <f t="shared" si="977"/>
        <v>-1.430668378918629</v>
      </c>
      <c r="T423">
        <f t="shared" si="978"/>
        <v>-1.4306683789186291E-3</v>
      </c>
    </row>
    <row r="424" spans="1:20" x14ac:dyDescent="0.25">
      <c r="A424" s="5">
        <v>44169</v>
      </c>
      <c r="B424">
        <v>87.772000000000006</v>
      </c>
      <c r="C424">
        <v>94</v>
      </c>
      <c r="D424">
        <v>66.221999999999994</v>
      </c>
      <c r="E424">
        <v>72.674000000000007</v>
      </c>
      <c r="F424">
        <v>14600.047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-0.53545971632226863</v>
      </c>
      <c r="Q424">
        <f t="shared" si="975"/>
        <v>-7817.7370249117894</v>
      </c>
      <c r="R424">
        <f t="shared" si="976"/>
        <v>-147116.03280447036</v>
      </c>
      <c r="S424">
        <f t="shared" si="977"/>
        <v>-1.4711603280447036</v>
      </c>
      <c r="T424">
        <f t="shared" si="978"/>
        <v>-1.4711603280447036E-3</v>
      </c>
    </row>
    <row r="425" spans="1:20" x14ac:dyDescent="0.25">
      <c r="A425" s="5">
        <v>44168</v>
      </c>
      <c r="B425">
        <v>73.998999999999995</v>
      </c>
      <c r="C425">
        <v>104.98</v>
      </c>
      <c r="D425">
        <v>66.17</v>
      </c>
      <c r="E425">
        <v>87.105000000000004</v>
      </c>
      <c r="F425">
        <v>30598.27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7.8845658335480601E-2</v>
      </c>
      <c r="Q425">
        <f t="shared" si="975"/>
        <v>2412.540742076786</v>
      </c>
      <c r="R425">
        <f t="shared" si="976"/>
        <v>-139298.29577955857</v>
      </c>
      <c r="S425">
        <f t="shared" si="977"/>
        <v>-1.3929829577955857</v>
      </c>
      <c r="T425">
        <f t="shared" si="978"/>
        <v>-1.3929829577955858E-3</v>
      </c>
    </row>
    <row r="426" spans="1:20" x14ac:dyDescent="0.25">
      <c r="A426" s="5">
        <v>44167</v>
      </c>
      <c r="B426">
        <v>63.5</v>
      </c>
      <c r="C426">
        <v>74</v>
      </c>
      <c r="D426">
        <v>59.21</v>
      </c>
      <c r="E426">
        <v>73.489000000000004</v>
      </c>
      <c r="F426">
        <v>7249.5590000000002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0.93089925625422643</v>
      </c>
      <c r="Q426">
        <f t="shared" si="975"/>
        <v>6748.6090812711336</v>
      </c>
      <c r="R426">
        <f t="shared" si="976"/>
        <v>-141710.83652163536</v>
      </c>
      <c r="S426">
        <f t="shared" si="977"/>
        <v>-1.4171083652163536</v>
      </c>
      <c r="T426">
        <f t="shared" si="978"/>
        <v>-1.4171083652163537E-3</v>
      </c>
    </row>
    <row r="427" spans="1:20" x14ac:dyDescent="0.25">
      <c r="A427" s="5">
        <v>44166</v>
      </c>
      <c r="B427">
        <v>61.000999999999998</v>
      </c>
      <c r="C427">
        <v>72</v>
      </c>
      <c r="D427">
        <v>57.963999999999999</v>
      </c>
      <c r="E427">
        <v>63.423000000000002</v>
      </c>
      <c r="F427">
        <v>8541.1550000000007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-0.22214306070105405</v>
      </c>
      <c r="Q427">
        <f t="shared" si="975"/>
        <v>-1897.3583136221114</v>
      </c>
      <c r="R427">
        <f t="shared" si="976"/>
        <v>-148459.44560290649</v>
      </c>
      <c r="S427">
        <f t="shared" si="977"/>
        <v>-1.4845944560290649</v>
      </c>
      <c r="T427">
        <f t="shared" si="978"/>
        <v>-1.4845944560290649E-3</v>
      </c>
    </row>
    <row r="428" spans="1:20" x14ac:dyDescent="0.25">
      <c r="A428" s="5">
        <v>44165</v>
      </c>
      <c r="B428">
        <v>60.000999999999998</v>
      </c>
      <c r="C428">
        <v>61.432000000000002</v>
      </c>
      <c r="D428">
        <v>54.771000000000001</v>
      </c>
      <c r="E428">
        <v>61.399000000000001</v>
      </c>
      <c r="F428">
        <v>5972</v>
      </c>
      <c r="G428">
        <v>0</v>
      </c>
      <c r="L428" t="s">
        <v>7</v>
      </c>
      <c r="M428" t="s">
        <v>7</v>
      </c>
      <c r="N428" t="s">
        <v>7</v>
      </c>
      <c r="P428">
        <f t="shared" si="974"/>
        <v>0.99009157784116464</v>
      </c>
      <c r="Q428">
        <f t="shared" si="975"/>
        <v>5912.8269028674349</v>
      </c>
      <c r="R428">
        <f t="shared" si="976"/>
        <v>-146562.08728928439</v>
      </c>
      <c r="S428">
        <f t="shared" si="977"/>
        <v>-1.4656208728928439</v>
      </c>
      <c r="T428">
        <f t="shared" si="978"/>
        <v>-1.4656208728928439E-3</v>
      </c>
    </row>
    <row r="429" spans="1:20" x14ac:dyDescent="0.25">
      <c r="A429" s="5">
        <v>44164</v>
      </c>
      <c r="B429">
        <v>60.579000000000001</v>
      </c>
      <c r="C429">
        <v>62.728000000000002</v>
      </c>
      <c r="D429">
        <v>58.79</v>
      </c>
      <c r="E429">
        <v>60</v>
      </c>
      <c r="F429">
        <v>1999.5740000000001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-0.38547486033519546</v>
      </c>
      <c r="Q429">
        <f t="shared" si="975"/>
        <v>-770.78550837988814</v>
      </c>
      <c r="R429">
        <f t="shared" si="976"/>
        <v>-152474.91419215183</v>
      </c>
      <c r="S429">
        <f t="shared" si="977"/>
        <v>-1.5247491419215182</v>
      </c>
      <c r="T429">
        <f t="shared" si="978"/>
        <v>-1.5247491419215183E-3</v>
      </c>
    </row>
    <row r="430" spans="1:20" x14ac:dyDescent="0.25">
      <c r="A430" s="5">
        <v>44163</v>
      </c>
      <c r="B430">
        <v>62.6</v>
      </c>
      <c r="C430">
        <v>63.621000000000002</v>
      </c>
      <c r="D430">
        <v>57.005000000000003</v>
      </c>
      <c r="E430">
        <v>60.579000000000001</v>
      </c>
      <c r="F430">
        <v>6595.76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8.0411124546553275E-2</v>
      </c>
      <c r="Q430">
        <f t="shared" si="975"/>
        <v>530.37247883917428</v>
      </c>
      <c r="R430">
        <f t="shared" si="976"/>
        <v>-151704.12868377194</v>
      </c>
      <c r="S430">
        <f t="shared" si="977"/>
        <v>-1.5170412868377194</v>
      </c>
      <c r="T430">
        <f t="shared" si="978"/>
        <v>-1.5170412868377194E-3</v>
      </c>
    </row>
    <row r="431" spans="1:20" x14ac:dyDescent="0.25">
      <c r="A431" s="5">
        <v>44162</v>
      </c>
      <c r="B431">
        <v>68.100999999999999</v>
      </c>
      <c r="C431">
        <v>75</v>
      </c>
      <c r="D431">
        <v>58.698999999999998</v>
      </c>
      <c r="E431">
        <v>62.625999999999998</v>
      </c>
      <c r="F431">
        <v>14013.453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-0.51818906815532795</v>
      </c>
      <c r="Q431">
        <f t="shared" si="975"/>
        <v>-7261.6181517084842</v>
      </c>
      <c r="R431">
        <f t="shared" si="976"/>
        <v>-152234.50116261112</v>
      </c>
      <c r="S431">
        <f t="shared" si="977"/>
        <v>-1.5223450116261112</v>
      </c>
      <c r="T431">
        <f t="shared" si="978"/>
        <v>-1.5223450116261113E-3</v>
      </c>
    </row>
    <row r="432" spans="1:20" x14ac:dyDescent="0.25">
      <c r="A432" s="5">
        <v>44161</v>
      </c>
      <c r="B432">
        <v>45.347999999999999</v>
      </c>
      <c r="C432">
        <v>105</v>
      </c>
      <c r="D432">
        <v>38.453000000000003</v>
      </c>
      <c r="E432">
        <v>68.100999999999999</v>
      </c>
      <c r="F432">
        <v>78607.710000000006</v>
      </c>
      <c r="G432">
        <v>0</v>
      </c>
      <c r="L432" t="s">
        <v>8</v>
      </c>
      <c r="M432" t="s">
        <v>8</v>
      </c>
      <c r="N432" t="s">
        <v>8</v>
      </c>
      <c r="P432">
        <f t="shared" si="974"/>
        <v>-0.10896058424872654</v>
      </c>
      <c r="Q432">
        <f t="shared" si="975"/>
        <v>-8565.1420080544649</v>
      </c>
      <c r="R432">
        <f t="shared" si="976"/>
        <v>-144972.88301090265</v>
      </c>
      <c r="S432">
        <f t="shared" si="977"/>
        <v>-1.4497288301090265</v>
      </c>
      <c r="T432">
        <f t="shared" si="978"/>
        <v>-1.4497288301090266E-3</v>
      </c>
    </row>
    <row r="433" spans="1:20" x14ac:dyDescent="0.25">
      <c r="A433" s="5">
        <v>44160</v>
      </c>
      <c r="B433">
        <v>43.401000000000003</v>
      </c>
      <c r="C433">
        <v>50.581000000000003</v>
      </c>
      <c r="D433">
        <v>42.9</v>
      </c>
      <c r="E433">
        <v>45.744999999999997</v>
      </c>
      <c r="F433">
        <v>7567.643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-0.25921104022913755</v>
      </c>
      <c r="Q433">
        <f t="shared" si="975"/>
        <v>-1961.6166141127512</v>
      </c>
      <c r="R433">
        <f t="shared" si="976"/>
        <v>-136407.74100284817</v>
      </c>
      <c r="S433">
        <f t="shared" si="977"/>
        <v>-1.3640774100284816</v>
      </c>
      <c r="T433">
        <f t="shared" si="978"/>
        <v>-1.3640774100284817E-3</v>
      </c>
    </row>
    <row r="434" spans="1:20" x14ac:dyDescent="0.25">
      <c r="A434" s="5">
        <v>44159</v>
      </c>
      <c r="B434">
        <v>43.484000000000002</v>
      </c>
      <c r="C434">
        <v>47.6</v>
      </c>
      <c r="D434">
        <v>40.744999999999997</v>
      </c>
      <c r="E434">
        <v>43.436</v>
      </c>
      <c r="F434">
        <v>5623.7479999999996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-0.21487964989059052</v>
      </c>
      <c r="Q434">
        <f t="shared" si="975"/>
        <v>-1208.4290013129087</v>
      </c>
      <c r="R434">
        <f t="shared" si="976"/>
        <v>-134446.12438873542</v>
      </c>
      <c r="S434">
        <f t="shared" si="977"/>
        <v>-1.3444612438873542</v>
      </c>
      <c r="T434">
        <f t="shared" si="978"/>
        <v>-1.3444612438873542E-3</v>
      </c>
    </row>
    <row r="435" spans="1:20" x14ac:dyDescent="0.25">
      <c r="A435" s="5">
        <v>44158</v>
      </c>
      <c r="B435">
        <v>42.512</v>
      </c>
      <c r="C435">
        <v>45.459000000000003</v>
      </c>
      <c r="D435">
        <v>40</v>
      </c>
      <c r="E435">
        <v>42.768000000000001</v>
      </c>
      <c r="F435">
        <v>7018.7669999999998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1.4105147462904952E-2</v>
      </c>
      <c r="Q435">
        <f t="shared" si="975"/>
        <v>99.000743542771005</v>
      </c>
      <c r="R435">
        <f t="shared" si="976"/>
        <v>-133237.69538742251</v>
      </c>
      <c r="S435">
        <f t="shared" si="977"/>
        <v>-1.3323769538742252</v>
      </c>
      <c r="T435">
        <f t="shared" si="978"/>
        <v>-1.3323769538742252E-3</v>
      </c>
    </row>
    <row r="436" spans="1:20" x14ac:dyDescent="0.25">
      <c r="A436" s="5">
        <v>44157</v>
      </c>
      <c r="B436">
        <v>46.030999999999999</v>
      </c>
      <c r="C436">
        <v>50.7</v>
      </c>
      <c r="D436">
        <v>36.502000000000002</v>
      </c>
      <c r="E436">
        <v>42.762</v>
      </c>
      <c r="F436">
        <v>17325.071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-0.11818565995210624</v>
      </c>
      <c r="Q436">
        <f t="shared" si="975"/>
        <v>-2047.5749498520972</v>
      </c>
      <c r="R436">
        <f t="shared" si="976"/>
        <v>-133336.69613096528</v>
      </c>
      <c r="S436">
        <f t="shared" si="977"/>
        <v>-1.3333669613096528</v>
      </c>
      <c r="T436">
        <f t="shared" si="978"/>
        <v>-1.3333669613096529E-3</v>
      </c>
    </row>
    <row r="437" spans="1:20" x14ac:dyDescent="0.25">
      <c r="A437" s="5">
        <v>44156</v>
      </c>
      <c r="B437">
        <v>52.481000000000002</v>
      </c>
      <c r="C437">
        <v>56.762</v>
      </c>
      <c r="D437">
        <v>45.052</v>
      </c>
      <c r="E437">
        <v>46.473999999999997</v>
      </c>
      <c r="F437">
        <v>10417.938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-0.75713065755764353</v>
      </c>
      <c r="Q437">
        <f t="shared" si="975"/>
        <v>-7887.7402483347614</v>
      </c>
      <c r="R437">
        <f t="shared" si="976"/>
        <v>-131289.12118111318</v>
      </c>
      <c r="S437">
        <f t="shared" si="977"/>
        <v>-1.3128912118111318</v>
      </c>
      <c r="T437">
        <f t="shared" si="978"/>
        <v>-1.3128912118111318E-3</v>
      </c>
    </row>
    <row r="438" spans="1:20" x14ac:dyDescent="0.25">
      <c r="A438" s="5">
        <v>44155</v>
      </c>
      <c r="B438">
        <v>41.499000000000002</v>
      </c>
      <c r="C438">
        <v>62</v>
      </c>
      <c r="D438">
        <v>40.378999999999998</v>
      </c>
      <c r="E438">
        <v>52.481000000000002</v>
      </c>
      <c r="F438">
        <v>20215.179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0.11946718468155984</v>
      </c>
      <c r="Q438">
        <f t="shared" si="975"/>
        <v>2415.0505229637902</v>
      </c>
      <c r="R438">
        <f t="shared" si="976"/>
        <v>-123401.38093277841</v>
      </c>
      <c r="S438">
        <f t="shared" si="977"/>
        <v>-1.2340138093277842</v>
      </c>
      <c r="T438">
        <f t="shared" si="978"/>
        <v>-1.2340138093277842E-3</v>
      </c>
    </row>
    <row r="439" spans="1:20" x14ac:dyDescent="0.25">
      <c r="A439" s="5">
        <v>44154</v>
      </c>
      <c r="B439">
        <v>40.463999999999999</v>
      </c>
      <c r="C439">
        <v>42.192</v>
      </c>
      <c r="D439">
        <v>39.835000000000001</v>
      </c>
      <c r="E439">
        <v>41.466999999999999</v>
      </c>
      <c r="F439">
        <v>2387.0610000000001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0.38481120067882763</v>
      </c>
      <c r="Q439">
        <f t="shared" si="975"/>
        <v>918.56780950360303</v>
      </c>
      <c r="R439">
        <f t="shared" si="976"/>
        <v>-125816.4314557422</v>
      </c>
      <c r="S439">
        <f t="shared" si="977"/>
        <v>-1.2581643145574219</v>
      </c>
      <c r="T439">
        <f t="shared" si="978"/>
        <v>-1.258164314557422E-3</v>
      </c>
    </row>
    <row r="440" spans="1:20" x14ac:dyDescent="0.25">
      <c r="A440" s="5">
        <v>44153</v>
      </c>
      <c r="B440">
        <v>44.500999999999998</v>
      </c>
      <c r="C440">
        <v>46</v>
      </c>
      <c r="D440">
        <v>40</v>
      </c>
      <c r="E440">
        <v>40.412999999999997</v>
      </c>
      <c r="F440">
        <v>4390.2070000000003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-0.8623333333333344</v>
      </c>
      <c r="Q440">
        <f t="shared" si="975"/>
        <v>-3785.8218363333381</v>
      </c>
      <c r="R440">
        <f t="shared" si="976"/>
        <v>-126734.9992652458</v>
      </c>
      <c r="S440">
        <f t="shared" si="977"/>
        <v>-1.2673499926524581</v>
      </c>
      <c r="T440">
        <f t="shared" si="978"/>
        <v>-1.2673499926524581E-3</v>
      </c>
    </row>
    <row r="441" spans="1:20" x14ac:dyDescent="0.25">
      <c r="A441" s="5">
        <v>44152</v>
      </c>
      <c r="B441">
        <v>40.700000000000003</v>
      </c>
      <c r="C441">
        <v>47</v>
      </c>
      <c r="D441">
        <v>39.924999999999997</v>
      </c>
      <c r="E441">
        <v>45.002000000000002</v>
      </c>
      <c r="F441">
        <v>8069.4089999999997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0.43519434628975356</v>
      </c>
      <c r="Q441">
        <f t="shared" si="975"/>
        <v>3511.761174699654</v>
      </c>
      <c r="R441">
        <f t="shared" si="976"/>
        <v>-122949.17742891246</v>
      </c>
      <c r="S441">
        <f t="shared" si="977"/>
        <v>-1.2294917742891245</v>
      </c>
      <c r="T441">
        <f t="shared" si="978"/>
        <v>-1.2294917742891244E-3</v>
      </c>
    </row>
    <row r="442" spans="1:20" x14ac:dyDescent="0.25">
      <c r="A442" s="5">
        <v>44151</v>
      </c>
      <c r="B442">
        <v>38</v>
      </c>
      <c r="C442">
        <v>44.262999999999998</v>
      </c>
      <c r="D442">
        <v>38</v>
      </c>
      <c r="E442">
        <v>40.771000000000001</v>
      </c>
      <c r="F442">
        <v>3711.0390000000002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-0.11512054925754379</v>
      </c>
      <c r="Q442">
        <f t="shared" si="975"/>
        <v>-427.21684799616611</v>
      </c>
      <c r="R442">
        <f t="shared" si="976"/>
        <v>-126460.93860361211</v>
      </c>
      <c r="S442">
        <f t="shared" si="977"/>
        <v>-1.2646093860361212</v>
      </c>
      <c r="T442">
        <f t="shared" si="978"/>
        <v>-1.2646093860361211E-3</v>
      </c>
    </row>
    <row r="443" spans="1:20" x14ac:dyDescent="0.25">
      <c r="A443" s="5">
        <v>44150</v>
      </c>
      <c r="B443">
        <v>42</v>
      </c>
      <c r="C443">
        <v>44</v>
      </c>
      <c r="D443">
        <v>35.726999999999997</v>
      </c>
      <c r="E443">
        <v>38.372999999999998</v>
      </c>
      <c r="F443">
        <v>8067.4660000000003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-0.36032878036987798</v>
      </c>
      <c r="Q443">
        <f t="shared" si="975"/>
        <v>-2906.9401844554582</v>
      </c>
      <c r="R443">
        <f t="shared" si="976"/>
        <v>-126033.72175561594</v>
      </c>
      <c r="S443">
        <f t="shared" si="977"/>
        <v>-1.2603372175561594</v>
      </c>
      <c r="T443">
        <f t="shared" si="978"/>
        <v>-1.2603372175561593E-3</v>
      </c>
    </row>
    <row r="444" spans="1:20" x14ac:dyDescent="0.25">
      <c r="A444" s="5">
        <v>44149</v>
      </c>
      <c r="B444">
        <v>44.000999999999998</v>
      </c>
      <c r="C444">
        <v>47.35</v>
      </c>
      <c r="D444">
        <v>40.850999999999999</v>
      </c>
      <c r="E444">
        <v>42.192</v>
      </c>
      <c r="F444">
        <v>3397.4830000000002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-0.58732112632712707</v>
      </c>
      <c r="Q444">
        <f t="shared" si="975"/>
        <v>-1995.4135422372667</v>
      </c>
      <c r="R444">
        <f t="shared" si="976"/>
        <v>-123126.78157116049</v>
      </c>
      <c r="S444">
        <f t="shared" si="977"/>
        <v>-1.2312678157116048</v>
      </c>
      <c r="T444">
        <f t="shared" si="978"/>
        <v>-1.2312678157116049E-3</v>
      </c>
    </row>
    <row r="445" spans="1:20" x14ac:dyDescent="0.25">
      <c r="A445" s="5">
        <v>44148</v>
      </c>
      <c r="B445">
        <v>48.517000000000003</v>
      </c>
      <c r="C445">
        <v>49.546999999999997</v>
      </c>
      <c r="D445">
        <v>40.582000000000001</v>
      </c>
      <c r="E445">
        <v>44.000999999999998</v>
      </c>
      <c r="F445">
        <v>4137.7240000000002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-0.23725599553820451</v>
      </c>
      <c r="Q445">
        <f t="shared" si="975"/>
        <v>-981.69982688232176</v>
      </c>
      <c r="R445">
        <f t="shared" si="976"/>
        <v>-121131.36802892323</v>
      </c>
      <c r="S445">
        <f t="shared" si="977"/>
        <v>-1.2113136802892324</v>
      </c>
      <c r="T445">
        <f t="shared" si="978"/>
        <v>-1.2113136802892324E-3</v>
      </c>
    </row>
    <row r="446" spans="1:20" x14ac:dyDescent="0.25">
      <c r="A446" s="5">
        <v>44147</v>
      </c>
      <c r="B446">
        <v>47.62</v>
      </c>
      <c r="C446">
        <v>50.887</v>
      </c>
      <c r="D446">
        <v>45.036999999999999</v>
      </c>
      <c r="E446">
        <v>48.484000000000002</v>
      </c>
      <c r="F446">
        <v>3690.723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0.17846153846153912</v>
      </c>
      <c r="Q446">
        <f t="shared" si="975"/>
        <v>658.65210461538697</v>
      </c>
      <c r="R446">
        <f t="shared" si="976"/>
        <v>-120149.66820204091</v>
      </c>
      <c r="S446">
        <f t="shared" si="977"/>
        <v>-1.2014966820204092</v>
      </c>
      <c r="T446">
        <f t="shared" si="978"/>
        <v>-1.2014966820204091E-3</v>
      </c>
    </row>
    <row r="447" spans="1:20" x14ac:dyDescent="0.25">
      <c r="A447" s="5">
        <v>44146</v>
      </c>
      <c r="B447">
        <v>45.012</v>
      </c>
      <c r="C447">
        <v>51.558</v>
      </c>
      <c r="D447">
        <v>44.58</v>
      </c>
      <c r="E447">
        <v>47.66</v>
      </c>
      <c r="F447">
        <v>3514.2049999999999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-0.11722556606477569</v>
      </c>
      <c r="Q447">
        <f t="shared" si="975"/>
        <v>-411.95467039266504</v>
      </c>
      <c r="R447">
        <f t="shared" si="976"/>
        <v>-120808.3203066563</v>
      </c>
      <c r="S447">
        <f t="shared" si="977"/>
        <v>-1.2080832030665629</v>
      </c>
      <c r="T447">
        <f t="shared" si="978"/>
        <v>-1.2080832030665629E-3</v>
      </c>
    </row>
    <row r="448" spans="1:20" x14ac:dyDescent="0.25">
      <c r="A448" s="5">
        <v>44145</v>
      </c>
      <c r="B448">
        <v>42.039000000000001</v>
      </c>
      <c r="C448">
        <v>47.170999999999999</v>
      </c>
      <c r="D448">
        <v>40.695999999999998</v>
      </c>
      <c r="E448">
        <v>44.582000000000001</v>
      </c>
      <c r="F448">
        <v>4287.6530000000002</v>
      </c>
      <c r="G448">
        <v>0</v>
      </c>
      <c r="L448" t="s">
        <v>7</v>
      </c>
      <c r="M448" t="s">
        <v>7</v>
      </c>
      <c r="N448" t="s">
        <v>7</v>
      </c>
      <c r="P448">
        <f t="shared" si="974"/>
        <v>0.20030888030888092</v>
      </c>
      <c r="Q448">
        <f t="shared" si="975"/>
        <v>858.85497158301428</v>
      </c>
      <c r="R448">
        <f t="shared" si="976"/>
        <v>-120396.36563626364</v>
      </c>
      <c r="S448">
        <f t="shared" si="977"/>
        <v>-1.2039636563626364</v>
      </c>
      <c r="T448">
        <f t="shared" si="978"/>
        <v>-1.2039636563626363E-3</v>
      </c>
    </row>
    <row r="449" spans="1:20" x14ac:dyDescent="0.25">
      <c r="A449" s="5">
        <v>44144</v>
      </c>
      <c r="B449">
        <v>45.65</v>
      </c>
      <c r="C449">
        <v>46.274999999999999</v>
      </c>
      <c r="D449">
        <v>41.793999999999997</v>
      </c>
      <c r="E449">
        <v>42.395000000000003</v>
      </c>
      <c r="F449">
        <v>2558.83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-0.73175630439633743</v>
      </c>
      <c r="Q449">
        <f t="shared" si="975"/>
        <v>-1872.4399843784799</v>
      </c>
      <c r="R449">
        <f t="shared" si="976"/>
        <v>-121255.22060784666</v>
      </c>
      <c r="S449">
        <f t="shared" si="977"/>
        <v>-1.2125522060784666</v>
      </c>
      <c r="T449">
        <f t="shared" si="978"/>
        <v>-1.2125522060784666E-3</v>
      </c>
    </row>
    <row r="450" spans="1:20" x14ac:dyDescent="0.25">
      <c r="A450" s="5">
        <v>44143</v>
      </c>
      <c r="B450">
        <v>46.515999999999998</v>
      </c>
      <c r="C450">
        <v>55</v>
      </c>
      <c r="D450">
        <v>42.3</v>
      </c>
      <c r="E450">
        <v>45.981000000000002</v>
      </c>
      <c r="F450">
        <v>3041.8530000000001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-0.42031496062992069</v>
      </c>
      <c r="Q450">
        <f t="shared" si="975"/>
        <v>-1278.536323937006</v>
      </c>
      <c r="R450">
        <f t="shared" si="976"/>
        <v>-119382.78062346818</v>
      </c>
      <c r="S450">
        <f t="shared" si="977"/>
        <v>-1.1938278062346819</v>
      </c>
      <c r="T450">
        <f t="shared" si="978"/>
        <v>-1.1938278062346818E-3</v>
      </c>
    </row>
    <row r="451" spans="1:20" x14ac:dyDescent="0.25">
      <c r="A451" s="5">
        <v>44142</v>
      </c>
      <c r="B451">
        <v>53.100999999999999</v>
      </c>
      <c r="C451">
        <v>57.957000000000001</v>
      </c>
      <c r="D451">
        <v>43</v>
      </c>
      <c r="E451">
        <v>46.98</v>
      </c>
      <c r="F451">
        <v>8042.125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-0.46780771545095984</v>
      </c>
      <c r="Q451">
        <f t="shared" si="975"/>
        <v>-3762.1681236210502</v>
      </c>
      <c r="R451">
        <f t="shared" si="976"/>
        <v>-118104.24429953117</v>
      </c>
      <c r="S451">
        <f t="shared" si="977"/>
        <v>-1.1810424429953117</v>
      </c>
      <c r="T451">
        <f t="shared" si="978"/>
        <v>-1.1810424429953116E-3</v>
      </c>
    </row>
    <row r="452" spans="1:20" x14ac:dyDescent="0.25">
      <c r="A452" s="5">
        <v>44141</v>
      </c>
      <c r="B452">
        <v>48.3</v>
      </c>
      <c r="C452">
        <v>61.941000000000003</v>
      </c>
      <c r="D452">
        <v>47.457000000000001</v>
      </c>
      <c r="E452">
        <v>53.85</v>
      </c>
      <c r="F452">
        <v>7205.2209999999995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-0.11723280861640432</v>
      </c>
      <c r="Q452">
        <f t="shared" si="975"/>
        <v>-844.68829453189733</v>
      </c>
      <c r="R452">
        <f t="shared" si="976"/>
        <v>-114342.07617591012</v>
      </c>
      <c r="S452">
        <f t="shared" si="977"/>
        <v>-1.1434207617591012</v>
      </c>
      <c r="T452">
        <f t="shared" si="978"/>
        <v>-1.1434207617591011E-3</v>
      </c>
    </row>
    <row r="453" spans="1:20" x14ac:dyDescent="0.25">
      <c r="A453" s="5">
        <v>44140</v>
      </c>
      <c r="B453">
        <v>45.381999999999998</v>
      </c>
      <c r="C453">
        <v>48.988999999999997</v>
      </c>
      <c r="D453">
        <v>43.991</v>
      </c>
      <c r="E453">
        <v>48.5</v>
      </c>
      <c r="F453">
        <v>4596.1679999999997</v>
      </c>
      <c r="G453">
        <v>0</v>
      </c>
      <c r="L453" t="s">
        <v>7</v>
      </c>
      <c r="M453" t="s">
        <v>8</v>
      </c>
      <c r="N453" t="s">
        <v>7</v>
      </c>
      <c r="P453">
        <f t="shared" si="974"/>
        <v>0.80432172869147756</v>
      </c>
      <c r="Q453">
        <f t="shared" si="975"/>
        <v>3696.7977911164508</v>
      </c>
      <c r="R453">
        <f t="shared" si="976"/>
        <v>-113497.38788137822</v>
      </c>
      <c r="S453">
        <f t="shared" si="977"/>
        <v>-1.1349738788137822</v>
      </c>
      <c r="T453">
        <f t="shared" si="978"/>
        <v>-1.1349738788137822E-3</v>
      </c>
    </row>
    <row r="454" spans="1:20" x14ac:dyDescent="0.25">
      <c r="A454" s="5">
        <v>44139</v>
      </c>
      <c r="B454">
        <v>45.978999999999999</v>
      </c>
      <c r="C454">
        <v>49</v>
      </c>
      <c r="D454">
        <v>40.588000000000001</v>
      </c>
      <c r="E454">
        <v>45.137999999999998</v>
      </c>
      <c r="F454">
        <v>7631.28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8.1787922016166831E-2</v>
      </c>
      <c r="Q454">
        <f t="shared" ref="Q454:Q517" si="980">F454*P454</f>
        <v>624.14653352353355</v>
      </c>
      <c r="R454">
        <f t="shared" ref="R454:R517" si="981">R455+Q454</f>
        <v>-117194.18567249467</v>
      </c>
      <c r="S454">
        <f t="shared" ref="S454:S517" si="982">R454/100000</f>
        <v>-1.1719418567249467</v>
      </c>
      <c r="T454">
        <f t="shared" ref="T454:T517" si="983">S454/1000</f>
        <v>-1.1719418567249468E-3</v>
      </c>
    </row>
    <row r="455" spans="1:20" x14ac:dyDescent="0.25">
      <c r="A455" s="5">
        <v>44138</v>
      </c>
      <c r="B455">
        <v>48.906999999999996</v>
      </c>
      <c r="C455">
        <v>50</v>
      </c>
      <c r="D455">
        <v>41.280999999999999</v>
      </c>
      <c r="E455">
        <v>45.978999999999999</v>
      </c>
      <c r="F455">
        <v>9227.4889999999996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7.7646519096226579E-2</v>
      </c>
      <c r="Q455">
        <f t="shared" si="980"/>
        <v>716.48240084872066</v>
      </c>
      <c r="R455">
        <f t="shared" si="981"/>
        <v>-117818.33220601821</v>
      </c>
      <c r="S455">
        <f t="shared" si="982"/>
        <v>-1.1781833220601821</v>
      </c>
      <c r="T455">
        <f t="shared" si="983"/>
        <v>-1.1781833220601821E-3</v>
      </c>
    </row>
    <row r="456" spans="1:20" x14ac:dyDescent="0.25">
      <c r="A456" s="5">
        <v>44137</v>
      </c>
      <c r="B456">
        <v>49.962000000000003</v>
      </c>
      <c r="C456">
        <v>53.911999999999999</v>
      </c>
      <c r="D456">
        <v>46</v>
      </c>
      <c r="E456">
        <v>48.906999999999996</v>
      </c>
      <c r="F456">
        <v>8757.17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-0.26516683518705841</v>
      </c>
      <c r="Q456">
        <f t="shared" si="980"/>
        <v>-2322.1110540950522</v>
      </c>
      <c r="R456">
        <f t="shared" si="981"/>
        <v>-118534.81460686693</v>
      </c>
      <c r="S456">
        <f t="shared" si="982"/>
        <v>-1.1853481460686692</v>
      </c>
      <c r="T456">
        <f t="shared" si="983"/>
        <v>-1.1853481460686692E-3</v>
      </c>
    </row>
    <row r="457" spans="1:20" x14ac:dyDescent="0.25">
      <c r="A457" s="5">
        <v>44136</v>
      </c>
      <c r="B457">
        <v>46.091999999999999</v>
      </c>
      <c r="C457">
        <v>90</v>
      </c>
      <c r="D457">
        <v>38.139000000000003</v>
      </c>
      <c r="E457">
        <v>50.149000000000001</v>
      </c>
      <c r="F457">
        <v>21096.876</v>
      </c>
      <c r="G457">
        <v>0</v>
      </c>
      <c r="L457" t="s">
        <v>8</v>
      </c>
      <c r="M457" t="s">
        <v>8</v>
      </c>
      <c r="N457" t="s">
        <v>8</v>
      </c>
      <c r="P457">
        <f t="shared" si="979"/>
        <v>-0.5368388577158173</v>
      </c>
      <c r="Q457">
        <f t="shared" si="980"/>
        <v>-11325.622813212241</v>
      </c>
      <c r="R457">
        <f t="shared" si="981"/>
        <v>-116212.70355277188</v>
      </c>
      <c r="S457">
        <f t="shared" si="982"/>
        <v>-1.1621270355277189</v>
      </c>
      <c r="T457">
        <f t="shared" si="983"/>
        <v>-1.162127035527719E-3</v>
      </c>
    </row>
    <row r="458" spans="1:20" x14ac:dyDescent="0.25">
      <c r="A458" s="5">
        <v>44135</v>
      </c>
      <c r="B458">
        <v>40.889000000000003</v>
      </c>
      <c r="C458">
        <v>59.999000000000002</v>
      </c>
      <c r="D458">
        <v>40.207000000000001</v>
      </c>
      <c r="E458">
        <v>46.777999999999999</v>
      </c>
      <c r="F458">
        <v>16062.058999999999</v>
      </c>
      <c r="G458">
        <v>0</v>
      </c>
      <c r="L458" t="s">
        <v>8</v>
      </c>
      <c r="M458" t="s">
        <v>8</v>
      </c>
      <c r="N458" t="s">
        <v>8</v>
      </c>
      <c r="P458">
        <f t="shared" si="979"/>
        <v>-0.3359943411479388</v>
      </c>
      <c r="Q458">
        <f t="shared" si="980"/>
        <v>-5396.7609311843207</v>
      </c>
      <c r="R458">
        <f t="shared" si="981"/>
        <v>-104887.08073955965</v>
      </c>
      <c r="S458">
        <f t="shared" si="982"/>
        <v>-1.0488708073955966</v>
      </c>
      <c r="T458">
        <f t="shared" si="983"/>
        <v>-1.0488708073955965E-3</v>
      </c>
    </row>
    <row r="459" spans="1:20" x14ac:dyDescent="0.25">
      <c r="A459" s="5">
        <v>44134</v>
      </c>
      <c r="B459">
        <v>34.048000000000002</v>
      </c>
      <c r="C459">
        <v>47.72</v>
      </c>
      <c r="D459">
        <v>32.926000000000002</v>
      </c>
      <c r="E459">
        <v>40.960999999999999</v>
      </c>
      <c r="F459">
        <v>13700.914000000001</v>
      </c>
      <c r="G459">
        <v>0</v>
      </c>
      <c r="L459" t="s">
        <v>8</v>
      </c>
      <c r="M459" t="s">
        <v>8</v>
      </c>
      <c r="N459" t="s">
        <v>8</v>
      </c>
      <c r="P459">
        <f t="shared" si="979"/>
        <v>8.6251182911991117E-2</v>
      </c>
      <c r="Q459">
        <f t="shared" si="980"/>
        <v>1181.72003947546</v>
      </c>
      <c r="R459">
        <f t="shared" si="981"/>
        <v>-99490.319808375323</v>
      </c>
      <c r="S459">
        <f t="shared" si="982"/>
        <v>-0.99490319808375327</v>
      </c>
      <c r="T459">
        <f t="shared" si="983"/>
        <v>-9.9490319808375328E-4</v>
      </c>
    </row>
    <row r="460" spans="1:20" x14ac:dyDescent="0.25">
      <c r="A460" s="5">
        <v>44133</v>
      </c>
      <c r="B460">
        <v>26.222999999999999</v>
      </c>
      <c r="C460">
        <v>41.4</v>
      </c>
      <c r="D460">
        <v>24.488</v>
      </c>
      <c r="E460">
        <v>33.728999999999999</v>
      </c>
      <c r="F460">
        <v>21733.644</v>
      </c>
      <c r="G460">
        <v>0</v>
      </c>
      <c r="L460" t="s">
        <v>8</v>
      </c>
      <c r="M460" t="s">
        <v>8</v>
      </c>
      <c r="N460" t="s">
        <v>8</v>
      </c>
      <c r="P460">
        <f t="shared" si="979"/>
        <v>9.2833491012298985E-2</v>
      </c>
      <c r="Q460">
        <f t="shared" si="980"/>
        <v>2017.6100449385058</v>
      </c>
      <c r="R460">
        <f t="shared" si="981"/>
        <v>-100672.03984785079</v>
      </c>
      <c r="S460">
        <f t="shared" si="982"/>
        <v>-1.0067203984785078</v>
      </c>
      <c r="T460">
        <f t="shared" si="983"/>
        <v>-1.0067203984785078E-3</v>
      </c>
    </row>
    <row r="461" spans="1:20" x14ac:dyDescent="0.25">
      <c r="A461" s="5">
        <v>44132</v>
      </c>
      <c r="B461">
        <v>25.074999999999999</v>
      </c>
      <c r="C461">
        <v>28.3</v>
      </c>
      <c r="D461">
        <v>24.986999999999998</v>
      </c>
      <c r="E461">
        <v>26.103999999999999</v>
      </c>
      <c r="F461">
        <v>10782.244000000001</v>
      </c>
      <c r="G461">
        <v>0</v>
      </c>
      <c r="L461" t="s">
        <v>8</v>
      </c>
      <c r="M461" t="s">
        <v>8</v>
      </c>
      <c r="N461" t="s">
        <v>8</v>
      </c>
      <c r="P461">
        <f t="shared" si="979"/>
        <v>-0.32568668880169027</v>
      </c>
      <c r="Q461">
        <f t="shared" si="980"/>
        <v>-3511.6333462118923</v>
      </c>
      <c r="R461">
        <f t="shared" si="981"/>
        <v>-102689.6498927893</v>
      </c>
      <c r="S461">
        <f t="shared" si="982"/>
        <v>-1.026896498927893</v>
      </c>
      <c r="T461">
        <f t="shared" si="983"/>
        <v>-1.0268964989278929E-3</v>
      </c>
    </row>
    <row r="462" spans="1:20" x14ac:dyDescent="0.25">
      <c r="A462" s="5">
        <v>44131</v>
      </c>
      <c r="B462">
        <v>20.597999999999999</v>
      </c>
      <c r="C462">
        <v>27.295000000000002</v>
      </c>
      <c r="D462">
        <v>20.039000000000001</v>
      </c>
      <c r="E462">
        <v>25.081</v>
      </c>
      <c r="F462">
        <v>11691.875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0.38974641675854405</v>
      </c>
      <c r="Q462">
        <f t="shared" si="980"/>
        <v>4556.8663864388018</v>
      </c>
      <c r="R462">
        <f t="shared" si="981"/>
        <v>-99178.016546577404</v>
      </c>
      <c r="S462">
        <f t="shared" si="982"/>
        <v>-0.99178016546577408</v>
      </c>
      <c r="T462">
        <f t="shared" si="983"/>
        <v>-9.9178016546577416E-4</v>
      </c>
    </row>
    <row r="463" spans="1:20" x14ac:dyDescent="0.25">
      <c r="A463" s="5">
        <v>44130</v>
      </c>
      <c r="B463">
        <v>22.873999999999999</v>
      </c>
      <c r="C463">
        <v>23.175000000000001</v>
      </c>
      <c r="D463">
        <v>7.3890000000000002</v>
      </c>
      <c r="E463">
        <v>20.742999999999999</v>
      </c>
      <c r="F463">
        <v>6461.0969999999998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0.69187888002027087</v>
      </c>
      <c r="Q463">
        <f t="shared" si="980"/>
        <v>4470.2965560623315</v>
      </c>
      <c r="R463">
        <f t="shared" si="981"/>
        <v>-103734.88293301621</v>
      </c>
      <c r="S463">
        <f t="shared" si="982"/>
        <v>-1.037348829330162</v>
      </c>
      <c r="T463">
        <f t="shared" si="983"/>
        <v>-1.0373488293301621E-3</v>
      </c>
    </row>
    <row r="464" spans="1:20" x14ac:dyDescent="0.25">
      <c r="A464" s="5">
        <v>44129</v>
      </c>
      <c r="B464">
        <v>23.821000000000002</v>
      </c>
      <c r="C464">
        <v>24.2</v>
      </c>
      <c r="D464">
        <v>22.678999999999998</v>
      </c>
      <c r="E464">
        <v>22.939</v>
      </c>
      <c r="F464">
        <v>5157.2489999999998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-0.65811965811965623</v>
      </c>
      <c r="Q464">
        <f t="shared" si="980"/>
        <v>-3394.0869487179389</v>
      </c>
      <c r="R464">
        <f t="shared" si="981"/>
        <v>-108205.17948907854</v>
      </c>
      <c r="S464">
        <f t="shared" si="982"/>
        <v>-1.0820517948907853</v>
      </c>
      <c r="T464">
        <f t="shared" si="983"/>
        <v>-1.0820517948907852E-3</v>
      </c>
    </row>
    <row r="465" spans="1:20" x14ac:dyDescent="0.25">
      <c r="A465" s="5">
        <v>44128</v>
      </c>
      <c r="B465">
        <v>23.678999999999998</v>
      </c>
      <c r="C465">
        <v>27.196000000000002</v>
      </c>
      <c r="D465">
        <v>23.603000000000002</v>
      </c>
      <c r="E465">
        <v>24.192</v>
      </c>
      <c r="F465">
        <v>7397.93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-0.67214027275257515</v>
      </c>
      <c r="Q465">
        <f t="shared" si="980"/>
        <v>-4972.4466880044583</v>
      </c>
      <c r="R465">
        <f t="shared" si="981"/>
        <v>-104811.09254036059</v>
      </c>
      <c r="S465">
        <f t="shared" si="982"/>
        <v>-1.0481109254036058</v>
      </c>
      <c r="T465">
        <f t="shared" si="983"/>
        <v>-1.0481109254036058E-3</v>
      </c>
    </row>
    <row r="466" spans="1:20" x14ac:dyDescent="0.25">
      <c r="A466" s="5">
        <v>44127</v>
      </c>
      <c r="B466">
        <v>25.108000000000001</v>
      </c>
      <c r="C466">
        <v>26.193999999999999</v>
      </c>
      <c r="D466">
        <v>23</v>
      </c>
      <c r="E466">
        <v>23.678999999999998</v>
      </c>
      <c r="F466">
        <v>10209.02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-0.57482780212899265</v>
      </c>
      <c r="Q466">
        <f t="shared" si="980"/>
        <v>-5868.4285284909283</v>
      </c>
      <c r="R466">
        <f t="shared" si="981"/>
        <v>-99838.64585235613</v>
      </c>
      <c r="S466">
        <f t="shared" si="982"/>
        <v>-0.99838645852356134</v>
      </c>
      <c r="T466">
        <f t="shared" si="983"/>
        <v>-9.9838645852356133E-4</v>
      </c>
    </row>
    <row r="467" spans="1:20" x14ac:dyDescent="0.25">
      <c r="A467" s="5">
        <v>44126</v>
      </c>
      <c r="B467">
        <v>25.123000000000001</v>
      </c>
      <c r="C467">
        <v>28.257999999999999</v>
      </c>
      <c r="D467">
        <v>24.277000000000001</v>
      </c>
      <c r="E467">
        <v>25.2</v>
      </c>
      <c r="F467">
        <v>14142.934999999999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-0.5362974127103749</v>
      </c>
      <c r="Q467">
        <f t="shared" si="980"/>
        <v>-7584.8194486310058</v>
      </c>
      <c r="R467">
        <f t="shared" si="981"/>
        <v>-93970.217323865203</v>
      </c>
      <c r="S467">
        <f t="shared" si="982"/>
        <v>-0.93970217323865202</v>
      </c>
      <c r="T467">
        <f t="shared" si="983"/>
        <v>-9.3970217323865199E-4</v>
      </c>
    </row>
    <row r="468" spans="1:20" x14ac:dyDescent="0.25">
      <c r="A468" s="5">
        <v>44125</v>
      </c>
      <c r="B468">
        <v>25.280999999999999</v>
      </c>
      <c r="C468">
        <v>31.9</v>
      </c>
      <c r="D468">
        <v>25.143000000000001</v>
      </c>
      <c r="E468">
        <v>25.332000000000001</v>
      </c>
      <c r="F468">
        <v>12551.294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-0.94405801391149913</v>
      </c>
      <c r="Q468">
        <f t="shared" si="980"/>
        <v>-11849.149685659315</v>
      </c>
      <c r="R468">
        <f t="shared" si="981"/>
        <v>-86385.397875234194</v>
      </c>
      <c r="S468">
        <f t="shared" si="982"/>
        <v>-0.86385397875234193</v>
      </c>
      <c r="T468">
        <f t="shared" si="983"/>
        <v>-8.6385397875234191E-4</v>
      </c>
    </row>
    <row r="469" spans="1:20" x14ac:dyDescent="0.25">
      <c r="A469" s="5">
        <v>44124</v>
      </c>
      <c r="B469">
        <v>30.829000000000001</v>
      </c>
      <c r="C469">
        <v>31.588999999999999</v>
      </c>
      <c r="D469">
        <v>24.512</v>
      </c>
      <c r="E469">
        <v>24.962</v>
      </c>
      <c r="F469">
        <v>7092.0029999999997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-0.87282746926663857</v>
      </c>
      <c r="Q469">
        <f t="shared" si="980"/>
        <v>-6190.0950305214083</v>
      </c>
      <c r="R469">
        <f t="shared" si="981"/>
        <v>-74536.248189574879</v>
      </c>
      <c r="S469">
        <f t="shared" si="982"/>
        <v>-0.74536248189574883</v>
      </c>
      <c r="T469">
        <f t="shared" si="983"/>
        <v>-7.4536248189574885E-4</v>
      </c>
    </row>
    <row r="470" spans="1:20" x14ac:dyDescent="0.25">
      <c r="A470" s="5">
        <v>44123</v>
      </c>
      <c r="B470">
        <v>32.07</v>
      </c>
      <c r="C470">
        <v>33.299999999999997</v>
      </c>
      <c r="D470">
        <v>30.72</v>
      </c>
      <c r="E470">
        <v>31.111000000000001</v>
      </c>
      <c r="F470">
        <v>4686.2349999999997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-0.69689922480619992</v>
      </c>
      <c r="Q470">
        <f t="shared" si="980"/>
        <v>-3265.8335387596821</v>
      </c>
      <c r="R470">
        <f t="shared" si="981"/>
        <v>-68346.153159053472</v>
      </c>
      <c r="S470">
        <f t="shared" si="982"/>
        <v>-0.68346153159053469</v>
      </c>
      <c r="T470">
        <f t="shared" si="983"/>
        <v>-6.8346153159053473E-4</v>
      </c>
    </row>
    <row r="471" spans="1:20" x14ac:dyDescent="0.25">
      <c r="A471" s="5">
        <v>44122</v>
      </c>
      <c r="B471">
        <v>29.475999999999999</v>
      </c>
      <c r="C471">
        <v>33.127000000000002</v>
      </c>
      <c r="D471">
        <v>29.207000000000001</v>
      </c>
      <c r="E471">
        <v>32.070999999999998</v>
      </c>
      <c r="F471">
        <v>4109.3530000000001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0.46122448979591629</v>
      </c>
      <c r="Q471">
        <f t="shared" si="980"/>
        <v>1895.334240816318</v>
      </c>
      <c r="R471">
        <f t="shared" si="981"/>
        <v>-65080.319620293783</v>
      </c>
      <c r="S471">
        <f t="shared" si="982"/>
        <v>-0.65080319620293781</v>
      </c>
      <c r="T471">
        <f t="shared" si="983"/>
        <v>-6.5080319620293783E-4</v>
      </c>
    </row>
    <row r="472" spans="1:20" x14ac:dyDescent="0.25">
      <c r="A472" s="5">
        <v>44121</v>
      </c>
      <c r="B472">
        <v>28.574999999999999</v>
      </c>
      <c r="C472">
        <v>29.753</v>
      </c>
      <c r="D472">
        <v>27.637</v>
      </c>
      <c r="E472">
        <v>29.256</v>
      </c>
      <c r="F472">
        <v>5285.7370000000001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0.53024574669187152</v>
      </c>
      <c r="Q472">
        <f t="shared" si="980"/>
        <v>2802.7395623818529</v>
      </c>
      <c r="R472">
        <f t="shared" si="981"/>
        <v>-66975.653861110099</v>
      </c>
      <c r="S472">
        <f t="shared" si="982"/>
        <v>-0.66975653861110096</v>
      </c>
      <c r="T472">
        <f t="shared" si="983"/>
        <v>-6.6975653861110101E-4</v>
      </c>
    </row>
    <row r="473" spans="1:20" x14ac:dyDescent="0.25">
      <c r="A473" s="5">
        <v>44120</v>
      </c>
      <c r="B473">
        <v>34.048000000000002</v>
      </c>
      <c r="C473">
        <v>35.11</v>
      </c>
      <c r="D473">
        <v>27.5</v>
      </c>
      <c r="E473">
        <v>28.88</v>
      </c>
      <c r="F473">
        <v>7300.076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-0.63731931668856789</v>
      </c>
      <c r="Q473">
        <f t="shared" si="980"/>
        <v>-4652.4794480946139</v>
      </c>
      <c r="R473">
        <f t="shared" si="981"/>
        <v>-69778.393423491958</v>
      </c>
      <c r="S473">
        <f t="shared" si="982"/>
        <v>-0.69778393423491958</v>
      </c>
      <c r="T473">
        <f t="shared" si="983"/>
        <v>-6.9778393423491957E-4</v>
      </c>
    </row>
    <row r="474" spans="1:20" x14ac:dyDescent="0.25">
      <c r="A474" s="5">
        <v>44119</v>
      </c>
      <c r="B474">
        <v>33.049999999999997</v>
      </c>
      <c r="C474">
        <v>35.634999999999998</v>
      </c>
      <c r="D474">
        <v>32.020000000000003</v>
      </c>
      <c r="E474">
        <v>33.999000000000002</v>
      </c>
      <c r="F474">
        <v>7398.8209999999999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9.4882434301522545E-2</v>
      </c>
      <c r="Q474">
        <f t="shared" si="980"/>
        <v>702.01814744122532</v>
      </c>
      <c r="R474">
        <f t="shared" si="981"/>
        <v>-65125.913975397343</v>
      </c>
      <c r="S474">
        <f t="shared" si="982"/>
        <v>-0.65125913975397343</v>
      </c>
      <c r="T474">
        <f t="shared" si="983"/>
        <v>-6.5125913975397343E-4</v>
      </c>
    </row>
    <row r="475" spans="1:20" x14ac:dyDescent="0.25">
      <c r="A475" s="5">
        <v>44118</v>
      </c>
      <c r="B475">
        <v>35.496000000000002</v>
      </c>
      <c r="C475">
        <v>41.9</v>
      </c>
      <c r="D475">
        <v>31.495999999999999</v>
      </c>
      <c r="E475">
        <v>32.862000000000002</v>
      </c>
      <c r="F475">
        <v>10468.063</v>
      </c>
      <c r="G475">
        <v>0</v>
      </c>
      <c r="L475" t="s">
        <v>8</v>
      </c>
      <c r="M475" t="s">
        <v>7</v>
      </c>
      <c r="N475" t="s">
        <v>8</v>
      </c>
      <c r="P475">
        <f t="shared" si="979"/>
        <v>-0.73740868896578182</v>
      </c>
      <c r="Q475">
        <f t="shared" si="980"/>
        <v>-7719.2406128412094</v>
      </c>
      <c r="R475">
        <f t="shared" si="981"/>
        <v>-65827.932122838567</v>
      </c>
      <c r="S475">
        <f t="shared" si="982"/>
        <v>-0.65827932122838562</v>
      </c>
      <c r="T475">
        <f t="shared" si="983"/>
        <v>-6.5827932122838558E-4</v>
      </c>
    </row>
    <row r="476" spans="1:20" x14ac:dyDescent="0.25">
      <c r="A476" s="5">
        <v>44117</v>
      </c>
      <c r="B476">
        <v>33.051000000000002</v>
      </c>
      <c r="C476">
        <v>35.984999999999999</v>
      </c>
      <c r="D476">
        <v>32.753999999999998</v>
      </c>
      <c r="E476">
        <v>35.463999999999999</v>
      </c>
      <c r="F476">
        <v>4168.3339999999998</v>
      </c>
      <c r="G476">
        <v>0</v>
      </c>
      <c r="L476" t="s">
        <v>8</v>
      </c>
      <c r="M476" t="s">
        <v>7</v>
      </c>
      <c r="N476" t="s">
        <v>8</v>
      </c>
      <c r="P476">
        <f t="shared" si="979"/>
        <v>0.67749922624574399</v>
      </c>
      <c r="Q476">
        <f t="shared" si="980"/>
        <v>2824.0430597338268</v>
      </c>
      <c r="R476">
        <f t="shared" si="981"/>
        <v>-58108.691509997363</v>
      </c>
      <c r="S476">
        <f t="shared" si="982"/>
        <v>-0.58108691509997368</v>
      </c>
      <c r="T476">
        <f t="shared" si="983"/>
        <v>-5.8108691509997363E-4</v>
      </c>
    </row>
    <row r="477" spans="1:20" x14ac:dyDescent="0.25">
      <c r="A477" s="5">
        <v>44116</v>
      </c>
      <c r="B477">
        <v>32.701000000000001</v>
      </c>
      <c r="C477">
        <v>35.393000000000001</v>
      </c>
      <c r="D477">
        <v>32.51</v>
      </c>
      <c r="E477">
        <v>33.392000000000003</v>
      </c>
      <c r="F477">
        <v>5423.741</v>
      </c>
      <c r="G477">
        <v>0</v>
      </c>
      <c r="L477" t="s">
        <v>7</v>
      </c>
      <c r="M477" t="s">
        <v>7</v>
      </c>
      <c r="N477" t="s">
        <v>8</v>
      </c>
      <c r="P477">
        <f t="shared" si="979"/>
        <v>-0.38813735691987222</v>
      </c>
      <c r="Q477">
        <f t="shared" si="980"/>
        <v>-2105.1564963579449</v>
      </c>
      <c r="R477">
        <f t="shared" si="981"/>
        <v>-60932.73456973119</v>
      </c>
      <c r="S477">
        <f t="shared" si="982"/>
        <v>-0.60932734569731195</v>
      </c>
      <c r="T477">
        <f t="shared" si="983"/>
        <v>-6.0932734569731192E-4</v>
      </c>
    </row>
    <row r="478" spans="1:20" x14ac:dyDescent="0.25">
      <c r="A478" s="5">
        <v>44115</v>
      </c>
      <c r="B478">
        <v>36.104999999999997</v>
      </c>
      <c r="C478">
        <v>37.728000000000002</v>
      </c>
      <c r="D478">
        <v>32.81</v>
      </c>
      <c r="E478">
        <v>32.81</v>
      </c>
      <c r="F478">
        <v>4651.8819999999996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-1</v>
      </c>
      <c r="Q478">
        <f t="shared" si="980"/>
        <v>-4651.8819999999996</v>
      </c>
      <c r="R478">
        <f t="shared" si="981"/>
        <v>-58827.578073373246</v>
      </c>
      <c r="S478">
        <f t="shared" si="982"/>
        <v>-0.58827578073373243</v>
      </c>
      <c r="T478">
        <f t="shared" si="983"/>
        <v>-5.8827578073373241E-4</v>
      </c>
    </row>
    <row r="479" spans="1:20" x14ac:dyDescent="0.25">
      <c r="A479" s="5">
        <v>44114</v>
      </c>
      <c r="B479">
        <v>42.790999999999997</v>
      </c>
      <c r="C479">
        <v>43.704000000000001</v>
      </c>
      <c r="D479">
        <v>35.85</v>
      </c>
      <c r="E479">
        <v>36.694000000000003</v>
      </c>
      <c r="F479">
        <v>4323.8940000000002</v>
      </c>
      <c r="G479">
        <v>0</v>
      </c>
      <c r="L479" t="s">
        <v>7</v>
      </c>
      <c r="M479" t="s">
        <v>7</v>
      </c>
      <c r="N479" t="s">
        <v>8</v>
      </c>
      <c r="P479">
        <f t="shared" si="979"/>
        <v>-0.78507766743060825</v>
      </c>
      <c r="Q479">
        <f t="shared" si="980"/>
        <v>-3394.5926157372028</v>
      </c>
      <c r="R479">
        <f t="shared" si="981"/>
        <v>-54175.696073373249</v>
      </c>
      <c r="S479">
        <f t="shared" si="982"/>
        <v>-0.54175696073373247</v>
      </c>
      <c r="T479">
        <f t="shared" si="983"/>
        <v>-5.4175696073373249E-4</v>
      </c>
    </row>
    <row r="480" spans="1:20" x14ac:dyDescent="0.25">
      <c r="A480" s="5">
        <v>44113</v>
      </c>
      <c r="B480">
        <v>37.676000000000002</v>
      </c>
      <c r="C480">
        <v>44.866</v>
      </c>
      <c r="D480">
        <v>36.880000000000003</v>
      </c>
      <c r="E480">
        <v>42.790999999999997</v>
      </c>
      <c r="F480">
        <v>5695.7089999999998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0.4803405960430745</v>
      </c>
      <c r="Q480">
        <f t="shared" si="980"/>
        <v>2735.8802559479036</v>
      </c>
      <c r="R480">
        <f t="shared" si="981"/>
        <v>-50781.103457636047</v>
      </c>
      <c r="S480">
        <f t="shared" si="982"/>
        <v>-0.50781103457636045</v>
      </c>
      <c r="T480">
        <f t="shared" si="983"/>
        <v>-5.0781103457636049E-4</v>
      </c>
    </row>
    <row r="481" spans="1:20" x14ac:dyDescent="0.25">
      <c r="A481" s="5">
        <v>44112</v>
      </c>
      <c r="B481">
        <v>33.307000000000002</v>
      </c>
      <c r="C481">
        <v>38.93</v>
      </c>
      <c r="D481">
        <v>32.67</v>
      </c>
      <c r="E481">
        <v>37.676000000000002</v>
      </c>
      <c r="F481">
        <v>11467.333000000001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0.59936102236421784</v>
      </c>
      <c r="Q481">
        <f t="shared" si="980"/>
        <v>6873.0724306709335</v>
      </c>
      <c r="R481">
        <f t="shared" si="981"/>
        <v>-53516.983713583948</v>
      </c>
      <c r="S481">
        <f t="shared" si="982"/>
        <v>-0.53516983713583943</v>
      </c>
      <c r="T481">
        <f t="shared" si="983"/>
        <v>-5.3516983713583943E-4</v>
      </c>
    </row>
    <row r="482" spans="1:20" x14ac:dyDescent="0.25">
      <c r="A482" s="5">
        <v>44111</v>
      </c>
      <c r="B482">
        <v>35.39</v>
      </c>
      <c r="C482">
        <v>35.700000000000003</v>
      </c>
      <c r="D482">
        <v>30</v>
      </c>
      <c r="E482">
        <v>33.5</v>
      </c>
      <c r="F482">
        <v>8670.9330000000009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0.22807017543859587</v>
      </c>
      <c r="Q482">
        <f t="shared" si="980"/>
        <v>1977.5812105263105</v>
      </c>
      <c r="R482">
        <f t="shared" si="981"/>
        <v>-60390.056144254879</v>
      </c>
      <c r="S482">
        <f t="shared" si="982"/>
        <v>-0.60390056144254878</v>
      </c>
      <c r="T482">
        <f t="shared" si="983"/>
        <v>-6.039005614425488E-4</v>
      </c>
    </row>
    <row r="483" spans="1:20" x14ac:dyDescent="0.25">
      <c r="A483" s="5">
        <v>44110</v>
      </c>
      <c r="B483">
        <v>46.975999999999999</v>
      </c>
      <c r="C483">
        <v>48</v>
      </c>
      <c r="D483">
        <v>31.39</v>
      </c>
      <c r="E483">
        <v>35.021999999999998</v>
      </c>
      <c r="F483">
        <v>15357.388000000001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-0.56267308850090336</v>
      </c>
      <c r="Q483">
        <f t="shared" si="980"/>
        <v>-8641.1889372667119</v>
      </c>
      <c r="R483">
        <f t="shared" si="981"/>
        <v>-62367.637354781189</v>
      </c>
      <c r="S483">
        <f t="shared" si="982"/>
        <v>-0.62367637354781191</v>
      </c>
      <c r="T483">
        <f t="shared" si="983"/>
        <v>-6.2367637354781191E-4</v>
      </c>
    </row>
    <row r="484" spans="1:20" x14ac:dyDescent="0.25">
      <c r="A484" s="5">
        <v>44109</v>
      </c>
      <c r="B484">
        <v>35.947000000000003</v>
      </c>
      <c r="C484">
        <v>48</v>
      </c>
      <c r="D484">
        <v>33.188000000000002</v>
      </c>
      <c r="E484">
        <v>46.37</v>
      </c>
      <c r="F484">
        <v>17598.23</v>
      </c>
      <c r="G484">
        <v>0</v>
      </c>
      <c r="L484" t="s">
        <v>8</v>
      </c>
      <c r="M484" t="s">
        <v>8</v>
      </c>
      <c r="N484" t="s">
        <v>8</v>
      </c>
      <c r="P484">
        <f t="shared" si="979"/>
        <v>0.77990818255468497</v>
      </c>
      <c r="Q484">
        <f t="shared" si="980"/>
        <v>13725.003575479333</v>
      </c>
      <c r="R484">
        <f t="shared" si="981"/>
        <v>-53726.448417514475</v>
      </c>
      <c r="S484">
        <f t="shared" si="982"/>
        <v>-0.53726448417514472</v>
      </c>
      <c r="T484">
        <f t="shared" si="983"/>
        <v>-5.3726448417514472E-4</v>
      </c>
    </row>
    <row r="485" spans="1:20" x14ac:dyDescent="0.25">
      <c r="A485" s="5">
        <v>44108</v>
      </c>
      <c r="B485">
        <v>40.499000000000002</v>
      </c>
      <c r="C485">
        <v>43.28</v>
      </c>
      <c r="D485">
        <v>32.621000000000002</v>
      </c>
      <c r="E485">
        <v>36.683999999999997</v>
      </c>
      <c r="F485">
        <v>10713.837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-0.23763955342902793</v>
      </c>
      <c r="Q485">
        <f t="shared" si="980"/>
        <v>-2546.0314401913961</v>
      </c>
      <c r="R485">
        <f t="shared" si="981"/>
        <v>-67451.451992993811</v>
      </c>
      <c r="S485">
        <f t="shared" si="982"/>
        <v>-0.67451451992993816</v>
      </c>
      <c r="T485">
        <f t="shared" si="983"/>
        <v>-6.7451451992993816E-4</v>
      </c>
    </row>
    <row r="486" spans="1:20" x14ac:dyDescent="0.25">
      <c r="A486" s="5">
        <v>44107</v>
      </c>
      <c r="B486">
        <v>44.3</v>
      </c>
      <c r="C486">
        <v>44.999000000000002</v>
      </c>
      <c r="D486">
        <v>39.503</v>
      </c>
      <c r="E486">
        <v>39.503</v>
      </c>
      <c r="F486">
        <v>7662.0889999999999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-1</v>
      </c>
      <c r="Q486">
        <f t="shared" si="980"/>
        <v>-7662.0889999999999</v>
      </c>
      <c r="R486">
        <f t="shared" si="981"/>
        <v>-64905.420552802418</v>
      </c>
      <c r="S486">
        <f t="shared" si="982"/>
        <v>-0.64905420552802418</v>
      </c>
      <c r="T486">
        <f t="shared" si="983"/>
        <v>-6.4905420552802422E-4</v>
      </c>
    </row>
    <row r="487" spans="1:20" x14ac:dyDescent="0.25">
      <c r="A487" s="5">
        <v>44106</v>
      </c>
      <c r="B487">
        <v>49.92</v>
      </c>
      <c r="C487">
        <v>52.26</v>
      </c>
      <c r="D487">
        <v>40</v>
      </c>
      <c r="E487">
        <v>44.55</v>
      </c>
      <c r="F487">
        <v>7236.0780000000004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-0.2577487765089726</v>
      </c>
      <c r="Q487">
        <f t="shared" si="980"/>
        <v>-1865.0902512234936</v>
      </c>
      <c r="R487">
        <f t="shared" si="981"/>
        <v>-57243.331552802418</v>
      </c>
      <c r="S487">
        <f t="shared" si="982"/>
        <v>-0.57243331552802412</v>
      </c>
      <c r="T487">
        <f t="shared" si="983"/>
        <v>-5.7243331552802408E-4</v>
      </c>
    </row>
    <row r="488" spans="1:20" x14ac:dyDescent="0.25">
      <c r="A488" s="5">
        <v>44105</v>
      </c>
      <c r="B488">
        <v>55.091999999999999</v>
      </c>
      <c r="C488">
        <v>59.92</v>
      </c>
      <c r="D488">
        <v>49</v>
      </c>
      <c r="E488">
        <v>50.354999999999997</v>
      </c>
      <c r="F488">
        <v>7960.3339999999998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-0.75183150183150249</v>
      </c>
      <c r="Q488">
        <f t="shared" si="980"/>
        <v>-5984.8298663003716</v>
      </c>
      <c r="R488">
        <f t="shared" si="981"/>
        <v>-55378.241301578921</v>
      </c>
      <c r="S488">
        <f t="shared" si="982"/>
        <v>-0.55378241301578923</v>
      </c>
      <c r="T488">
        <f t="shared" si="983"/>
        <v>-5.5378241301578927E-4</v>
      </c>
    </row>
    <row r="489" spans="1:20" x14ac:dyDescent="0.25">
      <c r="A489" s="5">
        <v>44104</v>
      </c>
      <c r="B489">
        <v>65.703000000000003</v>
      </c>
      <c r="C489">
        <v>67.353999999999999</v>
      </c>
      <c r="D489">
        <v>51.311</v>
      </c>
      <c r="E489">
        <v>55.091999999999999</v>
      </c>
      <c r="F489">
        <v>6886.9139999999998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-0.52864177522907196</v>
      </c>
      <c r="Q489">
        <f t="shared" si="980"/>
        <v>-3640.7104428099487</v>
      </c>
      <c r="R489">
        <f t="shared" si="981"/>
        <v>-49393.411435278547</v>
      </c>
      <c r="S489">
        <f t="shared" si="982"/>
        <v>-0.49393411435278545</v>
      </c>
      <c r="T489">
        <f t="shared" si="983"/>
        <v>-4.939341143527854E-4</v>
      </c>
    </row>
    <row r="490" spans="1:20" x14ac:dyDescent="0.25">
      <c r="A490" s="5">
        <v>44103</v>
      </c>
      <c r="B490">
        <v>69.346000000000004</v>
      </c>
      <c r="C490">
        <v>73.146000000000001</v>
      </c>
      <c r="D490">
        <v>61.53</v>
      </c>
      <c r="E490">
        <v>62.923000000000002</v>
      </c>
      <c r="F490">
        <v>7234.5129999999999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-0.76015840220385666</v>
      </c>
      <c r="Q490">
        <f t="shared" si="980"/>
        <v>-5499.3758428030296</v>
      </c>
      <c r="R490">
        <f t="shared" si="981"/>
        <v>-45752.700992468599</v>
      </c>
      <c r="S490">
        <f t="shared" si="982"/>
        <v>-0.45752700992468598</v>
      </c>
      <c r="T490">
        <f t="shared" si="983"/>
        <v>-4.5752700992468596E-4</v>
      </c>
    </row>
    <row r="491" spans="1:20" x14ac:dyDescent="0.25">
      <c r="A491" s="5">
        <v>44102</v>
      </c>
      <c r="B491">
        <v>78.31</v>
      </c>
      <c r="C491">
        <v>82.99</v>
      </c>
      <c r="D491">
        <v>69</v>
      </c>
      <c r="E491">
        <v>69.346000000000004</v>
      </c>
      <c r="F491">
        <v>4491.2079999999996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-0.95053609721229393</v>
      </c>
      <c r="Q491">
        <f t="shared" si="980"/>
        <v>-4269.055324088632</v>
      </c>
      <c r="R491">
        <f t="shared" si="981"/>
        <v>-40253.325149665572</v>
      </c>
      <c r="S491">
        <f t="shared" si="982"/>
        <v>-0.4025332514966557</v>
      </c>
      <c r="T491">
        <f t="shared" si="983"/>
        <v>-4.025332514966557E-4</v>
      </c>
    </row>
    <row r="492" spans="1:20" x14ac:dyDescent="0.25">
      <c r="A492" s="5">
        <v>44101</v>
      </c>
      <c r="B492">
        <v>78.988</v>
      </c>
      <c r="C492">
        <v>84</v>
      </c>
      <c r="D492">
        <v>76.17</v>
      </c>
      <c r="E492">
        <v>78.304000000000002</v>
      </c>
      <c r="F492">
        <v>5192.3720000000003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-0.45491698595146851</v>
      </c>
      <c r="Q492">
        <f t="shared" si="980"/>
        <v>-2362.0982201787988</v>
      </c>
      <c r="R492">
        <f t="shared" si="981"/>
        <v>-35984.269825576943</v>
      </c>
      <c r="S492">
        <f t="shared" si="982"/>
        <v>-0.35984269825576942</v>
      </c>
      <c r="T492">
        <f t="shared" si="983"/>
        <v>-3.5984269825576942E-4</v>
      </c>
    </row>
    <row r="493" spans="1:20" x14ac:dyDescent="0.25">
      <c r="A493" s="5">
        <v>44100</v>
      </c>
      <c r="B493">
        <v>82.730999999999995</v>
      </c>
      <c r="C493">
        <v>87.210999999999999</v>
      </c>
      <c r="D493">
        <v>76.081999999999994</v>
      </c>
      <c r="E493">
        <v>79.941000000000003</v>
      </c>
      <c r="F493">
        <v>8231.8809999999994</v>
      </c>
      <c r="G493">
        <v>0</v>
      </c>
      <c r="L493" t="s">
        <v>7</v>
      </c>
      <c r="M493" t="s">
        <v>7</v>
      </c>
      <c r="N493" t="s">
        <v>7</v>
      </c>
      <c r="P493">
        <f t="shared" si="979"/>
        <v>-0.30649654056968151</v>
      </c>
      <c r="Q493">
        <f t="shared" si="980"/>
        <v>-2523.0430488812904</v>
      </c>
      <c r="R493">
        <f t="shared" si="981"/>
        <v>-33622.171605398144</v>
      </c>
      <c r="S493">
        <f t="shared" si="982"/>
        <v>-0.33622171605398143</v>
      </c>
      <c r="T493">
        <f t="shared" si="983"/>
        <v>-3.3622171605398145E-4</v>
      </c>
    </row>
    <row r="494" spans="1:20" x14ac:dyDescent="0.25">
      <c r="A494" s="5">
        <v>44099</v>
      </c>
      <c r="B494">
        <v>88.012</v>
      </c>
      <c r="C494">
        <v>98</v>
      </c>
      <c r="D494">
        <v>77.528000000000006</v>
      </c>
      <c r="E494">
        <v>82.662000000000006</v>
      </c>
      <c r="F494">
        <v>9999.0349999999999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-0.49843688940992559</v>
      </c>
      <c r="Q494">
        <f t="shared" si="980"/>
        <v>-4983.8879025009755</v>
      </c>
      <c r="R494">
        <f t="shared" si="981"/>
        <v>-31099.128556516851</v>
      </c>
      <c r="S494">
        <f t="shared" si="982"/>
        <v>-0.31099128556516853</v>
      </c>
      <c r="T494">
        <f t="shared" si="983"/>
        <v>-3.1099128556516851E-4</v>
      </c>
    </row>
    <row r="495" spans="1:20" x14ac:dyDescent="0.25">
      <c r="A495" s="5">
        <v>44098</v>
      </c>
      <c r="B495">
        <v>86.403999999999996</v>
      </c>
      <c r="C495">
        <v>101</v>
      </c>
      <c r="D495">
        <v>79.5</v>
      </c>
      <c r="E495">
        <v>88.004000000000005</v>
      </c>
      <c r="F495">
        <v>9463.8580000000002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-0.20893023255813908</v>
      </c>
      <c r="Q495">
        <f t="shared" si="980"/>
        <v>-1977.286052837205</v>
      </c>
      <c r="R495">
        <f t="shared" si="981"/>
        <v>-26115.240654015877</v>
      </c>
      <c r="S495">
        <f t="shared" si="982"/>
        <v>-0.26115240654015875</v>
      </c>
      <c r="T495">
        <f t="shared" si="983"/>
        <v>-2.6115240654015875E-4</v>
      </c>
    </row>
    <row r="496" spans="1:20" x14ac:dyDescent="0.25">
      <c r="A496" s="5">
        <v>44097</v>
      </c>
      <c r="B496">
        <v>112.35899999999999</v>
      </c>
      <c r="C496">
        <v>114</v>
      </c>
      <c r="D496">
        <v>83.456000000000003</v>
      </c>
      <c r="E496">
        <v>87.998999999999995</v>
      </c>
      <c r="F496">
        <v>12127.379000000001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-0.70252750130958663</v>
      </c>
      <c r="Q496">
        <f t="shared" si="980"/>
        <v>-8519.8172663043533</v>
      </c>
      <c r="R496">
        <f t="shared" si="981"/>
        <v>-24137.954601178673</v>
      </c>
      <c r="S496">
        <f t="shared" si="982"/>
        <v>-0.24137954601178674</v>
      </c>
      <c r="T496">
        <f t="shared" si="983"/>
        <v>-2.4137954601178674E-4</v>
      </c>
    </row>
    <row r="497" spans="1:20" x14ac:dyDescent="0.25">
      <c r="A497" s="5">
        <v>44096</v>
      </c>
      <c r="B497">
        <v>102.5</v>
      </c>
      <c r="C497">
        <v>127.1</v>
      </c>
      <c r="D497">
        <v>98.876999999999995</v>
      </c>
      <c r="E497">
        <v>114.044</v>
      </c>
      <c r="F497">
        <v>12307.344999999999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7.4797151259611103E-2</v>
      </c>
      <c r="Q497">
        <f t="shared" si="980"/>
        <v>920.55434556921841</v>
      </c>
      <c r="R497">
        <f t="shared" si="981"/>
        <v>-15618.13733487432</v>
      </c>
      <c r="S497">
        <f t="shared" si="982"/>
        <v>-0.15618137334874321</v>
      </c>
      <c r="T497">
        <f t="shared" si="983"/>
        <v>-1.5618137334874323E-4</v>
      </c>
    </row>
    <row r="498" spans="1:20" x14ac:dyDescent="0.25">
      <c r="A498" s="5">
        <v>44095</v>
      </c>
      <c r="B498">
        <v>109.66500000000001</v>
      </c>
      <c r="C498">
        <v>117.749</v>
      </c>
      <c r="D498">
        <v>87.394999999999996</v>
      </c>
      <c r="E498">
        <v>102</v>
      </c>
      <c r="F498">
        <v>16615.197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-3.7688607761744458E-2</v>
      </c>
      <c r="Q498">
        <f t="shared" si="980"/>
        <v>-626.20364261711325</v>
      </c>
      <c r="R498">
        <f t="shared" si="981"/>
        <v>-16538.691680443539</v>
      </c>
      <c r="S498">
        <f t="shared" si="982"/>
        <v>-0.16538691680443537</v>
      </c>
      <c r="T498">
        <f t="shared" si="983"/>
        <v>-1.6538691680443538E-4</v>
      </c>
    </row>
    <row r="499" spans="1:20" x14ac:dyDescent="0.25">
      <c r="A499" s="5">
        <v>44094</v>
      </c>
      <c r="B499">
        <v>129.59200000000001</v>
      </c>
      <c r="C499">
        <v>157.48400000000001</v>
      </c>
      <c r="D499">
        <v>90</v>
      </c>
      <c r="E499">
        <v>110.5</v>
      </c>
      <c r="F499">
        <v>49150.944000000003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-0.39244858040424407</v>
      </c>
      <c r="Q499">
        <f t="shared" si="980"/>
        <v>-19289.218198328501</v>
      </c>
      <c r="R499">
        <f t="shared" si="981"/>
        <v>-15912.488037826424</v>
      </c>
      <c r="S499">
        <f t="shared" si="982"/>
        <v>-0.15912488037826425</v>
      </c>
      <c r="T499">
        <f t="shared" si="983"/>
        <v>-1.5912488037826426E-4</v>
      </c>
    </row>
    <row r="500" spans="1:20" x14ac:dyDescent="0.25">
      <c r="A500" s="5">
        <v>44093</v>
      </c>
      <c r="B500">
        <v>71.784000000000006</v>
      </c>
      <c r="C500">
        <v>167.2</v>
      </c>
      <c r="D500">
        <v>66.412000000000006</v>
      </c>
      <c r="E500">
        <v>129.59200000000001</v>
      </c>
      <c r="F500">
        <v>44388.396999999997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0.25372068103345674</v>
      </c>
      <c r="Q500">
        <f t="shared" si="980"/>
        <v>11262.254316823448</v>
      </c>
      <c r="R500">
        <f t="shared" si="981"/>
        <v>3376.7301605020775</v>
      </c>
      <c r="S500">
        <f t="shared" si="982"/>
        <v>3.3767301605020776E-2</v>
      </c>
      <c r="T500">
        <f t="shared" si="983"/>
        <v>3.3767301605020774E-5</v>
      </c>
    </row>
    <row r="501" spans="1:20" x14ac:dyDescent="0.25">
      <c r="A501" s="5">
        <v>44092</v>
      </c>
      <c r="B501">
        <v>54.3</v>
      </c>
      <c r="C501">
        <v>84</v>
      </c>
      <c r="D501">
        <v>52.417999999999999</v>
      </c>
      <c r="E501">
        <v>71.718999999999994</v>
      </c>
      <c r="F501">
        <v>8023.5050000000001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0.22227851307706886</v>
      </c>
      <c r="Q501">
        <f t="shared" si="980"/>
        <v>1783.4527610664275</v>
      </c>
      <c r="R501">
        <f t="shared" si="981"/>
        <v>-7885.5241563213704</v>
      </c>
      <c r="S501">
        <f t="shared" si="982"/>
        <v>-7.8855241563213704E-2</v>
      </c>
      <c r="T501">
        <f t="shared" si="983"/>
        <v>-7.8855241563213703E-5</v>
      </c>
    </row>
    <row r="502" spans="1:20" x14ac:dyDescent="0.25">
      <c r="A502" s="5">
        <v>44091</v>
      </c>
      <c r="B502">
        <v>95.61</v>
      </c>
      <c r="C502">
        <v>101.28</v>
      </c>
      <c r="D502">
        <v>50.747999999999998</v>
      </c>
      <c r="E502">
        <v>54.3</v>
      </c>
      <c r="F502">
        <v>17273.457999999999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-0.85941581572073145</v>
      </c>
      <c r="Q502">
        <f t="shared" si="980"/>
        <v>-14845.082997387794</v>
      </c>
      <c r="R502">
        <f t="shared" si="981"/>
        <v>-9668.9769173877976</v>
      </c>
      <c r="S502">
        <f t="shared" si="982"/>
        <v>-9.6689769173877976E-2</v>
      </c>
      <c r="T502">
        <f t="shared" si="983"/>
        <v>-9.6689769173877974E-5</v>
      </c>
    </row>
    <row r="503" spans="1:20" x14ac:dyDescent="0.25">
      <c r="A503" s="5">
        <v>44090</v>
      </c>
      <c r="B503">
        <v>89.43</v>
      </c>
      <c r="C503">
        <v>120</v>
      </c>
      <c r="D503">
        <v>60</v>
      </c>
      <c r="E503">
        <v>94.8</v>
      </c>
      <c r="F503">
        <v>32350.663</v>
      </c>
      <c r="G503">
        <v>0</v>
      </c>
      <c r="P503">
        <f t="shared" si="979"/>
        <v>0.15999999999999989</v>
      </c>
      <c r="Q503">
        <f t="shared" si="980"/>
        <v>5176.1060799999968</v>
      </c>
      <c r="R503">
        <f t="shared" si="981"/>
        <v>5176.1060799999968</v>
      </c>
      <c r="S503">
        <f t="shared" si="982"/>
        <v>5.1761060799999967E-2</v>
      </c>
      <c r="T503">
        <f t="shared" si="983"/>
        <v>5.1761060799999964E-5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307" zoomScale="90" zoomScaleNormal="90" workbookViewId="0">
      <pane xSplit="4" topLeftCell="EM1" activePane="topRight" state="frozen"/>
      <selection activeCell="A109" sqref="A109"/>
      <selection pane="topRight" activeCell="IP411" sqref="IP41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$A$410</v>
      </c>
      <c r="D111" s="1" t="str">
        <f>ADDRESS(C121-1,D121,1,1)</f>
        <v>$IP$410</v>
      </c>
      <c r="E111"/>
    </row>
    <row r="112" spans="1:5" x14ac:dyDescent="0.25">
      <c r="A112" s="7">
        <v>12164.144957890772</v>
      </c>
      <c r="C112" s="1" t="str">
        <f>ADDRESS(C121,1,1,1)</f>
        <v>$A$411</v>
      </c>
      <c r="D112" s="1" t="str">
        <f>ADDRESS(C121,D121-1,1,1)</f>
        <v>$IO$411</v>
      </c>
      <c r="E112"/>
    </row>
    <row r="113" spans="1:5" x14ac:dyDescent="0.25">
      <c r="A113" s="7">
        <v>11925.63231165762</v>
      </c>
      <c r="C113" s="1" t="str">
        <f>ADDRESS(C121+1,1,1,1)</f>
        <v>$A$412</v>
      </c>
      <c r="D113" s="1" t="str">
        <f>ADDRESS(C121-1,D121+1,1,1)</f>
        <v>$IQ$410</v>
      </c>
    </row>
    <row r="114" spans="1:5" x14ac:dyDescent="0.25">
      <c r="A114" s="7">
        <v>11691.796383978059</v>
      </c>
      <c r="C114" s="1" t="str">
        <f>ADDRESS(C121,D121,1,1)</f>
        <v>$IP$411</v>
      </c>
      <c r="D114" s="1" t="str">
        <f>ADDRESS(C121+1,D121+1,1,1)</f>
        <v>$IQ$412</v>
      </c>
    </row>
    <row r="115" spans="1:5" x14ac:dyDescent="0.25">
      <c r="A115" s="7">
        <v>11462.545474488292</v>
      </c>
      <c r="C115" s="1" t="str">
        <f>ADDRESS(C121+1,D121,1,1)</f>
        <v>$IP$412</v>
      </c>
    </row>
    <row r="116" spans="1:5" x14ac:dyDescent="0.25">
      <c r="A116" s="7">
        <v>11237.789680870874</v>
      </c>
      <c r="C116" s="1">
        <f>C117-1</f>
        <v>410</v>
      </c>
    </row>
    <row r="117" spans="1:5" x14ac:dyDescent="0.25">
      <c r="A117" s="7">
        <v>11017.440863598895</v>
      </c>
      <c r="C117" s="1">
        <f>C121</f>
        <v>411</v>
      </c>
      <c r="D117" s="1">
        <f>D121</f>
        <v>250</v>
      </c>
    </row>
    <row r="118" spans="1:5" x14ac:dyDescent="0.25">
      <c r="A118" s="7">
        <v>10801.412611371465</v>
      </c>
      <c r="C118" s="1">
        <f>C117+1</f>
        <v>412</v>
      </c>
      <c r="D118" s="1">
        <f>D117+1</f>
        <v>251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411</v>
      </c>
      <c r="D121" s="19">
        <v>250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R411</v>
      </c>
      <c r="D123" s="1" t="str">
        <f>"C"&amp;D121</f>
        <v>C250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32.630988492608374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79" x14ac:dyDescent="0.25">
      <c r="A273" s="7">
        <v>501.71135837085484</v>
      </c>
      <c r="B273"/>
      <c r="C273"/>
      <c r="D273"/>
      <c r="E273"/>
    </row>
    <row r="274" spans="1:79" x14ac:dyDescent="0.25">
      <c r="A274" s="7">
        <v>491.87388075574</v>
      </c>
      <c r="B274"/>
      <c r="C274"/>
      <c r="D274"/>
      <c r="E274"/>
    </row>
    <row r="275" spans="1:79" x14ac:dyDescent="0.25">
      <c r="A275" s="7">
        <v>482.22929485856861</v>
      </c>
      <c r="B275"/>
      <c r="C275"/>
      <c r="D275"/>
      <c r="E275"/>
    </row>
    <row r="276" spans="1:79" x14ac:dyDescent="0.25">
      <c r="A276" s="7">
        <v>472.77381848879276</v>
      </c>
      <c r="B276"/>
      <c r="C276"/>
      <c r="D276"/>
      <c r="E276"/>
    </row>
    <row r="277" spans="1:79" x14ac:dyDescent="0.25">
      <c r="A277" s="7">
        <v>463.50374361646345</v>
      </c>
      <c r="B277"/>
      <c r="C277"/>
      <c r="D277"/>
      <c r="E277"/>
    </row>
    <row r="278" spans="1:79" x14ac:dyDescent="0.25">
      <c r="A278" s="7">
        <v>454.41543491810143</v>
      </c>
      <c r="B278"/>
      <c r="C278"/>
      <c r="D278"/>
      <c r="E278"/>
    </row>
    <row r="279" spans="1:79" x14ac:dyDescent="0.25">
      <c r="A279" s="7">
        <v>445.50532835107981</v>
      </c>
      <c r="B279"/>
      <c r="C279"/>
      <c r="D279"/>
      <c r="E279"/>
    </row>
    <row r="280" spans="1:79" x14ac:dyDescent="0.25">
      <c r="A280" s="7">
        <v>436.76992975596062</v>
      </c>
      <c r="B280"/>
      <c r="C280"/>
      <c r="D280"/>
      <c r="E280"/>
    </row>
    <row r="281" spans="1:79" x14ac:dyDescent="0.25">
      <c r="A281" s="7">
        <v>428.20581348623591</v>
      </c>
      <c r="B281"/>
      <c r="C281"/>
      <c r="D281"/>
      <c r="E281"/>
    </row>
    <row r="282" spans="1:79" x14ac:dyDescent="0.25">
      <c r="A282" s="7">
        <v>419.80962106493718</v>
      </c>
      <c r="B282"/>
      <c r="C282"/>
      <c r="D282"/>
      <c r="E282"/>
    </row>
    <row r="283" spans="1:79" x14ac:dyDescent="0.25">
      <c r="A283" s="7">
        <v>411.57805986758547</v>
      </c>
      <c r="B283"/>
      <c r="C283"/>
      <c r="D283"/>
      <c r="E283"/>
    </row>
    <row r="284" spans="1:79" x14ac:dyDescent="0.25">
      <c r="A284" s="7">
        <v>403.50790183096615</v>
      </c>
      <c r="B284"/>
      <c r="C284"/>
      <c r="D284"/>
      <c r="E284"/>
    </row>
    <row r="285" spans="1:79" x14ac:dyDescent="0.25">
      <c r="A285" s="7">
        <v>395.59598218722169</v>
      </c>
      <c r="B285"/>
      <c r="C285"/>
      <c r="D285"/>
      <c r="E285"/>
    </row>
    <row r="286" spans="1:79" x14ac:dyDescent="0.25">
      <c r="A286" s="7">
        <v>387.83919822276636</v>
      </c>
      <c r="B286"/>
      <c r="C286"/>
      <c r="D286"/>
      <c r="E286"/>
    </row>
    <row r="287" spans="1:79" x14ac:dyDescent="0.25">
      <c r="A287" s="7">
        <v>380.23450806153562</v>
      </c>
      <c r="B287"/>
      <c r="C287"/>
      <c r="D287"/>
      <c r="E287"/>
    </row>
    <row r="288" spans="1:79" x14ac:dyDescent="0.25">
      <c r="A288" s="7">
        <v>372.77892947209375</v>
      </c>
      <c r="B288"/>
      <c r="C288"/>
      <c r="D288"/>
      <c r="E288"/>
      <c r="CA288" s="27" t="s">
        <v>8</v>
      </c>
    </row>
    <row r="289" spans="1:84" x14ac:dyDescent="0.25">
      <c r="A289" s="7">
        <v>365.46953869813115</v>
      </c>
      <c r="B289"/>
      <c r="C289"/>
      <c r="D289"/>
      <c r="E289"/>
      <c r="CA289" s="27" t="s">
        <v>8</v>
      </c>
      <c r="CB289" s="27" t="s">
        <v>7</v>
      </c>
    </row>
    <row r="290" spans="1:84" x14ac:dyDescent="0.25">
      <c r="A290" s="7">
        <v>358.30346931189325</v>
      </c>
      <c r="B290"/>
      <c r="C290"/>
      <c r="D290"/>
      <c r="E290"/>
      <c r="CA290" s="27" t="s">
        <v>8</v>
      </c>
      <c r="CB290" s="27" t="s">
        <v>7</v>
      </c>
    </row>
    <row r="291" spans="1:84" x14ac:dyDescent="0.25">
      <c r="A291" s="7">
        <v>351.27791109009144</v>
      </c>
      <c r="B291"/>
      <c r="C291"/>
      <c r="D291"/>
      <c r="E291"/>
      <c r="CA291" s="27" t="s">
        <v>8</v>
      </c>
      <c r="CB291" s="27" t="s">
        <v>7</v>
      </c>
    </row>
    <row r="292" spans="1:84" x14ac:dyDescent="0.25">
      <c r="A292" s="7">
        <v>344.39010891185433</v>
      </c>
      <c r="B292"/>
      <c r="C292"/>
      <c r="D292"/>
      <c r="E292"/>
      <c r="CA292" s="27" t="s">
        <v>8</v>
      </c>
      <c r="CB292" s="27" t="s">
        <v>7</v>
      </c>
    </row>
    <row r="293" spans="1:84" x14ac:dyDescent="0.25">
      <c r="A293" s="7">
        <v>337.63736167828853</v>
      </c>
      <c r="B293"/>
      <c r="C293"/>
      <c r="D293"/>
      <c r="E293"/>
      <c r="CA293" s="27" t="s">
        <v>8</v>
      </c>
      <c r="CB293" s="27" t="s">
        <v>7</v>
      </c>
    </row>
    <row r="294" spans="1:84" x14ac:dyDescent="0.25">
      <c r="A294" s="7">
        <v>331.01702125322402</v>
      </c>
      <c r="B294"/>
      <c r="C294"/>
      <c r="D294"/>
      <c r="E294"/>
      <c r="CA294" s="27" t="s">
        <v>8</v>
      </c>
      <c r="CB294" s="27" t="s">
        <v>7</v>
      </c>
    </row>
    <row r="295" spans="1:84" x14ac:dyDescent="0.25">
      <c r="A295" s="7">
        <v>324.52649142472944</v>
      </c>
      <c r="B295"/>
      <c r="C295"/>
      <c r="D295"/>
      <c r="E295"/>
      <c r="CA295" s="27" t="s">
        <v>8</v>
      </c>
      <c r="CB295" s="27" t="s">
        <v>7</v>
      </c>
    </row>
    <row r="296" spans="1:84" x14ac:dyDescent="0.25">
      <c r="A296" s="7">
        <v>318.16322688698966</v>
      </c>
      <c r="B296"/>
      <c r="C296"/>
      <c r="D296"/>
      <c r="E296"/>
      <c r="BY296" s="27" t="s">
        <v>8</v>
      </c>
      <c r="CA296" s="27" t="s">
        <v>8</v>
      </c>
      <c r="CB296" s="27" t="s">
        <v>7</v>
      </c>
    </row>
    <row r="297" spans="1:84" x14ac:dyDescent="0.25">
      <c r="A297" s="7">
        <v>311.92473224214672</v>
      </c>
      <c r="B297"/>
      <c r="C297"/>
      <c r="D297"/>
      <c r="E297"/>
      <c r="BY297" s="27" t="s">
        <v>8</v>
      </c>
      <c r="BZ297" s="27" t="s">
        <v>7</v>
      </c>
      <c r="CA297" s="27" t="s">
        <v>8</v>
      </c>
      <c r="CB297" s="27" t="s">
        <v>7</v>
      </c>
    </row>
    <row r="298" spans="1:84" x14ac:dyDescent="0.25">
      <c r="A298" s="7">
        <v>305.80856102171248</v>
      </c>
      <c r="B298"/>
      <c r="C298"/>
      <c r="D298"/>
      <c r="E298"/>
      <c r="BY298" s="27" t="s">
        <v>8</v>
      </c>
      <c r="BZ298" s="27" t="s">
        <v>7</v>
      </c>
      <c r="CA298" s="27" t="s">
        <v>8</v>
      </c>
      <c r="CB298" s="27" t="s">
        <v>7</v>
      </c>
    </row>
    <row r="299" spans="1:84" x14ac:dyDescent="0.25">
      <c r="A299" s="7">
        <v>299.81231472716911</v>
      </c>
      <c r="B299"/>
      <c r="C299"/>
      <c r="D299"/>
      <c r="E299"/>
      <c r="BY299" s="27" t="s">
        <v>8</v>
      </c>
      <c r="BZ299" s="27" t="s">
        <v>7</v>
      </c>
      <c r="CA299" s="27" t="s">
        <v>8</v>
      </c>
      <c r="CB299" s="27" t="s">
        <v>7</v>
      </c>
    </row>
    <row r="300" spans="1:84" x14ac:dyDescent="0.25">
      <c r="A300" s="7">
        <v>293.93364188938148</v>
      </c>
      <c r="B300"/>
      <c r="C300"/>
      <c r="D300"/>
      <c r="E300"/>
      <c r="BY300" s="27" t="s">
        <v>8</v>
      </c>
      <c r="BZ300" s="27" t="s">
        <v>7</v>
      </c>
      <c r="CA300" s="27" t="s">
        <v>8</v>
      </c>
      <c r="CB300" s="27" t="s">
        <v>7</v>
      </c>
      <c r="CC300" s="27" t="s">
        <v>8</v>
      </c>
      <c r="CE300" s="27" t="s">
        <v>8</v>
      </c>
    </row>
    <row r="301" spans="1:84" x14ac:dyDescent="0.25">
      <c r="A301" s="7">
        <v>288.17023714645245</v>
      </c>
      <c r="B301"/>
      <c r="C301"/>
      <c r="D301"/>
      <c r="E301"/>
      <c r="BY301" s="27" t="s">
        <v>8</v>
      </c>
      <c r="BZ301" s="27" t="s">
        <v>7</v>
      </c>
      <c r="CA301" s="27" t="s">
        <v>8</v>
      </c>
      <c r="CB301" s="27" t="s">
        <v>7</v>
      </c>
      <c r="CC301" s="27" t="s">
        <v>8</v>
      </c>
      <c r="CD301" s="27" t="s">
        <v>7</v>
      </c>
      <c r="CE301" s="27" t="s">
        <v>8</v>
      </c>
      <c r="CF301" s="27" t="s">
        <v>7</v>
      </c>
    </row>
    <row r="302" spans="1:84" x14ac:dyDescent="0.25">
      <c r="A302" s="7">
        <v>282.51984033965925</v>
      </c>
      <c r="B302"/>
      <c r="C302"/>
      <c r="D302"/>
      <c r="E302"/>
      <c r="BY302" s="27" t="s">
        <v>8</v>
      </c>
      <c r="BZ302" s="27" t="s">
        <v>7</v>
      </c>
      <c r="CA302" s="27" t="s">
        <v>8</v>
      </c>
      <c r="CB302" s="27" t="s">
        <v>7</v>
      </c>
      <c r="CC302" s="27" t="s">
        <v>8</v>
      </c>
      <c r="CD302" s="27" t="s">
        <v>7</v>
      </c>
      <c r="CE302" s="27" t="s">
        <v>8</v>
      </c>
      <c r="CF302" s="27" t="s">
        <v>7</v>
      </c>
    </row>
    <row r="303" spans="1:84" x14ac:dyDescent="0.25">
      <c r="A303" s="7">
        <v>276.98023562711688</v>
      </c>
      <c r="B303"/>
      <c r="C303"/>
      <c r="D303"/>
      <c r="E303"/>
      <c r="BY303" s="27" t="s">
        <v>8</v>
      </c>
      <c r="BZ303" s="27" t="s">
        <v>7</v>
      </c>
      <c r="CA303" s="27" t="s">
        <v>8</v>
      </c>
      <c r="CB303" s="27" t="s">
        <v>7</v>
      </c>
      <c r="CC303" s="27" t="s">
        <v>8</v>
      </c>
      <c r="CD303" s="27" t="s">
        <v>7</v>
      </c>
      <c r="CE303" s="27" t="s">
        <v>8</v>
      </c>
      <c r="CF303" s="27" t="s">
        <v>7</v>
      </c>
    </row>
    <row r="304" spans="1:84" x14ac:dyDescent="0.25">
      <c r="A304" s="7">
        <v>271.54925061482049</v>
      </c>
      <c r="B304"/>
      <c r="C304"/>
      <c r="D304"/>
      <c r="E304"/>
      <c r="BY304" s="27" t="s">
        <v>8</v>
      </c>
      <c r="BZ304" s="27" t="s">
        <v>7</v>
      </c>
      <c r="CA304" s="27" t="s">
        <v>8</v>
      </c>
      <c r="CB304" s="27" t="s">
        <v>7</v>
      </c>
      <c r="CC304" s="27" t="s">
        <v>8</v>
      </c>
      <c r="CD304" s="27" t="s">
        <v>7</v>
      </c>
      <c r="CE304" s="27" t="s">
        <v>8</v>
      </c>
      <c r="CF304" s="27" t="s">
        <v>7</v>
      </c>
    </row>
    <row r="305" spans="1:187" x14ac:dyDescent="0.25">
      <c r="A305" s="7">
        <v>266.22475550472598</v>
      </c>
      <c r="B305"/>
      <c r="C305"/>
      <c r="D305"/>
      <c r="E305"/>
      <c r="BY305" s="27" t="s">
        <v>8</v>
      </c>
      <c r="BZ305" s="27" t="s">
        <v>7</v>
      </c>
      <c r="CA305" s="27" t="s">
        <v>8</v>
      </c>
      <c r="CB305" s="27" t="s">
        <v>7</v>
      </c>
      <c r="CC305" s="27" t="s">
        <v>8</v>
      </c>
      <c r="CD305" s="27" t="s">
        <v>7</v>
      </c>
      <c r="CE305" s="27" t="s">
        <v>8</v>
      </c>
      <c r="CF305" s="27" t="s">
        <v>7</v>
      </c>
    </row>
    <row r="306" spans="1:187" x14ac:dyDescent="0.25">
      <c r="A306" s="7">
        <v>261.00466225953528</v>
      </c>
      <c r="B306"/>
      <c r="C306"/>
      <c r="D306"/>
      <c r="E306"/>
      <c r="BY306" s="27" t="s">
        <v>8</v>
      </c>
      <c r="BZ306" s="27" t="s">
        <v>7</v>
      </c>
      <c r="CA306" s="27" t="s">
        <v>8</v>
      </c>
      <c r="CB306" s="27" t="s">
        <v>7</v>
      </c>
      <c r="CC306" s="27" t="s">
        <v>8</v>
      </c>
      <c r="CD306" s="27" t="s">
        <v>7</v>
      </c>
      <c r="CE306" s="27" t="s">
        <v>8</v>
      </c>
      <c r="CF306" s="27" t="s">
        <v>7</v>
      </c>
    </row>
    <row r="307" spans="1:187" x14ac:dyDescent="0.25">
      <c r="A307" s="7">
        <v>255.88692378385809</v>
      </c>
      <c r="B307"/>
      <c r="C307"/>
      <c r="D307"/>
      <c r="E307"/>
      <c r="BY307" s="27" t="s">
        <v>8</v>
      </c>
      <c r="BZ307" s="27" t="s">
        <v>7</v>
      </c>
      <c r="CB307" s="27" t="s">
        <v>7</v>
      </c>
      <c r="CC307" s="27" t="s">
        <v>8</v>
      </c>
      <c r="CD307" s="27" t="s">
        <v>7</v>
      </c>
      <c r="CE307" s="27" t="s">
        <v>8</v>
      </c>
      <c r="CF307" s="27" t="s">
        <v>7</v>
      </c>
    </row>
    <row r="308" spans="1:187" x14ac:dyDescent="0.25">
      <c r="A308" s="7">
        <v>250.8695331214295</v>
      </c>
      <c r="B308"/>
      <c r="C308"/>
      <c r="D308"/>
      <c r="E308"/>
      <c r="BY308" s="27" t="s">
        <v>8</v>
      </c>
      <c r="CB308" s="27" t="s">
        <v>7</v>
      </c>
      <c r="CC308" s="27" t="s">
        <v>8</v>
      </c>
      <c r="CD308" s="27" t="s">
        <v>7</v>
      </c>
      <c r="CE308" s="27" t="s">
        <v>8</v>
      </c>
      <c r="CF308" s="27" t="s">
        <v>7</v>
      </c>
    </row>
    <row r="309" spans="1:187" x14ac:dyDescent="0.25">
      <c r="A309" s="7">
        <v>245.95052266806812</v>
      </c>
      <c r="B309"/>
      <c r="C309"/>
      <c r="D309"/>
      <c r="E309"/>
      <c r="BY309" s="27" t="s">
        <v>8</v>
      </c>
      <c r="CB309" s="27" t="s">
        <v>7</v>
      </c>
      <c r="CC309" s="27" t="s">
        <v>8</v>
      </c>
      <c r="CD309" s="27" t="s">
        <v>7</v>
      </c>
      <c r="CE309" s="27" t="s">
        <v>8</v>
      </c>
      <c r="CF309" s="27" t="s">
        <v>7</v>
      </c>
    </row>
    <row r="310" spans="1:187" x14ac:dyDescent="0.25">
      <c r="A310" s="7">
        <v>241.12796340006679</v>
      </c>
      <c r="B310"/>
      <c r="C310"/>
      <c r="D310"/>
      <c r="E310"/>
      <c r="BY310" s="27" t="s">
        <v>8</v>
      </c>
      <c r="CB310" s="27" t="s">
        <v>7</v>
      </c>
      <c r="CC310" s="27" t="s">
        <v>8</v>
      </c>
      <c r="CD310" s="27" t="s">
        <v>7</v>
      </c>
      <c r="CE310" s="27" t="s">
        <v>8</v>
      </c>
      <c r="CF310" s="27" t="s">
        <v>7</v>
      </c>
    </row>
    <row r="311" spans="1:187" x14ac:dyDescent="0.25">
      <c r="A311" s="7">
        <v>236.39996411771253</v>
      </c>
      <c r="B311"/>
      <c r="C311"/>
      <c r="D311"/>
      <c r="E311"/>
      <c r="BY311" s="27" t="s">
        <v>8</v>
      </c>
      <c r="CB311" s="27" t="s">
        <v>7</v>
      </c>
      <c r="CC311" s="27" t="s">
        <v>8</v>
      </c>
      <c r="CD311" s="27" t="s">
        <v>7</v>
      </c>
      <c r="CE311" s="27" t="s">
        <v>8</v>
      </c>
      <c r="CF311" s="27" t="s">
        <v>7</v>
      </c>
    </row>
    <row r="312" spans="1:187" x14ac:dyDescent="0.25">
      <c r="A312" s="7">
        <v>231.76467070363972</v>
      </c>
      <c r="B312"/>
      <c r="C312"/>
      <c r="D312"/>
      <c r="E312"/>
      <c r="BY312" s="27" t="s">
        <v>8</v>
      </c>
      <c r="CB312" s="27" t="s">
        <v>7</v>
      </c>
      <c r="CC312" s="27" t="s">
        <v>8</v>
      </c>
      <c r="CD312" s="27" t="s">
        <v>7</v>
      </c>
      <c r="CE312" s="27" t="s">
        <v>8</v>
      </c>
      <c r="CF312" s="27" t="s">
        <v>7</v>
      </c>
    </row>
    <row r="313" spans="1:187" x14ac:dyDescent="0.25">
      <c r="A313" s="7">
        <v>227.22026539572522</v>
      </c>
      <c r="B313"/>
      <c r="C313"/>
      <c r="D313"/>
      <c r="E313"/>
      <c r="BY313" s="27" t="s">
        <v>8</v>
      </c>
      <c r="CB313" s="27" t="s">
        <v>7</v>
      </c>
      <c r="CC313" s="27" t="s">
        <v>8</v>
      </c>
      <c r="CD313" s="27" t="s">
        <v>7</v>
      </c>
      <c r="CE313" s="27" t="s">
        <v>8</v>
      </c>
      <c r="CF313" s="27" t="s">
        <v>7</v>
      </c>
    </row>
    <row r="314" spans="1:187" x14ac:dyDescent="0.25">
      <c r="A314" s="7">
        <v>222.76496607424042</v>
      </c>
      <c r="B314"/>
      <c r="C314"/>
      <c r="D314"/>
      <c r="E314"/>
      <c r="BY314" s="27" t="s">
        <v>8</v>
      </c>
      <c r="CB314" s="27" t="s">
        <v>7</v>
      </c>
      <c r="CC314" s="27" t="s">
        <v>8</v>
      </c>
      <c r="CD314" s="27" t="s">
        <v>7</v>
      </c>
      <c r="CE314" s="27" t="s">
        <v>8</v>
      </c>
      <c r="CF314" s="27" t="s">
        <v>7</v>
      </c>
      <c r="FW314" s="27" t="s">
        <v>8</v>
      </c>
    </row>
    <row r="315" spans="1:187" x14ac:dyDescent="0.25">
      <c r="A315" s="7">
        <v>218.39702556298079</v>
      </c>
      <c r="B315"/>
      <c r="C315"/>
      <c r="D315"/>
      <c r="E315"/>
      <c r="BY315" s="27" t="s">
        <v>8</v>
      </c>
      <c r="CB315" s="27" t="s">
        <v>7</v>
      </c>
      <c r="CC315" s="27" t="s">
        <v>8</v>
      </c>
      <c r="CD315" s="27" t="s">
        <v>7</v>
      </c>
      <c r="CF315" s="27" t="s">
        <v>7</v>
      </c>
      <c r="EA315" s="27" t="s">
        <v>8</v>
      </c>
      <c r="FW315" s="27" t="s">
        <v>8</v>
      </c>
      <c r="FX315" s="27" t="s">
        <v>7</v>
      </c>
      <c r="GC315" s="27" t="s">
        <v>8</v>
      </c>
    </row>
    <row r="316" spans="1:187" x14ac:dyDescent="0.25">
      <c r="A316" s="7">
        <v>214.1147309440988</v>
      </c>
      <c r="B316"/>
      <c r="C316"/>
      <c r="D316"/>
      <c r="E316"/>
      <c r="BY316" s="27" t="s">
        <v>8</v>
      </c>
      <c r="CB316" s="27" t="s">
        <v>7</v>
      </c>
      <c r="CC316" s="27" t="s">
        <v>8</v>
      </c>
      <c r="CF316" s="27" t="s">
        <v>7</v>
      </c>
      <c r="EA316" s="27" t="s">
        <v>8</v>
      </c>
      <c r="EB316" s="27" t="s">
        <v>7</v>
      </c>
      <c r="FW316" s="27" t="s">
        <v>8</v>
      </c>
      <c r="FX316" s="27" t="s">
        <v>7</v>
      </c>
      <c r="GC316" s="27" t="s">
        <v>8</v>
      </c>
      <c r="GD316" s="27" t="s">
        <v>7</v>
      </c>
    </row>
    <row r="317" spans="1:187" x14ac:dyDescent="0.25">
      <c r="A317" s="7">
        <v>209.91640288637137</v>
      </c>
      <c r="B317"/>
      <c r="C317"/>
      <c r="D317"/>
      <c r="E317"/>
      <c r="BU317" s="27" t="s">
        <v>8</v>
      </c>
      <c r="BY317" s="27" t="s">
        <v>8</v>
      </c>
      <c r="CB317" s="27" t="s">
        <v>7</v>
      </c>
      <c r="CF317" s="27" t="s">
        <v>7</v>
      </c>
      <c r="CG317" s="27" t="s">
        <v>8</v>
      </c>
      <c r="EA317" s="27" t="s">
        <v>8</v>
      </c>
      <c r="EB317" s="27" t="s">
        <v>7</v>
      </c>
      <c r="FU317" s="27" t="s">
        <v>8</v>
      </c>
      <c r="FW317" s="27" t="s">
        <v>8</v>
      </c>
      <c r="FX317" s="27" t="s">
        <v>7</v>
      </c>
      <c r="FY317" s="27" t="s">
        <v>8</v>
      </c>
      <c r="GA317" s="27" t="s">
        <v>8</v>
      </c>
      <c r="GC317" s="27" t="s">
        <v>8</v>
      </c>
      <c r="GD317" s="27" t="s">
        <v>7</v>
      </c>
    </row>
    <row r="318" spans="1:187" x14ac:dyDescent="0.25">
      <c r="A318" s="7">
        <v>205.80039498663859</v>
      </c>
      <c r="B318"/>
      <c r="C318"/>
      <c r="D318"/>
      <c r="E318"/>
      <c r="BU318" s="27" t="s">
        <v>8</v>
      </c>
      <c r="BV318" s="27" t="s">
        <v>7</v>
      </c>
      <c r="BY318" s="27" t="s">
        <v>8</v>
      </c>
      <c r="CF318" s="27" t="s">
        <v>7</v>
      </c>
      <c r="CG318" s="27" t="s">
        <v>8</v>
      </c>
      <c r="CH318" s="27" t="s">
        <v>7</v>
      </c>
      <c r="EA318" s="27" t="s">
        <v>8</v>
      </c>
      <c r="EB318" s="27" t="s">
        <v>7</v>
      </c>
      <c r="FS318" s="27" t="s">
        <v>8</v>
      </c>
      <c r="FU318" s="27" t="s">
        <v>8</v>
      </c>
      <c r="FV318" s="27" t="s">
        <v>7</v>
      </c>
      <c r="FW318" s="27" t="s">
        <v>8</v>
      </c>
      <c r="FX318" s="27" t="s">
        <v>7</v>
      </c>
      <c r="FY318" s="27" t="s">
        <v>8</v>
      </c>
      <c r="FZ318" s="27" t="s">
        <v>7</v>
      </c>
      <c r="GA318" s="27" t="s">
        <v>8</v>
      </c>
      <c r="GB318" s="27" t="s">
        <v>7</v>
      </c>
      <c r="GC318" s="27" t="s">
        <v>8</v>
      </c>
      <c r="GD318" s="27" t="s">
        <v>7</v>
      </c>
    </row>
    <row r="319" spans="1:187" x14ac:dyDescent="0.25">
      <c r="A319" s="7">
        <v>201.76509312415547</v>
      </c>
      <c r="B319"/>
      <c r="C319"/>
      <c r="D319"/>
      <c r="E319"/>
      <c r="BU319" s="27" t="s">
        <v>8</v>
      </c>
      <c r="BV319" s="27" t="s">
        <v>7</v>
      </c>
      <c r="BW319" s="27" t="s">
        <v>8</v>
      </c>
      <c r="BY319" s="27" t="s">
        <v>8</v>
      </c>
      <c r="CF319" s="27" t="s">
        <v>7</v>
      </c>
      <c r="CG319" s="27" t="s">
        <v>8</v>
      </c>
      <c r="CH319" s="27" t="s">
        <v>7</v>
      </c>
      <c r="EA319" s="27" t="s">
        <v>8</v>
      </c>
      <c r="EB319" s="27" t="s">
        <v>7</v>
      </c>
      <c r="FS319" s="27" t="s">
        <v>8</v>
      </c>
      <c r="FT319" s="27" t="s">
        <v>7</v>
      </c>
      <c r="FU319" s="27" t="s">
        <v>8</v>
      </c>
      <c r="FV319" s="27" t="s">
        <v>7</v>
      </c>
      <c r="FW319" s="27" t="s">
        <v>8</v>
      </c>
      <c r="FX319" s="27" t="s">
        <v>7</v>
      </c>
      <c r="FY319" s="27" t="s">
        <v>8</v>
      </c>
      <c r="FZ319" s="27" t="s">
        <v>7</v>
      </c>
      <c r="GA319" s="27" t="s">
        <v>8</v>
      </c>
      <c r="GB319" s="27" t="s">
        <v>7</v>
      </c>
      <c r="GC319" s="27" t="s">
        <v>8</v>
      </c>
      <c r="GD319" s="27" t="s">
        <v>7</v>
      </c>
    </row>
    <row r="320" spans="1:187" x14ac:dyDescent="0.25">
      <c r="A320" s="7">
        <v>197.80891482760339</v>
      </c>
      <c r="B320"/>
      <c r="C320"/>
      <c r="D320"/>
      <c r="E320"/>
      <c r="BU320" s="27" t="s">
        <v>8</v>
      </c>
      <c r="BV320" s="27" t="s">
        <v>7</v>
      </c>
      <c r="BW320" s="27" t="s">
        <v>8</v>
      </c>
      <c r="BX320" s="27" t="s">
        <v>7</v>
      </c>
      <c r="BY320" s="27" t="s">
        <v>8</v>
      </c>
      <c r="CF320" s="27" t="s">
        <v>7</v>
      </c>
      <c r="CG320" s="27" t="s">
        <v>8</v>
      </c>
      <c r="CH320" s="27" t="s">
        <v>7</v>
      </c>
      <c r="CI320" s="27" t="s">
        <v>8</v>
      </c>
      <c r="EA320" s="27" t="s">
        <v>8</v>
      </c>
      <c r="EB320" s="27" t="s">
        <v>7</v>
      </c>
      <c r="FS320" s="27" t="s">
        <v>8</v>
      </c>
      <c r="FT320" s="27" t="s">
        <v>7</v>
      </c>
      <c r="FU320" s="27" t="s">
        <v>8</v>
      </c>
      <c r="FV320" s="27" t="s">
        <v>7</v>
      </c>
      <c r="FW320" s="27" t="s">
        <v>8</v>
      </c>
      <c r="FX320" s="27" t="s">
        <v>7</v>
      </c>
      <c r="FY320" s="27" t="s">
        <v>8</v>
      </c>
      <c r="FZ320" s="27" t="s">
        <v>7</v>
      </c>
      <c r="GA320" s="27" t="s">
        <v>8</v>
      </c>
      <c r="GB320" s="27" t="s">
        <v>7</v>
      </c>
      <c r="GC320" s="27" t="s">
        <v>8</v>
      </c>
      <c r="GD320" s="27" t="s">
        <v>7</v>
      </c>
      <c r="GE320" s="27" t="s">
        <v>8</v>
      </c>
    </row>
    <row r="321" spans="1:206" x14ac:dyDescent="0.25">
      <c r="A321" s="7">
        <v>193.93030865451311</v>
      </c>
      <c r="B321"/>
      <c r="C321"/>
      <c r="D321"/>
      <c r="E321"/>
      <c r="BU321" s="27" t="s">
        <v>8</v>
      </c>
      <c r="BV321" s="27" t="s">
        <v>7</v>
      </c>
      <c r="BW321" s="27" t="s">
        <v>8</v>
      </c>
      <c r="BX321" s="27" t="s">
        <v>7</v>
      </c>
      <c r="BY321" s="27" t="s">
        <v>8</v>
      </c>
      <c r="CF321" s="27" t="s">
        <v>7</v>
      </c>
      <c r="CG321" s="27" t="s">
        <v>8</v>
      </c>
      <c r="CH321" s="27" t="s">
        <v>7</v>
      </c>
      <c r="CI321" s="27" t="s">
        <v>8</v>
      </c>
      <c r="CJ321" s="27" t="s">
        <v>7</v>
      </c>
      <c r="CK321" s="27" t="s">
        <v>8</v>
      </c>
      <c r="EA321" s="27" t="s">
        <v>8</v>
      </c>
      <c r="EB321" s="27" t="s">
        <v>7</v>
      </c>
      <c r="EC321" s="27" t="s">
        <v>8</v>
      </c>
      <c r="FS321" s="27" t="s">
        <v>8</v>
      </c>
      <c r="FT321" s="27" t="s">
        <v>7</v>
      </c>
      <c r="FU321" s="27" t="s">
        <v>8</v>
      </c>
      <c r="FV321" s="27" t="s">
        <v>7</v>
      </c>
      <c r="FW321" s="27" t="s">
        <v>8</v>
      </c>
      <c r="FX321" s="27" t="s">
        <v>7</v>
      </c>
      <c r="FZ321" s="27" t="s">
        <v>7</v>
      </c>
      <c r="GA321" s="27" t="s">
        <v>8</v>
      </c>
      <c r="GB321" s="27" t="s">
        <v>7</v>
      </c>
      <c r="GD321" s="27" t="s">
        <v>7</v>
      </c>
      <c r="GE321" s="27" t="s">
        <v>8</v>
      </c>
      <c r="GF321" s="27" t="s">
        <v>7</v>
      </c>
    </row>
    <row r="322" spans="1:206" x14ac:dyDescent="0.25">
      <c r="A322" s="7">
        <v>190.127753582856</v>
      </c>
      <c r="B322"/>
      <c r="C322"/>
      <c r="D322"/>
      <c r="E322"/>
      <c r="BU322" s="27" t="s">
        <v>8</v>
      </c>
      <c r="BV322" s="27" t="s">
        <v>7</v>
      </c>
      <c r="BW322" s="27" t="s">
        <v>8</v>
      </c>
      <c r="BX322" s="27" t="s">
        <v>7</v>
      </c>
      <c r="BY322" s="27" t="s">
        <v>8</v>
      </c>
      <c r="CF322" s="27" t="s">
        <v>7</v>
      </c>
      <c r="CG322" s="27" t="s">
        <v>8</v>
      </c>
      <c r="CH322" s="27" t="s">
        <v>7</v>
      </c>
      <c r="CI322" s="27" t="s">
        <v>8</v>
      </c>
      <c r="CJ322" s="27" t="s">
        <v>7</v>
      </c>
      <c r="CK322" s="27" t="s">
        <v>8</v>
      </c>
      <c r="CL322" s="27" t="s">
        <v>7</v>
      </c>
      <c r="EA322" s="27" t="s">
        <v>8</v>
      </c>
      <c r="EB322" s="27" t="s">
        <v>7</v>
      </c>
      <c r="EC322" s="27" t="s">
        <v>8</v>
      </c>
      <c r="ED322" s="27" t="s">
        <v>7</v>
      </c>
      <c r="FI322" s="27" t="s">
        <v>8</v>
      </c>
      <c r="FS322" s="27" t="s">
        <v>8</v>
      </c>
      <c r="FT322" s="27" t="s">
        <v>7</v>
      </c>
      <c r="FU322" s="27" t="s">
        <v>8</v>
      </c>
      <c r="FV322" s="27" t="s">
        <v>7</v>
      </c>
      <c r="FW322" s="27" t="s">
        <v>8</v>
      </c>
      <c r="FZ322" s="27" t="s">
        <v>7</v>
      </c>
      <c r="GD322" s="27" t="s">
        <v>7</v>
      </c>
      <c r="GE322" s="27" t="s">
        <v>8</v>
      </c>
      <c r="GF322" s="27" t="s">
        <v>7</v>
      </c>
    </row>
    <row r="323" spans="1:206" x14ac:dyDescent="0.25">
      <c r="A323" s="7">
        <v>186.3997584145647</v>
      </c>
      <c r="B323"/>
      <c r="C323"/>
      <c r="D323"/>
      <c r="E323"/>
      <c r="BU323" s="27" t="s">
        <v>8</v>
      </c>
      <c r="BV323" s="27" t="s">
        <v>7</v>
      </c>
      <c r="BW323" s="27" t="s">
        <v>8</v>
      </c>
      <c r="BX323" s="27" t="s">
        <v>7</v>
      </c>
      <c r="BY323" s="27" t="s">
        <v>8</v>
      </c>
      <c r="CF323" s="27" t="s">
        <v>7</v>
      </c>
      <c r="CG323" s="27" t="s">
        <v>8</v>
      </c>
      <c r="CH323" s="27" t="s">
        <v>7</v>
      </c>
      <c r="CI323" s="27" t="s">
        <v>8</v>
      </c>
      <c r="CJ323" s="27" t="s">
        <v>7</v>
      </c>
      <c r="CK323" s="27" t="s">
        <v>8</v>
      </c>
      <c r="CL323" s="27" t="s">
        <v>7</v>
      </c>
      <c r="DU323" s="27" t="s">
        <v>8</v>
      </c>
      <c r="EA323" s="27" t="s">
        <v>8</v>
      </c>
      <c r="EB323" s="27" t="s">
        <v>7</v>
      </c>
      <c r="EC323" s="27" t="s">
        <v>8</v>
      </c>
      <c r="ED323" s="27" t="s">
        <v>7</v>
      </c>
      <c r="FI323" s="27" t="s">
        <v>8</v>
      </c>
      <c r="FJ323" s="27" t="s">
        <v>7</v>
      </c>
      <c r="FS323" s="27" t="s">
        <v>8</v>
      </c>
      <c r="FT323" s="27" t="s">
        <v>7</v>
      </c>
      <c r="FU323" s="27" t="s">
        <v>8</v>
      </c>
      <c r="FV323" s="27" t="s">
        <v>7</v>
      </c>
      <c r="FW323" s="27" t="s">
        <v>8</v>
      </c>
      <c r="GD323" s="27" t="s">
        <v>7</v>
      </c>
      <c r="GE323" s="27" t="s">
        <v>8</v>
      </c>
      <c r="GF323" s="27" t="s">
        <v>7</v>
      </c>
      <c r="GG323" s="27" t="s">
        <v>8</v>
      </c>
    </row>
    <row r="324" spans="1:206" x14ac:dyDescent="0.25">
      <c r="A324" s="7">
        <v>182.7448611907497</v>
      </c>
      <c r="B324"/>
      <c r="C324"/>
      <c r="D324"/>
      <c r="E324"/>
      <c r="BU324" s="27" t="s">
        <v>8</v>
      </c>
      <c r="BV324" s="27" t="s">
        <v>7</v>
      </c>
      <c r="BW324" s="27" t="s">
        <v>8</v>
      </c>
      <c r="BX324" s="27" t="s">
        <v>7</v>
      </c>
      <c r="BY324" s="27" t="s">
        <v>8</v>
      </c>
      <c r="CF324" s="27" t="s">
        <v>7</v>
      </c>
      <c r="CG324" s="27" t="s">
        <v>8</v>
      </c>
      <c r="CH324" s="27" t="s">
        <v>7</v>
      </c>
      <c r="CI324" s="27" t="s">
        <v>8</v>
      </c>
      <c r="CJ324" s="27" t="s">
        <v>7</v>
      </c>
      <c r="CK324" s="27" t="s">
        <v>8</v>
      </c>
      <c r="CL324" s="27" t="s">
        <v>7</v>
      </c>
      <c r="DU324" s="27" t="s">
        <v>8</v>
      </c>
      <c r="DV324" s="27" t="s">
        <v>7</v>
      </c>
      <c r="EA324" s="27" t="s">
        <v>8</v>
      </c>
      <c r="EB324" s="27" t="s">
        <v>7</v>
      </c>
      <c r="EC324" s="27" t="s">
        <v>8</v>
      </c>
      <c r="ED324" s="27" t="s">
        <v>7</v>
      </c>
      <c r="FI324" s="27" t="s">
        <v>8</v>
      </c>
      <c r="FJ324" s="27" t="s">
        <v>7</v>
      </c>
      <c r="FS324" s="27" t="s">
        <v>8</v>
      </c>
      <c r="FT324" s="27" t="s">
        <v>7</v>
      </c>
      <c r="FU324" s="27" t="s">
        <v>8</v>
      </c>
      <c r="FV324" s="27" t="s">
        <v>7</v>
      </c>
      <c r="GD324" s="27" t="s">
        <v>7</v>
      </c>
      <c r="GE324" s="27" t="s">
        <v>8</v>
      </c>
      <c r="GF324" s="27" t="s">
        <v>7</v>
      </c>
      <c r="GG324" s="27" t="s">
        <v>8</v>
      </c>
      <c r="GH324" s="27" t="s">
        <v>7</v>
      </c>
    </row>
    <row r="325" spans="1:206" x14ac:dyDescent="0.25">
      <c r="A325" s="7">
        <v>179.16162861838205</v>
      </c>
      <c r="B325"/>
      <c r="C325"/>
      <c r="D325"/>
      <c r="E325"/>
      <c r="BU325" s="27" t="s">
        <v>8</v>
      </c>
      <c r="BV325" s="27" t="s">
        <v>7</v>
      </c>
      <c r="BW325" s="27" t="s">
        <v>8</v>
      </c>
      <c r="BX325" s="27" t="s">
        <v>7</v>
      </c>
      <c r="BY325" s="27" t="s">
        <v>8</v>
      </c>
      <c r="CF325" s="27" t="s">
        <v>7</v>
      </c>
      <c r="CG325" s="27" t="s">
        <v>8</v>
      </c>
      <c r="CH325" s="27" t="s">
        <v>7</v>
      </c>
      <c r="CI325" s="27" t="s">
        <v>8</v>
      </c>
      <c r="CJ325" s="27" t="s">
        <v>7</v>
      </c>
      <c r="CK325" s="27" t="s">
        <v>8</v>
      </c>
      <c r="CL325" s="27" t="s">
        <v>7</v>
      </c>
      <c r="DM325" s="27" t="s">
        <v>8</v>
      </c>
      <c r="DS325" s="27" t="s">
        <v>8</v>
      </c>
      <c r="DU325" s="27" t="s">
        <v>8</v>
      </c>
      <c r="DV325" s="27" t="s">
        <v>7</v>
      </c>
      <c r="EA325" s="27" t="s">
        <v>8</v>
      </c>
      <c r="EB325" s="27" t="s">
        <v>7</v>
      </c>
      <c r="EC325" s="27" t="s">
        <v>8</v>
      </c>
      <c r="ED325" s="27" t="s">
        <v>7</v>
      </c>
      <c r="FI325" s="27" t="s">
        <v>8</v>
      </c>
      <c r="FJ325" s="27" t="s">
        <v>7</v>
      </c>
      <c r="FK325" s="27" t="s">
        <v>8</v>
      </c>
      <c r="FS325" s="27" t="s">
        <v>8</v>
      </c>
      <c r="FT325" s="27" t="s">
        <v>7</v>
      </c>
      <c r="GD325" s="27" t="s">
        <v>7</v>
      </c>
      <c r="GF325" s="27" t="s">
        <v>7</v>
      </c>
      <c r="GG325" s="27" t="s">
        <v>8</v>
      </c>
      <c r="GH325" s="27" t="s">
        <v>7</v>
      </c>
      <c r="GK325" s="27" t="s">
        <v>8</v>
      </c>
    </row>
    <row r="326" spans="1:206" x14ac:dyDescent="0.25">
      <c r="A326" s="7">
        <v>175.6486555082177</v>
      </c>
      <c r="B326"/>
      <c r="C326"/>
      <c r="D326"/>
      <c r="E326"/>
      <c r="BU326" s="27" t="s">
        <v>8</v>
      </c>
      <c r="BV326" s="27" t="s">
        <v>7</v>
      </c>
      <c r="BW326" s="27" t="s">
        <v>8</v>
      </c>
      <c r="BX326" s="27" t="s">
        <v>7</v>
      </c>
      <c r="BY326" s="27" t="s">
        <v>8</v>
      </c>
      <c r="CF326" s="27" t="s">
        <v>7</v>
      </c>
      <c r="CG326" s="27" t="s">
        <v>8</v>
      </c>
      <c r="CH326" s="27" t="s">
        <v>7</v>
      </c>
      <c r="CI326" s="27" t="s">
        <v>8</v>
      </c>
      <c r="CJ326" s="27" t="s">
        <v>7</v>
      </c>
      <c r="CK326" s="27" t="s">
        <v>8</v>
      </c>
      <c r="CL326" s="27" t="s">
        <v>7</v>
      </c>
      <c r="DM326" s="27" t="s">
        <v>8</v>
      </c>
      <c r="DN326" s="27" t="s">
        <v>7</v>
      </c>
      <c r="DS326" s="27" t="s">
        <v>8</v>
      </c>
      <c r="DT326" s="27" t="s">
        <v>7</v>
      </c>
      <c r="DU326" s="27" t="s">
        <v>8</v>
      </c>
      <c r="DV326" s="27" t="s">
        <v>7</v>
      </c>
      <c r="EA326" s="27" t="s">
        <v>8</v>
      </c>
      <c r="EB326" s="27" t="s">
        <v>7</v>
      </c>
      <c r="EC326" s="27" t="s">
        <v>8</v>
      </c>
      <c r="ED326" s="27" t="s">
        <v>7</v>
      </c>
      <c r="EY326" s="27" t="s">
        <v>8</v>
      </c>
      <c r="FI326" s="27" t="s">
        <v>8</v>
      </c>
      <c r="FJ326" s="27" t="s">
        <v>7</v>
      </c>
      <c r="FK326" s="27" t="s">
        <v>8</v>
      </c>
      <c r="FL326" s="27" t="s">
        <v>7</v>
      </c>
      <c r="FO326" s="27" t="s">
        <v>8</v>
      </c>
      <c r="FS326" s="27" t="s">
        <v>8</v>
      </c>
      <c r="GF326" s="27" t="s">
        <v>7</v>
      </c>
      <c r="GG326" s="27" t="s">
        <v>8</v>
      </c>
      <c r="GH326" s="27" t="s">
        <v>7</v>
      </c>
      <c r="GK326" s="27" t="s">
        <v>8</v>
      </c>
      <c r="GL326" s="27" t="s">
        <v>7</v>
      </c>
    </row>
    <row r="327" spans="1:206" x14ac:dyDescent="0.25">
      <c r="A327" s="7">
        <v>172.20456422374284</v>
      </c>
      <c r="B327"/>
      <c r="C327"/>
      <c r="D327"/>
      <c r="E327"/>
      <c r="BU327" s="27" t="s">
        <v>8</v>
      </c>
      <c r="BV327" s="27" t="s">
        <v>7</v>
      </c>
      <c r="BW327" s="27" t="s">
        <v>8</v>
      </c>
      <c r="BX327" s="27" t="s">
        <v>7</v>
      </c>
      <c r="BY327" s="27" t="s">
        <v>8</v>
      </c>
      <c r="CF327" s="27" t="s">
        <v>7</v>
      </c>
      <c r="CG327" s="27" t="s">
        <v>8</v>
      </c>
      <c r="CH327" s="27" t="s">
        <v>7</v>
      </c>
      <c r="CI327" s="27" t="s">
        <v>8</v>
      </c>
      <c r="CJ327" s="27" t="s">
        <v>7</v>
      </c>
      <c r="CL327" s="27" t="s">
        <v>7</v>
      </c>
      <c r="DM327" s="27" t="s">
        <v>8</v>
      </c>
      <c r="DN327" s="27" t="s">
        <v>7</v>
      </c>
      <c r="DS327" s="27" t="s">
        <v>8</v>
      </c>
      <c r="DT327" s="27" t="s">
        <v>7</v>
      </c>
      <c r="DU327" s="27" t="s">
        <v>8</v>
      </c>
      <c r="DV327" s="27" t="s">
        <v>7</v>
      </c>
      <c r="EA327" s="27" t="s">
        <v>8</v>
      </c>
      <c r="EB327" s="27" t="s">
        <v>7</v>
      </c>
      <c r="EC327" s="27" t="s">
        <v>8</v>
      </c>
      <c r="ED327" s="27" t="s">
        <v>7</v>
      </c>
      <c r="EU327" s="27" t="s">
        <v>8</v>
      </c>
      <c r="EW327" s="27" t="s">
        <v>8</v>
      </c>
      <c r="EY327" s="27" t="s">
        <v>8</v>
      </c>
      <c r="EZ327" s="27" t="s">
        <v>7</v>
      </c>
      <c r="FA327" s="27" t="s">
        <v>8</v>
      </c>
      <c r="FG327" s="27" t="s">
        <v>8</v>
      </c>
      <c r="FI327" s="27" t="s">
        <v>8</v>
      </c>
      <c r="FJ327" s="27" t="s">
        <v>7</v>
      </c>
      <c r="FK327" s="27" t="s">
        <v>8</v>
      </c>
      <c r="FL327" s="27" t="s">
        <v>7</v>
      </c>
      <c r="FM327" s="27" t="s">
        <v>8</v>
      </c>
      <c r="FO327" s="27" t="s">
        <v>8</v>
      </c>
      <c r="FP327" s="27" t="s">
        <v>7</v>
      </c>
      <c r="FQ327" s="27" t="s">
        <v>8</v>
      </c>
      <c r="FS327" s="27" t="s">
        <v>8</v>
      </c>
      <c r="GF327" s="27" t="s">
        <v>7</v>
      </c>
      <c r="GG327" s="27" t="s">
        <v>8</v>
      </c>
      <c r="GH327" s="27" t="s">
        <v>7</v>
      </c>
      <c r="GK327" s="27" t="s">
        <v>8</v>
      </c>
      <c r="GL327" s="27" t="s">
        <v>7</v>
      </c>
      <c r="GO327" s="27" t="s">
        <v>8</v>
      </c>
    </row>
    <row r="328" spans="1:206" x14ac:dyDescent="0.25">
      <c r="A328" s="7">
        <v>168.82800414092435</v>
      </c>
      <c r="B328"/>
      <c r="C328"/>
      <c r="D328"/>
      <c r="E328"/>
      <c r="BU328" s="27" t="s">
        <v>8</v>
      </c>
      <c r="BV328" s="27" t="s">
        <v>7</v>
      </c>
      <c r="BW328" s="27" t="s">
        <v>8</v>
      </c>
      <c r="BX328" s="27" t="s">
        <v>7</v>
      </c>
      <c r="BY328" s="27" t="s">
        <v>8</v>
      </c>
      <c r="CF328" s="27" t="s">
        <v>7</v>
      </c>
      <c r="CH328" s="27" t="s">
        <v>7</v>
      </c>
      <c r="CI328" s="27" t="s">
        <v>8</v>
      </c>
      <c r="CL328" s="27" t="s">
        <v>7</v>
      </c>
      <c r="DM328" s="27" t="s">
        <v>8</v>
      </c>
      <c r="DN328" s="27" t="s">
        <v>7</v>
      </c>
      <c r="DO328" s="27" t="s">
        <v>8</v>
      </c>
      <c r="DS328" s="27" t="s">
        <v>8</v>
      </c>
      <c r="DT328" s="27" t="s">
        <v>7</v>
      </c>
      <c r="DU328" s="27" t="s">
        <v>8</v>
      </c>
      <c r="DV328" s="27" t="s">
        <v>7</v>
      </c>
      <c r="EA328" s="27" t="s">
        <v>8</v>
      </c>
      <c r="EB328" s="27" t="s">
        <v>7</v>
      </c>
      <c r="EC328" s="27" t="s">
        <v>8</v>
      </c>
      <c r="ED328" s="27" t="s">
        <v>7</v>
      </c>
      <c r="EK328" s="27" t="s">
        <v>8</v>
      </c>
      <c r="EU328" s="27" t="s">
        <v>8</v>
      </c>
      <c r="EV328" s="27" t="s">
        <v>7</v>
      </c>
      <c r="EW328" s="27" t="s">
        <v>8</v>
      </c>
      <c r="EX328" s="27" t="s">
        <v>7</v>
      </c>
      <c r="EY328" s="27" t="s">
        <v>8</v>
      </c>
      <c r="EZ328" s="27" t="s">
        <v>7</v>
      </c>
      <c r="FA328" s="27" t="s">
        <v>8</v>
      </c>
      <c r="FB328" s="27" t="s">
        <v>7</v>
      </c>
      <c r="FG328" s="27" t="s">
        <v>8</v>
      </c>
      <c r="FH328" s="27" t="s">
        <v>7</v>
      </c>
      <c r="FI328" s="27" t="s">
        <v>8</v>
      </c>
      <c r="FJ328" s="27" t="s">
        <v>7</v>
      </c>
      <c r="FK328" s="27" t="s">
        <v>8</v>
      </c>
      <c r="FL328" s="27" t="s">
        <v>7</v>
      </c>
      <c r="FM328" s="27" t="s">
        <v>8</v>
      </c>
      <c r="FN328" s="27" t="s">
        <v>7</v>
      </c>
      <c r="FO328" s="27" t="s">
        <v>8</v>
      </c>
      <c r="FP328" s="27" t="s">
        <v>7</v>
      </c>
      <c r="FQ328" s="27" t="s">
        <v>8</v>
      </c>
      <c r="FR328" s="27" t="s">
        <v>7</v>
      </c>
      <c r="FS328" s="27" t="s">
        <v>8</v>
      </c>
      <c r="FW328" s="31"/>
      <c r="GF328" s="27" t="s">
        <v>7</v>
      </c>
      <c r="GG328" s="27" t="s">
        <v>8</v>
      </c>
      <c r="GH328" s="27" t="s">
        <v>7</v>
      </c>
      <c r="GK328" s="27" t="s">
        <v>8</v>
      </c>
      <c r="GL328" s="27" t="s">
        <v>7</v>
      </c>
      <c r="GO328" s="27" t="s">
        <v>8</v>
      </c>
      <c r="GP328" s="27" t="s">
        <v>7</v>
      </c>
      <c r="GQ328" s="27" t="s">
        <v>8</v>
      </c>
    </row>
    <row r="329" spans="1:206" x14ac:dyDescent="0.25">
      <c r="A329" s="7">
        <v>165.51765111855329</v>
      </c>
      <c r="B329"/>
      <c r="C329"/>
      <c r="D329"/>
      <c r="E329"/>
      <c r="G329" s="27" t="s">
        <v>8</v>
      </c>
      <c r="BU329" s="27" t="s">
        <v>8</v>
      </c>
      <c r="BV329" s="27" t="s">
        <v>7</v>
      </c>
      <c r="BW329" s="27" t="s">
        <v>8</v>
      </c>
      <c r="BX329" s="27" t="s">
        <v>7</v>
      </c>
      <c r="BY329" s="27" t="s">
        <v>8</v>
      </c>
      <c r="CH329" s="27" t="s">
        <v>7</v>
      </c>
      <c r="CL329" s="27" t="s">
        <v>7</v>
      </c>
      <c r="DM329" s="27" t="s">
        <v>8</v>
      </c>
      <c r="DN329" s="27" t="s">
        <v>7</v>
      </c>
      <c r="DO329" s="27" t="s">
        <v>8</v>
      </c>
      <c r="DP329" s="27" t="s">
        <v>7</v>
      </c>
      <c r="DS329" s="27" t="s">
        <v>8</v>
      </c>
      <c r="DT329" s="27" t="s">
        <v>7</v>
      </c>
      <c r="DU329" s="27" t="s">
        <v>8</v>
      </c>
      <c r="DV329" s="27" t="s">
        <v>7</v>
      </c>
      <c r="EA329" s="27" t="s">
        <v>8</v>
      </c>
      <c r="EB329" s="27" t="s">
        <v>7</v>
      </c>
      <c r="EC329" s="27" t="s">
        <v>8</v>
      </c>
      <c r="ED329" s="27" t="s">
        <v>7</v>
      </c>
      <c r="EK329" s="27" t="s">
        <v>8</v>
      </c>
      <c r="EL329" s="27" t="s">
        <v>7</v>
      </c>
      <c r="EU329" s="27" t="s">
        <v>8</v>
      </c>
      <c r="EV329" s="27" t="s">
        <v>7</v>
      </c>
      <c r="EW329" s="27" t="s">
        <v>8</v>
      </c>
      <c r="EX329" s="27" t="s">
        <v>7</v>
      </c>
      <c r="EY329" s="27" t="s">
        <v>8</v>
      </c>
      <c r="EZ329" s="27" t="s">
        <v>7</v>
      </c>
      <c r="FA329" s="27" t="s">
        <v>8</v>
      </c>
      <c r="FB329" s="27" t="s">
        <v>7</v>
      </c>
      <c r="FG329" s="27" t="s">
        <v>8</v>
      </c>
      <c r="FH329" s="27" t="s">
        <v>7</v>
      </c>
      <c r="FI329" s="27" t="s">
        <v>8</v>
      </c>
      <c r="FJ329" s="27" t="s">
        <v>7</v>
      </c>
      <c r="FL329" s="27" t="s">
        <v>7</v>
      </c>
      <c r="FM329" s="27" t="s">
        <v>8</v>
      </c>
      <c r="FN329" s="27" t="s">
        <v>7</v>
      </c>
      <c r="FO329" s="27" t="s">
        <v>8</v>
      </c>
      <c r="FP329" s="27" t="s">
        <v>7</v>
      </c>
      <c r="FQ329" s="27" t="s">
        <v>8</v>
      </c>
      <c r="FR329" s="27" t="s">
        <v>7</v>
      </c>
      <c r="FS329" s="27" t="s">
        <v>8</v>
      </c>
      <c r="FV329" s="31"/>
      <c r="GF329" s="27" t="s">
        <v>7</v>
      </c>
      <c r="GG329" s="27" t="s">
        <v>8</v>
      </c>
      <c r="GH329" s="27" t="s">
        <v>7</v>
      </c>
      <c r="GI329" s="27" t="s">
        <v>8</v>
      </c>
      <c r="GK329" s="27" t="s">
        <v>8</v>
      </c>
      <c r="GL329" s="27" t="s">
        <v>7</v>
      </c>
      <c r="GO329" s="27" t="s">
        <v>8</v>
      </c>
      <c r="GP329" s="27" t="s">
        <v>7</v>
      </c>
      <c r="GQ329" s="27" t="s">
        <v>8</v>
      </c>
      <c r="GR329" s="27" t="s">
        <v>7</v>
      </c>
    </row>
    <row r="330" spans="1:206" x14ac:dyDescent="0.25">
      <c r="A330" s="7">
        <v>162.2722069789738</v>
      </c>
      <c r="B330"/>
      <c r="C330"/>
      <c r="D330"/>
      <c r="E330"/>
      <c r="G330" s="27" t="s">
        <v>8</v>
      </c>
      <c r="H330" s="27" t="s">
        <v>7</v>
      </c>
      <c r="BU330" s="27" t="s">
        <v>8</v>
      </c>
      <c r="BV330" s="27" t="s">
        <v>7</v>
      </c>
      <c r="BW330" s="27" t="s">
        <v>8</v>
      </c>
      <c r="BX330" s="27" t="s">
        <v>7</v>
      </c>
      <c r="BY330" s="27" t="s">
        <v>8</v>
      </c>
      <c r="CL330" s="27" t="s">
        <v>7</v>
      </c>
      <c r="DK330" s="27" t="s">
        <v>8</v>
      </c>
      <c r="DM330" s="27" t="s">
        <v>8</v>
      </c>
      <c r="DN330" s="27" t="s">
        <v>7</v>
      </c>
      <c r="DO330" s="27" t="s">
        <v>8</v>
      </c>
      <c r="DP330" s="27" t="s">
        <v>7</v>
      </c>
      <c r="DQ330" s="27" t="s">
        <v>8</v>
      </c>
      <c r="DS330" s="27" t="s">
        <v>8</v>
      </c>
      <c r="DT330" s="27" t="s">
        <v>7</v>
      </c>
      <c r="DU330" s="27" t="s">
        <v>8</v>
      </c>
      <c r="DV330" s="27" t="s">
        <v>7</v>
      </c>
      <c r="EA330" s="27" t="s">
        <v>8</v>
      </c>
      <c r="EB330" s="27" t="s">
        <v>7</v>
      </c>
      <c r="EC330" s="27" t="s">
        <v>8</v>
      </c>
      <c r="ED330" s="27" t="s">
        <v>7</v>
      </c>
      <c r="EK330" s="27" t="s">
        <v>8</v>
      </c>
      <c r="EL330" s="27" t="s">
        <v>7</v>
      </c>
      <c r="EU330" s="27" t="s">
        <v>8</v>
      </c>
      <c r="EV330" s="27" t="s">
        <v>7</v>
      </c>
      <c r="EX330" s="27" t="s">
        <v>7</v>
      </c>
      <c r="EY330" s="27" t="s">
        <v>8</v>
      </c>
      <c r="EZ330" s="27" t="s">
        <v>7</v>
      </c>
      <c r="FA330" s="27" t="s">
        <v>8</v>
      </c>
      <c r="FB330" s="27" t="s">
        <v>7</v>
      </c>
      <c r="FG330" s="27" t="s">
        <v>8</v>
      </c>
      <c r="FH330" s="27" t="s">
        <v>7</v>
      </c>
      <c r="FI330" s="27" t="s">
        <v>8</v>
      </c>
      <c r="FL330" s="27" t="s">
        <v>7</v>
      </c>
      <c r="FM330" s="27" t="s">
        <v>8</v>
      </c>
      <c r="FN330" s="27" t="s">
        <v>7</v>
      </c>
      <c r="FP330" s="27" t="s">
        <v>7</v>
      </c>
      <c r="FQ330" s="27" t="s">
        <v>8</v>
      </c>
      <c r="FR330" s="27" t="s">
        <v>7</v>
      </c>
      <c r="FU330" s="31"/>
      <c r="GF330" s="27" t="s">
        <v>7</v>
      </c>
      <c r="GG330" s="27" t="s">
        <v>8</v>
      </c>
      <c r="GH330" s="27" t="s">
        <v>7</v>
      </c>
      <c r="GI330" s="27" t="s">
        <v>8</v>
      </c>
      <c r="GJ330" s="27" t="s">
        <v>7</v>
      </c>
      <c r="GK330" s="27" t="s">
        <v>8</v>
      </c>
      <c r="GL330" s="27" t="s">
        <v>7</v>
      </c>
      <c r="GM330" s="27" t="s">
        <v>8</v>
      </c>
      <c r="GO330" s="27" t="s">
        <v>8</v>
      </c>
      <c r="GP330" s="27" t="s">
        <v>7</v>
      </c>
      <c r="GQ330" s="27" t="s">
        <v>8</v>
      </c>
      <c r="GR330" s="27" t="s">
        <v>7</v>
      </c>
    </row>
    <row r="331" spans="1:206" x14ac:dyDescent="0.25">
      <c r="A331" s="7">
        <v>159.09039899899392</v>
      </c>
      <c r="B331"/>
      <c r="C331"/>
      <c r="D331"/>
      <c r="E331"/>
      <c r="G331" s="27" t="s">
        <v>8</v>
      </c>
      <c r="H331" s="27" t="s">
        <v>7</v>
      </c>
      <c r="BU331" s="27" t="s">
        <v>8</v>
      </c>
      <c r="BV331" s="27" t="s">
        <v>7</v>
      </c>
      <c r="BW331" s="27" t="s">
        <v>8</v>
      </c>
      <c r="BX331" s="27" t="s">
        <v>7</v>
      </c>
      <c r="BY331" s="27" t="s">
        <v>8</v>
      </c>
      <c r="CL331" s="27" t="s">
        <v>7</v>
      </c>
      <c r="DK331" s="27" t="s">
        <v>8</v>
      </c>
      <c r="DL331" s="27" t="s">
        <v>7</v>
      </c>
      <c r="DM331" s="27" t="s">
        <v>8</v>
      </c>
      <c r="DN331" s="27" t="s">
        <v>7</v>
      </c>
      <c r="DO331" s="27" t="s">
        <v>8</v>
      </c>
      <c r="DP331" s="27" t="s">
        <v>7</v>
      </c>
      <c r="DQ331" s="27" t="s">
        <v>8</v>
      </c>
      <c r="DR331" s="27" t="s">
        <v>7</v>
      </c>
      <c r="DS331" s="27" t="s">
        <v>8</v>
      </c>
      <c r="DT331" s="27" t="s">
        <v>7</v>
      </c>
      <c r="DU331" s="27" t="s">
        <v>8</v>
      </c>
      <c r="DV331" s="27" t="s">
        <v>7</v>
      </c>
      <c r="EA331" s="27" t="s">
        <v>8</v>
      </c>
      <c r="EB331" s="27" t="s">
        <v>7</v>
      </c>
      <c r="EC331" s="27" t="s">
        <v>8</v>
      </c>
      <c r="ED331" s="27" t="s">
        <v>7</v>
      </c>
      <c r="EK331" s="27" t="s">
        <v>8</v>
      </c>
      <c r="EL331" s="27" t="s">
        <v>7</v>
      </c>
      <c r="EU331" s="27" t="s">
        <v>8</v>
      </c>
      <c r="EX331" s="27" t="s">
        <v>7</v>
      </c>
      <c r="EY331" s="27" t="s">
        <v>8</v>
      </c>
      <c r="EZ331" s="27" t="s">
        <v>7</v>
      </c>
      <c r="FA331" s="27" t="s">
        <v>8</v>
      </c>
      <c r="FB331" s="27" t="s">
        <v>7</v>
      </c>
      <c r="FE331" s="27" t="s">
        <v>8</v>
      </c>
      <c r="FG331" s="27" t="s">
        <v>8</v>
      </c>
      <c r="FH331" s="27" t="s">
        <v>7</v>
      </c>
      <c r="FI331" s="27" t="s">
        <v>8</v>
      </c>
      <c r="FL331" s="27" t="s">
        <v>7</v>
      </c>
      <c r="FM331" s="27" t="s">
        <v>8</v>
      </c>
      <c r="FP331" s="27" t="s">
        <v>7</v>
      </c>
      <c r="FQ331" s="27" t="s">
        <v>8</v>
      </c>
      <c r="FT331" s="31"/>
      <c r="GF331" s="27" t="s">
        <v>7</v>
      </c>
      <c r="GG331" s="27" t="s">
        <v>8</v>
      </c>
      <c r="GH331" s="27" t="s">
        <v>7</v>
      </c>
      <c r="GI331" s="27" t="s">
        <v>8</v>
      </c>
      <c r="GJ331" s="27" t="s">
        <v>7</v>
      </c>
      <c r="GK331" s="27" t="s">
        <v>8</v>
      </c>
      <c r="GL331" s="27" t="s">
        <v>7</v>
      </c>
      <c r="GM331" s="27" t="s">
        <v>8</v>
      </c>
      <c r="GN331" s="27" t="s">
        <v>7</v>
      </c>
      <c r="GO331" s="27" t="s">
        <v>8</v>
      </c>
      <c r="GP331" s="27" t="s">
        <v>7</v>
      </c>
      <c r="GQ331" s="27" t="s">
        <v>8</v>
      </c>
      <c r="GR331" s="27" t="s">
        <v>7</v>
      </c>
      <c r="GU331" s="27" t="s">
        <v>8</v>
      </c>
      <c r="GW331" s="27" t="s">
        <v>8</v>
      </c>
    </row>
    <row r="332" spans="1:206" x14ac:dyDescent="0.25">
      <c r="A332" s="7">
        <v>155.97097941077834</v>
      </c>
      <c r="B332"/>
      <c r="C332"/>
      <c r="D332"/>
      <c r="E332"/>
      <c r="G332" s="27" t="s">
        <v>8</v>
      </c>
      <c r="H332" s="27" t="s">
        <v>7</v>
      </c>
      <c r="BU332" s="27" t="s">
        <v>8</v>
      </c>
      <c r="BV332" s="27" t="s">
        <v>7</v>
      </c>
      <c r="BW332" s="27" t="s">
        <v>8</v>
      </c>
      <c r="BX332" s="27" t="s">
        <v>7</v>
      </c>
      <c r="BY332" s="27" t="s">
        <v>8</v>
      </c>
      <c r="CL332" s="27" t="s">
        <v>7</v>
      </c>
      <c r="DK332" s="27" t="s">
        <v>8</v>
      </c>
      <c r="DL332" s="27" t="s">
        <v>7</v>
      </c>
      <c r="DM332" s="27" t="s">
        <v>8</v>
      </c>
      <c r="DN332" s="27" t="s">
        <v>7</v>
      </c>
      <c r="DO332" s="27" t="s">
        <v>8</v>
      </c>
      <c r="DP332" s="27" t="s">
        <v>7</v>
      </c>
      <c r="DQ332" s="27" t="s">
        <v>8</v>
      </c>
      <c r="DR332" s="27" t="s">
        <v>7</v>
      </c>
      <c r="DS332" s="27" t="s">
        <v>8</v>
      </c>
      <c r="DT332" s="27" t="s">
        <v>7</v>
      </c>
      <c r="DV332" s="27" t="s">
        <v>7</v>
      </c>
      <c r="EA332" s="27" t="s">
        <v>8</v>
      </c>
      <c r="EB332" s="27" t="s">
        <v>7</v>
      </c>
      <c r="EC332" s="27" t="s">
        <v>8</v>
      </c>
      <c r="ED332" s="27" t="s">
        <v>7</v>
      </c>
      <c r="EK332" s="27" t="s">
        <v>8</v>
      </c>
      <c r="EL332" s="27" t="s">
        <v>7</v>
      </c>
      <c r="EU332" s="27" t="s">
        <v>8</v>
      </c>
      <c r="EX332" s="27" t="s">
        <v>7</v>
      </c>
      <c r="EY332" s="27" t="s">
        <v>8</v>
      </c>
      <c r="EZ332" s="27" t="s">
        <v>7</v>
      </c>
      <c r="FA332" s="27" t="s">
        <v>8</v>
      </c>
      <c r="FB332" s="27" t="s">
        <v>7</v>
      </c>
      <c r="FC332" s="27" t="s">
        <v>8</v>
      </c>
      <c r="FE332" s="27" t="s">
        <v>8</v>
      </c>
      <c r="FF332" s="27" t="s">
        <v>7</v>
      </c>
      <c r="FG332" s="27" t="s">
        <v>8</v>
      </c>
      <c r="FH332" s="27" t="s">
        <v>7</v>
      </c>
      <c r="FL332" s="18" t="s">
        <v>7</v>
      </c>
      <c r="FM332" s="27" t="s">
        <v>8</v>
      </c>
      <c r="FP332" s="27" t="s">
        <v>7</v>
      </c>
      <c r="FS332" s="31"/>
      <c r="GF332" s="27" t="s">
        <v>7</v>
      </c>
      <c r="GH332" s="27" t="s">
        <v>7</v>
      </c>
      <c r="GI332" s="27" t="s">
        <v>8</v>
      </c>
      <c r="GJ332" s="27" t="s">
        <v>7</v>
      </c>
      <c r="GK332" s="27" t="s">
        <v>8</v>
      </c>
      <c r="GL332" s="27" t="s">
        <v>7</v>
      </c>
      <c r="GM332" s="27" t="s">
        <v>8</v>
      </c>
      <c r="GN332" s="27" t="s">
        <v>7</v>
      </c>
      <c r="GO332" s="27" t="s">
        <v>8</v>
      </c>
      <c r="GP332" s="27" t="s">
        <v>7</v>
      </c>
      <c r="GQ332" s="27" t="s">
        <v>8</v>
      </c>
      <c r="GR332" s="27" t="s">
        <v>7</v>
      </c>
      <c r="GS332" s="27" t="s">
        <v>8</v>
      </c>
      <c r="GU332" s="27" t="s">
        <v>8</v>
      </c>
      <c r="GV332" s="27" t="s">
        <v>7</v>
      </c>
      <c r="GW332" s="27" t="s">
        <v>8</v>
      </c>
      <c r="GX332" s="27" t="s">
        <v>7</v>
      </c>
    </row>
    <row r="333" spans="1:206" x14ac:dyDescent="0.25">
      <c r="A333" s="7">
        <v>152.91272491252778</v>
      </c>
      <c r="B333"/>
      <c r="C333"/>
      <c r="D333"/>
      <c r="E333"/>
      <c r="G333" s="27" t="s">
        <v>8</v>
      </c>
      <c r="H333" s="27" t="s">
        <v>7</v>
      </c>
      <c r="BU333" s="27" t="s">
        <v>8</v>
      </c>
      <c r="BV333" s="27" t="s">
        <v>7</v>
      </c>
      <c r="BW333" s="27" t="s">
        <v>8</v>
      </c>
      <c r="BX333" s="27" t="s">
        <v>7</v>
      </c>
      <c r="BY333" s="27" t="s">
        <v>8</v>
      </c>
      <c r="CL333" s="27" t="s">
        <v>7</v>
      </c>
      <c r="DK333" s="27" t="s">
        <v>8</v>
      </c>
      <c r="DL333" s="27" t="s">
        <v>7</v>
      </c>
      <c r="DM333" s="27" t="s">
        <v>8</v>
      </c>
      <c r="DN333" s="27" t="s">
        <v>7</v>
      </c>
      <c r="DO333" s="27" t="s">
        <v>8</v>
      </c>
      <c r="DP333" s="27" t="s">
        <v>7</v>
      </c>
      <c r="DQ333" s="27" t="s">
        <v>8</v>
      </c>
      <c r="DR333" s="27" t="s">
        <v>7</v>
      </c>
      <c r="DS333" s="27" t="s">
        <v>8</v>
      </c>
      <c r="DV333" s="27" t="s">
        <v>7</v>
      </c>
      <c r="EA333" s="27" t="s">
        <v>8</v>
      </c>
      <c r="EB333" s="27" t="s">
        <v>7</v>
      </c>
      <c r="EC333" s="27" t="s">
        <v>8</v>
      </c>
      <c r="ED333" s="27" t="s">
        <v>7</v>
      </c>
      <c r="EE333" s="27" t="s">
        <v>8</v>
      </c>
      <c r="EK333" s="27" t="s">
        <v>8</v>
      </c>
      <c r="EL333" s="27" t="s">
        <v>7</v>
      </c>
      <c r="EU333" s="27" t="s">
        <v>8</v>
      </c>
      <c r="EX333" s="27" t="s">
        <v>7</v>
      </c>
      <c r="EY333" s="27" t="s">
        <v>8</v>
      </c>
      <c r="EZ333" s="27" t="s">
        <v>7</v>
      </c>
      <c r="FA333" s="27" t="s">
        <v>8</v>
      </c>
      <c r="FB333" s="27" t="s">
        <v>7</v>
      </c>
      <c r="FC333" s="27" t="s">
        <v>8</v>
      </c>
      <c r="FD333" s="27" t="s">
        <v>7</v>
      </c>
      <c r="FE333" s="27" t="s">
        <v>8</v>
      </c>
      <c r="FF333" s="27" t="s">
        <v>7</v>
      </c>
      <c r="FG333" s="27" t="s">
        <v>8</v>
      </c>
      <c r="FL333" s="27" t="s">
        <v>7</v>
      </c>
      <c r="FM333" s="27" t="s">
        <v>8</v>
      </c>
      <c r="FR333" s="31"/>
      <c r="GH333" s="27" t="s">
        <v>7</v>
      </c>
      <c r="GI333" s="27" t="s">
        <v>8</v>
      </c>
      <c r="GJ333" s="27" t="s">
        <v>7</v>
      </c>
      <c r="GL333" s="27" t="s">
        <v>7</v>
      </c>
      <c r="GN333" s="27" t="s">
        <v>7</v>
      </c>
      <c r="GO333" s="27" t="s">
        <v>8</v>
      </c>
      <c r="GP333" s="27" t="s">
        <v>7</v>
      </c>
      <c r="GQ333" s="27" t="s">
        <v>8</v>
      </c>
      <c r="GR333" s="27" t="s">
        <v>7</v>
      </c>
      <c r="GS333" s="27" t="s">
        <v>8</v>
      </c>
      <c r="GT333" s="27" t="s">
        <v>7</v>
      </c>
      <c r="GU333" s="27" t="s">
        <v>8</v>
      </c>
      <c r="GV333" s="27" t="s">
        <v>7</v>
      </c>
      <c r="GW333" s="27" t="s">
        <v>8</v>
      </c>
      <c r="GX333" s="27" t="s">
        <v>7</v>
      </c>
    </row>
    <row r="334" spans="1:206" x14ac:dyDescent="0.25">
      <c r="A334" s="7">
        <v>149.91443618875272</v>
      </c>
      <c r="B334"/>
      <c r="C334"/>
      <c r="D334"/>
      <c r="E334"/>
      <c r="G334" s="27" t="s">
        <v>8</v>
      </c>
      <c r="H334" s="27" t="s">
        <v>7</v>
      </c>
      <c r="BU334" s="27" t="s">
        <v>8</v>
      </c>
      <c r="BV334" s="27" t="s">
        <v>7</v>
      </c>
      <c r="BW334" s="27" t="s">
        <v>8</v>
      </c>
      <c r="BX334" s="27" t="s">
        <v>7</v>
      </c>
      <c r="BY334" s="27" t="s">
        <v>8</v>
      </c>
      <c r="CL334" s="27" t="s">
        <v>7</v>
      </c>
      <c r="CM334" s="27" t="s">
        <v>8</v>
      </c>
      <c r="DK334" s="27" t="s">
        <v>8</v>
      </c>
      <c r="DL334" s="27" t="s">
        <v>7</v>
      </c>
      <c r="DM334" s="27" t="s">
        <v>8</v>
      </c>
      <c r="DN334" s="27" t="s">
        <v>7</v>
      </c>
      <c r="DO334" s="27" t="s">
        <v>8</v>
      </c>
      <c r="DP334" s="27" t="s">
        <v>7</v>
      </c>
      <c r="DQ334" s="27" t="s">
        <v>8</v>
      </c>
      <c r="DR334" s="27" t="s">
        <v>7</v>
      </c>
      <c r="DS334" s="27" t="s">
        <v>8</v>
      </c>
      <c r="DV334" s="27" t="s">
        <v>7</v>
      </c>
      <c r="EA334" s="27" t="s">
        <v>8</v>
      </c>
      <c r="EB334" s="27" t="s">
        <v>7</v>
      </c>
      <c r="EC334" s="27" t="s">
        <v>8</v>
      </c>
      <c r="ED334" s="27" t="s">
        <v>7</v>
      </c>
      <c r="EE334" s="27" t="s">
        <v>8</v>
      </c>
      <c r="EF334" s="27" t="s">
        <v>7</v>
      </c>
      <c r="EG334" s="27" t="s">
        <v>8</v>
      </c>
      <c r="EI334" s="27" t="s">
        <v>8</v>
      </c>
      <c r="EK334" s="27" t="s">
        <v>8</v>
      </c>
      <c r="EL334" s="27" t="s">
        <v>7</v>
      </c>
      <c r="EU334" s="27" t="s">
        <v>8</v>
      </c>
      <c r="EX334" s="27" t="s">
        <v>7</v>
      </c>
      <c r="EY334" s="27" t="s">
        <v>8</v>
      </c>
      <c r="EZ334" s="27" t="s">
        <v>7</v>
      </c>
      <c r="FA334" s="27" t="s">
        <v>8</v>
      </c>
      <c r="FB334" s="27" t="s">
        <v>7</v>
      </c>
      <c r="FC334" s="27" t="s">
        <v>8</v>
      </c>
      <c r="FD334" s="27" t="s">
        <v>7</v>
      </c>
      <c r="FE334" s="27" t="s">
        <v>8</v>
      </c>
      <c r="FF334" s="27" t="s">
        <v>7</v>
      </c>
      <c r="FG334" s="27" t="s">
        <v>8</v>
      </c>
      <c r="FL334" s="27" t="s">
        <v>7</v>
      </c>
      <c r="FM334" s="27" t="s">
        <v>8</v>
      </c>
      <c r="FQ334" s="31"/>
      <c r="GH334" s="27" t="s">
        <v>7</v>
      </c>
      <c r="GN334" s="27" t="s">
        <v>7</v>
      </c>
      <c r="GO334" s="27" t="s">
        <v>8</v>
      </c>
      <c r="GP334" s="27" t="s">
        <v>7</v>
      </c>
      <c r="GQ334" s="27" t="s">
        <v>8</v>
      </c>
      <c r="GR334" s="27" t="s">
        <v>7</v>
      </c>
      <c r="GS334" s="27" t="s">
        <v>8</v>
      </c>
      <c r="GT334" s="27" t="s">
        <v>7</v>
      </c>
      <c r="GU334" s="27" t="s">
        <v>8</v>
      </c>
      <c r="GV334" s="27" t="s">
        <v>7</v>
      </c>
      <c r="GW334" s="27" t="s">
        <v>8</v>
      </c>
      <c r="GX334" s="27" t="s">
        <v>7</v>
      </c>
    </row>
    <row r="335" spans="1:206" x14ac:dyDescent="0.25">
      <c r="A335" s="7">
        <v>146.97493743995364</v>
      </c>
      <c r="B335"/>
      <c r="C335"/>
      <c r="D335"/>
      <c r="E335"/>
      <c r="G335" s="27" t="s">
        <v>8</v>
      </c>
      <c r="H335" s="27" t="s">
        <v>7</v>
      </c>
      <c r="BU335" s="27" t="s">
        <v>8</v>
      </c>
      <c r="BV335" s="27" t="s">
        <v>7</v>
      </c>
      <c r="BW335" s="27" t="s">
        <v>8</v>
      </c>
      <c r="BX335" s="27" t="s">
        <v>7</v>
      </c>
      <c r="BY335" s="27" t="s">
        <v>8</v>
      </c>
      <c r="CL335" s="27" t="s">
        <v>7</v>
      </c>
      <c r="CM335" s="27" t="s">
        <v>8</v>
      </c>
      <c r="CN335" s="27" t="s">
        <v>7</v>
      </c>
      <c r="DK335" s="27" t="s">
        <v>8</v>
      </c>
      <c r="DL335" s="27" t="s">
        <v>7</v>
      </c>
      <c r="DM335" s="27" t="s">
        <v>8</v>
      </c>
      <c r="DN335" s="27" t="s">
        <v>7</v>
      </c>
      <c r="DO335" s="27" t="s">
        <v>8</v>
      </c>
      <c r="DP335" s="27" t="s">
        <v>7</v>
      </c>
      <c r="DQ335" s="27" t="s">
        <v>8</v>
      </c>
      <c r="DR335" s="27" t="s">
        <v>7</v>
      </c>
      <c r="DS335" s="27" t="s">
        <v>8</v>
      </c>
      <c r="DV335" s="27" t="s">
        <v>7</v>
      </c>
      <c r="EA335" s="27" t="s">
        <v>8</v>
      </c>
      <c r="EB335" s="27" t="s">
        <v>7</v>
      </c>
      <c r="ED335" s="27" t="s">
        <v>7</v>
      </c>
      <c r="EE335" s="27" t="s">
        <v>8</v>
      </c>
      <c r="EF335" s="27" t="s">
        <v>7</v>
      </c>
      <c r="EG335" s="27" t="s">
        <v>8</v>
      </c>
      <c r="EH335" s="27" t="s">
        <v>7</v>
      </c>
      <c r="EI335" s="27" t="s">
        <v>8</v>
      </c>
      <c r="EJ335" s="27" t="s">
        <v>7</v>
      </c>
      <c r="EK335" s="27" t="s">
        <v>8</v>
      </c>
      <c r="EL335" s="27" t="s">
        <v>7</v>
      </c>
      <c r="EM335" s="27" t="s">
        <v>8</v>
      </c>
      <c r="EU335" s="27" t="s">
        <v>8</v>
      </c>
      <c r="EX335" s="27" t="s">
        <v>7</v>
      </c>
      <c r="EY335" s="27" t="s">
        <v>8</v>
      </c>
      <c r="EZ335" s="27" t="s">
        <v>7</v>
      </c>
      <c r="FA335" s="27" t="s">
        <v>8</v>
      </c>
      <c r="FB335" s="27" t="s">
        <v>7</v>
      </c>
      <c r="FC335" s="27" t="s">
        <v>8</v>
      </c>
      <c r="FD335" s="27" t="s">
        <v>7</v>
      </c>
      <c r="FE335" s="27" t="s">
        <v>8</v>
      </c>
      <c r="FF335" s="27" t="s">
        <v>7</v>
      </c>
      <c r="FG335" s="27" t="s">
        <v>8</v>
      </c>
      <c r="FL335" s="27" t="s">
        <v>7</v>
      </c>
      <c r="FP335" s="31"/>
      <c r="GN335" s="27" t="s">
        <v>7</v>
      </c>
      <c r="GO335" s="27" t="s">
        <v>8</v>
      </c>
      <c r="GP335" s="27" t="s">
        <v>7</v>
      </c>
      <c r="GQ335" s="27" t="s">
        <v>8</v>
      </c>
      <c r="GR335" s="27" t="s">
        <v>7</v>
      </c>
      <c r="GS335" s="27" t="s">
        <v>8</v>
      </c>
      <c r="GT335" s="27" t="s">
        <v>7</v>
      </c>
      <c r="GU335" s="27" t="s">
        <v>8</v>
      </c>
      <c r="GV335" s="27" t="s">
        <v>7</v>
      </c>
      <c r="GX335" s="27" t="s">
        <v>7</v>
      </c>
    </row>
    <row r="336" spans="1:206" x14ac:dyDescent="0.25">
      <c r="A336" s="7">
        <v>144.09307592152317</v>
      </c>
      <c r="B336"/>
      <c r="C336"/>
      <c r="D336"/>
      <c r="E336"/>
      <c r="G336" s="27" t="s">
        <v>8</v>
      </c>
      <c r="H336" s="27" t="s">
        <v>7</v>
      </c>
      <c r="BS336" s="27" t="s">
        <v>8</v>
      </c>
      <c r="BU336" s="27" t="s">
        <v>8</v>
      </c>
      <c r="BV336" s="27" t="s">
        <v>7</v>
      </c>
      <c r="BW336" s="27" t="s">
        <v>8</v>
      </c>
      <c r="BX336" s="27" t="s">
        <v>7</v>
      </c>
      <c r="BY336" s="27" t="s">
        <v>8</v>
      </c>
      <c r="CL336" s="27" t="s">
        <v>7</v>
      </c>
      <c r="CM336" s="27" t="s">
        <v>8</v>
      </c>
      <c r="CN336" s="27" t="s">
        <v>7</v>
      </c>
      <c r="CS336" s="27" t="s">
        <v>8</v>
      </c>
      <c r="DE336" s="27" t="s">
        <v>8</v>
      </c>
      <c r="DK336" s="27" t="s">
        <v>8</v>
      </c>
      <c r="DL336" s="27" t="s">
        <v>7</v>
      </c>
      <c r="DM336" s="27" t="s">
        <v>8</v>
      </c>
      <c r="DN336" s="27" t="s">
        <v>7</v>
      </c>
      <c r="DP336" s="27" t="s">
        <v>7</v>
      </c>
      <c r="DQ336" s="27" t="s">
        <v>8</v>
      </c>
      <c r="DR336" s="27" t="s">
        <v>7</v>
      </c>
      <c r="DV336" s="27" t="s">
        <v>7</v>
      </c>
      <c r="EA336" s="27" t="s">
        <v>8</v>
      </c>
      <c r="ED336" s="27" t="s">
        <v>7</v>
      </c>
      <c r="EE336" s="27" t="s">
        <v>8</v>
      </c>
      <c r="EF336" s="27" t="s">
        <v>7</v>
      </c>
      <c r="EG336" s="27" t="s">
        <v>8</v>
      </c>
      <c r="EH336" s="27" t="s">
        <v>7</v>
      </c>
      <c r="EI336" s="27" t="s">
        <v>8</v>
      </c>
      <c r="EJ336" s="27" t="s">
        <v>7</v>
      </c>
      <c r="EK336" s="27" t="s">
        <v>8</v>
      </c>
      <c r="EL336" s="27" t="s">
        <v>7</v>
      </c>
      <c r="EM336" s="27" t="s">
        <v>8</v>
      </c>
      <c r="EN336" s="27" t="s">
        <v>7</v>
      </c>
      <c r="EU336" s="27" t="s">
        <v>8</v>
      </c>
      <c r="EX336" s="27" t="s">
        <v>7</v>
      </c>
      <c r="EZ336" s="27" t="s">
        <v>7</v>
      </c>
      <c r="FA336" s="27" t="s">
        <v>8</v>
      </c>
      <c r="FB336" s="27" t="s">
        <v>7</v>
      </c>
      <c r="FC336" s="27" t="s">
        <v>8</v>
      </c>
      <c r="FD336" s="27" t="s">
        <v>7</v>
      </c>
      <c r="FE336" s="27" t="s">
        <v>8</v>
      </c>
      <c r="FF336" s="27" t="s">
        <v>7</v>
      </c>
      <c r="FG336" s="27" t="s">
        <v>8</v>
      </c>
      <c r="FO336" s="31"/>
      <c r="GN336" s="27" t="s">
        <v>7</v>
      </c>
      <c r="GO336" s="27" t="s">
        <v>8</v>
      </c>
      <c r="GP336" s="27" t="s">
        <v>7</v>
      </c>
      <c r="GQ336" s="27" t="s">
        <v>8</v>
      </c>
      <c r="GR336" s="27" t="s">
        <v>7</v>
      </c>
      <c r="GS336" s="27" t="s">
        <v>8</v>
      </c>
      <c r="GT336" s="27" t="s">
        <v>7</v>
      </c>
      <c r="GU336" s="27" t="s">
        <v>8</v>
      </c>
      <c r="GX336" s="27" t="s">
        <v>7</v>
      </c>
    </row>
    <row r="337" spans="1:208" x14ac:dyDescent="0.25">
      <c r="A337" s="7">
        <v>141.26772149168937</v>
      </c>
      <c r="B337"/>
      <c r="C337"/>
      <c r="D337"/>
      <c r="E337"/>
      <c r="G337" s="27" t="s">
        <v>8</v>
      </c>
      <c r="H337" s="27" t="s">
        <v>7</v>
      </c>
      <c r="BS337" s="27" t="s">
        <v>8</v>
      </c>
      <c r="BT337" s="27" t="s">
        <v>7</v>
      </c>
      <c r="BU337" s="27" t="s">
        <v>8</v>
      </c>
      <c r="BV337" s="27" t="s">
        <v>7</v>
      </c>
      <c r="BW337" s="27" t="s">
        <v>8</v>
      </c>
      <c r="BX337" s="27" t="s">
        <v>7</v>
      </c>
      <c r="CL337" s="27" t="s">
        <v>7</v>
      </c>
      <c r="CM337" s="27" t="s">
        <v>8</v>
      </c>
      <c r="CN337" s="27" t="s">
        <v>7</v>
      </c>
      <c r="CS337" s="27" t="s">
        <v>8</v>
      </c>
      <c r="CT337" s="27" t="s">
        <v>7</v>
      </c>
      <c r="DE337" s="27" t="s">
        <v>8</v>
      </c>
      <c r="DF337" s="27" t="s">
        <v>7</v>
      </c>
      <c r="DK337" s="27" t="s">
        <v>8</v>
      </c>
      <c r="DL337" s="27" t="s">
        <v>7</v>
      </c>
      <c r="DM337" s="27" t="s">
        <v>8</v>
      </c>
      <c r="DP337" s="27" t="s">
        <v>7</v>
      </c>
      <c r="DV337" s="27" t="s">
        <v>7</v>
      </c>
      <c r="EA337" s="27" t="s">
        <v>8</v>
      </c>
      <c r="ED337" s="27" t="s">
        <v>7</v>
      </c>
      <c r="EE337" s="27" t="s">
        <v>8</v>
      </c>
      <c r="EF337" s="27" t="s">
        <v>7</v>
      </c>
      <c r="EG337" s="27" t="s">
        <v>8</v>
      </c>
      <c r="EH337" s="27" t="s">
        <v>7</v>
      </c>
      <c r="EI337" s="27" t="s">
        <v>8</v>
      </c>
      <c r="EJ337" s="27" t="s">
        <v>7</v>
      </c>
      <c r="EK337" s="27" t="s">
        <v>8</v>
      </c>
      <c r="EL337" s="27" t="s">
        <v>7</v>
      </c>
      <c r="EM337" s="27" t="s">
        <v>8</v>
      </c>
      <c r="EN337" s="27" t="s">
        <v>7</v>
      </c>
      <c r="EU337" s="27" t="s">
        <v>8</v>
      </c>
      <c r="EZ337" s="27" t="s">
        <v>7</v>
      </c>
      <c r="FA337" s="27" t="s">
        <v>8</v>
      </c>
      <c r="FB337" s="27" t="s">
        <v>7</v>
      </c>
      <c r="FC337" s="27" t="s">
        <v>8</v>
      </c>
      <c r="FD337" s="27" t="s">
        <v>7</v>
      </c>
      <c r="FE337" s="27" t="s">
        <v>8</v>
      </c>
      <c r="FF337" s="27" t="s">
        <v>7</v>
      </c>
      <c r="FG337" s="27" t="s">
        <v>8</v>
      </c>
      <c r="FN337" s="31"/>
      <c r="GN337" s="27" t="s">
        <v>7</v>
      </c>
      <c r="GO337" s="27" t="s">
        <v>8</v>
      </c>
      <c r="GP337" s="27" t="s">
        <v>7</v>
      </c>
      <c r="GQ337" s="27" t="s">
        <v>8</v>
      </c>
      <c r="GR337" s="27" t="s">
        <v>7</v>
      </c>
      <c r="GS337" s="27" t="s">
        <v>8</v>
      </c>
      <c r="GT337" s="27" t="s">
        <v>7</v>
      </c>
      <c r="GU337" s="27" t="s">
        <v>8</v>
      </c>
      <c r="GX337" s="27" t="s">
        <v>7</v>
      </c>
    </row>
    <row r="338" spans="1:208" x14ac:dyDescent="0.25">
      <c r="A338" s="7">
        <v>138.4977661683229</v>
      </c>
      <c r="B338"/>
      <c r="C338"/>
      <c r="D338"/>
      <c r="E338"/>
      <c r="G338" s="27" t="s">
        <v>8</v>
      </c>
      <c r="H338" s="27" t="s">
        <v>7</v>
      </c>
      <c r="BS338" s="27" t="s">
        <v>8</v>
      </c>
      <c r="BT338" s="27" t="s">
        <v>7</v>
      </c>
      <c r="BU338" s="27" t="s">
        <v>8</v>
      </c>
      <c r="BV338" s="27" t="s">
        <v>7</v>
      </c>
      <c r="BW338" s="27" t="s">
        <v>8</v>
      </c>
      <c r="CL338" s="27" t="s">
        <v>7</v>
      </c>
      <c r="CM338" s="27" t="s">
        <v>8</v>
      </c>
      <c r="CN338" s="27" t="s">
        <v>7</v>
      </c>
      <c r="CS338" s="27" t="s">
        <v>8</v>
      </c>
      <c r="CT338" s="27" t="s">
        <v>7</v>
      </c>
      <c r="CW338" s="27" t="s">
        <v>8</v>
      </c>
      <c r="DE338" s="27" t="s">
        <v>8</v>
      </c>
      <c r="DF338" s="27" t="s">
        <v>7</v>
      </c>
      <c r="DI338" s="27" t="s">
        <v>8</v>
      </c>
      <c r="DK338" s="27" t="s">
        <v>8</v>
      </c>
      <c r="DL338" s="27" t="s">
        <v>7</v>
      </c>
      <c r="DM338" s="27" t="s">
        <v>8</v>
      </c>
      <c r="DV338" s="27" t="s">
        <v>7</v>
      </c>
      <c r="EA338" s="27" t="s">
        <v>8</v>
      </c>
      <c r="ED338" s="27" t="s">
        <v>7</v>
      </c>
      <c r="EE338" s="27" t="s">
        <v>8</v>
      </c>
      <c r="EF338" s="27" t="s">
        <v>7</v>
      </c>
      <c r="EG338" s="27" t="s">
        <v>8</v>
      </c>
      <c r="EH338" s="27" t="s">
        <v>7</v>
      </c>
      <c r="EI338" s="27" t="s">
        <v>8</v>
      </c>
      <c r="EJ338" s="27" t="s">
        <v>7</v>
      </c>
      <c r="EK338" s="27" t="s">
        <v>8</v>
      </c>
      <c r="EL338" s="27" t="s">
        <v>7</v>
      </c>
      <c r="EM338" s="27" t="s">
        <v>8</v>
      </c>
      <c r="EN338" s="27" t="s">
        <v>7</v>
      </c>
      <c r="EU338" s="27" t="s">
        <v>8</v>
      </c>
      <c r="EZ338" s="27" t="s">
        <v>7</v>
      </c>
      <c r="FA338" s="27" t="s">
        <v>8</v>
      </c>
      <c r="FB338" s="27" t="s">
        <v>7</v>
      </c>
      <c r="FC338" s="27" t="s">
        <v>8</v>
      </c>
      <c r="FD338" s="27" t="s">
        <v>7</v>
      </c>
      <c r="FF338" s="27" t="s">
        <v>7</v>
      </c>
      <c r="FM338" s="31"/>
      <c r="GN338" s="27" t="s">
        <v>7</v>
      </c>
      <c r="GO338" s="27" t="s">
        <v>8</v>
      </c>
      <c r="GP338" s="27" t="s">
        <v>7</v>
      </c>
      <c r="GQ338" s="27" t="s">
        <v>8</v>
      </c>
      <c r="GR338" s="27" t="s">
        <v>7</v>
      </c>
      <c r="GS338" s="27" t="s">
        <v>8</v>
      </c>
      <c r="GT338" s="27" t="s">
        <v>7</v>
      </c>
      <c r="GX338" s="27" t="s">
        <v>7</v>
      </c>
    </row>
    <row r="339" spans="1:208" x14ac:dyDescent="0.25">
      <c r="A339" s="7">
        <v>135.7821236944342</v>
      </c>
      <c r="B339"/>
      <c r="C339"/>
      <c r="D339"/>
      <c r="E339"/>
      <c r="G339" s="27" t="s">
        <v>8</v>
      </c>
      <c r="H339" s="27" t="s">
        <v>7</v>
      </c>
      <c r="BS339" s="27" t="s">
        <v>8</v>
      </c>
      <c r="BT339" s="27" t="s">
        <v>7</v>
      </c>
      <c r="BU339" s="27" t="s">
        <v>8</v>
      </c>
      <c r="BV339" s="27" t="s">
        <v>7</v>
      </c>
      <c r="BW339" s="27" t="s">
        <v>8</v>
      </c>
      <c r="CL339" s="27" t="s">
        <v>7</v>
      </c>
      <c r="CM339" s="27" t="s">
        <v>8</v>
      </c>
      <c r="CN339" s="27" t="s">
        <v>7</v>
      </c>
      <c r="CS339" s="27" t="s">
        <v>8</v>
      </c>
      <c r="CT339" s="27" t="s">
        <v>7</v>
      </c>
      <c r="CU339" s="27" t="s">
        <v>8</v>
      </c>
      <c r="CW339" s="27" t="s">
        <v>8</v>
      </c>
      <c r="CX339" s="27" t="s">
        <v>7</v>
      </c>
      <c r="DE339" s="27" t="s">
        <v>8</v>
      </c>
      <c r="DF339" s="27" t="s">
        <v>7</v>
      </c>
      <c r="DI339" s="27" t="s">
        <v>8</v>
      </c>
      <c r="DJ339" s="27" t="s">
        <v>7</v>
      </c>
      <c r="DK339" s="27" t="s">
        <v>8</v>
      </c>
      <c r="DL339" s="27" t="s">
        <v>7</v>
      </c>
      <c r="DM339" s="27" t="s">
        <v>8</v>
      </c>
      <c r="DV339" s="27" t="s">
        <v>7</v>
      </c>
      <c r="EA339" s="27" t="s">
        <v>8</v>
      </c>
      <c r="ED339" s="27" t="s">
        <v>7</v>
      </c>
      <c r="EE339" s="27" t="s">
        <v>8</v>
      </c>
      <c r="EF339" s="27" t="s">
        <v>7</v>
      </c>
      <c r="EG339" s="27" t="s">
        <v>8</v>
      </c>
      <c r="EH339" s="27" t="s">
        <v>7</v>
      </c>
      <c r="EI339" s="27" t="s">
        <v>8</v>
      </c>
      <c r="EJ339" s="27" t="s">
        <v>7</v>
      </c>
      <c r="EK339" s="27" t="s">
        <v>8</v>
      </c>
      <c r="EL339" s="27" t="s">
        <v>7</v>
      </c>
      <c r="EM339" s="27" t="s">
        <v>8</v>
      </c>
      <c r="EN339" s="27" t="s">
        <v>7</v>
      </c>
      <c r="EU339" s="27" t="s">
        <v>8</v>
      </c>
      <c r="EZ339" s="27" t="s">
        <v>7</v>
      </c>
      <c r="FA339" s="27" t="s">
        <v>8</v>
      </c>
      <c r="FB339" s="27" t="s">
        <v>7</v>
      </c>
      <c r="FC339" s="27" t="s">
        <v>8</v>
      </c>
      <c r="FL339" s="31"/>
      <c r="GN339" s="27" t="s">
        <v>7</v>
      </c>
      <c r="GP339" s="27" t="s">
        <v>7</v>
      </c>
      <c r="GQ339" s="27" t="s">
        <v>8</v>
      </c>
      <c r="GR339" s="27" t="s">
        <v>7</v>
      </c>
      <c r="GS339" s="27" t="s">
        <v>8</v>
      </c>
      <c r="GX339" s="27" t="s">
        <v>7</v>
      </c>
    </row>
    <row r="340" spans="1:208" x14ac:dyDescent="0.25">
      <c r="A340" s="7">
        <v>133.11972911219038</v>
      </c>
      <c r="B340"/>
      <c r="C340"/>
      <c r="D340"/>
      <c r="E340"/>
      <c r="G340" s="27" t="s">
        <v>8</v>
      </c>
      <c r="H340" s="27" t="s">
        <v>7</v>
      </c>
      <c r="BS340" s="27" t="s">
        <v>8</v>
      </c>
      <c r="BT340" s="27" t="s">
        <v>7</v>
      </c>
      <c r="BU340" s="27" t="s">
        <v>8</v>
      </c>
      <c r="BV340" s="27" t="s">
        <v>7</v>
      </c>
      <c r="BW340" s="27" t="s">
        <v>8</v>
      </c>
      <c r="CL340" s="27" t="s">
        <v>7</v>
      </c>
      <c r="CM340" s="27" t="s">
        <v>8</v>
      </c>
      <c r="CN340" s="27" t="s">
        <v>7</v>
      </c>
      <c r="CS340" s="27" t="s">
        <v>8</v>
      </c>
      <c r="CT340" s="27" t="s">
        <v>7</v>
      </c>
      <c r="CU340" s="27" t="s">
        <v>8</v>
      </c>
      <c r="CV340" s="27" t="s">
        <v>7</v>
      </c>
      <c r="CW340" s="27" t="s">
        <v>8</v>
      </c>
      <c r="CX340" s="27" t="s">
        <v>7</v>
      </c>
      <c r="DE340" s="27" t="s">
        <v>8</v>
      </c>
      <c r="DF340" s="27" t="s">
        <v>7</v>
      </c>
      <c r="DI340" s="27" t="s">
        <v>8</v>
      </c>
      <c r="DJ340" s="27" t="s">
        <v>7</v>
      </c>
      <c r="DK340" s="27" t="s">
        <v>8</v>
      </c>
      <c r="DL340" s="27" t="s">
        <v>7</v>
      </c>
      <c r="DM340" s="27" t="s">
        <v>8</v>
      </c>
      <c r="DV340" s="27" t="s">
        <v>7</v>
      </c>
      <c r="EA340" s="27" t="s">
        <v>8</v>
      </c>
      <c r="ED340" s="27" t="s">
        <v>7</v>
      </c>
      <c r="EF340" s="27" t="s">
        <v>7</v>
      </c>
      <c r="EH340" s="27" t="s">
        <v>7</v>
      </c>
      <c r="EI340" s="27" t="s">
        <v>8</v>
      </c>
      <c r="EJ340" s="27" t="s">
        <v>7</v>
      </c>
      <c r="EK340" s="27" t="s">
        <v>8</v>
      </c>
      <c r="EL340" s="27" t="s">
        <v>7</v>
      </c>
      <c r="EM340" s="27" t="s">
        <v>8</v>
      </c>
      <c r="EN340" s="27" t="s">
        <v>7</v>
      </c>
      <c r="EU340" s="27" t="s">
        <v>8</v>
      </c>
      <c r="EZ340" s="27" t="s">
        <v>7</v>
      </c>
      <c r="FB340" s="27" t="s">
        <v>7</v>
      </c>
      <c r="FC340" s="27" t="s">
        <v>8</v>
      </c>
      <c r="FK340" s="31"/>
      <c r="GP340" s="27" t="s">
        <v>7</v>
      </c>
      <c r="GQ340" s="27" t="s">
        <v>8</v>
      </c>
      <c r="GR340" s="27" t="s">
        <v>7</v>
      </c>
      <c r="GS340" s="27" t="s">
        <v>8</v>
      </c>
      <c r="GX340" s="27" t="s">
        <v>7</v>
      </c>
    </row>
    <row r="341" spans="1:208" x14ac:dyDescent="0.25">
      <c r="A341" s="7">
        <v>130.50953834528468</v>
      </c>
      <c r="B341"/>
      <c r="C341"/>
      <c r="D341"/>
      <c r="E341"/>
      <c r="G341" s="27" t="s">
        <v>8</v>
      </c>
      <c r="H341" s="27" t="s">
        <v>7</v>
      </c>
      <c r="BS341" s="27" t="s">
        <v>8</v>
      </c>
      <c r="BT341" s="27" t="s">
        <v>7</v>
      </c>
      <c r="BU341" s="27" t="s">
        <v>8</v>
      </c>
      <c r="BV341" s="27" t="s">
        <v>7</v>
      </c>
      <c r="BW341" s="27" t="s">
        <v>8</v>
      </c>
      <c r="CL341" s="27" t="s">
        <v>7</v>
      </c>
      <c r="CM341" s="27" t="s">
        <v>8</v>
      </c>
      <c r="CN341" s="27" t="s">
        <v>7</v>
      </c>
      <c r="CO341" s="27" t="s">
        <v>8</v>
      </c>
      <c r="CS341" s="27" t="s">
        <v>8</v>
      </c>
      <c r="CT341" s="27" t="s">
        <v>7</v>
      </c>
      <c r="CU341" s="27" t="s">
        <v>8</v>
      </c>
      <c r="CV341" s="27" t="s">
        <v>7</v>
      </c>
      <c r="CW341" s="27" t="s">
        <v>8</v>
      </c>
      <c r="CX341" s="27" t="s">
        <v>7</v>
      </c>
      <c r="DE341" s="27" t="s">
        <v>8</v>
      </c>
      <c r="DF341" s="27" t="s">
        <v>7</v>
      </c>
      <c r="DI341" s="27" t="s">
        <v>8</v>
      </c>
      <c r="DJ341" s="27" t="s">
        <v>7</v>
      </c>
      <c r="DK341" s="27" t="s">
        <v>8</v>
      </c>
      <c r="DL341" s="27" t="s">
        <v>7</v>
      </c>
      <c r="DM341" s="27" t="s">
        <v>8</v>
      </c>
      <c r="DV341" s="27" t="s">
        <v>7</v>
      </c>
      <c r="EA341" s="27" t="s">
        <v>8</v>
      </c>
      <c r="EH341" s="27" t="s">
        <v>7</v>
      </c>
      <c r="EI341" s="27" t="s">
        <v>8</v>
      </c>
      <c r="EJ341" s="27" t="s">
        <v>7</v>
      </c>
      <c r="EK341" s="27" t="s">
        <v>8</v>
      </c>
      <c r="EL341" s="27" t="s">
        <v>7</v>
      </c>
      <c r="EM341" s="27" t="s">
        <v>8</v>
      </c>
      <c r="EN341" s="27" t="s">
        <v>7</v>
      </c>
      <c r="EU341" s="27" t="s">
        <v>8</v>
      </c>
      <c r="FB341" s="27" t="s">
        <v>7</v>
      </c>
      <c r="FC341" s="27" t="s">
        <v>8</v>
      </c>
      <c r="FJ341" s="31"/>
      <c r="GP341" s="27" t="s">
        <v>7</v>
      </c>
      <c r="GR341" s="27" t="s">
        <v>7</v>
      </c>
      <c r="GX341" s="27" t="s">
        <v>7</v>
      </c>
    </row>
    <row r="342" spans="1:208" x14ac:dyDescent="0.25">
      <c r="A342" s="7">
        <v>127.95052778949477</v>
      </c>
      <c r="B342"/>
      <c r="C342"/>
      <c r="D342"/>
      <c r="E342"/>
      <c r="G342" s="27" t="s">
        <v>8</v>
      </c>
      <c r="H342" s="27" t="s">
        <v>7</v>
      </c>
      <c r="BS342" s="27" t="s">
        <v>8</v>
      </c>
      <c r="BT342" s="27" t="s">
        <v>7</v>
      </c>
      <c r="BU342" s="27" t="s">
        <v>8</v>
      </c>
      <c r="BV342" s="27" t="s">
        <v>7</v>
      </c>
      <c r="BW342" s="27" t="s">
        <v>8</v>
      </c>
      <c r="CL342" s="27" t="s">
        <v>7</v>
      </c>
      <c r="CM342" s="27" t="s">
        <v>8</v>
      </c>
      <c r="CN342" s="27" t="s">
        <v>7</v>
      </c>
      <c r="CO342" s="27" t="s">
        <v>8</v>
      </c>
      <c r="CP342" s="27" t="s">
        <v>7</v>
      </c>
      <c r="CQ342" s="27" t="s">
        <v>8</v>
      </c>
      <c r="CS342" s="27" t="s">
        <v>8</v>
      </c>
      <c r="CT342" s="27" t="s">
        <v>7</v>
      </c>
      <c r="CU342" s="27" t="s">
        <v>8</v>
      </c>
      <c r="CV342" s="27" t="s">
        <v>7</v>
      </c>
      <c r="CW342" s="27" t="s">
        <v>8</v>
      </c>
      <c r="CX342" s="27" t="s">
        <v>7</v>
      </c>
      <c r="DE342" s="27" t="s">
        <v>8</v>
      </c>
      <c r="DF342" s="27" t="s">
        <v>7</v>
      </c>
      <c r="DG342" s="27" t="s">
        <v>8</v>
      </c>
      <c r="DI342" s="27" t="s">
        <v>8</v>
      </c>
      <c r="DJ342" s="27" t="s">
        <v>7</v>
      </c>
      <c r="DK342" s="27" t="s">
        <v>8</v>
      </c>
      <c r="DL342" s="27" t="s">
        <v>7</v>
      </c>
      <c r="DV342" s="27" t="s">
        <v>7</v>
      </c>
      <c r="DY342" s="27" t="s">
        <v>8</v>
      </c>
      <c r="EA342" s="27" t="s">
        <v>8</v>
      </c>
      <c r="EH342" s="27" t="s">
        <v>7</v>
      </c>
      <c r="EI342" s="27" t="s">
        <v>8</v>
      </c>
      <c r="EJ342" s="27" t="s">
        <v>7</v>
      </c>
      <c r="EK342" s="27" t="s">
        <v>8</v>
      </c>
      <c r="EL342" s="27" t="s">
        <v>7</v>
      </c>
      <c r="EM342" s="27" t="s">
        <v>8</v>
      </c>
      <c r="EN342" s="27" t="s">
        <v>7</v>
      </c>
      <c r="ES342" s="27" t="s">
        <v>8</v>
      </c>
      <c r="EU342" s="27" t="s">
        <v>8</v>
      </c>
      <c r="FB342" s="27" t="s">
        <v>7</v>
      </c>
      <c r="FC342" s="27" t="s">
        <v>8</v>
      </c>
      <c r="FI342" s="31"/>
      <c r="GX342" s="27" t="s">
        <v>7</v>
      </c>
    </row>
    <row r="343" spans="1:208" x14ac:dyDescent="0.25">
      <c r="A343" s="7">
        <v>125.44169391126938</v>
      </c>
      <c r="B343"/>
      <c r="C343"/>
      <c r="D343"/>
      <c r="E343"/>
      <c r="G343" s="27" t="s">
        <v>8</v>
      </c>
      <c r="H343" s="27" t="s">
        <v>7</v>
      </c>
      <c r="I343" s="27" t="s">
        <v>8</v>
      </c>
      <c r="BS343" s="27" t="s">
        <v>8</v>
      </c>
      <c r="BT343" s="27" t="s">
        <v>7</v>
      </c>
      <c r="BU343" s="27" t="s">
        <v>8</v>
      </c>
      <c r="BV343" s="27" t="s">
        <v>7</v>
      </c>
      <c r="BW343" s="27" t="s">
        <v>8</v>
      </c>
      <c r="CL343" s="27" t="s">
        <v>7</v>
      </c>
      <c r="CM343" s="27" t="s">
        <v>8</v>
      </c>
      <c r="CN343" s="27" t="s">
        <v>7</v>
      </c>
      <c r="CO343" s="27" t="s">
        <v>8</v>
      </c>
      <c r="CP343" s="27" t="s">
        <v>7</v>
      </c>
      <c r="CQ343" s="27" t="s">
        <v>8</v>
      </c>
      <c r="CR343" s="27" t="s">
        <v>7</v>
      </c>
      <c r="CS343" s="27" t="s">
        <v>8</v>
      </c>
      <c r="CT343" s="27" t="s">
        <v>7</v>
      </c>
      <c r="CU343" s="27" t="s">
        <v>8</v>
      </c>
      <c r="CV343" s="27" t="s">
        <v>7</v>
      </c>
      <c r="CW343" s="27" t="s">
        <v>8</v>
      </c>
      <c r="CX343" s="27" t="s">
        <v>7</v>
      </c>
      <c r="DE343" s="27" t="s">
        <v>8</v>
      </c>
      <c r="DF343" s="27" t="s">
        <v>7</v>
      </c>
      <c r="DG343" s="27" t="s">
        <v>8</v>
      </c>
      <c r="DH343" s="27" t="s">
        <v>7</v>
      </c>
      <c r="DI343" s="27" t="s">
        <v>8</v>
      </c>
      <c r="DJ343" s="27" t="s">
        <v>7</v>
      </c>
      <c r="DK343" s="27" t="s">
        <v>8</v>
      </c>
      <c r="DV343" s="27" t="s">
        <v>7</v>
      </c>
      <c r="DY343" s="27" t="s">
        <v>8</v>
      </c>
      <c r="DZ343" s="27" t="s">
        <v>7</v>
      </c>
      <c r="EA343" s="27" t="s">
        <v>8</v>
      </c>
      <c r="EH343" s="27" t="s">
        <v>7</v>
      </c>
      <c r="EI343" s="27" t="s">
        <v>8</v>
      </c>
      <c r="EJ343" s="27" t="s">
        <v>7</v>
      </c>
      <c r="EK343" s="27" t="s">
        <v>8</v>
      </c>
      <c r="EL343" s="27" t="s">
        <v>7</v>
      </c>
      <c r="EM343" s="27" t="s">
        <v>8</v>
      </c>
      <c r="EN343" s="27" t="s">
        <v>7</v>
      </c>
      <c r="ES343" s="27" t="s">
        <v>8</v>
      </c>
      <c r="ET343" s="27" t="s">
        <v>7</v>
      </c>
      <c r="EU343" s="27" t="s">
        <v>8</v>
      </c>
      <c r="FB343" s="27" t="s">
        <v>7</v>
      </c>
      <c r="FC343" s="27" t="s">
        <v>8</v>
      </c>
      <c r="FH343" s="31"/>
      <c r="GX343" s="27" t="s">
        <v>7</v>
      </c>
    </row>
    <row r="344" spans="1:208" x14ac:dyDescent="0.25">
      <c r="A344" s="7">
        <v>122.98205285418567</v>
      </c>
      <c r="B344"/>
      <c r="C344"/>
      <c r="D344"/>
      <c r="E344"/>
      <c r="G344" s="27" t="s">
        <v>8</v>
      </c>
      <c r="H344" s="27" t="s">
        <v>7</v>
      </c>
      <c r="I344" s="27" t="s">
        <v>8</v>
      </c>
      <c r="J344" s="27" t="s">
        <v>7</v>
      </c>
      <c r="BS344" s="27" t="s">
        <v>8</v>
      </c>
      <c r="BT344" s="27" t="s">
        <v>7</v>
      </c>
      <c r="BU344" s="27" t="s">
        <v>8</v>
      </c>
      <c r="BV344" s="27" t="s">
        <v>7</v>
      </c>
      <c r="CL344" s="27" t="s">
        <v>7</v>
      </c>
      <c r="CM344" s="27" t="s">
        <v>8</v>
      </c>
      <c r="CN344" s="27" t="s">
        <v>7</v>
      </c>
      <c r="CO344" s="27" t="s">
        <v>8</v>
      </c>
      <c r="CP344" s="27" t="s">
        <v>7</v>
      </c>
      <c r="CQ344" s="27" t="s">
        <v>8</v>
      </c>
      <c r="CR344" s="27" t="s">
        <v>7</v>
      </c>
      <c r="CS344" s="27" t="s">
        <v>8</v>
      </c>
      <c r="CT344" s="27" t="s">
        <v>7</v>
      </c>
      <c r="CU344" s="27" t="s">
        <v>8</v>
      </c>
      <c r="CV344" s="27" t="s">
        <v>7</v>
      </c>
      <c r="CW344" s="27" t="s">
        <v>8</v>
      </c>
      <c r="CX344" s="27" t="s">
        <v>7</v>
      </c>
      <c r="DC344" s="27" t="s">
        <v>8</v>
      </c>
      <c r="DE344" s="27" t="s">
        <v>8</v>
      </c>
      <c r="DF344" s="27" t="s">
        <v>7</v>
      </c>
      <c r="DG344" s="27" t="s">
        <v>8</v>
      </c>
      <c r="DH344" s="27" t="s">
        <v>7</v>
      </c>
      <c r="DI344" s="27" t="s">
        <v>8</v>
      </c>
      <c r="DJ344" s="27" t="s">
        <v>7</v>
      </c>
      <c r="DK344" s="27" t="s">
        <v>8</v>
      </c>
      <c r="DV344" s="27" t="s">
        <v>7</v>
      </c>
      <c r="DW344" s="27" t="s">
        <v>8</v>
      </c>
      <c r="DY344" s="27" t="s">
        <v>8</v>
      </c>
      <c r="DZ344" s="27" t="s">
        <v>7</v>
      </c>
      <c r="EA344" s="27" t="s">
        <v>8</v>
      </c>
      <c r="EH344" s="27" t="s">
        <v>7</v>
      </c>
      <c r="EI344" s="27" t="s">
        <v>8</v>
      </c>
      <c r="EJ344" s="27" t="s">
        <v>7</v>
      </c>
      <c r="EK344" s="27" t="s">
        <v>8</v>
      </c>
      <c r="EL344" s="27" t="s">
        <v>7</v>
      </c>
      <c r="EM344" s="27" t="s">
        <v>8</v>
      </c>
      <c r="EN344" s="27" t="s">
        <v>7</v>
      </c>
      <c r="ES344" s="27" t="s">
        <v>8</v>
      </c>
      <c r="ET344" s="27" t="s">
        <v>7</v>
      </c>
      <c r="EU344" s="27" t="s">
        <v>8</v>
      </c>
      <c r="FB344" s="27" t="s">
        <v>7</v>
      </c>
      <c r="FG344" s="31"/>
      <c r="GX344" s="27" t="s">
        <v>7</v>
      </c>
    </row>
    <row r="345" spans="1:208" x14ac:dyDescent="0.25">
      <c r="A345" s="7">
        <v>120.5706400531232</v>
      </c>
      <c r="B345"/>
      <c r="C345"/>
      <c r="D345"/>
      <c r="E345"/>
      <c r="G345" s="27" t="s">
        <v>8</v>
      </c>
      <c r="H345" s="27" t="s">
        <v>7</v>
      </c>
      <c r="I345" s="27" t="s">
        <v>8</v>
      </c>
      <c r="J345" s="27" t="s">
        <v>7</v>
      </c>
      <c r="BS345" s="27" t="s">
        <v>8</v>
      </c>
      <c r="BT345" s="27" t="s">
        <v>7</v>
      </c>
      <c r="BU345" s="27" t="s">
        <v>8</v>
      </c>
      <c r="CL345" s="27" t="s">
        <v>7</v>
      </c>
      <c r="CM345" s="27" t="s">
        <v>8</v>
      </c>
      <c r="CN345" s="27" t="s">
        <v>7</v>
      </c>
      <c r="CO345" s="27" t="s">
        <v>8</v>
      </c>
      <c r="CP345" s="27" t="s">
        <v>7</v>
      </c>
      <c r="CQ345" s="27" t="s">
        <v>8</v>
      </c>
      <c r="CR345" s="27" t="s">
        <v>7</v>
      </c>
      <c r="CS345" s="27" t="s">
        <v>8</v>
      </c>
      <c r="CT345" s="27" t="s">
        <v>7</v>
      </c>
      <c r="CU345" s="27" t="s">
        <v>8</v>
      </c>
      <c r="CV345" s="27" t="s">
        <v>7</v>
      </c>
      <c r="CW345" s="27" t="s">
        <v>8</v>
      </c>
      <c r="CX345" s="27" t="s">
        <v>7</v>
      </c>
      <c r="DC345" s="27" t="s">
        <v>8</v>
      </c>
      <c r="DD345" s="27" t="s">
        <v>7</v>
      </c>
      <c r="DE345" s="27" t="s">
        <v>8</v>
      </c>
      <c r="DF345" s="27" t="s">
        <v>7</v>
      </c>
      <c r="DG345" s="27" t="s">
        <v>8</v>
      </c>
      <c r="DH345" s="27" t="s">
        <v>7</v>
      </c>
      <c r="DI345" s="27" t="s">
        <v>8</v>
      </c>
      <c r="DJ345" s="27" t="s">
        <v>7</v>
      </c>
      <c r="DV345" s="27" t="s">
        <v>7</v>
      </c>
      <c r="DW345" s="27" t="s">
        <v>8</v>
      </c>
      <c r="DX345" s="27" t="s">
        <v>7</v>
      </c>
      <c r="DY345" s="27" t="s">
        <v>8</v>
      </c>
      <c r="DZ345" s="27" t="s">
        <v>7</v>
      </c>
      <c r="EA345" s="27" t="s">
        <v>8</v>
      </c>
      <c r="EH345" s="27" t="s">
        <v>7</v>
      </c>
      <c r="EI345" s="27" t="s">
        <v>8</v>
      </c>
      <c r="EJ345" s="27" t="s">
        <v>7</v>
      </c>
      <c r="EK345" s="27" t="s">
        <v>8</v>
      </c>
      <c r="EL345" s="27" t="s">
        <v>7</v>
      </c>
      <c r="EN345" s="27" t="s">
        <v>7</v>
      </c>
      <c r="EO345" s="27" t="s">
        <v>8</v>
      </c>
      <c r="ES345" s="27" t="s">
        <v>8</v>
      </c>
      <c r="ET345" s="27" t="s">
        <v>7</v>
      </c>
      <c r="EU345" s="27" t="s">
        <v>8</v>
      </c>
      <c r="FF345" s="31"/>
      <c r="GX345" s="27" t="s">
        <v>7</v>
      </c>
    </row>
    <row r="346" spans="1:208" x14ac:dyDescent="0.25">
      <c r="A346" s="7">
        <v>118.20650985600314</v>
      </c>
      <c r="B346"/>
      <c r="C346"/>
      <c r="D346"/>
      <c r="E346"/>
      <c r="G346" s="27" t="s">
        <v>8</v>
      </c>
      <c r="H346" s="27" t="s">
        <v>7</v>
      </c>
      <c r="I346" s="27" t="s">
        <v>8</v>
      </c>
      <c r="J346" s="27" t="s">
        <v>7</v>
      </c>
      <c r="BS346" s="27" t="s">
        <v>8</v>
      </c>
      <c r="BT346" s="27" t="s">
        <v>7</v>
      </c>
      <c r="BU346" s="27" t="s">
        <v>8</v>
      </c>
      <c r="CL346" s="27" t="s">
        <v>7</v>
      </c>
      <c r="CM346" s="27" t="s">
        <v>8</v>
      </c>
      <c r="CN346" s="27" t="s">
        <v>7</v>
      </c>
      <c r="CO346" s="27" t="s">
        <v>8</v>
      </c>
      <c r="CP346" s="27" t="s">
        <v>7</v>
      </c>
      <c r="CQ346" s="27" t="s">
        <v>8</v>
      </c>
      <c r="CR346" s="27" t="s">
        <v>7</v>
      </c>
      <c r="CS346" s="27" t="s">
        <v>8</v>
      </c>
      <c r="CT346" s="27" t="s">
        <v>7</v>
      </c>
      <c r="CV346" s="27" t="s">
        <v>7</v>
      </c>
      <c r="CX346" s="27" t="s">
        <v>7</v>
      </c>
      <c r="CY346" s="27" t="s">
        <v>8</v>
      </c>
      <c r="DC346" s="27" t="s">
        <v>8</v>
      </c>
      <c r="DD346" s="27" t="s">
        <v>7</v>
      </c>
      <c r="DE346" s="27" t="s">
        <v>8</v>
      </c>
      <c r="DF346" s="27" t="s">
        <v>7</v>
      </c>
      <c r="DG346" s="27" t="s">
        <v>8</v>
      </c>
      <c r="DH346" s="27" t="s">
        <v>7</v>
      </c>
      <c r="DI346" s="27" t="s">
        <v>8</v>
      </c>
      <c r="DV346" s="27" t="s">
        <v>7</v>
      </c>
      <c r="DW346" s="27" t="s">
        <v>8</v>
      </c>
      <c r="DX346" s="27" t="s">
        <v>7</v>
      </c>
      <c r="DY346" s="27" t="s">
        <v>8</v>
      </c>
      <c r="DZ346" s="27" t="s">
        <v>7</v>
      </c>
      <c r="EA346" s="27" t="s">
        <v>8</v>
      </c>
      <c r="EH346" s="27" t="s">
        <v>7</v>
      </c>
      <c r="EI346" s="27" t="s">
        <v>8</v>
      </c>
      <c r="EJ346" s="27" t="s">
        <v>7</v>
      </c>
      <c r="EK346" s="27" t="s">
        <v>8</v>
      </c>
      <c r="EN346" s="27" t="s">
        <v>7</v>
      </c>
      <c r="EO346" s="27" t="s">
        <v>8</v>
      </c>
      <c r="EP346" s="27" t="s">
        <v>7</v>
      </c>
      <c r="EQ346" s="27" t="s">
        <v>8</v>
      </c>
      <c r="ES346" s="27" t="s">
        <v>8</v>
      </c>
      <c r="ET346" s="27" t="s">
        <v>7</v>
      </c>
      <c r="EU346" s="27" t="s">
        <v>8</v>
      </c>
      <c r="FE346" s="31"/>
      <c r="GX346" s="27" t="s">
        <v>7</v>
      </c>
    </row>
    <row r="347" spans="1:208" x14ac:dyDescent="0.25">
      <c r="A347" s="7">
        <v>115.88873515294425</v>
      </c>
      <c r="B347"/>
      <c r="C347"/>
      <c r="D347"/>
      <c r="E347"/>
      <c r="G347" s="27" t="s">
        <v>8</v>
      </c>
      <c r="H347" s="27" t="s">
        <v>7</v>
      </c>
      <c r="I347" s="27" t="s">
        <v>8</v>
      </c>
      <c r="J347" s="27" t="s">
        <v>7</v>
      </c>
      <c r="BS347" s="27" t="s">
        <v>8</v>
      </c>
      <c r="BT347" s="27" t="s">
        <v>7</v>
      </c>
      <c r="BU347" s="27" t="s">
        <v>8</v>
      </c>
      <c r="CL347" s="27" t="s">
        <v>7</v>
      </c>
      <c r="CM347" s="27" t="s">
        <v>8</v>
      </c>
      <c r="CN347" s="27" t="s">
        <v>7</v>
      </c>
      <c r="CO347" s="27" t="s">
        <v>8</v>
      </c>
      <c r="CP347" s="27" t="s">
        <v>7</v>
      </c>
      <c r="CQ347" s="27" t="s">
        <v>8</v>
      </c>
      <c r="CR347" s="27" t="s">
        <v>7</v>
      </c>
      <c r="CS347" s="27" t="s">
        <v>8</v>
      </c>
      <c r="CX347" s="27" t="s">
        <v>7</v>
      </c>
      <c r="CY347" s="27" t="s">
        <v>8</v>
      </c>
      <c r="CZ347" s="27" t="s">
        <v>7</v>
      </c>
      <c r="DC347" s="27" t="s">
        <v>8</v>
      </c>
      <c r="DD347" s="27" t="s">
        <v>7</v>
      </c>
      <c r="DE347" s="27" t="s">
        <v>8</v>
      </c>
      <c r="DF347" s="27" t="s">
        <v>7</v>
      </c>
      <c r="DG347" s="27" t="s">
        <v>8</v>
      </c>
      <c r="DH347" s="27" t="s">
        <v>7</v>
      </c>
      <c r="DV347" s="27" t="s">
        <v>7</v>
      </c>
      <c r="DW347" s="27" t="s">
        <v>8</v>
      </c>
      <c r="DX347" s="27" t="s">
        <v>7</v>
      </c>
      <c r="DY347" s="27" t="s">
        <v>8</v>
      </c>
      <c r="DZ347" s="27" t="s">
        <v>7</v>
      </c>
      <c r="EA347" s="27" t="s">
        <v>8</v>
      </c>
      <c r="EH347" s="27" t="s">
        <v>7</v>
      </c>
      <c r="EI347" s="27" t="s">
        <v>8</v>
      </c>
      <c r="EJ347" s="27" t="s">
        <v>7</v>
      </c>
      <c r="EK347" s="27" t="s">
        <v>8</v>
      </c>
      <c r="EN347" s="27" t="s">
        <v>7</v>
      </c>
      <c r="EO347" s="27" t="s">
        <v>8</v>
      </c>
      <c r="EP347" s="27" t="s">
        <v>7</v>
      </c>
      <c r="EQ347" s="27" t="s">
        <v>8</v>
      </c>
      <c r="ER347" s="27" t="s">
        <v>7</v>
      </c>
      <c r="ES347" s="27" t="s">
        <v>8</v>
      </c>
      <c r="ET347" s="27" t="s">
        <v>7</v>
      </c>
      <c r="EU347" s="27" t="s">
        <v>8</v>
      </c>
      <c r="FD347" s="31"/>
      <c r="GX347" s="27" t="s">
        <v>7</v>
      </c>
    </row>
    <row r="348" spans="1:208" x14ac:dyDescent="0.25">
      <c r="A348" s="7">
        <v>113.61640701269044</v>
      </c>
      <c r="B348"/>
      <c r="C348"/>
      <c r="D348"/>
      <c r="E348"/>
      <c r="G348" s="27" t="s">
        <v>8</v>
      </c>
      <c r="H348" s="27" t="s">
        <v>7</v>
      </c>
      <c r="I348" s="27" t="s">
        <v>8</v>
      </c>
      <c r="J348" s="27" t="s">
        <v>7</v>
      </c>
      <c r="BS348" s="27" t="s">
        <v>8</v>
      </c>
      <c r="BT348" s="27" t="s">
        <v>7</v>
      </c>
      <c r="BU348" s="27" t="s">
        <v>8</v>
      </c>
      <c r="CL348" s="27" t="s">
        <v>7</v>
      </c>
      <c r="CM348" s="27" t="s">
        <v>8</v>
      </c>
      <c r="CN348" s="27" t="s">
        <v>7</v>
      </c>
      <c r="CO348" s="27" t="s">
        <v>8</v>
      </c>
      <c r="CP348" s="27" t="s">
        <v>7</v>
      </c>
      <c r="CQ348" s="27" t="s">
        <v>8</v>
      </c>
      <c r="CR348" s="27" t="s">
        <v>7</v>
      </c>
      <c r="CS348" s="27" t="s">
        <v>8</v>
      </c>
      <c r="CX348" s="27" t="s">
        <v>7</v>
      </c>
      <c r="CY348" s="27" t="s">
        <v>8</v>
      </c>
      <c r="CZ348" s="27" t="s">
        <v>7</v>
      </c>
      <c r="DC348" s="27" t="s">
        <v>8</v>
      </c>
      <c r="DD348" s="27" t="s">
        <v>7</v>
      </c>
      <c r="DE348" s="27" t="s">
        <v>8</v>
      </c>
      <c r="DF348" s="27" t="s">
        <v>7</v>
      </c>
      <c r="DG348" s="27" t="s">
        <v>8</v>
      </c>
      <c r="DV348" s="27" t="s">
        <v>7</v>
      </c>
      <c r="DW348" s="27" t="s">
        <v>8</v>
      </c>
      <c r="DX348" s="27" t="s">
        <v>7</v>
      </c>
      <c r="DY348" s="27" t="s">
        <v>8</v>
      </c>
      <c r="DZ348" s="27" t="s">
        <v>7</v>
      </c>
      <c r="EA348" s="27" t="s">
        <v>8</v>
      </c>
      <c r="EH348" s="27" t="s">
        <v>7</v>
      </c>
      <c r="EI348" s="27" t="s">
        <v>8</v>
      </c>
      <c r="EJ348" s="27" t="s">
        <v>7</v>
      </c>
      <c r="EK348" s="27" t="s">
        <v>8</v>
      </c>
      <c r="EN348" s="27" t="s">
        <v>7</v>
      </c>
      <c r="EO348" s="27" t="s">
        <v>8</v>
      </c>
      <c r="EP348" s="27" t="s">
        <v>7</v>
      </c>
      <c r="EQ348" s="27" t="s">
        <v>8</v>
      </c>
      <c r="ER348" s="27" t="s">
        <v>7</v>
      </c>
      <c r="ES348" s="27" t="s">
        <v>8</v>
      </c>
      <c r="ET348" s="27" t="s">
        <v>7</v>
      </c>
      <c r="EU348" s="27" t="s">
        <v>8</v>
      </c>
      <c r="FC348" s="31"/>
      <c r="GX348" s="27" t="s">
        <v>7</v>
      </c>
    </row>
    <row r="349" spans="1:208" x14ac:dyDescent="0.25">
      <c r="A349" s="7">
        <v>111.38863432616711</v>
      </c>
      <c r="B349"/>
      <c r="C349"/>
      <c r="D349"/>
      <c r="E349"/>
      <c r="G349" s="27" t="s">
        <v>8</v>
      </c>
      <c r="H349" s="27" t="s">
        <v>7</v>
      </c>
      <c r="I349" s="27" t="s">
        <v>8</v>
      </c>
      <c r="J349" s="27" t="s">
        <v>7</v>
      </c>
      <c r="BS349" s="27" t="s">
        <v>8</v>
      </c>
      <c r="BT349" s="27" t="s">
        <v>7</v>
      </c>
      <c r="BU349" s="27" t="s">
        <v>8</v>
      </c>
      <c r="CL349" s="27" t="s">
        <v>7</v>
      </c>
      <c r="CM349" s="27" t="s">
        <v>8</v>
      </c>
      <c r="CN349" s="27" t="s">
        <v>7</v>
      </c>
      <c r="CP349" s="27" t="s">
        <v>7</v>
      </c>
      <c r="CQ349" s="27" t="s">
        <v>8</v>
      </c>
      <c r="CR349" s="27" t="s">
        <v>7</v>
      </c>
      <c r="CS349" s="27" t="s">
        <v>8</v>
      </c>
      <c r="CX349" s="27" t="s">
        <v>7</v>
      </c>
      <c r="CZ349" s="27" t="s">
        <v>7</v>
      </c>
      <c r="DC349" s="27" t="s">
        <v>8</v>
      </c>
      <c r="DD349" s="27" t="s">
        <v>7</v>
      </c>
      <c r="DF349" s="27" t="s">
        <v>7</v>
      </c>
      <c r="DG349" s="27" t="s">
        <v>8</v>
      </c>
      <c r="DV349" s="27" t="s">
        <v>7</v>
      </c>
      <c r="DW349" s="27" t="s">
        <v>8</v>
      </c>
      <c r="DX349" s="27" t="s">
        <v>7</v>
      </c>
      <c r="DY349" s="27" t="s">
        <v>8</v>
      </c>
      <c r="DZ349" s="27" t="s">
        <v>7</v>
      </c>
      <c r="EA349" s="27" t="s">
        <v>8</v>
      </c>
      <c r="EH349" s="27" t="s">
        <v>7</v>
      </c>
      <c r="EI349" s="27" t="s">
        <v>8</v>
      </c>
      <c r="EJ349" s="27" t="s">
        <v>7</v>
      </c>
      <c r="EK349" s="27" t="s">
        <v>8</v>
      </c>
      <c r="EN349" s="27" t="s">
        <v>7</v>
      </c>
      <c r="EO349" s="27" t="s">
        <v>8</v>
      </c>
      <c r="EP349" s="27" t="s">
        <v>7</v>
      </c>
      <c r="EQ349" s="27" t="s">
        <v>8</v>
      </c>
      <c r="ER349" s="27" t="s">
        <v>7</v>
      </c>
      <c r="ES349" s="27" t="s">
        <v>8</v>
      </c>
      <c r="ET349" s="27" t="s">
        <v>7</v>
      </c>
      <c r="EU349" s="27" t="s">
        <v>8</v>
      </c>
      <c r="FB349" s="31"/>
      <c r="GX349" s="27" t="s">
        <v>7</v>
      </c>
    </row>
    <row r="350" spans="1:208" x14ac:dyDescent="0.25">
      <c r="A350" s="7">
        <v>109.20454345702657</v>
      </c>
      <c r="B350"/>
      <c r="C350"/>
      <c r="D350"/>
      <c r="E350"/>
      <c r="G350" s="27" t="s">
        <v>8</v>
      </c>
      <c r="H350" s="27" t="s">
        <v>7</v>
      </c>
      <c r="I350" s="27" t="s">
        <v>8</v>
      </c>
      <c r="J350" s="27" t="s">
        <v>7</v>
      </c>
      <c r="BS350" s="27" t="s">
        <v>8</v>
      </c>
      <c r="BT350" s="27" t="s">
        <v>7</v>
      </c>
      <c r="BU350" s="27" t="s">
        <v>8</v>
      </c>
      <c r="CL350" s="27" t="s">
        <v>7</v>
      </c>
      <c r="CM350" s="27" t="s">
        <v>8</v>
      </c>
      <c r="CP350" s="27" t="s">
        <v>7</v>
      </c>
      <c r="CQ350" s="27" t="s">
        <v>8</v>
      </c>
      <c r="CR350" s="27" t="s">
        <v>7</v>
      </c>
      <c r="CZ350" s="27" t="s">
        <v>7</v>
      </c>
      <c r="DA350" s="27" t="s">
        <v>8</v>
      </c>
      <c r="DC350" s="27" t="s">
        <v>8</v>
      </c>
      <c r="DF350" s="27" t="s">
        <v>7</v>
      </c>
      <c r="DG350" s="27" t="s">
        <v>8</v>
      </c>
      <c r="DV350" s="27" t="s">
        <v>7</v>
      </c>
      <c r="DW350" s="27" t="s">
        <v>8</v>
      </c>
      <c r="DX350" s="27" t="s">
        <v>7</v>
      </c>
      <c r="DY350" s="27" t="s">
        <v>8</v>
      </c>
      <c r="DZ350" s="27" t="s">
        <v>7</v>
      </c>
      <c r="EH350" s="27" t="s">
        <v>7</v>
      </c>
      <c r="EI350" s="27" t="s">
        <v>8</v>
      </c>
      <c r="EJ350" s="27" t="s">
        <v>7</v>
      </c>
      <c r="EN350" s="27" t="s">
        <v>7</v>
      </c>
      <c r="EO350" s="27" t="s">
        <v>8</v>
      </c>
      <c r="EP350" s="27" t="s">
        <v>7</v>
      </c>
      <c r="EQ350" s="27" t="s">
        <v>8</v>
      </c>
      <c r="ER350" s="27" t="s">
        <v>7</v>
      </c>
      <c r="ET350" s="27" t="s">
        <v>7</v>
      </c>
      <c r="EU350" s="27" t="s">
        <v>8</v>
      </c>
      <c r="FA350" s="31"/>
      <c r="GX350" s="27" t="s">
        <v>7</v>
      </c>
      <c r="GY350" s="27" t="s">
        <v>8</v>
      </c>
    </row>
    <row r="351" spans="1:208" x14ac:dyDescent="0.25">
      <c r="A351" s="7">
        <v>107.06327789904566</v>
      </c>
      <c r="B351"/>
      <c r="C351"/>
      <c r="D351"/>
      <c r="E351"/>
      <c r="G351" s="27" t="s">
        <v>8</v>
      </c>
      <c r="H351" s="27" t="s">
        <v>7</v>
      </c>
      <c r="I351" s="27" t="s">
        <v>8</v>
      </c>
      <c r="J351" s="27" t="s">
        <v>7</v>
      </c>
      <c r="BS351" s="27" t="s">
        <v>8</v>
      </c>
      <c r="BT351" s="27" t="s">
        <v>7</v>
      </c>
      <c r="BU351" s="27" t="s">
        <v>8</v>
      </c>
      <c r="CL351" s="27" t="s">
        <v>7</v>
      </c>
      <c r="CM351" s="27" t="s">
        <v>8</v>
      </c>
      <c r="CP351" s="27" t="s">
        <v>7</v>
      </c>
      <c r="CQ351" s="27" t="s">
        <v>8</v>
      </c>
      <c r="CZ351" s="27" t="s">
        <v>7</v>
      </c>
      <c r="DA351" s="27" t="s">
        <v>8</v>
      </c>
      <c r="DB351" s="27" t="s">
        <v>7</v>
      </c>
      <c r="DC351" s="27" t="s">
        <v>8</v>
      </c>
      <c r="DF351" s="27" t="s">
        <v>7</v>
      </c>
      <c r="DG351" s="27" t="s">
        <v>8</v>
      </c>
      <c r="DV351" s="27" t="s">
        <v>7</v>
      </c>
      <c r="DW351" s="27" t="s">
        <v>8</v>
      </c>
      <c r="DX351" s="27" t="s">
        <v>7</v>
      </c>
      <c r="DY351" s="27" t="s">
        <v>8</v>
      </c>
      <c r="EH351" s="27" t="s">
        <v>7</v>
      </c>
      <c r="EN351" s="27" t="s">
        <v>7</v>
      </c>
      <c r="EO351" s="27" t="s">
        <v>8</v>
      </c>
      <c r="EP351" s="27" t="s">
        <v>7</v>
      </c>
      <c r="EQ351" s="27" t="s">
        <v>8</v>
      </c>
      <c r="ET351" s="27" t="s">
        <v>7</v>
      </c>
      <c r="EZ351" s="31"/>
      <c r="GX351" s="27" t="s">
        <v>7</v>
      </c>
      <c r="GY351" s="27" t="s">
        <v>8</v>
      </c>
      <c r="GZ351" s="27" t="s">
        <v>7</v>
      </c>
    </row>
    <row r="352" spans="1:208" x14ac:dyDescent="0.25">
      <c r="A352" s="7">
        <v>104.96399794024084</v>
      </c>
      <c r="B352"/>
      <c r="C352"/>
      <c r="D352"/>
      <c r="E352"/>
      <c r="G352" s="27" t="s">
        <v>8</v>
      </c>
      <c r="H352" s="27" t="s">
        <v>7</v>
      </c>
      <c r="I352" s="27" t="s">
        <v>8</v>
      </c>
      <c r="J352" s="27" t="s">
        <v>7</v>
      </c>
      <c r="AO352" s="27" t="s">
        <v>8</v>
      </c>
      <c r="AS352" s="27" t="s">
        <v>8</v>
      </c>
      <c r="BS352" s="27" t="s">
        <v>8</v>
      </c>
      <c r="BT352" s="27" t="s">
        <v>7</v>
      </c>
      <c r="BU352" s="27" t="s">
        <v>8</v>
      </c>
      <c r="CL352" s="27" t="s">
        <v>7</v>
      </c>
      <c r="CM352" s="27" t="s">
        <v>8</v>
      </c>
      <c r="CP352" s="27" t="s">
        <v>7</v>
      </c>
      <c r="CZ352" s="27" t="s">
        <v>7</v>
      </c>
      <c r="DA352" s="27" t="s">
        <v>8</v>
      </c>
      <c r="DB352" s="27" t="s">
        <v>7</v>
      </c>
      <c r="DC352" s="27" t="s">
        <v>8</v>
      </c>
      <c r="DF352" s="27" t="s">
        <v>7</v>
      </c>
      <c r="DG352" s="27" t="s">
        <v>8</v>
      </c>
      <c r="DV352" s="27" t="s">
        <v>7</v>
      </c>
      <c r="DW352" s="27" t="s">
        <v>8</v>
      </c>
      <c r="DX352" s="27" t="s">
        <v>7</v>
      </c>
      <c r="DY352" s="27" t="s">
        <v>8</v>
      </c>
      <c r="EN352" s="27" t="s">
        <v>7</v>
      </c>
      <c r="EO352" s="27" t="s">
        <v>8</v>
      </c>
      <c r="EP352" s="27" t="s">
        <v>7</v>
      </c>
      <c r="EQ352" s="27" t="s">
        <v>8</v>
      </c>
      <c r="EY352" s="31"/>
      <c r="GX352" s="27" t="s">
        <v>7</v>
      </c>
      <c r="GY352" s="27" t="s">
        <v>8</v>
      </c>
      <c r="GZ352" s="27" t="s">
        <v>7</v>
      </c>
    </row>
    <row r="353" spans="1:244" x14ac:dyDescent="0.25">
      <c r="A353" s="7">
        <v>102.90588033356946</v>
      </c>
      <c r="B353"/>
      <c r="C353"/>
      <c r="D353"/>
      <c r="E353"/>
      <c r="G353" s="27" t="s">
        <v>8</v>
      </c>
      <c r="H353" s="27" t="s">
        <v>7</v>
      </c>
      <c r="I353" s="27" t="s">
        <v>8</v>
      </c>
      <c r="J353" s="27" t="s">
        <v>7</v>
      </c>
      <c r="AO353" s="27" t="s">
        <v>8</v>
      </c>
      <c r="AP353" s="27" t="s">
        <v>7</v>
      </c>
      <c r="AS353" s="27" t="s">
        <v>8</v>
      </c>
      <c r="AT353" s="27" t="s">
        <v>7</v>
      </c>
      <c r="BS353" s="27" t="s">
        <v>8</v>
      </c>
      <c r="BT353" s="27" t="s">
        <v>7</v>
      </c>
      <c r="BU353" s="27" t="s">
        <v>8</v>
      </c>
      <c r="CL353" s="27" t="s">
        <v>7</v>
      </c>
      <c r="CZ353" s="27" t="s">
        <v>7</v>
      </c>
      <c r="DA353" s="27" t="s">
        <v>8</v>
      </c>
      <c r="DB353" s="27" t="s">
        <v>7</v>
      </c>
      <c r="DC353" s="27" t="s">
        <v>8</v>
      </c>
      <c r="DF353" s="27" t="s">
        <v>7</v>
      </c>
      <c r="DG353" s="27" t="s">
        <v>8</v>
      </c>
      <c r="DV353" s="27" t="s">
        <v>7</v>
      </c>
      <c r="DX353" s="27" t="s">
        <v>7</v>
      </c>
      <c r="DY353" s="27" t="s">
        <v>8</v>
      </c>
      <c r="EN353" s="27" t="s">
        <v>7</v>
      </c>
      <c r="EO353" s="27" t="s">
        <v>8</v>
      </c>
      <c r="EP353" s="27" t="s">
        <v>7</v>
      </c>
      <c r="EQ353" s="27" t="s">
        <v>8</v>
      </c>
      <c r="EX353" s="31"/>
      <c r="GX353" s="27" t="s">
        <v>7</v>
      </c>
      <c r="GY353" s="27" t="s">
        <v>8</v>
      </c>
      <c r="GZ353" s="27" t="s">
        <v>7</v>
      </c>
    </row>
    <row r="354" spans="1:244" x14ac:dyDescent="0.25">
      <c r="A354" s="7">
        <v>100.88811797408771</v>
      </c>
      <c r="B354"/>
      <c r="C354"/>
      <c r="D354"/>
      <c r="E354" t="s">
        <v>8</v>
      </c>
      <c r="G354" s="27" t="s">
        <v>8</v>
      </c>
      <c r="H354" s="27" t="s">
        <v>7</v>
      </c>
      <c r="I354" s="27" t="s">
        <v>8</v>
      </c>
      <c r="J354" s="27" t="s">
        <v>7</v>
      </c>
      <c r="AO354" s="27" t="s">
        <v>8</v>
      </c>
      <c r="AP354" s="27" t="s">
        <v>7</v>
      </c>
      <c r="AS354" s="27" t="s">
        <v>8</v>
      </c>
      <c r="AT354" s="27" t="s">
        <v>7</v>
      </c>
      <c r="BS354" s="27" t="s">
        <v>8</v>
      </c>
      <c r="BT354" s="27" t="s">
        <v>7</v>
      </c>
      <c r="BU354" s="27" t="s">
        <v>8</v>
      </c>
      <c r="CZ354" s="27" t="s">
        <v>7</v>
      </c>
      <c r="DA354" s="27" t="s">
        <v>8</v>
      </c>
      <c r="DB354" s="27" t="s">
        <v>7</v>
      </c>
      <c r="DC354" s="27" t="s">
        <v>8</v>
      </c>
      <c r="DF354" s="27" t="s">
        <v>7</v>
      </c>
      <c r="DX354" s="27" t="s">
        <v>7</v>
      </c>
      <c r="DY354" s="27" t="s">
        <v>8</v>
      </c>
      <c r="EN354" s="27" t="s">
        <v>7</v>
      </c>
      <c r="EO354" s="27" t="s">
        <v>8</v>
      </c>
      <c r="EP354" s="27" t="s">
        <v>7</v>
      </c>
      <c r="EQ354" s="27" t="s">
        <v>8</v>
      </c>
      <c r="EW354" s="31"/>
      <c r="GX354" s="27" t="s">
        <v>7</v>
      </c>
      <c r="GY354" s="27" t="s">
        <v>8</v>
      </c>
      <c r="GZ354" s="27" t="s">
        <v>7</v>
      </c>
    </row>
    <row r="355" spans="1:244" x14ac:dyDescent="0.25">
      <c r="A355" s="7">
        <v>98.909919582438931</v>
      </c>
      <c r="B355"/>
      <c r="C355"/>
      <c r="D355"/>
      <c r="E355" t="s">
        <v>8</v>
      </c>
      <c r="F355" s="27" t="s">
        <v>7</v>
      </c>
      <c r="G355" s="27" t="s">
        <v>8</v>
      </c>
      <c r="H355" s="27" t="s">
        <v>7</v>
      </c>
      <c r="I355" s="27" t="s">
        <v>8</v>
      </c>
      <c r="J355" s="27" t="s">
        <v>7</v>
      </c>
      <c r="AO355" s="27" t="s">
        <v>8</v>
      </c>
      <c r="AP355" s="27" t="s">
        <v>7</v>
      </c>
      <c r="AS355" s="27" t="s">
        <v>8</v>
      </c>
      <c r="AT355" s="27" t="s">
        <v>7</v>
      </c>
      <c r="BQ355" s="27" t="s">
        <v>8</v>
      </c>
      <c r="BS355" s="27" t="s">
        <v>8</v>
      </c>
      <c r="BT355" s="27" t="s">
        <v>7</v>
      </c>
      <c r="BU355" s="27" t="s">
        <v>8</v>
      </c>
      <c r="CZ355" s="27" t="s">
        <v>7</v>
      </c>
      <c r="DB355" s="27" t="s">
        <v>7</v>
      </c>
      <c r="DC355" s="27" t="s">
        <v>8</v>
      </c>
      <c r="DX355" s="27" t="s">
        <v>7</v>
      </c>
      <c r="DY355" s="27" t="s">
        <v>8</v>
      </c>
      <c r="EN355" s="27" t="s">
        <v>7</v>
      </c>
      <c r="EO355" s="27" t="s">
        <v>8</v>
      </c>
      <c r="EP355" s="27" t="s">
        <v>7</v>
      </c>
      <c r="EQ355" s="27" t="s">
        <v>8</v>
      </c>
      <c r="EV355" s="31"/>
      <c r="GX355" s="27" t="s">
        <v>7</v>
      </c>
      <c r="GY355" s="27" t="s">
        <v>8</v>
      </c>
      <c r="GZ355" s="27" t="s">
        <v>7</v>
      </c>
    </row>
    <row r="356" spans="1:244" x14ac:dyDescent="0.25">
      <c r="A356" s="7">
        <v>96.970509394547975</v>
      </c>
      <c r="B356"/>
      <c r="C356"/>
      <c r="D356"/>
      <c r="E356" t="s">
        <v>8</v>
      </c>
      <c r="F356" s="27" t="s">
        <v>7</v>
      </c>
      <c r="G356" s="27" t="s">
        <v>8</v>
      </c>
      <c r="H356" s="27" t="s">
        <v>7</v>
      </c>
      <c r="I356" s="27" t="s">
        <v>8</v>
      </c>
      <c r="J356" s="27" t="s">
        <v>7</v>
      </c>
      <c r="AO356" s="27" t="s">
        <v>8</v>
      </c>
      <c r="AP356" s="27" t="s">
        <v>7</v>
      </c>
      <c r="AS356" s="27" t="s">
        <v>8</v>
      </c>
      <c r="AT356" s="27" t="s">
        <v>7</v>
      </c>
      <c r="BO356" s="27" t="s">
        <v>8</v>
      </c>
      <c r="BQ356" s="27" t="s">
        <v>8</v>
      </c>
      <c r="BR356" s="27" t="s">
        <v>7</v>
      </c>
      <c r="BS356" s="27" t="s">
        <v>8</v>
      </c>
      <c r="BT356" s="27" t="s">
        <v>7</v>
      </c>
      <c r="BU356" s="27" t="s">
        <v>8</v>
      </c>
      <c r="DB356" s="27" t="s">
        <v>7</v>
      </c>
      <c r="DC356" s="27" t="s">
        <v>8</v>
      </c>
      <c r="DX356" s="27" t="s">
        <v>7</v>
      </c>
      <c r="DY356" s="27" t="s">
        <v>8</v>
      </c>
      <c r="EN356" s="27" t="s">
        <v>7</v>
      </c>
      <c r="EO356" s="27" t="s">
        <v>8</v>
      </c>
      <c r="EP356" s="27" t="s">
        <v>7</v>
      </c>
      <c r="EQ356" s="27" t="s">
        <v>8</v>
      </c>
      <c r="EU356" s="31"/>
      <c r="GX356" s="27" t="s">
        <v>7</v>
      </c>
      <c r="GY356" s="27" t="s">
        <v>8</v>
      </c>
      <c r="GZ356" s="27" t="s">
        <v>7</v>
      </c>
    </row>
    <row r="357" spans="1:244" x14ac:dyDescent="0.25">
      <c r="A357" s="7">
        <v>95.069126857399979</v>
      </c>
      <c r="B357"/>
      <c r="C357"/>
      <c r="D357"/>
      <c r="E357" t="s">
        <v>8</v>
      </c>
      <c r="F357" s="27" t="s">
        <v>7</v>
      </c>
      <c r="G357" s="27" t="s">
        <v>8</v>
      </c>
      <c r="H357" s="27" t="s">
        <v>7</v>
      </c>
      <c r="I357" s="27" t="s">
        <v>8</v>
      </c>
      <c r="J357" s="27" t="s">
        <v>7</v>
      </c>
      <c r="AO357" s="27" t="s">
        <v>8</v>
      </c>
      <c r="AP357" s="27" t="s">
        <v>7</v>
      </c>
      <c r="AS357" s="27" t="s">
        <v>8</v>
      </c>
      <c r="AT357" s="27" t="s">
        <v>7</v>
      </c>
      <c r="BO357" s="27" t="s">
        <v>8</v>
      </c>
      <c r="BP357" s="27" t="s">
        <v>7</v>
      </c>
      <c r="BQ357" s="27" t="s">
        <v>8</v>
      </c>
      <c r="BR357" s="27" t="s">
        <v>7</v>
      </c>
      <c r="BS357" s="27" t="s">
        <v>8</v>
      </c>
      <c r="BT357" s="27" t="s">
        <v>7</v>
      </c>
      <c r="BU357" s="27" t="s">
        <v>8</v>
      </c>
      <c r="DB357" s="27" t="s">
        <v>7</v>
      </c>
      <c r="DX357" s="27" t="s">
        <v>7</v>
      </c>
      <c r="DY357" s="27" t="s">
        <v>8</v>
      </c>
      <c r="EN357" s="27" t="s">
        <v>7</v>
      </c>
      <c r="EO357" s="27" t="s">
        <v>8</v>
      </c>
      <c r="EP357" s="27" t="s">
        <v>7</v>
      </c>
      <c r="EQ357" s="27" t="s">
        <v>8</v>
      </c>
      <c r="ET357" s="31"/>
      <c r="GX357" s="27" t="s">
        <v>7</v>
      </c>
      <c r="GZ357" s="27" t="s">
        <v>7</v>
      </c>
      <c r="HA357" s="27" t="s">
        <v>8</v>
      </c>
    </row>
    <row r="358" spans="1:244" x14ac:dyDescent="0.25">
      <c r="A358" s="7">
        <v>93.205026330784293</v>
      </c>
      <c r="B358"/>
      <c r="C358"/>
      <c r="D358"/>
      <c r="E358" t="s">
        <v>8</v>
      </c>
      <c r="F358" s="27" t="s">
        <v>7</v>
      </c>
      <c r="G358" s="27" t="s">
        <v>8</v>
      </c>
      <c r="H358" s="27" t="s">
        <v>7</v>
      </c>
      <c r="I358" s="27" t="s">
        <v>8</v>
      </c>
      <c r="J358" s="27" t="s">
        <v>7</v>
      </c>
      <c r="AO358" s="27" t="s">
        <v>8</v>
      </c>
      <c r="AP358" s="27" t="s">
        <v>7</v>
      </c>
      <c r="AS358" s="27" t="s">
        <v>8</v>
      </c>
      <c r="AT358" s="27" t="s">
        <v>7</v>
      </c>
      <c r="BO358" s="27" t="s">
        <v>8</v>
      </c>
      <c r="BP358" s="27" t="s">
        <v>7</v>
      </c>
      <c r="BQ358" s="27" t="s">
        <v>8</v>
      </c>
      <c r="BR358" s="27" t="s">
        <v>7</v>
      </c>
      <c r="BS358" s="27" t="s">
        <v>8</v>
      </c>
      <c r="BT358" s="27" t="s">
        <v>7</v>
      </c>
      <c r="BU358" s="27" t="s">
        <v>8</v>
      </c>
      <c r="DX358" s="27" t="s">
        <v>7</v>
      </c>
      <c r="DY358" s="27" t="s">
        <v>8</v>
      </c>
      <c r="EN358" s="27" t="s">
        <v>7</v>
      </c>
      <c r="EP358" s="27" t="s">
        <v>7</v>
      </c>
      <c r="EQ358" s="27" t="s">
        <v>8</v>
      </c>
      <c r="ES358" s="31"/>
      <c r="GZ358" s="27" t="s">
        <v>7</v>
      </c>
      <c r="HA358" s="27" t="s">
        <v>8</v>
      </c>
      <c r="HB358" s="27" t="s">
        <v>7</v>
      </c>
      <c r="II358" s="27" t="s">
        <v>8</v>
      </c>
    </row>
    <row r="359" spans="1:244" x14ac:dyDescent="0.25">
      <c r="A359" s="7">
        <v>91.377476794886562</v>
      </c>
      <c r="B359"/>
      <c r="C359"/>
      <c r="D359"/>
      <c r="E359" t="s">
        <v>8</v>
      </c>
      <c r="F359" s="27" t="s">
        <v>7</v>
      </c>
      <c r="G359" s="27" t="s">
        <v>8</v>
      </c>
      <c r="H359" s="27" t="s">
        <v>7</v>
      </c>
      <c r="I359" s="27" t="s">
        <v>8</v>
      </c>
      <c r="J359" s="27" t="s">
        <v>7</v>
      </c>
      <c r="AO359" s="27" t="s">
        <v>8</v>
      </c>
      <c r="AP359" s="27" t="s">
        <v>7</v>
      </c>
      <c r="AS359" s="27" t="s">
        <v>8</v>
      </c>
      <c r="AT359" s="27" t="s">
        <v>7</v>
      </c>
      <c r="BO359" s="27" t="s">
        <v>8</v>
      </c>
      <c r="BP359" s="27" t="s">
        <v>7</v>
      </c>
      <c r="BQ359" s="27" t="s">
        <v>8</v>
      </c>
      <c r="BR359" s="27" t="s">
        <v>7</v>
      </c>
      <c r="BS359" s="27" t="s">
        <v>8</v>
      </c>
      <c r="BT359" s="27" t="s">
        <v>7</v>
      </c>
      <c r="BU359" s="27" t="s">
        <v>8</v>
      </c>
      <c r="DX359" s="27" t="s">
        <v>7</v>
      </c>
      <c r="DY359" s="27" t="s">
        <v>8</v>
      </c>
      <c r="EP359" s="27" t="s">
        <v>7</v>
      </c>
      <c r="EQ359" s="27" t="s">
        <v>8</v>
      </c>
      <c r="ER359" s="31"/>
      <c r="GZ359" s="27" t="s">
        <v>7</v>
      </c>
      <c r="HA359" s="27" t="s">
        <v>8</v>
      </c>
      <c r="HB359" s="27" t="s">
        <v>7</v>
      </c>
      <c r="II359" s="27" t="s">
        <v>8</v>
      </c>
      <c r="IJ359" s="27" t="s">
        <v>7</v>
      </c>
    </row>
    <row r="360" spans="1:244" x14ac:dyDescent="0.25">
      <c r="A360" s="7">
        <v>89.58576156361427</v>
      </c>
      <c r="B360"/>
      <c r="C360"/>
      <c r="D360"/>
      <c r="E360" t="s">
        <v>8</v>
      </c>
      <c r="F360" s="27" t="s">
        <v>7</v>
      </c>
      <c r="G360" s="27" t="s">
        <v>8</v>
      </c>
      <c r="H360" s="27" t="s">
        <v>7</v>
      </c>
      <c r="I360" s="27" t="s">
        <v>8</v>
      </c>
      <c r="J360" s="27" t="s">
        <v>7</v>
      </c>
      <c r="Y360" s="27" t="s">
        <v>8</v>
      </c>
      <c r="AO360" s="27" t="s">
        <v>8</v>
      </c>
      <c r="AP360" s="27" t="s">
        <v>7</v>
      </c>
      <c r="AS360" s="27" t="s">
        <v>8</v>
      </c>
      <c r="AT360" s="27" t="s">
        <v>7</v>
      </c>
      <c r="BO360" s="27" t="s">
        <v>8</v>
      </c>
      <c r="BP360" s="27" t="s">
        <v>7</v>
      </c>
      <c r="BQ360" s="27" t="s">
        <v>8</v>
      </c>
      <c r="BR360" s="27" t="s">
        <v>7</v>
      </c>
      <c r="BS360" s="27" t="s">
        <v>8</v>
      </c>
      <c r="BT360" s="27" t="s">
        <v>7</v>
      </c>
      <c r="BU360" s="27" t="s">
        <v>8</v>
      </c>
      <c r="DX360" s="27" t="s">
        <v>7</v>
      </c>
      <c r="DY360" s="27" t="s">
        <v>8</v>
      </c>
      <c r="EP360" s="27" t="s">
        <v>7</v>
      </c>
      <c r="EQ360" s="31" t="s">
        <v>8</v>
      </c>
      <c r="GZ360" s="27" t="s">
        <v>7</v>
      </c>
      <c r="HB360" s="27" t="s">
        <v>7</v>
      </c>
      <c r="II360" s="27" t="s">
        <v>8</v>
      </c>
      <c r="IJ360" s="27" t="s">
        <v>7</v>
      </c>
    </row>
    <row r="361" spans="1:244" x14ac:dyDescent="0.25">
      <c r="A361" s="7">
        <v>87.829178003543404</v>
      </c>
      <c r="B361"/>
      <c r="C361"/>
      <c r="D361"/>
      <c r="E361" t="s">
        <v>8</v>
      </c>
      <c r="F361" s="27" t="s">
        <v>7</v>
      </c>
      <c r="G361" s="27" t="s">
        <v>8</v>
      </c>
      <c r="H361" s="27" t="s">
        <v>7</v>
      </c>
      <c r="J361" s="27" t="s">
        <v>7</v>
      </c>
      <c r="Y361" s="27" t="s">
        <v>8</v>
      </c>
      <c r="Z361" s="27" t="s">
        <v>7</v>
      </c>
      <c r="AO361" s="27" t="s">
        <v>8</v>
      </c>
      <c r="AP361" s="27" t="s">
        <v>7</v>
      </c>
      <c r="AS361" s="27" t="s">
        <v>8</v>
      </c>
      <c r="AT361" s="27" t="s">
        <v>7</v>
      </c>
      <c r="AW361" s="27" t="s">
        <v>8</v>
      </c>
      <c r="BO361" s="27" t="s">
        <v>8</v>
      </c>
      <c r="BP361" s="27" t="s">
        <v>7</v>
      </c>
      <c r="BQ361" s="27" t="s">
        <v>8</v>
      </c>
      <c r="BR361" s="27" t="s">
        <v>7</v>
      </c>
      <c r="BS361" s="27" t="s">
        <v>8</v>
      </c>
      <c r="BT361" s="27" t="s">
        <v>7</v>
      </c>
      <c r="BU361" s="27" t="s">
        <v>8</v>
      </c>
      <c r="DX361" s="27" t="s">
        <v>7</v>
      </c>
      <c r="DY361" s="27" t="s">
        <v>8</v>
      </c>
      <c r="EP361" s="31" t="s">
        <v>7</v>
      </c>
      <c r="HB361" s="27" t="s">
        <v>7</v>
      </c>
      <c r="II361" s="27" t="s">
        <v>8</v>
      </c>
      <c r="IJ361" s="27" t="s">
        <v>7</v>
      </c>
    </row>
    <row r="362" spans="1:244" x14ac:dyDescent="0.25">
      <c r="A362" s="7">
        <v>86.107037258375883</v>
      </c>
      <c r="B362"/>
      <c r="C362"/>
      <c r="D362"/>
      <c r="E362" t="s">
        <v>8</v>
      </c>
      <c r="F362" s="27" t="s">
        <v>7</v>
      </c>
      <c r="G362" s="27" t="s">
        <v>8</v>
      </c>
      <c r="J362" s="27" t="s">
        <v>7</v>
      </c>
      <c r="Y362" s="27" t="s">
        <v>8</v>
      </c>
      <c r="Z362" s="27" t="s">
        <v>7</v>
      </c>
      <c r="AO362" s="27" t="s">
        <v>8</v>
      </c>
      <c r="AP362" s="27" t="s">
        <v>7</v>
      </c>
      <c r="AS362" s="27" t="s">
        <v>8</v>
      </c>
      <c r="AT362" s="27" t="s">
        <v>7</v>
      </c>
      <c r="AW362" s="27" t="s">
        <v>8</v>
      </c>
      <c r="AX362" s="27" t="s">
        <v>7</v>
      </c>
      <c r="BO362" s="27" t="s">
        <v>8</v>
      </c>
      <c r="BP362" s="27" t="s">
        <v>7</v>
      </c>
      <c r="BQ362" s="27" t="s">
        <v>8</v>
      </c>
      <c r="BR362" s="27" t="s">
        <v>7</v>
      </c>
      <c r="BS362" s="27" t="s">
        <v>8</v>
      </c>
      <c r="BT362" s="27" t="s">
        <v>7</v>
      </c>
      <c r="BU362" s="27" t="s">
        <v>8</v>
      </c>
      <c r="DX362" s="27" t="s">
        <v>7</v>
      </c>
      <c r="DY362" s="27" t="s">
        <v>8</v>
      </c>
      <c r="HB362" s="27" t="s">
        <v>7</v>
      </c>
      <c r="II362" s="27" t="s">
        <v>8</v>
      </c>
      <c r="IJ362" s="27" t="s">
        <v>7</v>
      </c>
    </row>
    <row r="363" spans="1:244" x14ac:dyDescent="0.25">
      <c r="A363" s="7">
        <v>84.418663978799884</v>
      </c>
      <c r="B363"/>
      <c r="C363"/>
      <c r="D363"/>
      <c r="E363" t="s">
        <v>8</v>
      </c>
      <c r="F363" s="27" t="s">
        <v>7</v>
      </c>
      <c r="G363" s="27" t="s">
        <v>8</v>
      </c>
      <c r="J363" s="27" t="s">
        <v>7</v>
      </c>
      <c r="Y363" s="27" t="s">
        <v>8</v>
      </c>
      <c r="Z363" s="27" t="s">
        <v>7</v>
      </c>
      <c r="AO363" s="27" t="s">
        <v>8</v>
      </c>
      <c r="AP363" s="27" t="s">
        <v>7</v>
      </c>
      <c r="AS363" s="27" t="s">
        <v>8</v>
      </c>
      <c r="AT363" s="27" t="s">
        <v>7</v>
      </c>
      <c r="AW363" s="27" t="s">
        <v>8</v>
      </c>
      <c r="AX363" s="27" t="s">
        <v>7</v>
      </c>
      <c r="BO363" s="27" t="s">
        <v>8</v>
      </c>
      <c r="BP363" s="27" t="s">
        <v>7</v>
      </c>
      <c r="BQ363" s="27" t="s">
        <v>8</v>
      </c>
      <c r="BR363" s="27" t="s">
        <v>7</v>
      </c>
      <c r="BS363" s="27" t="s">
        <v>8</v>
      </c>
      <c r="BT363" s="27" t="s">
        <v>7</v>
      </c>
      <c r="BU363" s="27" t="s">
        <v>8</v>
      </c>
      <c r="DX363" s="27" t="s">
        <v>7</v>
      </c>
      <c r="DY363" s="27" t="s">
        <v>8</v>
      </c>
      <c r="HB363" s="27" t="s">
        <v>7</v>
      </c>
      <c r="II363" s="27" t="s">
        <v>8</v>
      </c>
      <c r="IJ363" s="27" t="s">
        <v>7</v>
      </c>
    </row>
    <row r="364" spans="1:244" x14ac:dyDescent="0.25">
      <c r="A364" s="7">
        <v>82.763396057646943</v>
      </c>
      <c r="B364"/>
      <c r="C364"/>
      <c r="D364"/>
      <c r="E364" t="s">
        <v>8</v>
      </c>
      <c r="F364" s="27" t="s">
        <v>7</v>
      </c>
      <c r="G364" s="27" t="s">
        <v>8</v>
      </c>
      <c r="J364" s="27" t="s">
        <v>7</v>
      </c>
      <c r="K364" s="27" t="s">
        <v>8</v>
      </c>
      <c r="Y364" s="27" t="s">
        <v>8</v>
      </c>
      <c r="Z364" s="27" t="s">
        <v>7</v>
      </c>
      <c r="AO364" s="27" t="s">
        <v>8</v>
      </c>
      <c r="AP364" s="27" t="s">
        <v>7</v>
      </c>
      <c r="AS364" s="27" t="s">
        <v>8</v>
      </c>
      <c r="AT364" s="27" t="s">
        <v>7</v>
      </c>
      <c r="AW364" s="27" t="s">
        <v>8</v>
      </c>
      <c r="AX364" s="27" t="s">
        <v>7</v>
      </c>
      <c r="BO364" s="27" t="s">
        <v>8</v>
      </c>
      <c r="BP364" s="27" t="s">
        <v>7</v>
      </c>
      <c r="BQ364" s="27" t="s">
        <v>8</v>
      </c>
      <c r="BR364" s="27" t="s">
        <v>7</v>
      </c>
      <c r="BS364" s="27" t="s">
        <v>8</v>
      </c>
      <c r="BT364" s="27" t="s">
        <v>7</v>
      </c>
      <c r="BU364" s="27" t="s">
        <v>8</v>
      </c>
      <c r="DX364" s="27" t="s">
        <v>7</v>
      </c>
      <c r="HB364" s="27" t="s">
        <v>7</v>
      </c>
      <c r="II364" s="27" t="s">
        <v>8</v>
      </c>
      <c r="IJ364" s="27" t="s">
        <v>7</v>
      </c>
    </row>
    <row r="365" spans="1:244" x14ac:dyDescent="0.25">
      <c r="A365" s="7">
        <v>81.140584370242095</v>
      </c>
      <c r="B365"/>
      <c r="C365"/>
      <c r="D365"/>
      <c r="E365" t="s">
        <v>8</v>
      </c>
      <c r="F365" s="27" t="s">
        <v>7</v>
      </c>
      <c r="G365" s="27" t="s">
        <v>8</v>
      </c>
      <c r="J365" s="27" t="s">
        <v>7</v>
      </c>
      <c r="K365" s="27" t="s">
        <v>8</v>
      </c>
      <c r="L365" s="27" t="s">
        <v>7</v>
      </c>
      <c r="Y365" s="27" t="s">
        <v>8</v>
      </c>
      <c r="Z365" s="27" t="s">
        <v>7</v>
      </c>
      <c r="AO365" s="27" t="s">
        <v>8</v>
      </c>
      <c r="AP365" s="27" t="s">
        <v>7</v>
      </c>
      <c r="AS365" s="27" t="s">
        <v>8</v>
      </c>
      <c r="AT365" s="27" t="s">
        <v>7</v>
      </c>
      <c r="AW365" s="27" t="s">
        <v>8</v>
      </c>
      <c r="AX365" s="27" t="s">
        <v>7</v>
      </c>
      <c r="BO365" s="27" t="s">
        <v>8</v>
      </c>
      <c r="BP365" s="27" t="s">
        <v>7</v>
      </c>
      <c r="BQ365" s="27" t="s">
        <v>8</v>
      </c>
      <c r="BR365" s="27" t="s">
        <v>7</v>
      </c>
      <c r="BS365" s="27" t="s">
        <v>8</v>
      </c>
      <c r="BT365" s="27" t="s">
        <v>7</v>
      </c>
      <c r="HB365" s="27" t="s">
        <v>7</v>
      </c>
      <c r="II365" s="27" t="s">
        <v>8</v>
      </c>
      <c r="IJ365" s="27" t="s">
        <v>7</v>
      </c>
    </row>
    <row r="366" spans="1:244" x14ac:dyDescent="0.25">
      <c r="A366" s="7">
        <v>79.549592519845191</v>
      </c>
      <c r="B366"/>
      <c r="C366"/>
      <c r="D366"/>
      <c r="E366" t="s">
        <v>8</v>
      </c>
      <c r="F366" s="27" t="s">
        <v>7</v>
      </c>
      <c r="G366" s="27" t="s">
        <v>8</v>
      </c>
      <c r="J366" s="27" t="s">
        <v>7</v>
      </c>
      <c r="K366" s="27" t="s">
        <v>8</v>
      </c>
      <c r="L366" s="27" t="s">
        <v>7</v>
      </c>
      <c r="Y366" s="27" t="s">
        <v>8</v>
      </c>
      <c r="Z366" s="27" t="s">
        <v>7</v>
      </c>
      <c r="AO366" s="27" t="s">
        <v>8</v>
      </c>
      <c r="AP366" s="27" t="s">
        <v>7</v>
      </c>
      <c r="AS366" s="27" t="s">
        <v>8</v>
      </c>
      <c r="AT366" s="27" t="s">
        <v>7</v>
      </c>
      <c r="AU366" s="27" t="s">
        <v>8</v>
      </c>
      <c r="AW366" s="27" t="s">
        <v>8</v>
      </c>
      <c r="AX366" s="27" t="s">
        <v>7</v>
      </c>
      <c r="BO366" s="27" t="s">
        <v>8</v>
      </c>
      <c r="BP366" s="27" t="s">
        <v>7</v>
      </c>
      <c r="BQ366" s="27" t="s">
        <v>8</v>
      </c>
      <c r="BR366" s="27" t="s">
        <v>7</v>
      </c>
      <c r="BS366" s="27" t="s">
        <v>8</v>
      </c>
      <c r="HB366" s="27" t="s">
        <v>7</v>
      </c>
      <c r="II366" s="27" t="s">
        <v>8</v>
      </c>
      <c r="IJ366" s="27" t="s">
        <v>7</v>
      </c>
    </row>
    <row r="367" spans="1:244" x14ac:dyDescent="0.25">
      <c r="A367" s="7">
        <v>77.989796588083522</v>
      </c>
      <c r="B367"/>
      <c r="C367"/>
      <c r="D367"/>
      <c r="E367" t="s">
        <v>8</v>
      </c>
      <c r="F367" s="27" t="s">
        <v>7</v>
      </c>
      <c r="G367" s="27" t="s">
        <v>8</v>
      </c>
      <c r="J367" s="27" t="s">
        <v>7</v>
      </c>
      <c r="K367" s="27" t="s">
        <v>8</v>
      </c>
      <c r="L367" s="27" t="s">
        <v>7</v>
      </c>
      <c r="Y367" s="27" t="s">
        <v>8</v>
      </c>
      <c r="Z367" s="27" t="s">
        <v>7</v>
      </c>
      <c r="AO367" s="27" t="s">
        <v>8</v>
      </c>
      <c r="AP367" s="27" t="s">
        <v>7</v>
      </c>
      <c r="AS367" s="27" t="s">
        <v>8</v>
      </c>
      <c r="AT367" s="27" t="s">
        <v>7</v>
      </c>
      <c r="AU367" s="27" t="s">
        <v>8</v>
      </c>
      <c r="AV367" s="27" t="s">
        <v>7</v>
      </c>
      <c r="AW367" s="27" t="s">
        <v>8</v>
      </c>
      <c r="AX367" s="27" t="s">
        <v>7</v>
      </c>
      <c r="BO367" s="27" t="s">
        <v>8</v>
      </c>
      <c r="BP367" s="27" t="s">
        <v>7</v>
      </c>
      <c r="BQ367" s="27" t="s">
        <v>8</v>
      </c>
      <c r="BR367" s="27" t="s">
        <v>7</v>
      </c>
      <c r="BS367" s="27" t="s">
        <v>8</v>
      </c>
      <c r="HB367" s="27" t="s">
        <v>7</v>
      </c>
      <c r="II367" s="27" t="s">
        <v>8</v>
      </c>
      <c r="IJ367" s="27" t="s">
        <v>7</v>
      </c>
    </row>
    <row r="368" spans="1:244" x14ac:dyDescent="0.25">
      <c r="A368" s="7">
        <v>76.460584890277957</v>
      </c>
      <c r="B368"/>
      <c r="C368"/>
      <c r="D368"/>
      <c r="E368" t="s">
        <v>8</v>
      </c>
      <c r="F368" s="27" t="s">
        <v>7</v>
      </c>
      <c r="G368" s="27" t="s">
        <v>8</v>
      </c>
      <c r="J368" s="27" t="s">
        <v>7</v>
      </c>
      <c r="L368" s="27" t="s">
        <v>7</v>
      </c>
      <c r="Y368" s="27" t="s">
        <v>8</v>
      </c>
      <c r="Z368" s="27" t="s">
        <v>7</v>
      </c>
      <c r="AO368" s="27" t="s">
        <v>8</v>
      </c>
      <c r="AP368" s="27" t="s">
        <v>7</v>
      </c>
      <c r="AS368" s="27" t="s">
        <v>8</v>
      </c>
      <c r="AT368" s="27" t="s">
        <v>7</v>
      </c>
      <c r="AU368" s="27" t="s">
        <v>8</v>
      </c>
      <c r="AV368" s="27" t="s">
        <v>7</v>
      </c>
      <c r="AW368" s="27" t="s">
        <v>8</v>
      </c>
      <c r="AX368" s="27" t="s">
        <v>7</v>
      </c>
      <c r="BO368" s="27" t="s">
        <v>8</v>
      </c>
      <c r="BP368" s="27" t="s">
        <v>7</v>
      </c>
      <c r="BQ368" s="27" t="s">
        <v>8</v>
      </c>
      <c r="BR368" s="27" t="s">
        <v>7</v>
      </c>
      <c r="BS368" s="27" t="s">
        <v>8</v>
      </c>
      <c r="HB368" s="27" t="s">
        <v>7</v>
      </c>
      <c r="II368" s="27" t="s">
        <v>8</v>
      </c>
      <c r="IJ368" s="27" t="s">
        <v>7</v>
      </c>
    </row>
    <row r="369" spans="1:246" x14ac:dyDescent="0.25">
      <c r="A369" s="7">
        <v>74.961357735566622</v>
      </c>
      <c r="B369"/>
      <c r="C369"/>
      <c r="D369"/>
      <c r="E369" t="s">
        <v>8</v>
      </c>
      <c r="F369" s="27" t="s">
        <v>7</v>
      </c>
      <c r="G369" s="27" t="s">
        <v>8</v>
      </c>
      <c r="L369" s="27" t="s">
        <v>7</v>
      </c>
      <c r="Y369" s="27" t="s">
        <v>8</v>
      </c>
      <c r="Z369" s="27" t="s">
        <v>7</v>
      </c>
      <c r="AO369" s="27" t="s">
        <v>8</v>
      </c>
      <c r="AP369" s="27" t="s">
        <v>7</v>
      </c>
      <c r="AS369" s="27" t="s">
        <v>8</v>
      </c>
      <c r="AT369" s="27" t="s">
        <v>7</v>
      </c>
      <c r="AU369" s="27" t="s">
        <v>8</v>
      </c>
      <c r="AV369" s="27" t="s">
        <v>7</v>
      </c>
      <c r="AW369" s="27" t="s">
        <v>8</v>
      </c>
      <c r="AX369" s="27" t="s">
        <v>7</v>
      </c>
      <c r="BO369" s="27" t="s">
        <v>8</v>
      </c>
      <c r="BP369" s="27" t="s">
        <v>7</v>
      </c>
      <c r="BR369" s="27" t="s">
        <v>7</v>
      </c>
      <c r="BS369" s="27" t="s">
        <v>8</v>
      </c>
      <c r="HB369" s="27" t="s">
        <v>7</v>
      </c>
      <c r="II369" s="27" t="s">
        <v>8</v>
      </c>
      <c r="IJ369" s="27" t="s">
        <v>7</v>
      </c>
    </row>
    <row r="370" spans="1:246" x14ac:dyDescent="0.25">
      <c r="A370" s="7">
        <v>73.491527191731976</v>
      </c>
      <c r="B370"/>
      <c r="C370"/>
      <c r="D370"/>
      <c r="E370" t="s">
        <v>8</v>
      </c>
      <c r="F370" s="27" t="s">
        <v>7</v>
      </c>
      <c r="G370" s="27" t="s">
        <v>8</v>
      </c>
      <c r="L370" s="27" t="s">
        <v>7</v>
      </c>
      <c r="Y370" s="27" t="s">
        <v>8</v>
      </c>
      <c r="Z370" s="27" t="s">
        <v>7</v>
      </c>
      <c r="AO370" s="27" t="s">
        <v>8</v>
      </c>
      <c r="AP370" s="27" t="s">
        <v>7</v>
      </c>
      <c r="AS370" s="27" t="s">
        <v>8</v>
      </c>
      <c r="AT370" s="27" t="s">
        <v>7</v>
      </c>
      <c r="AU370" s="27" t="s">
        <v>8</v>
      </c>
      <c r="AV370" s="27" t="s">
        <v>7</v>
      </c>
      <c r="AW370" s="27" t="s">
        <v>8</v>
      </c>
      <c r="AX370" s="27" t="s">
        <v>7</v>
      </c>
      <c r="BA370" s="27" t="s">
        <v>8</v>
      </c>
      <c r="BI370" s="27" t="s">
        <v>8</v>
      </c>
      <c r="BM370" s="27" t="s">
        <v>8</v>
      </c>
      <c r="BO370" s="27" t="s">
        <v>8</v>
      </c>
      <c r="BR370" s="27" t="s">
        <v>7</v>
      </c>
      <c r="BS370" s="27" t="s">
        <v>8</v>
      </c>
      <c r="HB370" s="27" t="s">
        <v>7</v>
      </c>
      <c r="II370" s="27" t="s">
        <v>8</v>
      </c>
      <c r="IJ370" s="27" t="s">
        <v>7</v>
      </c>
    </row>
    <row r="371" spans="1:246" x14ac:dyDescent="0.25">
      <c r="A371" s="7">
        <v>72.050516854639184</v>
      </c>
      <c r="B371"/>
      <c r="C371"/>
      <c r="D371"/>
      <c r="E371" t="s">
        <v>8</v>
      </c>
      <c r="F371" s="27" t="s">
        <v>7</v>
      </c>
      <c r="G371" s="27" t="s">
        <v>8</v>
      </c>
      <c r="L371" s="27" t="s">
        <v>7</v>
      </c>
      <c r="Y371" s="27" t="s">
        <v>8</v>
      </c>
      <c r="Z371" s="27" t="s">
        <v>7</v>
      </c>
      <c r="AO371" s="27" t="s">
        <v>8</v>
      </c>
      <c r="AP371" s="27" t="s">
        <v>7</v>
      </c>
      <c r="AS371" s="27" t="s">
        <v>8</v>
      </c>
      <c r="AT371" s="27" t="s">
        <v>7</v>
      </c>
      <c r="AU371" s="27" t="s">
        <v>8</v>
      </c>
      <c r="AV371" s="27" t="s">
        <v>7</v>
      </c>
      <c r="AW371" s="27" t="s">
        <v>8</v>
      </c>
      <c r="AX371" s="27" t="s">
        <v>7</v>
      </c>
      <c r="AY371" s="27" t="s">
        <v>8</v>
      </c>
      <c r="BA371" s="27" t="s">
        <v>8</v>
      </c>
      <c r="BB371" s="27" t="s">
        <v>7</v>
      </c>
      <c r="BI371" s="27" t="s">
        <v>8</v>
      </c>
      <c r="BJ371" s="27" t="s">
        <v>7</v>
      </c>
      <c r="BM371" s="27" t="s">
        <v>8</v>
      </c>
      <c r="BN371" s="27" t="s">
        <v>7</v>
      </c>
      <c r="BO371" s="27" t="s">
        <v>8</v>
      </c>
      <c r="BR371" s="27" t="s">
        <v>7</v>
      </c>
      <c r="BS371" s="27" t="s">
        <v>8</v>
      </c>
      <c r="HB371" s="27" t="s">
        <v>7</v>
      </c>
      <c r="II371" s="27" t="s">
        <v>8</v>
      </c>
      <c r="IJ371" s="27" t="s">
        <v>7</v>
      </c>
    </row>
    <row r="372" spans="1:246" x14ac:dyDescent="0.25">
      <c r="A372" s="7">
        <v>70.637761622195271</v>
      </c>
      <c r="B372"/>
      <c r="C372"/>
      <c r="D372"/>
      <c r="E372" t="s">
        <v>8</v>
      </c>
      <c r="F372" s="27" t="s">
        <v>7</v>
      </c>
      <c r="G372" s="27" t="s">
        <v>8</v>
      </c>
      <c r="L372" s="27" t="s">
        <v>7</v>
      </c>
      <c r="Y372" s="27" t="s">
        <v>8</v>
      </c>
      <c r="Z372" s="27" t="s">
        <v>7</v>
      </c>
      <c r="AO372" s="27" t="s">
        <v>8</v>
      </c>
      <c r="AP372" s="27" t="s">
        <v>7</v>
      </c>
      <c r="AS372" s="27" t="s">
        <v>8</v>
      </c>
      <c r="AT372" s="27" t="s">
        <v>7</v>
      </c>
      <c r="AU372" s="27" t="s">
        <v>8</v>
      </c>
      <c r="AV372" s="27" t="s">
        <v>7</v>
      </c>
      <c r="AX372" s="27" t="s">
        <v>7</v>
      </c>
      <c r="AY372" s="27" t="s">
        <v>8</v>
      </c>
      <c r="AZ372" s="27" t="s">
        <v>7</v>
      </c>
      <c r="BA372" s="27" t="s">
        <v>8</v>
      </c>
      <c r="BB372" s="27" t="s">
        <v>7</v>
      </c>
      <c r="BC372" s="27" t="s">
        <v>8</v>
      </c>
      <c r="BI372" s="27" t="s">
        <v>8</v>
      </c>
      <c r="BJ372" s="27" t="s">
        <v>7</v>
      </c>
      <c r="BK372" s="27" t="s">
        <v>8</v>
      </c>
      <c r="BM372" s="27" t="s">
        <v>8</v>
      </c>
      <c r="BN372" s="27" t="s">
        <v>7</v>
      </c>
      <c r="BO372" s="27" t="s">
        <v>8</v>
      </c>
      <c r="BR372" s="27" t="s">
        <v>7</v>
      </c>
      <c r="BS372" s="27" t="s">
        <v>8</v>
      </c>
      <c r="HB372" s="27" t="s">
        <v>7</v>
      </c>
      <c r="II372" s="27" t="s">
        <v>8</v>
      </c>
      <c r="IJ372" s="27" t="s">
        <v>7</v>
      </c>
    </row>
    <row r="373" spans="1:246" x14ac:dyDescent="0.25">
      <c r="A373" s="7">
        <v>69.252707472740454</v>
      </c>
      <c r="B373"/>
      <c r="C373"/>
      <c r="D373"/>
      <c r="E373" t="s">
        <v>8</v>
      </c>
      <c r="F373" s="27" t="s">
        <v>7</v>
      </c>
      <c r="G373" s="27" t="s">
        <v>8</v>
      </c>
      <c r="L373" s="27" t="s">
        <v>7</v>
      </c>
      <c r="Y373" s="27" t="s">
        <v>8</v>
      </c>
      <c r="Z373" s="27" t="s">
        <v>7</v>
      </c>
      <c r="AO373" s="27" t="s">
        <v>8</v>
      </c>
      <c r="AP373" s="27" t="s">
        <v>7</v>
      </c>
      <c r="AS373" s="27" t="s">
        <v>8</v>
      </c>
      <c r="AT373" s="27" t="s">
        <v>7</v>
      </c>
      <c r="AU373" s="27" t="s">
        <v>8</v>
      </c>
      <c r="AX373" s="27" t="s">
        <v>7</v>
      </c>
      <c r="AY373" s="27" t="s">
        <v>8</v>
      </c>
      <c r="AZ373" s="27" t="s">
        <v>7</v>
      </c>
      <c r="BA373" s="27" t="s">
        <v>8</v>
      </c>
      <c r="BB373" s="27" t="s">
        <v>7</v>
      </c>
      <c r="BC373" s="27" t="s">
        <v>8</v>
      </c>
      <c r="BD373" s="27" t="s">
        <v>7</v>
      </c>
      <c r="BI373" s="27" t="s">
        <v>8</v>
      </c>
      <c r="BJ373" s="27" t="s">
        <v>7</v>
      </c>
      <c r="BK373" s="27" t="s">
        <v>8</v>
      </c>
      <c r="BL373" s="27" t="s">
        <v>7</v>
      </c>
      <c r="BM373" s="27" t="s">
        <v>8</v>
      </c>
      <c r="BN373" s="27" t="s">
        <v>7</v>
      </c>
      <c r="BO373" s="27" t="s">
        <v>8</v>
      </c>
      <c r="BR373" s="27" t="s">
        <v>7</v>
      </c>
      <c r="BS373" s="27" t="s">
        <v>8</v>
      </c>
      <c r="HB373" s="27" t="s">
        <v>7</v>
      </c>
      <c r="II373" s="27" t="s">
        <v>8</v>
      </c>
      <c r="IJ373" s="27" t="s">
        <v>7</v>
      </c>
    </row>
    <row r="374" spans="1:246" x14ac:dyDescent="0.25">
      <c r="A374" s="7">
        <v>67.894811247784759</v>
      </c>
      <c r="B374"/>
      <c r="C374"/>
      <c r="D374"/>
      <c r="E374" t="s">
        <v>8</v>
      </c>
      <c r="F374" s="27" t="s">
        <v>7</v>
      </c>
      <c r="G374" s="27" t="s">
        <v>8</v>
      </c>
      <c r="L374" s="27" t="s">
        <v>7</v>
      </c>
      <c r="Y374" s="27" t="s">
        <v>8</v>
      </c>
      <c r="Z374" s="27" t="s">
        <v>7</v>
      </c>
      <c r="AO374" s="27" t="s">
        <v>8</v>
      </c>
      <c r="AP374" s="27" t="s">
        <v>7</v>
      </c>
      <c r="AS374" s="27" t="s">
        <v>8</v>
      </c>
      <c r="AT374" s="27" t="s">
        <v>7</v>
      </c>
      <c r="AU374" s="27" t="s">
        <v>8</v>
      </c>
      <c r="AX374" s="27" t="s">
        <v>7</v>
      </c>
      <c r="AY374" s="27" t="s">
        <v>8</v>
      </c>
      <c r="AZ374" s="27" t="s">
        <v>7</v>
      </c>
      <c r="BA374" s="27" t="s">
        <v>8</v>
      </c>
      <c r="BB374" s="27" t="s">
        <v>7</v>
      </c>
      <c r="BC374" s="27" t="s">
        <v>8</v>
      </c>
      <c r="BD374" s="27" t="s">
        <v>7</v>
      </c>
      <c r="BI374" s="27" t="s">
        <v>8</v>
      </c>
      <c r="BJ374" s="27" t="s">
        <v>7</v>
      </c>
      <c r="BK374" s="27" t="s">
        <v>8</v>
      </c>
      <c r="BL374" s="27" t="s">
        <v>7</v>
      </c>
      <c r="BM374" s="27" t="s">
        <v>8</v>
      </c>
      <c r="BN374" s="27" t="s">
        <v>7</v>
      </c>
      <c r="BO374" s="27" t="s">
        <v>8</v>
      </c>
      <c r="BR374" s="27" t="s">
        <v>7</v>
      </c>
      <c r="BS374" s="27" t="s">
        <v>8</v>
      </c>
      <c r="HB374" s="27" t="s">
        <v>7</v>
      </c>
      <c r="II374" s="27" t="s">
        <v>8</v>
      </c>
      <c r="IJ374" s="27" t="s">
        <v>7</v>
      </c>
      <c r="IK374" s="27" t="s">
        <v>8</v>
      </c>
    </row>
    <row r="375" spans="1:246" x14ac:dyDescent="0.25">
      <c r="A375" s="7">
        <v>66.563540439004669</v>
      </c>
      <c r="B375"/>
      <c r="C375"/>
      <c r="D375"/>
      <c r="E375" t="s">
        <v>8</v>
      </c>
      <c r="F375" s="27" t="s">
        <v>7</v>
      </c>
      <c r="G375" s="27" t="s">
        <v>8</v>
      </c>
      <c r="L375" s="27" t="s">
        <v>7</v>
      </c>
      <c r="Y375" s="27" t="s">
        <v>8</v>
      </c>
      <c r="Z375" s="27" t="s">
        <v>7</v>
      </c>
      <c r="AO375" s="27" t="s">
        <v>8</v>
      </c>
      <c r="AP375" s="27" t="s">
        <v>7</v>
      </c>
      <c r="AS375" s="27" t="s">
        <v>8</v>
      </c>
      <c r="AT375" s="27" t="s">
        <v>7</v>
      </c>
      <c r="AX375" s="27" t="s">
        <v>7</v>
      </c>
      <c r="AY375" s="27" t="s">
        <v>8</v>
      </c>
      <c r="AZ375" s="27" t="s">
        <v>7</v>
      </c>
      <c r="BA375" s="27" t="s">
        <v>8</v>
      </c>
      <c r="BB375" s="27" t="s">
        <v>7</v>
      </c>
      <c r="BC375" s="27" t="s">
        <v>8</v>
      </c>
      <c r="BD375" s="27" t="s">
        <v>7</v>
      </c>
      <c r="BG375" s="27" t="s">
        <v>8</v>
      </c>
      <c r="BI375" s="27" t="s">
        <v>8</v>
      </c>
      <c r="BJ375" s="27" t="s">
        <v>7</v>
      </c>
      <c r="BK375" s="27" t="s">
        <v>8</v>
      </c>
      <c r="BL375" s="27" t="s">
        <v>7</v>
      </c>
      <c r="BM375" s="27" t="s">
        <v>8</v>
      </c>
      <c r="BN375" s="27" t="s">
        <v>7</v>
      </c>
      <c r="BO375" s="27" t="s">
        <v>8</v>
      </c>
      <c r="BR375" s="27" t="s">
        <v>7</v>
      </c>
      <c r="BS375" s="27" t="s">
        <v>8</v>
      </c>
      <c r="HB375" s="27" t="s">
        <v>7</v>
      </c>
      <c r="II375" s="27" t="s">
        <v>8</v>
      </c>
      <c r="IJ375" s="27" t="s">
        <v>7</v>
      </c>
      <c r="IK375" s="27" t="s">
        <v>8</v>
      </c>
      <c r="IL375" s="27" t="s">
        <v>7</v>
      </c>
    </row>
    <row r="376" spans="1:246" x14ac:dyDescent="0.25">
      <c r="A376" s="7">
        <v>65.258372979416336</v>
      </c>
      <c r="B376"/>
      <c r="C376"/>
      <c r="D376"/>
      <c r="E376" t="s">
        <v>8</v>
      </c>
      <c r="F376" s="27" t="s">
        <v>7</v>
      </c>
      <c r="G376" s="27" t="s">
        <v>8</v>
      </c>
      <c r="L376" s="27" t="s">
        <v>7</v>
      </c>
      <c r="Y376" s="27" t="s">
        <v>8</v>
      </c>
      <c r="Z376" s="27" t="s">
        <v>7</v>
      </c>
      <c r="AO376" s="27" t="s">
        <v>8</v>
      </c>
      <c r="AP376" s="27" t="s">
        <v>7</v>
      </c>
      <c r="AS376" s="27" t="s">
        <v>8</v>
      </c>
      <c r="AX376" s="27" t="s">
        <v>7</v>
      </c>
      <c r="AY376" s="27" t="s">
        <v>8</v>
      </c>
      <c r="AZ376" s="27" t="s">
        <v>7</v>
      </c>
      <c r="BA376" s="27" t="s">
        <v>8</v>
      </c>
      <c r="BB376" s="27" t="s">
        <v>7</v>
      </c>
      <c r="BC376" s="27" t="s">
        <v>8</v>
      </c>
      <c r="BD376" s="27" t="s">
        <v>7</v>
      </c>
      <c r="BG376" s="27" t="s">
        <v>8</v>
      </c>
      <c r="BH376" s="27" t="s">
        <v>7</v>
      </c>
      <c r="BI376" s="27" t="s">
        <v>8</v>
      </c>
      <c r="BJ376" s="27" t="s">
        <v>7</v>
      </c>
      <c r="BK376" s="27" t="s">
        <v>8</v>
      </c>
      <c r="BL376" s="27" t="s">
        <v>7</v>
      </c>
      <c r="BM376" s="27" t="s">
        <v>8</v>
      </c>
      <c r="BN376" s="27" t="s">
        <v>7</v>
      </c>
      <c r="BO376" s="27" t="s">
        <v>8</v>
      </c>
      <c r="BR376" s="27" t="s">
        <v>7</v>
      </c>
      <c r="BS376" s="27" t="s">
        <v>8</v>
      </c>
      <c r="HB376" s="27" t="s">
        <v>7</v>
      </c>
      <c r="II376" s="27" t="s">
        <v>8</v>
      </c>
      <c r="IJ376" s="27" t="s">
        <v>7</v>
      </c>
      <c r="IK376" s="27" t="s">
        <v>8</v>
      </c>
      <c r="IL376" s="27" t="s">
        <v>7</v>
      </c>
    </row>
    <row r="377" spans="1:246" x14ac:dyDescent="0.25">
      <c r="A377" s="7">
        <v>63.978797038643471</v>
      </c>
      <c r="B377"/>
      <c r="C377"/>
      <c r="D377"/>
      <c r="E377" t="s">
        <v>8</v>
      </c>
      <c r="F377" s="27" t="s">
        <v>7</v>
      </c>
      <c r="G377" s="27" t="s">
        <v>8</v>
      </c>
      <c r="L377" s="27" t="s">
        <v>7</v>
      </c>
      <c r="Y377" s="27" t="s">
        <v>8</v>
      </c>
      <c r="Z377" s="27" t="s">
        <v>7</v>
      </c>
      <c r="AO377" s="27" t="s">
        <v>8</v>
      </c>
      <c r="AP377" s="27" t="s">
        <v>7</v>
      </c>
      <c r="AS377" s="27" t="s">
        <v>8</v>
      </c>
      <c r="AX377" s="27" t="s">
        <v>7</v>
      </c>
      <c r="AY377" s="27" t="s">
        <v>8</v>
      </c>
      <c r="AZ377" s="27" t="s">
        <v>7</v>
      </c>
      <c r="BA377" s="27" t="s">
        <v>8</v>
      </c>
      <c r="BB377" s="27" t="s">
        <v>7</v>
      </c>
      <c r="BC377" s="27" t="s">
        <v>8</v>
      </c>
      <c r="BD377" s="27" t="s">
        <v>7</v>
      </c>
      <c r="BG377" s="27" t="s">
        <v>8</v>
      </c>
      <c r="BH377" s="27" t="s">
        <v>7</v>
      </c>
      <c r="BI377" s="27" t="s">
        <v>8</v>
      </c>
      <c r="BJ377" s="27" t="s">
        <v>7</v>
      </c>
      <c r="BK377" s="27" t="s">
        <v>8</v>
      </c>
      <c r="BL377" s="27" t="s">
        <v>7</v>
      </c>
      <c r="BM377" s="27" t="s">
        <v>8</v>
      </c>
      <c r="BN377" s="27" t="s">
        <v>7</v>
      </c>
      <c r="BO377" s="27" t="s">
        <v>8</v>
      </c>
      <c r="BR377" s="27" t="s">
        <v>7</v>
      </c>
      <c r="BS377" s="27" t="s">
        <v>8</v>
      </c>
      <c r="HB377" s="27" t="s">
        <v>7</v>
      </c>
      <c r="HG377" s="27" t="s">
        <v>8</v>
      </c>
      <c r="II377" s="27" t="s">
        <v>8</v>
      </c>
      <c r="IJ377" s="27" t="s">
        <v>7</v>
      </c>
      <c r="IK377" s="27" t="s">
        <v>8</v>
      </c>
      <c r="IL377" s="27" t="s">
        <v>7</v>
      </c>
    </row>
    <row r="378" spans="1:246" x14ac:dyDescent="0.25">
      <c r="A378" s="7">
        <v>62.724310822199477</v>
      </c>
      <c r="B378"/>
      <c r="C378"/>
      <c r="D378"/>
      <c r="E378" t="s">
        <v>8</v>
      </c>
      <c r="F378" s="27" t="s">
        <v>7</v>
      </c>
      <c r="G378" s="27" t="s">
        <v>8</v>
      </c>
      <c r="L378" s="27" t="s">
        <v>7</v>
      </c>
      <c r="Y378" s="27" t="s">
        <v>8</v>
      </c>
      <c r="Z378" s="27" t="s">
        <v>7</v>
      </c>
      <c r="AO378" s="27" t="s">
        <v>8</v>
      </c>
      <c r="AP378" s="27" t="s">
        <v>7</v>
      </c>
      <c r="AQ378" s="27" t="s">
        <v>8</v>
      </c>
      <c r="AS378" s="27" t="s">
        <v>8</v>
      </c>
      <c r="AX378" s="27" t="s">
        <v>7</v>
      </c>
      <c r="AY378" s="27" t="s">
        <v>8</v>
      </c>
      <c r="AZ378" s="27" t="s">
        <v>7</v>
      </c>
      <c r="BA378" s="27" t="s">
        <v>8</v>
      </c>
      <c r="BB378" s="27" t="s">
        <v>7</v>
      </c>
      <c r="BC378" s="27" t="s">
        <v>8</v>
      </c>
      <c r="BD378" s="27" t="s">
        <v>7</v>
      </c>
      <c r="BG378" s="27" t="s">
        <v>8</v>
      </c>
      <c r="BH378" s="27" t="s">
        <v>7</v>
      </c>
      <c r="BI378" s="27" t="s">
        <v>8</v>
      </c>
      <c r="BJ378" s="27" t="s">
        <v>7</v>
      </c>
      <c r="BK378" s="27" t="s">
        <v>8</v>
      </c>
      <c r="BL378" s="27" t="s">
        <v>7</v>
      </c>
      <c r="BN378" s="27" t="s">
        <v>7</v>
      </c>
      <c r="BO378" s="27" t="s">
        <v>8</v>
      </c>
      <c r="BR378" s="27" t="s">
        <v>7</v>
      </c>
      <c r="BS378" s="27" t="s">
        <v>8</v>
      </c>
      <c r="HB378" s="27" t="s">
        <v>7</v>
      </c>
      <c r="HG378" s="27" t="s">
        <v>8</v>
      </c>
      <c r="HH378" s="27" t="s">
        <v>7</v>
      </c>
      <c r="II378" s="27" t="s">
        <v>8</v>
      </c>
      <c r="IJ378" s="27" t="s">
        <v>7</v>
      </c>
      <c r="IK378" s="27" t="s">
        <v>8</v>
      </c>
      <c r="IL378" s="27" t="s">
        <v>7</v>
      </c>
    </row>
    <row r="379" spans="1:246" x14ac:dyDescent="0.25">
      <c r="A379" s="7">
        <v>61.494422374705366</v>
      </c>
      <c r="B379"/>
      <c r="C379"/>
      <c r="D379"/>
      <c r="E379" t="s">
        <v>8</v>
      </c>
      <c r="F379" s="27" t="s">
        <v>7</v>
      </c>
      <c r="G379" s="27" t="s">
        <v>8</v>
      </c>
      <c r="L379" s="27" t="s">
        <v>7</v>
      </c>
      <c r="Y379" s="27" t="s">
        <v>8</v>
      </c>
      <c r="Z379" s="27" t="s">
        <v>7</v>
      </c>
      <c r="AC379" s="27" t="s">
        <v>8</v>
      </c>
      <c r="AM379" s="27" t="s">
        <v>8</v>
      </c>
      <c r="AO379" s="27" t="s">
        <v>8</v>
      </c>
      <c r="AP379" s="27" t="s">
        <v>7</v>
      </c>
      <c r="AQ379" s="27" t="s">
        <v>8</v>
      </c>
      <c r="AR379" s="27" t="s">
        <v>7</v>
      </c>
      <c r="AS379" s="27" t="s">
        <v>8</v>
      </c>
      <c r="AX379" s="27" t="s">
        <v>7</v>
      </c>
      <c r="AY379" s="27" t="s">
        <v>8</v>
      </c>
      <c r="AZ379" s="27" t="s">
        <v>7</v>
      </c>
      <c r="BA379" s="27" t="s">
        <v>8</v>
      </c>
      <c r="BB379" s="27" t="s">
        <v>7</v>
      </c>
      <c r="BD379" s="27" t="s">
        <v>7</v>
      </c>
      <c r="BE379" s="27" t="s">
        <v>8</v>
      </c>
      <c r="BG379" s="27" t="s">
        <v>8</v>
      </c>
      <c r="BH379" s="27" t="s">
        <v>7</v>
      </c>
      <c r="BI379" s="27" t="s">
        <v>8</v>
      </c>
      <c r="BJ379" s="27" t="s">
        <v>7</v>
      </c>
      <c r="BK379" s="27" t="s">
        <v>8</v>
      </c>
      <c r="BN379" s="27" t="s">
        <v>7</v>
      </c>
      <c r="BO379" s="27" t="s">
        <v>8</v>
      </c>
      <c r="BR379" s="27" t="s">
        <v>7</v>
      </c>
      <c r="BS379" s="27" t="s">
        <v>8</v>
      </c>
      <c r="HB379" s="27" t="s">
        <v>7</v>
      </c>
      <c r="HG379" s="27" t="s">
        <v>8</v>
      </c>
      <c r="HH379" s="27" t="s">
        <v>7</v>
      </c>
      <c r="II379" s="27" t="s">
        <v>8</v>
      </c>
      <c r="IJ379" s="27" t="s">
        <v>7</v>
      </c>
      <c r="IK379" s="27" t="s">
        <v>8</v>
      </c>
      <c r="IL379" s="27" t="s">
        <v>7</v>
      </c>
    </row>
    <row r="380" spans="1:246" x14ac:dyDescent="0.25">
      <c r="A380" s="7">
        <v>60.288649386966043</v>
      </c>
      <c r="B380"/>
      <c r="C380"/>
      <c r="D380"/>
      <c r="E380" t="s">
        <v>8</v>
      </c>
      <c r="F380" s="27" t="s">
        <v>7</v>
      </c>
      <c r="G380" s="27" t="s">
        <v>8</v>
      </c>
      <c r="L380" s="27" t="s">
        <v>7</v>
      </c>
      <c r="Y380" s="27" t="s">
        <v>8</v>
      </c>
      <c r="Z380" s="27" t="s">
        <v>7</v>
      </c>
      <c r="AC380" s="27" t="s">
        <v>8</v>
      </c>
      <c r="AD380" s="27" t="s">
        <v>7</v>
      </c>
      <c r="AM380" s="27" t="s">
        <v>8</v>
      </c>
      <c r="AN380" s="27" t="s">
        <v>7</v>
      </c>
      <c r="AO380" s="27" t="s">
        <v>8</v>
      </c>
      <c r="AP380" s="27" t="s">
        <v>7</v>
      </c>
      <c r="AQ380" s="27" t="s">
        <v>8</v>
      </c>
      <c r="AR380" s="27" t="s">
        <v>7</v>
      </c>
      <c r="AS380" s="27" t="s">
        <v>8</v>
      </c>
      <c r="AX380" s="27" t="s">
        <v>7</v>
      </c>
      <c r="AY380" s="27" t="s">
        <v>8</v>
      </c>
      <c r="AZ380" s="27" t="s">
        <v>7</v>
      </c>
      <c r="BA380" s="27" t="s">
        <v>8</v>
      </c>
      <c r="BD380" s="27" t="s">
        <v>7</v>
      </c>
      <c r="BE380" s="27" t="s">
        <v>8</v>
      </c>
      <c r="BF380" s="27" t="s">
        <v>7</v>
      </c>
      <c r="BG380" s="27" t="s">
        <v>8</v>
      </c>
      <c r="BH380" s="27" t="s">
        <v>7</v>
      </c>
      <c r="BI380" s="27" t="s">
        <v>8</v>
      </c>
      <c r="BJ380" s="27" t="s">
        <v>7</v>
      </c>
      <c r="BK380" s="27" t="s">
        <v>8</v>
      </c>
      <c r="BN380" s="27" t="s">
        <v>7</v>
      </c>
      <c r="BO380" s="27" t="s">
        <v>8</v>
      </c>
      <c r="BR380" s="27" t="s">
        <v>7</v>
      </c>
      <c r="BS380" s="27" t="s">
        <v>8</v>
      </c>
      <c r="HB380" s="27" t="s">
        <v>7</v>
      </c>
      <c r="HG380" s="27" t="s">
        <v>8</v>
      </c>
      <c r="HH380" s="27" t="s">
        <v>7</v>
      </c>
      <c r="II380" s="27" t="s">
        <v>8</v>
      </c>
      <c r="IJ380" s="27" t="s">
        <v>7</v>
      </c>
      <c r="IK380" s="27" t="s">
        <v>8</v>
      </c>
      <c r="IL380" s="27" t="s">
        <v>7</v>
      </c>
    </row>
    <row r="381" spans="1:246" x14ac:dyDescent="0.25">
      <c r="A381" s="7">
        <v>59.106519006829451</v>
      </c>
      <c r="B381"/>
      <c r="C381"/>
      <c r="D381"/>
      <c r="E381" t="s">
        <v>8</v>
      </c>
      <c r="F381" s="27" t="s">
        <v>7</v>
      </c>
      <c r="G381" s="27" t="s">
        <v>8</v>
      </c>
      <c r="L381" s="27" t="s">
        <v>7</v>
      </c>
      <c r="Y381" s="27" t="s">
        <v>8</v>
      </c>
      <c r="Z381" s="27" t="s">
        <v>7</v>
      </c>
      <c r="AC381" s="27" t="s">
        <v>8</v>
      </c>
      <c r="AD381" s="27" t="s">
        <v>7</v>
      </c>
      <c r="AM381" s="27" t="s">
        <v>8</v>
      </c>
      <c r="AN381" s="27" t="s">
        <v>7</v>
      </c>
      <c r="AO381" s="27" t="s">
        <v>8</v>
      </c>
      <c r="AP381" s="27" t="s">
        <v>7</v>
      </c>
      <c r="AQ381" s="27" t="s">
        <v>8</v>
      </c>
      <c r="AR381" s="27" t="s">
        <v>7</v>
      </c>
      <c r="AS381" s="27" t="s">
        <v>8</v>
      </c>
      <c r="AX381" s="27" t="s">
        <v>7</v>
      </c>
      <c r="AY381" s="27" t="s">
        <v>8</v>
      </c>
      <c r="AZ381" s="27" t="s">
        <v>7</v>
      </c>
      <c r="BD381" s="27" t="s">
        <v>7</v>
      </c>
      <c r="BE381" s="27" t="s">
        <v>8</v>
      </c>
      <c r="BF381" s="27" t="s">
        <v>7</v>
      </c>
      <c r="BG381" s="27" t="s">
        <v>8</v>
      </c>
      <c r="BH381" s="27" t="s">
        <v>7</v>
      </c>
      <c r="BI381" s="27" t="s">
        <v>8</v>
      </c>
      <c r="BJ381" s="27" t="s">
        <v>7</v>
      </c>
      <c r="BK381" s="27" t="s">
        <v>8</v>
      </c>
      <c r="BN381" s="27" t="s">
        <v>7</v>
      </c>
      <c r="BO381" s="27" t="s">
        <v>8</v>
      </c>
      <c r="BR381" s="27" t="s">
        <v>7</v>
      </c>
      <c r="BS381" s="27" t="s">
        <v>8</v>
      </c>
      <c r="HB381" s="27" t="s">
        <v>7</v>
      </c>
      <c r="HG381" s="27" t="s">
        <v>8</v>
      </c>
      <c r="HH381" s="27" t="s">
        <v>7</v>
      </c>
      <c r="II381" s="27" t="s">
        <v>8</v>
      </c>
      <c r="IJ381" s="27" t="s">
        <v>7</v>
      </c>
      <c r="IK381" s="27" t="s">
        <v>8</v>
      </c>
      <c r="IL381" s="27" t="s">
        <v>7</v>
      </c>
    </row>
    <row r="382" spans="1:246" x14ac:dyDescent="0.25">
      <c r="A382" s="7">
        <v>57.947567653754362</v>
      </c>
      <c r="B382"/>
      <c r="C382"/>
      <c r="D382"/>
      <c r="E382" t="s">
        <v>8</v>
      </c>
      <c r="F382" s="27" t="s">
        <v>7</v>
      </c>
      <c r="G382" s="27" t="s">
        <v>8</v>
      </c>
      <c r="L382" s="27" t="s">
        <v>7</v>
      </c>
      <c r="Y382" s="27" t="s">
        <v>8</v>
      </c>
      <c r="Z382" s="27" t="s">
        <v>7</v>
      </c>
      <c r="AC382" s="27" t="s">
        <v>8</v>
      </c>
      <c r="AD382" s="27" t="s">
        <v>7</v>
      </c>
      <c r="AM382" s="27" t="s">
        <v>8</v>
      </c>
      <c r="AN382" s="27" t="s">
        <v>7</v>
      </c>
      <c r="AO382" s="27" t="s">
        <v>8</v>
      </c>
      <c r="AP382" s="27" t="s">
        <v>7</v>
      </c>
      <c r="AR382" s="27" t="s">
        <v>7</v>
      </c>
      <c r="AS382" s="27" t="s">
        <v>8</v>
      </c>
      <c r="AX382" s="27" t="s">
        <v>7</v>
      </c>
      <c r="AY382" s="27" t="s">
        <v>8</v>
      </c>
      <c r="BD382" s="27" t="s">
        <v>7</v>
      </c>
      <c r="BE382" s="27" t="s">
        <v>8</v>
      </c>
      <c r="BF382" s="27" t="s">
        <v>7</v>
      </c>
      <c r="BG382" s="27" t="s">
        <v>8</v>
      </c>
      <c r="BH382" s="27" t="s">
        <v>7</v>
      </c>
      <c r="BI382" s="27" t="s">
        <v>8</v>
      </c>
      <c r="BJ382" s="27" t="s">
        <v>7</v>
      </c>
      <c r="BN382" s="27" t="s">
        <v>7</v>
      </c>
      <c r="BO382" s="27" t="s">
        <v>8</v>
      </c>
      <c r="BR382" s="27" t="s">
        <v>7</v>
      </c>
      <c r="HB382" s="27" t="s">
        <v>7</v>
      </c>
      <c r="HC382" s="27" t="s">
        <v>8</v>
      </c>
      <c r="HG382" s="27" t="s">
        <v>8</v>
      </c>
      <c r="HH382" s="27" t="s">
        <v>7</v>
      </c>
      <c r="II382" s="27" t="s">
        <v>8</v>
      </c>
      <c r="IJ382" s="27" t="s">
        <v>7</v>
      </c>
      <c r="IK382" s="27" t="s">
        <v>8</v>
      </c>
      <c r="IL382" s="27" t="s">
        <v>7</v>
      </c>
    </row>
    <row r="383" spans="1:246" x14ac:dyDescent="0.25">
      <c r="A383" s="7">
        <v>56.811340837014079</v>
      </c>
      <c r="B383"/>
      <c r="C383"/>
      <c r="D383"/>
      <c r="E383" t="s">
        <v>8</v>
      </c>
      <c r="F383" s="27" t="s">
        <v>7</v>
      </c>
      <c r="G383" s="27" t="s">
        <v>8</v>
      </c>
      <c r="L383" s="27" t="s">
        <v>7</v>
      </c>
      <c r="Y383" s="27" t="s">
        <v>8</v>
      </c>
      <c r="Z383" s="27" t="s">
        <v>7</v>
      </c>
      <c r="AC383" s="27" t="s">
        <v>8</v>
      </c>
      <c r="AD383" s="27" t="s">
        <v>7</v>
      </c>
      <c r="AM383" s="27" t="s">
        <v>8</v>
      </c>
      <c r="AN383" s="27" t="s">
        <v>7</v>
      </c>
      <c r="AO383" s="27" t="s">
        <v>8</v>
      </c>
      <c r="AR383" s="27" t="s">
        <v>7</v>
      </c>
      <c r="AS383" s="27" t="s">
        <v>8</v>
      </c>
      <c r="AX383" s="27" t="s">
        <v>7</v>
      </c>
      <c r="AY383" s="27" t="s">
        <v>8</v>
      </c>
      <c r="BD383" s="27" t="s">
        <v>7</v>
      </c>
      <c r="BF383" s="27" t="s">
        <v>7</v>
      </c>
      <c r="BG383" s="27" t="s">
        <v>8</v>
      </c>
      <c r="BH383" s="27" t="s">
        <v>7</v>
      </c>
      <c r="BI383" s="27" t="s">
        <v>8</v>
      </c>
      <c r="BN383" s="27" t="s">
        <v>7</v>
      </c>
      <c r="HB383" s="27" t="s">
        <v>7</v>
      </c>
      <c r="HC383" s="27" t="s">
        <v>8</v>
      </c>
      <c r="HD383" s="27" t="s">
        <v>7</v>
      </c>
      <c r="HG383" s="27" t="s">
        <v>8</v>
      </c>
      <c r="HH383" s="27" t="s">
        <v>7</v>
      </c>
      <c r="II383" s="27" t="s">
        <v>8</v>
      </c>
      <c r="IJ383" s="27" t="s">
        <v>7</v>
      </c>
      <c r="IK383" s="27" t="s">
        <v>8</v>
      </c>
      <c r="IL383" s="27" t="s">
        <v>7</v>
      </c>
    </row>
    <row r="384" spans="1:246" x14ac:dyDescent="0.25">
      <c r="A384" s="7">
        <v>55.69739297746478</v>
      </c>
      <c r="B384"/>
      <c r="C384"/>
      <c r="D384"/>
      <c r="E384" t="s">
        <v>8</v>
      </c>
      <c r="F384" s="27" t="s">
        <v>7</v>
      </c>
      <c r="G384" s="27" t="s">
        <v>8</v>
      </c>
      <c r="L384" s="27" t="s">
        <v>7</v>
      </c>
      <c r="Y384" s="27" t="s">
        <v>8</v>
      </c>
      <c r="Z384" s="27" t="s">
        <v>7</v>
      </c>
      <c r="AC384" s="27" t="s">
        <v>8</v>
      </c>
      <c r="AD384" s="27" t="s">
        <v>7</v>
      </c>
      <c r="AM384" s="27" t="s">
        <v>8</v>
      </c>
      <c r="AN384" s="27" t="s">
        <v>7</v>
      </c>
      <c r="AO384" s="27" t="s">
        <v>8</v>
      </c>
      <c r="AR384" s="27" t="s">
        <v>7</v>
      </c>
      <c r="AX384" s="27" t="s">
        <v>7</v>
      </c>
      <c r="BF384" s="27" t="s">
        <v>7</v>
      </c>
      <c r="BG384" s="27" t="s">
        <v>8</v>
      </c>
      <c r="BH384" s="27" t="s">
        <v>7</v>
      </c>
      <c r="BI384" s="27" t="s">
        <v>8</v>
      </c>
      <c r="HB384" s="27" t="s">
        <v>7</v>
      </c>
      <c r="HC384" s="27" t="s">
        <v>8</v>
      </c>
      <c r="HD384" s="27" t="s">
        <v>7</v>
      </c>
      <c r="HG384" s="27" t="s">
        <v>8</v>
      </c>
      <c r="HH384" s="27" t="s">
        <v>7</v>
      </c>
      <c r="II384" s="27" t="s">
        <v>8</v>
      </c>
      <c r="IJ384" s="27" t="s">
        <v>7</v>
      </c>
      <c r="IK384" s="27" t="s">
        <v>8</v>
      </c>
      <c r="IL384" s="27" t="s">
        <v>7</v>
      </c>
    </row>
    <row r="385" spans="1:250" x14ac:dyDescent="0.25">
      <c r="A385" s="7">
        <v>54.605287232808607</v>
      </c>
      <c r="B385"/>
      <c r="C385"/>
      <c r="D385"/>
      <c r="E385" t="s">
        <v>8</v>
      </c>
      <c r="F385" s="27" t="s">
        <v>7</v>
      </c>
      <c r="G385" s="27" t="s">
        <v>8</v>
      </c>
      <c r="L385" s="27" t="s">
        <v>7</v>
      </c>
      <c r="Y385" s="27" t="s">
        <v>8</v>
      </c>
      <c r="Z385" s="27" t="s">
        <v>7</v>
      </c>
      <c r="AC385" s="27" t="s">
        <v>8</v>
      </c>
      <c r="AD385" s="27" t="s">
        <v>7</v>
      </c>
      <c r="AE385" s="27" t="s">
        <v>8</v>
      </c>
      <c r="AM385" s="27" t="s">
        <v>8</v>
      </c>
      <c r="AN385" s="27" t="s">
        <v>7</v>
      </c>
      <c r="AO385" s="27" t="s">
        <v>8</v>
      </c>
      <c r="BF385" s="27" t="s">
        <v>7</v>
      </c>
      <c r="BG385" s="27" t="s">
        <v>8</v>
      </c>
      <c r="BH385" s="27" t="s">
        <v>7</v>
      </c>
      <c r="BI385" s="27" t="s">
        <v>8</v>
      </c>
      <c r="HB385" s="27" t="s">
        <v>7</v>
      </c>
      <c r="HC385" s="27" t="s">
        <v>8</v>
      </c>
      <c r="HD385" s="27" t="s">
        <v>7</v>
      </c>
      <c r="HG385" s="27" t="s">
        <v>8</v>
      </c>
      <c r="HH385" s="27" t="s">
        <v>7</v>
      </c>
      <c r="II385" s="27" t="s">
        <v>8</v>
      </c>
      <c r="IJ385" s="27" t="s">
        <v>7</v>
      </c>
      <c r="IK385" s="27" t="s">
        <v>8</v>
      </c>
      <c r="IL385" s="27" t="s">
        <v>7</v>
      </c>
      <c r="IM385" s="27" t="s">
        <v>8</v>
      </c>
    </row>
    <row r="386" spans="1:250" x14ac:dyDescent="0.25">
      <c r="A386" s="7">
        <v>53.534595326282947</v>
      </c>
      <c r="B386"/>
      <c r="C386"/>
      <c r="D386"/>
      <c r="E386" t="s">
        <v>8</v>
      </c>
      <c r="F386" s="27" t="s">
        <v>7</v>
      </c>
      <c r="G386" s="27" t="s">
        <v>8</v>
      </c>
      <c r="L386" s="27" t="s">
        <v>7</v>
      </c>
      <c r="Y386" s="27" t="s">
        <v>8</v>
      </c>
      <c r="Z386" s="27" t="s">
        <v>7</v>
      </c>
      <c r="AC386" s="27" t="s">
        <v>8</v>
      </c>
      <c r="AD386" s="27" t="s">
        <v>7</v>
      </c>
      <c r="AE386" s="27" t="s">
        <v>8</v>
      </c>
      <c r="AF386" s="27" t="s">
        <v>7</v>
      </c>
      <c r="AM386" s="27" t="s">
        <v>8</v>
      </c>
      <c r="AN386" s="27" t="s">
        <v>7</v>
      </c>
      <c r="AO386" s="27" t="s">
        <v>8</v>
      </c>
      <c r="BF386" s="27" t="s">
        <v>7</v>
      </c>
      <c r="BG386" s="27" t="s">
        <v>8</v>
      </c>
      <c r="BH386" s="27" t="s">
        <v>7</v>
      </c>
      <c r="BI386" s="27" t="s">
        <v>8</v>
      </c>
      <c r="HB386" s="27" t="s">
        <v>7</v>
      </c>
      <c r="HC386" s="27" t="s">
        <v>8</v>
      </c>
      <c r="HD386" s="27" t="s">
        <v>7</v>
      </c>
      <c r="HG386" s="27" t="s">
        <v>8</v>
      </c>
      <c r="HH386" s="27" t="s">
        <v>7</v>
      </c>
      <c r="II386" s="27" t="s">
        <v>8</v>
      </c>
      <c r="IJ386" s="27" t="s">
        <v>7</v>
      </c>
      <c r="IL386" s="27" t="s">
        <v>7</v>
      </c>
      <c r="IM386" s="27" t="s">
        <v>8</v>
      </c>
      <c r="IN386" s="27" t="s">
        <v>7</v>
      </c>
    </row>
    <row r="387" spans="1:250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L387" s="27" t="s">
        <v>7</v>
      </c>
      <c r="Y387" s="27" t="s">
        <v>8</v>
      </c>
      <c r="Z387" s="27" t="s">
        <v>7</v>
      </c>
      <c r="AC387" s="27" t="s">
        <v>8</v>
      </c>
      <c r="AD387" s="27" t="s">
        <v>7</v>
      </c>
      <c r="AE387" s="27" t="s">
        <v>8</v>
      </c>
      <c r="AF387" s="27" t="s">
        <v>7</v>
      </c>
      <c r="AM387" s="27" t="s">
        <v>8</v>
      </c>
      <c r="AN387" s="27" t="s">
        <v>7</v>
      </c>
      <c r="AO387" s="27" t="s">
        <v>8</v>
      </c>
      <c r="BF387" s="27" t="s">
        <v>7</v>
      </c>
      <c r="BG387" s="27" t="s">
        <v>8</v>
      </c>
      <c r="BH387" s="27" t="s">
        <v>7</v>
      </c>
      <c r="BI387" s="27" t="s">
        <v>8</v>
      </c>
      <c r="HB387" s="27" t="s">
        <v>7</v>
      </c>
      <c r="HC387" s="27" t="s">
        <v>8</v>
      </c>
      <c r="HD387" s="27" t="s">
        <v>7</v>
      </c>
      <c r="HG387" s="27" t="s">
        <v>8</v>
      </c>
      <c r="HH387" s="27" t="s">
        <v>7</v>
      </c>
      <c r="II387" s="27" t="s">
        <v>8</v>
      </c>
      <c r="IL387" s="27" t="s">
        <v>7</v>
      </c>
      <c r="IM387" s="27" t="s">
        <v>8</v>
      </c>
      <c r="IN387" s="27" t="s">
        <v>7</v>
      </c>
    </row>
    <row r="388" spans="1:250" x14ac:dyDescent="0.25">
      <c r="A388" s="7">
        <v>51.455781743832127</v>
      </c>
      <c r="B388"/>
      <c r="C388"/>
      <c r="D388"/>
      <c r="E388" t="s">
        <v>8</v>
      </c>
      <c r="L388" s="27" t="s">
        <v>7</v>
      </c>
      <c r="Y388" s="27" t="s">
        <v>8</v>
      </c>
      <c r="Z388" s="27" t="s">
        <v>7</v>
      </c>
      <c r="AC388" s="27" t="s">
        <v>8</v>
      </c>
      <c r="AD388" s="27" t="s">
        <v>7</v>
      </c>
      <c r="AE388" s="27" t="s">
        <v>8</v>
      </c>
      <c r="AF388" s="27" t="s">
        <v>7</v>
      </c>
      <c r="AG388" s="27" t="s">
        <v>8</v>
      </c>
      <c r="AM388" s="27" t="s">
        <v>8</v>
      </c>
      <c r="AN388" s="27" t="s">
        <v>7</v>
      </c>
      <c r="AO388" s="27" t="s">
        <v>8</v>
      </c>
      <c r="BF388" s="27" t="s">
        <v>7</v>
      </c>
      <c r="BH388" s="27" t="s">
        <v>7</v>
      </c>
      <c r="BI388" s="27" t="s">
        <v>8</v>
      </c>
      <c r="HB388" s="27" t="s">
        <v>7</v>
      </c>
      <c r="HC388" s="27" t="s">
        <v>8</v>
      </c>
      <c r="HD388" s="27" t="s">
        <v>7</v>
      </c>
      <c r="HG388" s="27" t="s">
        <v>8</v>
      </c>
      <c r="HH388" s="27" t="s">
        <v>7</v>
      </c>
      <c r="II388" s="27" t="s">
        <v>8</v>
      </c>
      <c r="IL388" s="27" t="s">
        <v>7</v>
      </c>
      <c r="IM388" s="27" t="s">
        <v>8</v>
      </c>
      <c r="IN388" s="27" t="s">
        <v>7</v>
      </c>
    </row>
    <row r="389" spans="1:250" x14ac:dyDescent="0.25">
      <c r="A389" s="7">
        <v>50.446844846894244</v>
      </c>
      <c r="B389"/>
      <c r="C389"/>
      <c r="D389"/>
      <c r="E389" t="s">
        <v>8</v>
      </c>
      <c r="L389" s="27" t="s">
        <v>7</v>
      </c>
      <c r="Y389" s="27" t="s">
        <v>8</v>
      </c>
      <c r="Z389" s="27" t="s">
        <v>7</v>
      </c>
      <c r="AC389" s="27" t="s">
        <v>8</v>
      </c>
      <c r="AD389" s="27" t="s">
        <v>7</v>
      </c>
      <c r="AE389" s="27" t="s">
        <v>8</v>
      </c>
      <c r="AF389" s="27" t="s">
        <v>7</v>
      </c>
      <c r="AG389" s="27" t="s">
        <v>8</v>
      </c>
      <c r="AH389" s="27" t="s">
        <v>7</v>
      </c>
      <c r="AM389" s="27" t="s">
        <v>8</v>
      </c>
      <c r="AN389" s="27" t="s">
        <v>7</v>
      </c>
      <c r="AO389" s="27" t="s">
        <v>8</v>
      </c>
      <c r="BH389" s="27" t="s">
        <v>7</v>
      </c>
      <c r="BI389" s="27" t="s">
        <v>8</v>
      </c>
      <c r="HB389" s="27" t="s">
        <v>7</v>
      </c>
      <c r="HD389" s="27" t="s">
        <v>7</v>
      </c>
      <c r="HG389" s="27" t="s">
        <v>8</v>
      </c>
      <c r="HH389" s="27" t="s">
        <v>7</v>
      </c>
      <c r="II389" s="27" t="s">
        <v>8</v>
      </c>
      <c r="IL389" s="27" t="s">
        <v>7</v>
      </c>
      <c r="IM389" s="27" t="s">
        <v>8</v>
      </c>
      <c r="IN389" s="27" t="s">
        <v>7</v>
      </c>
    </row>
    <row r="390" spans="1:250" x14ac:dyDescent="0.25">
      <c r="A390" s="7">
        <v>49.457691026366902</v>
      </c>
      <c r="B390"/>
      <c r="C390"/>
      <c r="D390"/>
      <c r="E390" t="s">
        <v>8</v>
      </c>
      <c r="L390" s="27" t="s">
        <v>7</v>
      </c>
      <c r="Y390" s="27" t="s">
        <v>8</v>
      </c>
      <c r="Z390" s="27" t="s">
        <v>7</v>
      </c>
      <c r="AC390" s="27" t="s">
        <v>8</v>
      </c>
      <c r="AD390" s="27" t="s">
        <v>7</v>
      </c>
      <c r="AE390" s="27" t="s">
        <v>8</v>
      </c>
      <c r="AF390" s="27" t="s">
        <v>7</v>
      </c>
      <c r="AG390" s="27" t="s">
        <v>8</v>
      </c>
      <c r="AH390" s="27" t="s">
        <v>7</v>
      </c>
      <c r="AM390" s="27" t="s">
        <v>8</v>
      </c>
      <c r="AN390" s="27" t="s">
        <v>7</v>
      </c>
      <c r="AO390" s="27" t="s">
        <v>8</v>
      </c>
      <c r="BH390" s="27" t="s">
        <v>7</v>
      </c>
      <c r="BI390" s="27" t="s">
        <v>8</v>
      </c>
      <c r="HD390" s="27" t="s">
        <v>7</v>
      </c>
      <c r="HG390" s="27" t="s">
        <v>8</v>
      </c>
      <c r="HH390" s="27" t="s">
        <v>7</v>
      </c>
      <c r="II390" s="27" t="s">
        <v>8</v>
      </c>
      <c r="IL390" s="27" t="s">
        <v>7</v>
      </c>
      <c r="IM390" s="27" t="s">
        <v>8</v>
      </c>
      <c r="IN390" s="27" t="s">
        <v>7</v>
      </c>
    </row>
    <row r="391" spans="1:250" x14ac:dyDescent="0.25">
      <c r="A391" s="7">
        <v>48.487932378791079</v>
      </c>
      <c r="B391"/>
      <c r="C391"/>
      <c r="D391"/>
      <c r="E391" t="s">
        <v>8</v>
      </c>
      <c r="L391" s="27" t="s">
        <v>7</v>
      </c>
      <c r="Y391" s="27" t="s">
        <v>8</v>
      </c>
      <c r="Z391" s="27" t="s">
        <v>7</v>
      </c>
      <c r="AA391" s="27" t="s">
        <v>8</v>
      </c>
      <c r="AC391" s="27" t="s">
        <v>8</v>
      </c>
      <c r="AD391" s="27" t="s">
        <v>7</v>
      </c>
      <c r="AE391" s="27" t="s">
        <v>8</v>
      </c>
      <c r="AF391" s="27" t="s">
        <v>7</v>
      </c>
      <c r="AG391" s="27" t="s">
        <v>8</v>
      </c>
      <c r="AH391" s="27" t="s">
        <v>7</v>
      </c>
      <c r="AM391" s="27" t="s">
        <v>8</v>
      </c>
      <c r="AN391" s="27" t="s">
        <v>7</v>
      </c>
      <c r="AO391" s="27" t="s">
        <v>8</v>
      </c>
      <c r="BH391" s="27" t="s">
        <v>7</v>
      </c>
      <c r="BI391" s="27" t="s">
        <v>8</v>
      </c>
      <c r="HD391" s="27" t="s">
        <v>7</v>
      </c>
      <c r="HG391" s="27" t="s">
        <v>8</v>
      </c>
      <c r="HH391" s="27" t="s">
        <v>7</v>
      </c>
      <c r="II391" s="27" t="s">
        <v>8</v>
      </c>
      <c r="IL391" s="27" t="s">
        <v>7</v>
      </c>
      <c r="IM391" s="27" t="s">
        <v>8</v>
      </c>
      <c r="IN391" s="27" t="s">
        <v>7</v>
      </c>
    </row>
    <row r="392" spans="1:250" x14ac:dyDescent="0.25">
      <c r="A392" s="7">
        <v>47.537188606657921</v>
      </c>
      <c r="B392"/>
      <c r="C392"/>
      <c r="D392"/>
      <c r="E392" t="s">
        <v>8</v>
      </c>
      <c r="L392" s="27" t="s">
        <v>7</v>
      </c>
      <c r="M392" s="27" t="s">
        <v>8</v>
      </c>
      <c r="Y392" s="27" t="s">
        <v>8</v>
      </c>
      <c r="Z392" s="27" t="s">
        <v>7</v>
      </c>
      <c r="AA392" s="27" t="s">
        <v>8</v>
      </c>
      <c r="AB392" s="27" t="s">
        <v>7</v>
      </c>
      <c r="AC392" s="27" t="s">
        <v>8</v>
      </c>
      <c r="AD392" s="27" t="s">
        <v>7</v>
      </c>
      <c r="AE392" s="27" t="s">
        <v>8</v>
      </c>
      <c r="AF392" s="27" t="s">
        <v>7</v>
      </c>
      <c r="AG392" s="27" t="s">
        <v>8</v>
      </c>
      <c r="AH392" s="27" t="s">
        <v>7</v>
      </c>
      <c r="AM392" s="27" t="s">
        <v>8</v>
      </c>
      <c r="AN392" s="27" t="s">
        <v>7</v>
      </c>
      <c r="AO392" s="27" t="s">
        <v>8</v>
      </c>
      <c r="BH392" s="27" t="s">
        <v>7</v>
      </c>
      <c r="HD392" s="27" t="s">
        <v>7</v>
      </c>
      <c r="HG392" s="27" t="s">
        <v>8</v>
      </c>
      <c r="HH392" s="27" t="s">
        <v>7</v>
      </c>
      <c r="HQ392" s="27" t="s">
        <v>8</v>
      </c>
      <c r="II392" s="27" t="s">
        <v>8</v>
      </c>
      <c r="IL392" s="27" t="s">
        <v>7</v>
      </c>
      <c r="IM392" s="27" t="s">
        <v>8</v>
      </c>
      <c r="IN392" s="27" t="s">
        <v>7</v>
      </c>
    </row>
    <row r="393" spans="1:250" x14ac:dyDescent="0.25">
      <c r="A393" s="7">
        <v>46.605086869272469</v>
      </c>
      <c r="B393"/>
      <c r="C393"/>
      <c r="D393"/>
      <c r="E393" t="s">
        <v>8</v>
      </c>
      <c r="L393" s="27" t="s">
        <v>7</v>
      </c>
      <c r="M393" s="27" t="s">
        <v>8</v>
      </c>
      <c r="N393" s="27" t="s">
        <v>7</v>
      </c>
      <c r="Y393" s="27" t="s">
        <v>8</v>
      </c>
      <c r="Z393" s="27" t="s">
        <v>7</v>
      </c>
      <c r="AA393" s="27" t="s">
        <v>8</v>
      </c>
      <c r="AB393" s="27" t="s">
        <v>7</v>
      </c>
      <c r="AC393" s="27" t="s">
        <v>8</v>
      </c>
      <c r="AD393" s="27" t="s">
        <v>7</v>
      </c>
      <c r="AE393" s="27" t="s">
        <v>8</v>
      </c>
      <c r="AF393" s="27" t="s">
        <v>7</v>
      </c>
      <c r="AG393" s="27" t="s">
        <v>8</v>
      </c>
      <c r="AH393" s="27" t="s">
        <v>7</v>
      </c>
      <c r="AI393" s="27" t="s">
        <v>8</v>
      </c>
      <c r="AK393" s="27" t="s">
        <v>8</v>
      </c>
      <c r="AM393" s="27" t="s">
        <v>8</v>
      </c>
      <c r="AN393" s="27" t="s">
        <v>7</v>
      </c>
      <c r="AO393" s="27" t="s">
        <v>8</v>
      </c>
      <c r="HD393" s="27" t="s">
        <v>7</v>
      </c>
      <c r="HG393" s="27" t="s">
        <v>8</v>
      </c>
      <c r="HH393" s="27" t="s">
        <v>7</v>
      </c>
      <c r="HQ393" s="27" t="s">
        <v>8</v>
      </c>
      <c r="HR393" s="27" t="s">
        <v>7</v>
      </c>
      <c r="II393" s="27" t="s">
        <v>8</v>
      </c>
      <c r="IL393" s="27" t="s">
        <v>7</v>
      </c>
      <c r="IM393" s="27" t="s">
        <v>8</v>
      </c>
      <c r="IN393" s="27" t="s">
        <v>7</v>
      </c>
    </row>
    <row r="394" spans="1:250" x14ac:dyDescent="0.25">
      <c r="A394" s="7">
        <v>45.691261636541633</v>
      </c>
      <c r="B394"/>
      <c r="C394"/>
      <c r="D394"/>
      <c r="E394" t="s">
        <v>8</v>
      </c>
      <c r="L394" s="27" t="s">
        <v>7</v>
      </c>
      <c r="M394" s="27" t="s">
        <v>8</v>
      </c>
      <c r="N394" s="27" t="s">
        <v>7</v>
      </c>
      <c r="Y394" s="27" t="s">
        <v>8</v>
      </c>
      <c r="Z394" s="27" t="s">
        <v>7</v>
      </c>
      <c r="AA394" s="27" t="s">
        <v>8</v>
      </c>
      <c r="AB394" s="27" t="s">
        <v>7</v>
      </c>
      <c r="AC394" s="27" t="s">
        <v>8</v>
      </c>
      <c r="AD394" s="27" t="s">
        <v>7</v>
      </c>
      <c r="AE394" s="27" t="s">
        <v>8</v>
      </c>
      <c r="AF394" s="27" t="s">
        <v>7</v>
      </c>
      <c r="AG394" s="27" t="s">
        <v>8</v>
      </c>
      <c r="AH394" s="27" t="s">
        <v>7</v>
      </c>
      <c r="AI394" s="27" t="s">
        <v>8</v>
      </c>
      <c r="AJ394" s="27" t="s">
        <v>7</v>
      </c>
      <c r="AK394" s="27" t="s">
        <v>8</v>
      </c>
      <c r="AL394" s="27" t="s">
        <v>7</v>
      </c>
      <c r="AM394" s="27" t="s">
        <v>8</v>
      </c>
      <c r="AN394" s="27" t="s">
        <v>7</v>
      </c>
      <c r="AO394" s="27" t="s">
        <v>8</v>
      </c>
      <c r="HD394" s="27" t="s">
        <v>7</v>
      </c>
      <c r="HG394" s="27" t="s">
        <v>8</v>
      </c>
      <c r="HH394" s="27" t="s">
        <v>7</v>
      </c>
      <c r="HQ394" s="27" t="s">
        <v>8</v>
      </c>
      <c r="HR394" s="27" t="s">
        <v>7</v>
      </c>
      <c r="IG394" s="27" t="s">
        <v>8</v>
      </c>
      <c r="II394" s="27" t="s">
        <v>8</v>
      </c>
      <c r="IL394" s="27" t="s">
        <v>7</v>
      </c>
      <c r="IM394" s="27" t="s">
        <v>8</v>
      </c>
      <c r="IN394" s="27" t="s">
        <v>7</v>
      </c>
    </row>
    <row r="395" spans="1:250" x14ac:dyDescent="0.25">
      <c r="A395" s="7">
        <v>44.795354545629053</v>
      </c>
      <c r="B395"/>
      <c r="C395"/>
      <c r="D395"/>
      <c r="E395" t="s">
        <v>8</v>
      </c>
      <c r="L395" s="27" t="s">
        <v>7</v>
      </c>
      <c r="M395" s="27" t="s">
        <v>8</v>
      </c>
      <c r="N395" s="27" t="s">
        <v>7</v>
      </c>
      <c r="O395" s="27" t="s">
        <v>8</v>
      </c>
      <c r="Y395" s="27" t="s">
        <v>8</v>
      </c>
      <c r="Z395" s="27" t="s">
        <v>7</v>
      </c>
      <c r="AA395" s="27" t="s">
        <v>8</v>
      </c>
      <c r="AB395" s="27" t="s">
        <v>7</v>
      </c>
      <c r="AD395" s="27" t="s">
        <v>7</v>
      </c>
      <c r="AE395" s="27" t="s">
        <v>8</v>
      </c>
      <c r="AF395" s="27" t="s">
        <v>7</v>
      </c>
      <c r="AG395" s="27" t="s">
        <v>8</v>
      </c>
      <c r="AH395" s="27" t="s">
        <v>7</v>
      </c>
      <c r="AI395" s="27" t="s">
        <v>8</v>
      </c>
      <c r="AJ395" s="27" t="s">
        <v>7</v>
      </c>
      <c r="AK395" s="27" t="s">
        <v>8</v>
      </c>
      <c r="AL395" s="27" t="s">
        <v>7</v>
      </c>
      <c r="AM395" s="27" t="s">
        <v>8</v>
      </c>
      <c r="AN395" s="27" t="s">
        <v>7</v>
      </c>
      <c r="AO395" s="27" t="s">
        <v>8</v>
      </c>
      <c r="HD395" s="27" t="s">
        <v>7</v>
      </c>
      <c r="HG395" s="27" t="s">
        <v>8</v>
      </c>
      <c r="HH395" s="27" t="s">
        <v>7</v>
      </c>
      <c r="HQ395" s="27" t="s">
        <v>8</v>
      </c>
      <c r="HR395" s="27" t="s">
        <v>7</v>
      </c>
      <c r="IA395" s="27" t="s">
        <v>8</v>
      </c>
      <c r="IG395" s="27" t="s">
        <v>8</v>
      </c>
      <c r="IH395" s="27" t="s">
        <v>7</v>
      </c>
      <c r="II395" s="27" t="s">
        <v>8</v>
      </c>
      <c r="IL395" s="27" t="s">
        <v>7</v>
      </c>
      <c r="IM395" s="27" t="s">
        <v>8</v>
      </c>
      <c r="IN395" s="27" t="s">
        <v>7</v>
      </c>
    </row>
    <row r="396" spans="1:250" x14ac:dyDescent="0.25">
      <c r="A396" s="7">
        <v>43.917014260420636</v>
      </c>
      <c r="B396"/>
      <c r="C396"/>
      <c r="D396"/>
      <c r="E396" t="s">
        <v>8</v>
      </c>
      <c r="L396" s="27" t="s">
        <v>7</v>
      </c>
      <c r="M396" s="27" t="s">
        <v>8</v>
      </c>
      <c r="N396" s="27" t="s">
        <v>7</v>
      </c>
      <c r="O396" s="27" t="s">
        <v>8</v>
      </c>
      <c r="P396" s="27" t="s">
        <v>7</v>
      </c>
      <c r="Y396" s="27" t="s">
        <v>8</v>
      </c>
      <c r="Z396" s="27" t="s">
        <v>7</v>
      </c>
      <c r="AA396" s="27" t="s">
        <v>8</v>
      </c>
      <c r="AD396" s="27" t="s">
        <v>7</v>
      </c>
      <c r="AE396" s="27" t="s">
        <v>8</v>
      </c>
      <c r="AF396" s="27" t="s">
        <v>7</v>
      </c>
      <c r="AG396" s="27" t="s">
        <v>8</v>
      </c>
      <c r="AH396" s="27" t="s">
        <v>7</v>
      </c>
      <c r="AI396" s="27" t="s">
        <v>8</v>
      </c>
      <c r="AJ396" s="27" t="s">
        <v>7</v>
      </c>
      <c r="AK396" s="27" t="s">
        <v>8</v>
      </c>
      <c r="AL396" s="27" t="s">
        <v>7</v>
      </c>
      <c r="AM396" s="27" t="s">
        <v>8</v>
      </c>
      <c r="AN396" s="27" t="s">
        <v>7</v>
      </c>
      <c r="AO396" s="27" t="s">
        <v>8</v>
      </c>
      <c r="HD396" s="27" t="s">
        <v>7</v>
      </c>
      <c r="HG396" s="27" t="s">
        <v>8</v>
      </c>
      <c r="HH396" s="27" t="s">
        <v>7</v>
      </c>
      <c r="HI396" s="27" t="s">
        <v>8</v>
      </c>
      <c r="HQ396" s="27" t="s">
        <v>8</v>
      </c>
      <c r="HR396" s="27" t="s">
        <v>7</v>
      </c>
      <c r="IA396" s="27" t="s">
        <v>8</v>
      </c>
      <c r="IB396" s="27" t="s">
        <v>7</v>
      </c>
      <c r="IG396" s="27" t="s">
        <v>8</v>
      </c>
      <c r="IH396" s="27" t="s">
        <v>7</v>
      </c>
      <c r="II396" s="27" t="s">
        <v>8</v>
      </c>
      <c r="IL396" s="27" t="s">
        <v>7</v>
      </c>
      <c r="IM396" s="27" t="s">
        <v>8</v>
      </c>
      <c r="IN396" s="27" t="s">
        <v>7</v>
      </c>
    </row>
    <row r="397" spans="1:250" x14ac:dyDescent="0.25">
      <c r="A397" s="7">
        <v>43.055896333745721</v>
      </c>
      <c r="B397"/>
      <c r="C397"/>
      <c r="D397"/>
      <c r="E397" t="s">
        <v>8</v>
      </c>
      <c r="L397" s="27" t="s">
        <v>7</v>
      </c>
      <c r="M397" s="27" t="s">
        <v>8</v>
      </c>
      <c r="N397" s="27" t="s">
        <v>7</v>
      </c>
      <c r="O397" s="27" t="s">
        <v>8</v>
      </c>
      <c r="P397" s="27" t="s">
        <v>7</v>
      </c>
      <c r="Y397" s="27" t="s">
        <v>8</v>
      </c>
      <c r="Z397" s="27" t="s">
        <v>7</v>
      </c>
      <c r="AA397" s="27" t="s">
        <v>8</v>
      </c>
      <c r="AD397" s="27" t="s">
        <v>7</v>
      </c>
      <c r="AF397" s="27" t="s">
        <v>7</v>
      </c>
      <c r="AG397" s="27" t="s">
        <v>8</v>
      </c>
      <c r="AH397" s="27" t="s">
        <v>7</v>
      </c>
      <c r="AI397" s="27" t="s">
        <v>8</v>
      </c>
      <c r="AJ397" s="27" t="s">
        <v>7</v>
      </c>
      <c r="AK397" s="27" t="s">
        <v>8</v>
      </c>
      <c r="AL397" s="27" t="s">
        <v>7</v>
      </c>
      <c r="AM397" s="27" t="s">
        <v>8</v>
      </c>
      <c r="AN397" s="27" t="s">
        <v>7</v>
      </c>
      <c r="AO397" s="27" t="s">
        <v>8</v>
      </c>
      <c r="HD397" s="27" t="s">
        <v>7</v>
      </c>
      <c r="HE397" s="27" t="s">
        <v>8</v>
      </c>
      <c r="HG397" s="27" t="s">
        <v>8</v>
      </c>
      <c r="HH397" s="27" t="s">
        <v>7</v>
      </c>
      <c r="HI397" s="27" t="s">
        <v>8</v>
      </c>
      <c r="HJ397" s="27" t="s">
        <v>7</v>
      </c>
      <c r="HQ397" s="27" t="s">
        <v>8</v>
      </c>
      <c r="HR397" s="27" t="s">
        <v>7</v>
      </c>
      <c r="IA397" s="27" t="s">
        <v>8</v>
      </c>
      <c r="IB397" s="27" t="s">
        <v>7</v>
      </c>
      <c r="IG397" s="27" t="s">
        <v>8</v>
      </c>
      <c r="IH397" s="27" t="s">
        <v>7</v>
      </c>
      <c r="II397" s="27" t="s">
        <v>8</v>
      </c>
      <c r="IL397" s="27" t="s">
        <v>7</v>
      </c>
      <c r="IM397" s="27" t="s">
        <v>8</v>
      </c>
      <c r="IN397" s="27" t="s">
        <v>7</v>
      </c>
    </row>
    <row r="398" spans="1:250" x14ac:dyDescent="0.25">
      <c r="A398" s="7">
        <v>42.211663072299729</v>
      </c>
      <c r="B398"/>
      <c r="C398"/>
      <c r="D398"/>
      <c r="E398" t="s">
        <v>8</v>
      </c>
      <c r="L398" s="27" t="s">
        <v>7</v>
      </c>
      <c r="M398" s="27" t="s">
        <v>8</v>
      </c>
      <c r="N398" s="27" t="s">
        <v>7</v>
      </c>
      <c r="O398" s="27" t="s">
        <v>8</v>
      </c>
      <c r="P398" s="27" t="s">
        <v>7</v>
      </c>
      <c r="Y398" s="27" t="s">
        <v>8</v>
      </c>
      <c r="Z398" s="27" t="s">
        <v>7</v>
      </c>
      <c r="AA398" s="27" t="s">
        <v>8</v>
      </c>
      <c r="AF398" s="27" t="s">
        <v>7</v>
      </c>
      <c r="AG398" s="27" t="s">
        <v>8</v>
      </c>
      <c r="AH398" s="27" t="s">
        <v>7</v>
      </c>
      <c r="AI398" s="27" t="s">
        <v>8</v>
      </c>
      <c r="AJ398" s="27" t="s">
        <v>7</v>
      </c>
      <c r="AK398" s="27" t="s">
        <v>8</v>
      </c>
      <c r="AL398" s="27" t="s">
        <v>7</v>
      </c>
      <c r="AM398" s="27" t="s">
        <v>8</v>
      </c>
      <c r="AN398" s="27" t="s">
        <v>7</v>
      </c>
      <c r="AO398" s="27" t="s">
        <v>8</v>
      </c>
      <c r="HD398" s="27" t="s">
        <v>7</v>
      </c>
      <c r="HE398" s="27" t="s">
        <v>8</v>
      </c>
      <c r="HF398" s="27" t="s">
        <v>7</v>
      </c>
      <c r="HG398" s="27" t="s">
        <v>8</v>
      </c>
      <c r="HH398" s="27" t="s">
        <v>7</v>
      </c>
      <c r="HI398" s="27" t="s">
        <v>8</v>
      </c>
      <c r="HJ398" s="27" t="s">
        <v>7</v>
      </c>
      <c r="HQ398" s="27" t="s">
        <v>8</v>
      </c>
      <c r="HR398" s="27" t="s">
        <v>7</v>
      </c>
      <c r="IA398" s="27" t="s">
        <v>8</v>
      </c>
      <c r="IB398" s="27" t="s">
        <v>7</v>
      </c>
      <c r="IG398" s="27" t="s">
        <v>8</v>
      </c>
      <c r="IH398" s="27" t="s">
        <v>7</v>
      </c>
      <c r="II398" s="27" t="s">
        <v>8</v>
      </c>
      <c r="IL398" s="27" t="s">
        <v>7</v>
      </c>
      <c r="IM398" s="27" t="s">
        <v>8</v>
      </c>
      <c r="IN398" s="27" t="s">
        <v>7</v>
      </c>
    </row>
    <row r="399" spans="1:250" x14ac:dyDescent="0.25">
      <c r="A399" s="7">
        <v>41.383983404215421</v>
      </c>
      <c r="B399"/>
      <c r="C399"/>
      <c r="D399"/>
      <c r="E399" t="s">
        <v>8</v>
      </c>
      <c r="L399" s="27" t="s">
        <v>7</v>
      </c>
      <c r="M399" s="27" t="s">
        <v>8</v>
      </c>
      <c r="N399" s="27" t="s">
        <v>7</v>
      </c>
      <c r="O399" s="27" t="s">
        <v>8</v>
      </c>
      <c r="P399" s="27" t="s">
        <v>7</v>
      </c>
      <c r="Q399" s="27" t="s">
        <v>8</v>
      </c>
      <c r="Y399" s="27" t="s">
        <v>8</v>
      </c>
      <c r="Z399" s="27" t="s">
        <v>7</v>
      </c>
      <c r="AF399" s="27" t="s">
        <v>7</v>
      </c>
      <c r="AH399" s="27" t="s">
        <v>7</v>
      </c>
      <c r="AJ399" s="27" t="s">
        <v>7</v>
      </c>
      <c r="AK399" s="27" t="s">
        <v>8</v>
      </c>
      <c r="AL399" s="27" t="s">
        <v>7</v>
      </c>
      <c r="AM399" s="27" t="s">
        <v>8</v>
      </c>
      <c r="AN399" s="27" t="s">
        <v>7</v>
      </c>
      <c r="AO399" s="27" t="s">
        <v>8</v>
      </c>
      <c r="HD399" s="27" t="s">
        <v>7</v>
      </c>
      <c r="HE399" s="27" t="s">
        <v>8</v>
      </c>
      <c r="HF399" s="27" t="s">
        <v>7</v>
      </c>
      <c r="HG399" s="27" t="s">
        <v>8</v>
      </c>
      <c r="HH399" s="27" t="s">
        <v>7</v>
      </c>
      <c r="HI399" s="27" t="s">
        <v>8</v>
      </c>
      <c r="HJ399" s="27" t="s">
        <v>7</v>
      </c>
      <c r="HQ399" s="27" t="s">
        <v>8</v>
      </c>
      <c r="HR399" s="27" t="s">
        <v>7</v>
      </c>
      <c r="HS399" s="27" t="s">
        <v>8</v>
      </c>
      <c r="IA399" s="27" t="s">
        <v>8</v>
      </c>
      <c r="IB399" s="27" t="s">
        <v>7</v>
      </c>
      <c r="IG399" s="27" t="s">
        <v>8</v>
      </c>
      <c r="IH399" s="27" t="s">
        <v>7</v>
      </c>
      <c r="II399" s="27" t="s">
        <v>8</v>
      </c>
      <c r="IL399" s="27" t="s">
        <v>7</v>
      </c>
      <c r="IM399" s="27" t="s">
        <v>8</v>
      </c>
      <c r="IN399" s="27" t="s">
        <v>7</v>
      </c>
      <c r="IO399" s="27" t="s">
        <v>8</v>
      </c>
    </row>
    <row r="400" spans="1:250" x14ac:dyDescent="0.25">
      <c r="A400" s="7">
        <v>40.572532749230803</v>
      </c>
      <c r="B400"/>
      <c r="C400"/>
      <c r="D400"/>
      <c r="E400" t="s">
        <v>8</v>
      </c>
      <c r="L400" s="27" t="s">
        <v>7</v>
      </c>
      <c r="M400" s="27" t="s">
        <v>8</v>
      </c>
      <c r="N400" s="27" t="s">
        <v>7</v>
      </c>
      <c r="O400" s="27" t="s">
        <v>8</v>
      </c>
      <c r="P400" s="27" t="s">
        <v>7</v>
      </c>
      <c r="Q400" s="27" t="s">
        <v>8</v>
      </c>
      <c r="R400" s="27" t="s">
        <v>7</v>
      </c>
      <c r="Y400" s="27" t="s">
        <v>8</v>
      </c>
      <c r="AJ400" s="27" t="s">
        <v>7</v>
      </c>
      <c r="AK400" s="27" t="s">
        <v>8</v>
      </c>
      <c r="AL400" s="27" t="s">
        <v>7</v>
      </c>
      <c r="AN400" s="27" t="s">
        <v>7</v>
      </c>
      <c r="AO400" s="27" t="s">
        <v>8</v>
      </c>
      <c r="HD400" s="27" t="s">
        <v>7</v>
      </c>
      <c r="HE400" s="27" t="s">
        <v>8</v>
      </c>
      <c r="HF400" s="27" t="s">
        <v>7</v>
      </c>
      <c r="HG400" s="27" t="s">
        <v>8</v>
      </c>
      <c r="HH400" s="27" t="s">
        <v>7</v>
      </c>
      <c r="HI400" s="27" t="s">
        <v>8</v>
      </c>
      <c r="HJ400" s="27" t="s">
        <v>7</v>
      </c>
      <c r="HQ400" s="27" t="s">
        <v>8</v>
      </c>
      <c r="HR400" s="27" t="s">
        <v>7</v>
      </c>
      <c r="HS400" s="27" t="s">
        <v>8</v>
      </c>
      <c r="HT400" s="27" t="s">
        <v>7</v>
      </c>
      <c r="IA400" s="27" t="s">
        <v>8</v>
      </c>
      <c r="IB400" s="27" t="s">
        <v>7</v>
      </c>
      <c r="IC400" s="27" t="s">
        <v>8</v>
      </c>
      <c r="IG400" s="27" t="s">
        <v>8</v>
      </c>
      <c r="IH400" s="27" t="s">
        <v>7</v>
      </c>
      <c r="II400" s="27" t="s">
        <v>8</v>
      </c>
      <c r="IL400" s="27" t="s">
        <v>7</v>
      </c>
      <c r="IM400" s="27" t="s">
        <v>8</v>
      </c>
      <c r="IN400" s="27" t="s">
        <v>7</v>
      </c>
      <c r="IO400" s="27" t="s">
        <v>8</v>
      </c>
      <c r="IP400" s="27" t="s">
        <v>7</v>
      </c>
    </row>
    <row r="401" spans="1:250" x14ac:dyDescent="0.25">
      <c r="A401" s="7">
        <v>39.776992891402749</v>
      </c>
      <c r="B401"/>
      <c r="C401"/>
      <c r="D401"/>
      <c r="E401" t="s">
        <v>8</v>
      </c>
      <c r="L401" s="27" t="s">
        <v>7</v>
      </c>
      <c r="M401" s="27" t="s">
        <v>8</v>
      </c>
      <c r="N401" s="27" t="s">
        <v>7</v>
      </c>
      <c r="O401" s="27" t="s">
        <v>8</v>
      </c>
      <c r="P401" s="27" t="s">
        <v>7</v>
      </c>
      <c r="Q401" s="27" t="s">
        <v>8</v>
      </c>
      <c r="R401" s="27" t="s">
        <v>7</v>
      </c>
      <c r="Y401" s="27" t="s">
        <v>8</v>
      </c>
      <c r="AJ401" s="27" t="s">
        <v>7</v>
      </c>
      <c r="AK401" s="27" t="s">
        <v>8</v>
      </c>
      <c r="AN401" s="27" t="s">
        <v>7</v>
      </c>
      <c r="AO401" s="27" t="s">
        <v>8</v>
      </c>
      <c r="HD401" s="27" t="s">
        <v>7</v>
      </c>
      <c r="HE401" s="27" t="s">
        <v>8</v>
      </c>
      <c r="HF401" s="27" t="s">
        <v>7</v>
      </c>
      <c r="HG401" s="27" t="s">
        <v>8</v>
      </c>
      <c r="HH401" s="27" t="s">
        <v>7</v>
      </c>
      <c r="HI401" s="27" t="s">
        <v>8</v>
      </c>
      <c r="HJ401" s="27" t="s">
        <v>7</v>
      </c>
      <c r="HQ401" s="27" t="s">
        <v>8</v>
      </c>
      <c r="HR401" s="27" t="s">
        <v>7</v>
      </c>
      <c r="HS401" s="27" t="s">
        <v>8</v>
      </c>
      <c r="HT401" s="27" t="s">
        <v>7</v>
      </c>
      <c r="IA401" s="27" t="s">
        <v>8</v>
      </c>
      <c r="IB401" s="27" t="s">
        <v>7</v>
      </c>
      <c r="IC401" s="27" t="s">
        <v>8</v>
      </c>
      <c r="ID401" s="27" t="s">
        <v>7</v>
      </c>
      <c r="IE401" s="27" t="s">
        <v>8</v>
      </c>
      <c r="IG401" s="27" t="s">
        <v>8</v>
      </c>
      <c r="IH401" s="27" t="s">
        <v>7</v>
      </c>
      <c r="II401" s="27" t="s">
        <v>8</v>
      </c>
      <c r="IL401" s="27" t="s">
        <v>7</v>
      </c>
      <c r="IM401" s="27" t="s">
        <v>8</v>
      </c>
      <c r="IN401" s="27" t="s">
        <v>7</v>
      </c>
      <c r="IO401" s="27" t="s">
        <v>8</v>
      </c>
      <c r="IP401" s="27" t="s">
        <v>7</v>
      </c>
    </row>
    <row r="402" spans="1:250" x14ac:dyDescent="0.25">
      <c r="A402" s="7">
        <v>38.997051854316418</v>
      </c>
      <c r="B402"/>
      <c r="C402"/>
      <c r="D402"/>
      <c r="E402" t="s">
        <v>8</v>
      </c>
      <c r="L402" s="27" t="s">
        <v>7</v>
      </c>
      <c r="M402" s="27" t="s">
        <v>8</v>
      </c>
      <c r="N402" s="27" t="s">
        <v>7</v>
      </c>
      <c r="O402" s="27" t="s">
        <v>8</v>
      </c>
      <c r="P402" s="27" t="s">
        <v>7</v>
      </c>
      <c r="Q402" s="27" t="s">
        <v>8</v>
      </c>
      <c r="R402" s="27" t="s">
        <v>7</v>
      </c>
      <c r="Y402" s="27" t="s">
        <v>8</v>
      </c>
      <c r="AJ402" s="27" t="s">
        <v>7</v>
      </c>
      <c r="AK402" s="27" t="s">
        <v>8</v>
      </c>
      <c r="AN402" s="27" t="s">
        <v>7</v>
      </c>
      <c r="AO402" s="27" t="s">
        <v>8</v>
      </c>
      <c r="HD402" s="27" t="s">
        <v>7</v>
      </c>
      <c r="HE402" s="27" t="s">
        <v>8</v>
      </c>
      <c r="HF402" s="27" t="s">
        <v>7</v>
      </c>
      <c r="HG402" s="27" t="s">
        <v>8</v>
      </c>
      <c r="HH402" s="27" t="s">
        <v>7</v>
      </c>
      <c r="HJ402" s="27" t="s">
        <v>7</v>
      </c>
      <c r="HQ402" s="27" t="s">
        <v>8</v>
      </c>
      <c r="HR402" s="27" t="s">
        <v>7</v>
      </c>
      <c r="HS402" s="27" t="s">
        <v>8</v>
      </c>
      <c r="HT402" s="27" t="s">
        <v>7</v>
      </c>
      <c r="IA402" s="27" t="s">
        <v>8</v>
      </c>
      <c r="IB402" s="27" t="s">
        <v>7</v>
      </c>
      <c r="IC402" s="27" t="s">
        <v>8</v>
      </c>
      <c r="ID402" s="27" t="s">
        <v>7</v>
      </c>
      <c r="IE402" s="27" t="s">
        <v>8</v>
      </c>
      <c r="IF402" s="27" t="s">
        <v>7</v>
      </c>
      <c r="IG402" s="27" t="s">
        <v>8</v>
      </c>
      <c r="IH402" s="27" t="s">
        <v>7</v>
      </c>
      <c r="II402" s="27" t="s">
        <v>8</v>
      </c>
      <c r="IL402" s="27" t="s">
        <v>7</v>
      </c>
      <c r="IM402" s="27" t="s">
        <v>8</v>
      </c>
      <c r="IN402" s="27" t="s">
        <v>7</v>
      </c>
      <c r="IO402" s="27" t="s">
        <v>8</v>
      </c>
      <c r="IP402" s="27" t="s">
        <v>7</v>
      </c>
    </row>
    <row r="403" spans="1:250" x14ac:dyDescent="0.25">
      <c r="A403" s="7">
        <v>38.232403778741585</v>
      </c>
      <c r="B403"/>
      <c r="C403"/>
      <c r="D403"/>
      <c r="E403" t="s">
        <v>8</v>
      </c>
      <c r="L403" s="27" t="s">
        <v>7</v>
      </c>
      <c r="M403" s="27" t="s">
        <v>8</v>
      </c>
      <c r="N403" s="27" t="s">
        <v>7</v>
      </c>
      <c r="O403" s="27" t="s">
        <v>8</v>
      </c>
      <c r="P403" s="27" t="s">
        <v>7</v>
      </c>
      <c r="Q403" s="27" t="s">
        <v>8</v>
      </c>
      <c r="R403" s="27" t="s">
        <v>7</v>
      </c>
      <c r="Y403" s="27" t="s">
        <v>8</v>
      </c>
      <c r="AJ403" s="27" t="s">
        <v>7</v>
      </c>
      <c r="AK403" s="27" t="s">
        <v>8</v>
      </c>
      <c r="AN403" s="27" t="s">
        <v>7</v>
      </c>
      <c r="AO403" s="27" t="s">
        <v>8</v>
      </c>
      <c r="HD403" s="27" t="s">
        <v>7</v>
      </c>
      <c r="HF403" s="27" t="s">
        <v>7</v>
      </c>
      <c r="HG403" s="27" t="s">
        <v>8</v>
      </c>
      <c r="HJ403" s="27" t="s">
        <v>7</v>
      </c>
      <c r="HQ403" s="27" t="s">
        <v>8</v>
      </c>
      <c r="HR403" s="27" t="s">
        <v>7</v>
      </c>
      <c r="HS403" s="27" t="s">
        <v>8</v>
      </c>
      <c r="HT403" s="27" t="s">
        <v>7</v>
      </c>
      <c r="IA403" s="27" t="s">
        <v>8</v>
      </c>
      <c r="IB403" s="27" t="s">
        <v>7</v>
      </c>
      <c r="IC403" s="27" t="s">
        <v>8</v>
      </c>
      <c r="ID403" s="27" t="s">
        <v>7</v>
      </c>
      <c r="IE403" s="27" t="s">
        <v>8</v>
      </c>
      <c r="IF403" s="27" t="s">
        <v>7</v>
      </c>
      <c r="IG403" s="27" t="s">
        <v>8</v>
      </c>
      <c r="IH403" s="27" t="s">
        <v>7</v>
      </c>
      <c r="II403" s="27" t="s">
        <v>8</v>
      </c>
      <c r="IL403" s="27" t="s">
        <v>7</v>
      </c>
      <c r="IM403" s="27" t="s">
        <v>8</v>
      </c>
      <c r="IN403" s="27" t="s">
        <v>7</v>
      </c>
      <c r="IP403" s="27" t="s">
        <v>7</v>
      </c>
    </row>
    <row r="404" spans="1:250" x14ac:dyDescent="0.25">
      <c r="A404" s="7">
        <v>37.48274880268783</v>
      </c>
      <c r="B404"/>
      <c r="C404"/>
      <c r="D404"/>
      <c r="E404" t="s">
        <v>8</v>
      </c>
      <c r="L404" s="27" t="s">
        <v>7</v>
      </c>
      <c r="M404" s="27" t="s">
        <v>8</v>
      </c>
      <c r="N404" s="27" t="s">
        <v>7</v>
      </c>
      <c r="O404" s="27" t="s">
        <v>8</v>
      </c>
      <c r="P404" s="27" t="s">
        <v>7</v>
      </c>
      <c r="Q404" s="27" t="s">
        <v>8</v>
      </c>
      <c r="R404" s="27" t="s">
        <v>7</v>
      </c>
      <c r="Y404" s="27" t="s">
        <v>8</v>
      </c>
      <c r="AJ404" s="27" t="s">
        <v>7</v>
      </c>
      <c r="AK404" s="27" t="s">
        <v>8</v>
      </c>
      <c r="AN404" s="27" t="s">
        <v>7</v>
      </c>
      <c r="AO404" s="27" t="s">
        <v>8</v>
      </c>
      <c r="HF404" s="27" t="s">
        <v>7</v>
      </c>
      <c r="HG404" s="27" t="s">
        <v>8</v>
      </c>
      <c r="HJ404" s="27" t="s">
        <v>7</v>
      </c>
      <c r="HK404" s="27" t="s">
        <v>8</v>
      </c>
      <c r="HQ404" s="27" t="s">
        <v>8</v>
      </c>
      <c r="HR404" s="27" t="s">
        <v>7</v>
      </c>
      <c r="HS404" s="27" t="s">
        <v>8</v>
      </c>
      <c r="HT404" s="27" t="s">
        <v>7</v>
      </c>
      <c r="IA404" s="27" t="s">
        <v>8</v>
      </c>
      <c r="IB404" s="27" t="s">
        <v>7</v>
      </c>
      <c r="IC404" s="27" t="s">
        <v>8</v>
      </c>
      <c r="ID404" s="27" t="s">
        <v>7</v>
      </c>
      <c r="IE404" s="27" t="s">
        <v>8</v>
      </c>
      <c r="IF404" s="27" t="s">
        <v>7</v>
      </c>
      <c r="IG404" s="27" t="s">
        <v>8</v>
      </c>
      <c r="IH404" s="27" t="s">
        <v>7</v>
      </c>
      <c r="IL404" s="27" t="s">
        <v>7</v>
      </c>
      <c r="IM404" s="27" t="s">
        <v>8</v>
      </c>
      <c r="IP404" s="27" t="s">
        <v>7</v>
      </c>
    </row>
    <row r="405" spans="1:250" x14ac:dyDescent="0.25">
      <c r="A405" s="7">
        <v>36.747792943811596</v>
      </c>
      <c r="B405"/>
      <c r="C405"/>
      <c r="D405"/>
      <c r="E405" t="s">
        <v>8</v>
      </c>
      <c r="L405" s="27" t="s">
        <v>7</v>
      </c>
      <c r="M405" s="27" t="s">
        <v>8</v>
      </c>
      <c r="N405" s="27" t="s">
        <v>7</v>
      </c>
      <c r="O405" s="27" t="s">
        <v>8</v>
      </c>
      <c r="P405" s="27" t="s">
        <v>7</v>
      </c>
      <c r="Q405" s="27" t="s">
        <v>8</v>
      </c>
      <c r="R405" s="27" t="s">
        <v>7</v>
      </c>
      <c r="Y405" s="27" t="s">
        <v>8</v>
      </c>
      <c r="AJ405" s="27" t="s">
        <v>7</v>
      </c>
      <c r="AK405" s="27" t="s">
        <v>8</v>
      </c>
      <c r="AN405" s="27" t="s">
        <v>7</v>
      </c>
      <c r="HF405" s="27" t="s">
        <v>7</v>
      </c>
      <c r="HG405" s="27" t="s">
        <v>8</v>
      </c>
      <c r="HJ405" s="27" t="s">
        <v>7</v>
      </c>
      <c r="HK405" s="27" t="s">
        <v>8</v>
      </c>
      <c r="HL405" s="27" t="s">
        <v>7</v>
      </c>
      <c r="HQ405" s="27" t="s">
        <v>8</v>
      </c>
      <c r="HR405" s="27" t="s">
        <v>7</v>
      </c>
      <c r="HS405" s="27" t="s">
        <v>8</v>
      </c>
      <c r="HT405" s="27" t="s">
        <v>7</v>
      </c>
      <c r="HW405" s="27" t="s">
        <v>8</v>
      </c>
      <c r="IA405" s="27" t="s">
        <v>8</v>
      </c>
      <c r="IB405" s="27" t="s">
        <v>7</v>
      </c>
      <c r="IC405" s="27" t="s">
        <v>8</v>
      </c>
      <c r="ID405" s="27" t="s">
        <v>7</v>
      </c>
      <c r="IE405" s="27" t="s">
        <v>8</v>
      </c>
      <c r="IF405" s="27" t="s">
        <v>7</v>
      </c>
      <c r="IG405" s="27" t="s">
        <v>8</v>
      </c>
      <c r="IL405" s="27" t="s">
        <v>7</v>
      </c>
      <c r="IM405" s="27" t="s">
        <v>8</v>
      </c>
      <c r="IP405" s="27" t="s">
        <v>7</v>
      </c>
    </row>
    <row r="406" spans="1:250" x14ac:dyDescent="0.25">
      <c r="A406" s="7">
        <v>36.027247984129012</v>
      </c>
      <c r="B406"/>
      <c r="C406"/>
      <c r="D406"/>
      <c r="E406" t="s">
        <v>8</v>
      </c>
      <c r="L406" s="27" t="s">
        <v>7</v>
      </c>
      <c r="M406" s="27" t="s">
        <v>8</v>
      </c>
      <c r="N406" s="27" t="s">
        <v>7</v>
      </c>
      <c r="O406" s="27" t="s">
        <v>8</v>
      </c>
      <c r="P406" s="27" t="s">
        <v>7</v>
      </c>
      <c r="Q406" s="27" t="s">
        <v>8</v>
      </c>
      <c r="R406" s="27" t="s">
        <v>7</v>
      </c>
      <c r="Y406" s="27" t="s">
        <v>8</v>
      </c>
      <c r="AJ406" s="27" t="s">
        <v>7</v>
      </c>
      <c r="HF406" s="27" t="s">
        <v>7</v>
      </c>
      <c r="HG406" s="27" t="s">
        <v>8</v>
      </c>
      <c r="HJ406" s="27" t="s">
        <v>7</v>
      </c>
      <c r="HK406" s="27" t="s">
        <v>8</v>
      </c>
      <c r="HL406" s="27" t="s">
        <v>7</v>
      </c>
      <c r="HQ406" s="27" t="s">
        <v>8</v>
      </c>
      <c r="HR406" s="27" t="s">
        <v>7</v>
      </c>
      <c r="HS406" s="27" t="s">
        <v>8</v>
      </c>
      <c r="HT406" s="27" t="s">
        <v>7</v>
      </c>
      <c r="HW406" s="27" t="s">
        <v>8</v>
      </c>
      <c r="HX406" s="27" t="s">
        <v>7</v>
      </c>
      <c r="IA406" s="27" t="s">
        <v>8</v>
      </c>
      <c r="IB406" s="27" t="s">
        <v>7</v>
      </c>
      <c r="IC406" s="27" t="s">
        <v>8</v>
      </c>
      <c r="ID406" s="27" t="s">
        <v>7</v>
      </c>
      <c r="IE406" s="27" t="s">
        <v>8</v>
      </c>
      <c r="IF406" s="27" t="s">
        <v>7</v>
      </c>
      <c r="IG406" s="27" t="s">
        <v>8</v>
      </c>
      <c r="IL406" s="27" t="s">
        <v>7</v>
      </c>
      <c r="IM406" s="27" t="s">
        <v>8</v>
      </c>
      <c r="IP406" s="27" t="s">
        <v>7</v>
      </c>
    </row>
    <row r="407" spans="1:250" x14ac:dyDescent="0.25">
      <c r="A407" s="7">
        <v>35.320831356989224</v>
      </c>
      <c r="B407"/>
      <c r="C407"/>
      <c r="D407"/>
      <c r="E407" t="s">
        <v>8</v>
      </c>
      <c r="L407" s="27" t="s">
        <v>7</v>
      </c>
      <c r="M407" s="27" t="s">
        <v>8</v>
      </c>
      <c r="N407" s="27" t="s">
        <v>7</v>
      </c>
      <c r="O407" s="27" t="s">
        <v>8</v>
      </c>
      <c r="P407" s="27" t="s">
        <v>7</v>
      </c>
      <c r="Q407" s="27" t="s">
        <v>8</v>
      </c>
      <c r="R407" s="27" t="s">
        <v>7</v>
      </c>
      <c r="Y407" s="27" t="s">
        <v>8</v>
      </c>
      <c r="HF407" s="27" t="s">
        <v>7</v>
      </c>
      <c r="HG407" s="27" t="s">
        <v>8</v>
      </c>
      <c r="HJ407" s="27" t="s">
        <v>7</v>
      </c>
      <c r="HK407" s="27" t="s">
        <v>8</v>
      </c>
      <c r="HL407" s="27" t="s">
        <v>7</v>
      </c>
      <c r="HM407" s="27" t="s">
        <v>8</v>
      </c>
      <c r="HQ407" s="27" t="s">
        <v>8</v>
      </c>
      <c r="HR407" s="27" t="s">
        <v>7</v>
      </c>
      <c r="HS407" s="27" t="s">
        <v>8</v>
      </c>
      <c r="HT407" s="27" t="s">
        <v>7</v>
      </c>
      <c r="HW407" s="27" t="s">
        <v>8</v>
      </c>
      <c r="HX407" s="27" t="s">
        <v>7</v>
      </c>
      <c r="IA407" s="27" t="s">
        <v>8</v>
      </c>
      <c r="IB407" s="27" t="s">
        <v>7</v>
      </c>
      <c r="IC407" s="27" t="s">
        <v>8</v>
      </c>
      <c r="ID407" s="27" t="s">
        <v>7</v>
      </c>
      <c r="IF407" s="27" t="s">
        <v>7</v>
      </c>
      <c r="IG407" s="27" t="s">
        <v>8</v>
      </c>
      <c r="IL407" s="27" t="s">
        <v>7</v>
      </c>
      <c r="IP407" s="27" t="s">
        <v>7</v>
      </c>
    </row>
    <row r="408" spans="1:250" x14ac:dyDescent="0.25">
      <c r="A408" s="7">
        <v>34.628266036263945</v>
      </c>
      <c r="B408"/>
      <c r="C408"/>
      <c r="D408"/>
      <c r="E408" t="s">
        <v>8</v>
      </c>
      <c r="L408" s="27" t="s">
        <v>7</v>
      </c>
      <c r="M408" s="27" t="s">
        <v>8</v>
      </c>
      <c r="N408" s="27" t="s">
        <v>7</v>
      </c>
      <c r="O408" s="27" t="s">
        <v>8</v>
      </c>
      <c r="P408" s="27" t="s">
        <v>7</v>
      </c>
      <c r="Q408" s="27" t="s">
        <v>8</v>
      </c>
      <c r="R408" s="27" t="s">
        <v>7</v>
      </c>
      <c r="Y408" s="27" t="s">
        <v>8</v>
      </c>
      <c r="HF408" s="27" t="s">
        <v>7</v>
      </c>
      <c r="HG408" s="27" t="s">
        <v>8</v>
      </c>
      <c r="HJ408" s="27" t="s">
        <v>7</v>
      </c>
      <c r="HK408" s="27" t="s">
        <v>8</v>
      </c>
      <c r="HL408" s="27" t="s">
        <v>7</v>
      </c>
      <c r="HM408" s="27" t="s">
        <v>8</v>
      </c>
      <c r="HN408" s="27" t="s">
        <v>7</v>
      </c>
      <c r="HQ408" s="27" t="s">
        <v>8</v>
      </c>
      <c r="HR408" s="27" t="s">
        <v>7</v>
      </c>
      <c r="HT408" s="27" t="s">
        <v>7</v>
      </c>
      <c r="HU408" s="27" t="s">
        <v>8</v>
      </c>
      <c r="HW408" s="27" t="s">
        <v>8</v>
      </c>
      <c r="HX408" s="27" t="s">
        <v>7</v>
      </c>
      <c r="HY408" s="27" t="s">
        <v>8</v>
      </c>
      <c r="IA408" s="27" t="s">
        <v>8</v>
      </c>
      <c r="IB408" s="27" t="s">
        <v>7</v>
      </c>
      <c r="IC408" s="27" t="s">
        <v>8</v>
      </c>
      <c r="IF408" s="27" t="s">
        <v>7</v>
      </c>
      <c r="IP408" s="27" t="s">
        <v>7</v>
      </c>
    </row>
    <row r="409" spans="1:250" x14ac:dyDescent="0.25">
      <c r="A409" s="7">
        <v>33.949280427709752</v>
      </c>
      <c r="B409"/>
      <c r="C409"/>
      <c r="D409"/>
      <c r="E409" t="s">
        <v>8</v>
      </c>
      <c r="L409" s="27" t="s">
        <v>7</v>
      </c>
      <c r="M409" s="27" t="s">
        <v>8</v>
      </c>
      <c r="N409" s="27" t="s">
        <v>7</v>
      </c>
      <c r="O409" s="27" t="s">
        <v>8</v>
      </c>
      <c r="P409" s="27" t="s">
        <v>7</v>
      </c>
      <c r="Q409" s="27" t="s">
        <v>8</v>
      </c>
      <c r="R409" s="27" t="s">
        <v>7</v>
      </c>
      <c r="Y409" s="27" t="s">
        <v>8</v>
      </c>
      <c r="HF409" s="27" t="s">
        <v>7</v>
      </c>
      <c r="HG409" s="27" t="s">
        <v>8</v>
      </c>
      <c r="HJ409" s="27" t="s">
        <v>7</v>
      </c>
      <c r="HL409" s="27" t="s">
        <v>7</v>
      </c>
      <c r="HM409" s="27" t="s">
        <v>8</v>
      </c>
      <c r="HN409" s="27" t="s">
        <v>7</v>
      </c>
      <c r="HQ409" s="27" t="s">
        <v>8</v>
      </c>
      <c r="HT409" s="27" t="s">
        <v>7</v>
      </c>
      <c r="HU409" s="27" t="s">
        <v>8</v>
      </c>
      <c r="HV409" s="27" t="s">
        <v>7</v>
      </c>
      <c r="HW409" s="27" t="s">
        <v>8</v>
      </c>
      <c r="HX409" s="27" t="s">
        <v>7</v>
      </c>
      <c r="HY409" s="27" t="s">
        <v>8</v>
      </c>
      <c r="HZ409" s="27" t="s">
        <v>7</v>
      </c>
      <c r="IA409" s="27" t="s">
        <v>8</v>
      </c>
      <c r="IB409" s="27" t="s">
        <v>7</v>
      </c>
      <c r="IP409" s="27" t="s">
        <v>7</v>
      </c>
    </row>
    <row r="410" spans="1:250" x14ac:dyDescent="0.25">
      <c r="A410" s="7">
        <v>33.28360826246054</v>
      </c>
      <c r="B410"/>
      <c r="C410"/>
      <c r="D410"/>
      <c r="E410" t="s">
        <v>8</v>
      </c>
      <c r="L410" s="27" t="s">
        <v>7</v>
      </c>
      <c r="M410" s="27" t="s">
        <v>8</v>
      </c>
      <c r="N410" s="27" t="s">
        <v>7</v>
      </c>
      <c r="O410" s="27" t="s">
        <v>8</v>
      </c>
      <c r="P410" s="27" t="s">
        <v>7</v>
      </c>
      <c r="Q410" s="27" t="s">
        <v>8</v>
      </c>
      <c r="R410" s="27" t="s">
        <v>7</v>
      </c>
      <c r="S410" s="27" t="s">
        <v>8</v>
      </c>
      <c r="Y410" s="27" t="s">
        <v>8</v>
      </c>
      <c r="HF410" s="27" t="s">
        <v>7</v>
      </c>
      <c r="HG410" s="27" t="s">
        <v>8</v>
      </c>
      <c r="HL410" s="27" t="s">
        <v>7</v>
      </c>
      <c r="HN410" s="27" t="s">
        <v>7</v>
      </c>
      <c r="HQ410" s="27" t="s">
        <v>8</v>
      </c>
      <c r="HT410" s="27" t="s">
        <v>7</v>
      </c>
      <c r="HU410" s="27" t="s">
        <v>8</v>
      </c>
      <c r="HV410" s="27" t="s">
        <v>7</v>
      </c>
      <c r="HW410" s="27" t="s">
        <v>8</v>
      </c>
      <c r="HX410" s="27" t="s">
        <v>7</v>
      </c>
      <c r="HY410" s="27" t="s">
        <v>8</v>
      </c>
      <c r="HZ410" s="27" t="s">
        <v>7</v>
      </c>
      <c r="IA410" s="27" t="s">
        <v>8</v>
      </c>
      <c r="IP410" s="27" t="s">
        <v>7</v>
      </c>
    </row>
    <row r="411" spans="1:250" x14ac:dyDescent="0.25">
      <c r="A411" s="7">
        <v>32.630988492608374</v>
      </c>
      <c r="B411"/>
      <c r="C411"/>
      <c r="D411"/>
      <c r="E411" t="s">
        <v>8</v>
      </c>
      <c r="L411" s="27" t="s">
        <v>7</v>
      </c>
      <c r="N411" s="27" t="s">
        <v>7</v>
      </c>
      <c r="O411" s="27" t="s">
        <v>8</v>
      </c>
      <c r="P411" s="27" t="s">
        <v>7</v>
      </c>
      <c r="R411" s="27" t="s">
        <v>7</v>
      </c>
      <c r="S411" s="27" t="s">
        <v>8</v>
      </c>
      <c r="T411" s="27" t="s">
        <v>7</v>
      </c>
      <c r="Y411" s="27" t="s">
        <v>8</v>
      </c>
      <c r="HF411" s="27" t="s">
        <v>7</v>
      </c>
      <c r="HN411" s="27" t="s">
        <v>7</v>
      </c>
      <c r="HQ411" s="27" t="s">
        <v>8</v>
      </c>
      <c r="HT411" s="27" t="s">
        <v>7</v>
      </c>
      <c r="HU411" s="27" t="s">
        <v>8</v>
      </c>
      <c r="HV411" s="27" t="s">
        <v>7</v>
      </c>
      <c r="HW411" s="27" t="s">
        <v>8</v>
      </c>
      <c r="HX411" s="27" t="s">
        <v>7</v>
      </c>
      <c r="HY411" s="27" t="s">
        <v>8</v>
      </c>
      <c r="HZ411" s="27" t="s">
        <v>7</v>
      </c>
      <c r="IA411" s="27" t="s">
        <v>8</v>
      </c>
      <c r="IP411" s="27" t="s">
        <v>7</v>
      </c>
    </row>
    <row r="412" spans="1:250" x14ac:dyDescent="0.25">
      <c r="A412" s="7">
        <v>31.99116518883174</v>
      </c>
      <c r="B412"/>
      <c r="C412"/>
      <c r="D412"/>
      <c r="E412" t="s">
        <v>8</v>
      </c>
      <c r="N412" s="27" t="s">
        <v>7</v>
      </c>
      <c r="O412" s="27" t="s">
        <v>8</v>
      </c>
      <c r="R412" s="27" t="s">
        <v>7</v>
      </c>
      <c r="S412" s="27" t="s">
        <v>8</v>
      </c>
      <c r="T412" s="27" t="s">
        <v>7</v>
      </c>
      <c r="Y412" s="27" t="s">
        <v>8</v>
      </c>
      <c r="HN412" s="27" t="s">
        <v>7</v>
      </c>
      <c r="HO412" s="27" t="s">
        <v>8</v>
      </c>
      <c r="HQ412" s="27" t="s">
        <v>8</v>
      </c>
      <c r="HT412" s="27" t="s">
        <v>7</v>
      </c>
      <c r="HV412" s="27" t="s">
        <v>7</v>
      </c>
      <c r="HW412" s="27" t="s">
        <v>8</v>
      </c>
      <c r="HX412" s="27" t="s">
        <v>7</v>
      </c>
      <c r="HY412" s="27" t="s">
        <v>8</v>
      </c>
      <c r="HZ412" s="27" t="s">
        <v>7</v>
      </c>
    </row>
    <row r="413" spans="1:250" x14ac:dyDescent="0.25">
      <c r="A413" s="7">
        <v>31.363887440031117</v>
      </c>
      <c r="B413"/>
      <c r="C413"/>
      <c r="D413"/>
      <c r="E413" t="s">
        <v>8</v>
      </c>
      <c r="N413" s="27" t="s">
        <v>7</v>
      </c>
      <c r="O413" s="27" t="s">
        <v>8</v>
      </c>
      <c r="R413" s="27" t="s">
        <v>7</v>
      </c>
      <c r="S413" s="27" t="s">
        <v>8</v>
      </c>
      <c r="T413" s="27" t="s">
        <v>7</v>
      </c>
      <c r="U413" s="27" t="s">
        <v>8</v>
      </c>
      <c r="Y413" s="27" t="s">
        <v>8</v>
      </c>
      <c r="HN413" s="27" t="s">
        <v>7</v>
      </c>
      <c r="HO413" s="27" t="s">
        <v>8</v>
      </c>
      <c r="HP413" s="27" t="s">
        <v>7</v>
      </c>
      <c r="HQ413" s="27" t="s">
        <v>8</v>
      </c>
      <c r="HV413" s="27" t="s">
        <v>7</v>
      </c>
      <c r="HW413" s="27" t="s">
        <v>8</v>
      </c>
      <c r="HX413" s="27" t="s">
        <v>7</v>
      </c>
      <c r="HY413" s="27" t="s">
        <v>8</v>
      </c>
    </row>
    <row r="414" spans="1:250" x14ac:dyDescent="0.25">
      <c r="A414" s="7">
        <v>30.748909254932467</v>
      </c>
      <c r="B414"/>
      <c r="C414"/>
      <c r="D414"/>
      <c r="E414" t="s">
        <v>8</v>
      </c>
      <c r="N414" s="27" t="s">
        <v>7</v>
      </c>
      <c r="O414" s="27" t="s">
        <v>8</v>
      </c>
      <c r="R414" s="27" t="s">
        <v>7</v>
      </c>
      <c r="S414" s="27" t="s">
        <v>8</v>
      </c>
      <c r="T414" s="27" t="s">
        <v>7</v>
      </c>
      <c r="U414" s="27" t="s">
        <v>8</v>
      </c>
      <c r="V414" s="27" t="s">
        <v>7</v>
      </c>
      <c r="Y414" s="27" t="s">
        <v>8</v>
      </c>
      <c r="HN414" s="27" t="s">
        <v>7</v>
      </c>
      <c r="HO414" s="27" t="s">
        <v>8</v>
      </c>
      <c r="HP414" s="27" t="s">
        <v>7</v>
      </c>
      <c r="HQ414" s="27" t="s">
        <v>8</v>
      </c>
      <c r="HV414" s="27" t="s">
        <v>7</v>
      </c>
      <c r="HW414" s="27" t="s">
        <v>8</v>
      </c>
      <c r="HX414" s="27" t="s">
        <v>7</v>
      </c>
    </row>
    <row r="415" spans="1:250" x14ac:dyDescent="0.25">
      <c r="A415" s="7">
        <v>30.145989465620065</v>
      </c>
      <c r="B415"/>
      <c r="C415"/>
      <c r="D415"/>
      <c r="E415" t="s">
        <v>8</v>
      </c>
      <c r="N415" s="27" t="s">
        <v>7</v>
      </c>
      <c r="R415" s="27" t="s">
        <v>7</v>
      </c>
      <c r="S415" s="27" t="s">
        <v>8</v>
      </c>
      <c r="T415" s="27" t="s">
        <v>7</v>
      </c>
      <c r="U415" s="27" t="s">
        <v>8</v>
      </c>
      <c r="V415" s="27" t="s">
        <v>7</v>
      </c>
      <c r="Y415" s="27" t="s">
        <v>8</v>
      </c>
      <c r="HN415" s="27" t="s">
        <v>7</v>
      </c>
      <c r="HO415" s="27" t="s">
        <v>8</v>
      </c>
      <c r="HP415" s="27" t="s">
        <v>7</v>
      </c>
      <c r="HQ415" s="27" t="s">
        <v>8</v>
      </c>
      <c r="HV415" s="27" t="s">
        <v>7</v>
      </c>
    </row>
    <row r="416" spans="1:250" x14ac:dyDescent="0.25">
      <c r="A416" s="7">
        <v>29.55489163296085</v>
      </c>
      <c r="B416"/>
      <c r="C416"/>
      <c r="D416"/>
      <c r="E416" t="s">
        <v>8</v>
      </c>
      <c r="R416" s="27" t="s">
        <v>7</v>
      </c>
      <c r="S416" s="27" t="s">
        <v>8</v>
      </c>
      <c r="T416" s="27" t="s">
        <v>7</v>
      </c>
      <c r="U416" s="27" t="s">
        <v>8</v>
      </c>
      <c r="V416" s="27" t="s">
        <v>7</v>
      </c>
      <c r="Y416" s="27" t="s">
        <v>8</v>
      </c>
      <c r="HN416" s="27" t="s">
        <v>7</v>
      </c>
      <c r="HO416" s="27" t="s">
        <v>8</v>
      </c>
      <c r="HP416" s="27" t="s">
        <v>7</v>
      </c>
      <c r="HQ416" s="27" t="s">
        <v>8</v>
      </c>
    </row>
    <row r="417" spans="1:225" x14ac:dyDescent="0.25">
      <c r="A417" s="7">
        <v>28.975383953883185</v>
      </c>
      <c r="B417"/>
      <c r="C417"/>
      <c r="D417"/>
      <c r="E417" t="s">
        <v>8</v>
      </c>
      <c r="R417" s="27" t="s">
        <v>7</v>
      </c>
      <c r="S417" s="27" t="s">
        <v>8</v>
      </c>
      <c r="T417" s="27" t="s">
        <v>7</v>
      </c>
      <c r="U417" s="27" t="s">
        <v>8</v>
      </c>
      <c r="V417" s="27" t="s">
        <v>7</v>
      </c>
      <c r="Y417" s="27" t="s">
        <v>8</v>
      </c>
      <c r="HN417" s="27" t="s">
        <v>7</v>
      </c>
      <c r="HO417" s="27" t="s">
        <v>8</v>
      </c>
      <c r="HP417" s="27" t="s">
        <v>7</v>
      </c>
      <c r="HQ417" s="27" t="s">
        <v>8</v>
      </c>
    </row>
    <row r="418" spans="1:225" x14ac:dyDescent="0.25">
      <c r="A418" s="7">
        <v>28.407239170473709</v>
      </c>
      <c r="B418"/>
      <c r="C418"/>
      <c r="D418"/>
      <c r="E418" t="s">
        <v>8</v>
      </c>
      <c r="R418" s="27" t="s">
        <v>7</v>
      </c>
      <c r="S418" s="27" t="s">
        <v>8</v>
      </c>
      <c r="T418" s="27" t="s">
        <v>7</v>
      </c>
      <c r="U418" s="27" t="s">
        <v>8</v>
      </c>
      <c r="V418" s="27" t="s">
        <v>7</v>
      </c>
      <c r="Y418" s="27" t="s">
        <v>8</v>
      </c>
      <c r="HN418" s="27" t="s">
        <v>7</v>
      </c>
      <c r="HO418" s="27" t="s">
        <v>8</v>
      </c>
      <c r="HP418" s="27" t="s">
        <v>7</v>
      </c>
      <c r="HQ418" s="27" t="s">
        <v>8</v>
      </c>
    </row>
    <row r="419" spans="1:225" x14ac:dyDescent="0.25">
      <c r="A419" s="7">
        <v>27.850234480856578</v>
      </c>
      <c r="B419"/>
      <c r="C419"/>
      <c r="D419"/>
      <c r="E419" t="s">
        <v>8</v>
      </c>
      <c r="R419" s="27" t="s">
        <v>7</v>
      </c>
      <c r="T419" s="27" t="s">
        <v>7</v>
      </c>
      <c r="U419" s="27" t="s">
        <v>8</v>
      </c>
      <c r="V419" s="27" t="s">
        <v>7</v>
      </c>
      <c r="Y419" s="27" t="s">
        <v>8</v>
      </c>
      <c r="HN419" s="27" t="s">
        <v>7</v>
      </c>
      <c r="HO419" s="27" t="s">
        <v>8</v>
      </c>
      <c r="HP419" s="27" t="s">
        <v>7</v>
      </c>
      <c r="HQ419" s="27" t="s">
        <v>8</v>
      </c>
    </row>
    <row r="420" spans="1:225" x14ac:dyDescent="0.25">
      <c r="A420" s="7">
        <v>27.304151451820175</v>
      </c>
      <c r="B420"/>
      <c r="C420"/>
      <c r="D420"/>
      <c r="E420" t="s">
        <v>8</v>
      </c>
      <c r="T420" s="27" t="s">
        <v>7</v>
      </c>
      <c r="U420" s="27" t="s">
        <v>8</v>
      </c>
      <c r="V420" s="27" t="s">
        <v>7</v>
      </c>
      <c r="Y420" s="27" t="s">
        <v>8</v>
      </c>
      <c r="HN420" s="27" t="s">
        <v>7</v>
      </c>
      <c r="HO420" s="27" t="s">
        <v>8</v>
      </c>
      <c r="HP420" s="27" t="s">
        <v>7</v>
      </c>
      <c r="HQ420" s="27" t="s">
        <v>8</v>
      </c>
    </row>
    <row r="421" spans="1:225" x14ac:dyDescent="0.25">
      <c r="A421" s="7">
        <v>26.768775933157034</v>
      </c>
      <c r="B421"/>
      <c r="C421"/>
      <c r="D421"/>
      <c r="E421" t="s">
        <v>8</v>
      </c>
      <c r="T421" s="27" t="s">
        <v>7</v>
      </c>
      <c r="U421" s="27" t="s">
        <v>8</v>
      </c>
      <c r="V421" s="27" t="s">
        <v>7</v>
      </c>
      <c r="W421" s="27" t="s">
        <v>8</v>
      </c>
      <c r="Y421" s="27" t="s">
        <v>8</v>
      </c>
      <c r="HN421" s="27" t="s">
        <v>7</v>
      </c>
      <c r="HO421" s="27" t="s">
        <v>8</v>
      </c>
      <c r="HP421" s="27" t="s">
        <v>7</v>
      </c>
      <c r="HQ421" s="27" t="s">
        <v>8</v>
      </c>
    </row>
    <row r="422" spans="1:225" x14ac:dyDescent="0.25">
      <c r="A422" s="7">
        <v>26.243897973683367</v>
      </c>
      <c r="B422"/>
      <c r="C422"/>
      <c r="D422"/>
      <c r="E422" t="s">
        <v>8</v>
      </c>
      <c r="T422" s="27" t="s">
        <v>7</v>
      </c>
      <c r="U422" s="27" t="s">
        <v>8</v>
      </c>
      <c r="V422" s="27" t="s">
        <v>7</v>
      </c>
      <c r="W422" s="27" t="s">
        <v>8</v>
      </c>
      <c r="X422" s="27" t="s">
        <v>7</v>
      </c>
      <c r="Y422" s="27" t="s">
        <v>8</v>
      </c>
      <c r="HN422" s="27" t="s">
        <v>7</v>
      </c>
      <c r="HO422" s="27" t="s">
        <v>8</v>
      </c>
      <c r="HP422" s="27" t="s">
        <v>7</v>
      </c>
      <c r="HQ422" s="27" t="s">
        <v>8</v>
      </c>
    </row>
    <row r="423" spans="1:225" x14ac:dyDescent="0.25">
      <c r="A423" s="7">
        <v>25.729311738905263</v>
      </c>
      <c r="B423"/>
      <c r="C423"/>
      <c r="D423"/>
      <c r="E423" t="s">
        <v>8</v>
      </c>
      <c r="T423" s="27" t="s">
        <v>7</v>
      </c>
      <c r="U423" s="27" t="s">
        <v>8</v>
      </c>
      <c r="V423" s="27" t="s">
        <v>7</v>
      </c>
      <c r="W423" s="27" t="s">
        <v>8</v>
      </c>
      <c r="X423" s="27" t="s">
        <v>7</v>
      </c>
      <c r="Y423" s="27" t="s">
        <v>8</v>
      </c>
      <c r="HN423" s="27" t="s">
        <v>7</v>
      </c>
      <c r="HP423" s="27" t="s">
        <v>7</v>
      </c>
      <c r="HQ423" s="27" t="s">
        <v>8</v>
      </c>
    </row>
    <row r="424" spans="1:225" x14ac:dyDescent="0.25">
      <c r="A424" s="7">
        <v>25.224815430299277</v>
      </c>
      <c r="B424"/>
      <c r="C424"/>
      <c r="D424"/>
      <c r="E424" t="s">
        <v>8</v>
      </c>
      <c r="T424" s="27" t="s">
        <v>7</v>
      </c>
      <c r="U424" s="27" t="s">
        <v>8</v>
      </c>
      <c r="V424" s="27" t="s">
        <v>7</v>
      </c>
      <c r="W424" s="27" t="s">
        <v>8</v>
      </c>
      <c r="X424" s="27" t="s">
        <v>7</v>
      </c>
      <c r="Y424" s="27" t="s">
        <v>8</v>
      </c>
      <c r="HP424" s="27" t="s">
        <v>7</v>
      </c>
    </row>
    <row r="425" spans="1:225" x14ac:dyDescent="0.25">
      <c r="A425" s="7">
        <v>24.73021120617576</v>
      </c>
      <c r="B425"/>
      <c r="C425"/>
      <c r="D425"/>
      <c r="E425" t="s">
        <v>8</v>
      </c>
      <c r="T425" s="27" t="s">
        <v>7</v>
      </c>
      <c r="V425" s="27" t="s">
        <v>7</v>
      </c>
      <c r="W425" s="27" t="s">
        <v>8</v>
      </c>
      <c r="X425" s="27" t="s">
        <v>7</v>
      </c>
      <c r="Y425" s="27" t="s">
        <v>8</v>
      </c>
    </row>
    <row r="426" spans="1:225" x14ac:dyDescent="0.25">
      <c r="A426" s="7">
        <v>24.24530510409388</v>
      </c>
      <c r="B426"/>
      <c r="C426"/>
      <c r="D426"/>
      <c r="E426" t="s">
        <v>8</v>
      </c>
      <c r="V426" s="27" t="s">
        <v>7</v>
      </c>
      <c r="W426" s="27" t="s">
        <v>8</v>
      </c>
      <c r="X426" s="27" t="s">
        <v>7</v>
      </c>
      <c r="Y426" s="27" t="s">
        <v>8</v>
      </c>
    </row>
    <row r="427" spans="1:225" x14ac:dyDescent="0.25">
      <c r="A427" s="7">
        <v>23.769906964797922</v>
      </c>
      <c r="B427"/>
      <c r="C427"/>
      <c r="D427"/>
      <c r="E427" t="s">
        <v>8</v>
      </c>
      <c r="V427" s="27" t="s">
        <v>7</v>
      </c>
      <c r="W427" s="27" t="s">
        <v>8</v>
      </c>
      <c r="X427" s="27" t="s">
        <v>7</v>
      </c>
      <c r="Y427" s="27" t="s">
        <v>8</v>
      </c>
    </row>
    <row r="428" spans="1:225" x14ac:dyDescent="0.25">
      <c r="A428" s="7">
        <v>23.303830357645023</v>
      </c>
      <c r="B428"/>
      <c r="C428"/>
      <c r="D428"/>
      <c r="E428" t="s">
        <v>8</v>
      </c>
      <c r="V428" s="27" t="s">
        <v>7</v>
      </c>
      <c r="X428" s="27" t="s">
        <v>7</v>
      </c>
      <c r="Y428" s="27" t="s">
        <v>8</v>
      </c>
    </row>
    <row r="429" spans="1:225" x14ac:dyDescent="0.25">
      <c r="A429" s="7">
        <v>22.84689250749512</v>
      </c>
      <c r="B429"/>
      <c r="C429"/>
      <c r="D429"/>
      <c r="E429" t="s">
        <v>8</v>
      </c>
      <c r="X429" s="27" t="s">
        <v>7</v>
      </c>
      <c r="Y429" s="27" t="s">
        <v>8</v>
      </c>
    </row>
    <row r="430" spans="1:225" x14ac:dyDescent="0.25">
      <c r="A430" s="7">
        <v>22.398914223034431</v>
      </c>
      <c r="B430"/>
      <c r="C430"/>
      <c r="D430"/>
      <c r="E430" t="s">
        <v>8</v>
      </c>
      <c r="X430" s="27" t="s">
        <v>7</v>
      </c>
      <c r="Y430" s="27" t="s">
        <v>8</v>
      </c>
    </row>
    <row r="431" spans="1:225" x14ac:dyDescent="0.25">
      <c r="A431" s="7">
        <v>21.959719826504344</v>
      </c>
      <c r="B431"/>
      <c r="C431"/>
      <c r="D431"/>
      <c r="E431" t="s">
        <v>8</v>
      </c>
      <c r="X431" s="27" t="s">
        <v>7</v>
      </c>
      <c r="Y431" s="27" t="s">
        <v>8</v>
      </c>
    </row>
    <row r="432" spans="1:225" x14ac:dyDescent="0.25">
      <c r="A432" s="7">
        <v>21.52913708480818</v>
      </c>
      <c r="B432"/>
      <c r="C432"/>
      <c r="D432"/>
      <c r="E432" t="s">
        <v>8</v>
      </c>
      <c r="X432" s="27" t="s">
        <v>7</v>
      </c>
      <c r="Y432" s="27" t="s">
        <v>8</v>
      </c>
    </row>
    <row r="433" spans="1:25" x14ac:dyDescent="0.25">
      <c r="A433" s="7">
        <v>21.106997141968804</v>
      </c>
      <c r="B433"/>
      <c r="C433"/>
      <c r="D433"/>
      <c r="E433" t="s">
        <v>8</v>
      </c>
      <c r="X433" s="27" t="s">
        <v>7</v>
      </c>
      <c r="Y433" s="27" t="s">
        <v>8</v>
      </c>
    </row>
    <row r="434" spans="1:25" x14ac:dyDescent="0.25">
      <c r="A434" s="7">
        <v>20.693134452910591</v>
      </c>
      <c r="B434"/>
      <c r="C434"/>
      <c r="D434"/>
      <c r="E434" t="s">
        <v>8</v>
      </c>
      <c r="X434" s="27" t="s">
        <v>7</v>
      </c>
      <c r="Y434" s="27" t="s">
        <v>8</v>
      </c>
    </row>
    <row r="435" spans="1:25" x14ac:dyDescent="0.25">
      <c r="A435" s="7">
        <v>20.287386718539796</v>
      </c>
      <c r="B435"/>
      <c r="C435"/>
      <c r="D435"/>
      <c r="E435" t="s">
        <v>8</v>
      </c>
      <c r="X435" s="27" t="s">
        <v>7</v>
      </c>
      <c r="Y435" s="27" t="s">
        <v>8</v>
      </c>
    </row>
    <row r="436" spans="1:25" x14ac:dyDescent="0.25">
      <c r="A436" s="7">
        <v>19.889594822097838</v>
      </c>
      <c r="B436"/>
      <c r="C436"/>
      <c r="D436"/>
      <c r="E436" t="s">
        <v>8</v>
      </c>
      <c r="X436" s="27" t="s">
        <v>7</v>
      </c>
      <c r="Y436" s="27" t="s">
        <v>8</v>
      </c>
    </row>
    <row r="437" spans="1:25" x14ac:dyDescent="0.25">
      <c r="A437" s="7">
        <v>19.499602766762585</v>
      </c>
      <c r="B437"/>
      <c r="C437"/>
      <c r="D437"/>
      <c r="E437" t="s">
        <v>8</v>
      </c>
      <c r="X437" s="27" t="s">
        <v>7</v>
      </c>
      <c r="Y437" s="27" t="s">
        <v>8</v>
      </c>
    </row>
    <row r="438" spans="1:25" x14ac:dyDescent="0.25">
      <c r="A438" s="7">
        <v>19.117257614473122</v>
      </c>
      <c r="B438"/>
      <c r="C438"/>
      <c r="D438"/>
      <c r="E438" t="s">
        <v>8</v>
      </c>
      <c r="X438" s="27" t="s">
        <v>7</v>
      </c>
      <c r="Y438" s="27" t="s">
        <v>8</v>
      </c>
    </row>
    <row r="439" spans="1:25" x14ac:dyDescent="0.25">
      <c r="A439" s="7">
        <v>18.74240942595404</v>
      </c>
      <c r="B439"/>
      <c r="C439"/>
      <c r="D439"/>
      <c r="E439" t="s">
        <v>8</v>
      </c>
      <c r="X439" s="27" t="s">
        <v>7</v>
      </c>
      <c r="Y439" s="27" t="s">
        <v>8</v>
      </c>
    </row>
    <row r="440" spans="1:25" x14ac:dyDescent="0.25">
      <c r="A440" s="7">
        <v>18.374911201915726</v>
      </c>
      <c r="B440"/>
      <c r="C440"/>
      <c r="D440"/>
      <c r="E440" t="s">
        <v>8</v>
      </c>
      <c r="X440" s="27" t="s">
        <v>7</v>
      </c>
      <c r="Y440" s="27" t="s">
        <v>8</v>
      </c>
    </row>
    <row r="441" spans="1:25" x14ac:dyDescent="0.25">
      <c r="A441" s="7">
        <v>18.014618825407574</v>
      </c>
      <c r="B441"/>
      <c r="C441"/>
      <c r="D441"/>
      <c r="E441" t="s">
        <v>8</v>
      </c>
      <c r="X441" s="27" t="s">
        <v>7</v>
      </c>
      <c r="Y441" s="27" t="s">
        <v>8</v>
      </c>
    </row>
    <row r="442" spans="1:25" x14ac:dyDescent="0.25">
      <c r="A442" s="7">
        <v>17.661391005301542</v>
      </c>
      <c r="B442"/>
      <c r="C442"/>
      <c r="D442"/>
      <c r="E442" t="s">
        <v>8</v>
      </c>
      <c r="X442" s="27" t="s">
        <v>7</v>
      </c>
      <c r="Y442" s="27" t="s">
        <v>8</v>
      </c>
    </row>
    <row r="443" spans="1:25" x14ac:dyDescent="0.25">
      <c r="A443" s="7">
        <v>17.315089220883866</v>
      </c>
      <c r="B443"/>
      <c r="C443"/>
      <c r="D443"/>
      <c r="E443" t="s">
        <v>8</v>
      </c>
      <c r="X443" s="27" t="s">
        <v>7</v>
      </c>
      <c r="Y443" s="27" t="s">
        <v>8</v>
      </c>
    </row>
    <row r="444" spans="1:25" x14ac:dyDescent="0.25">
      <c r="A444" s="7">
        <v>16.975577667533202</v>
      </c>
      <c r="B444"/>
      <c r="C444"/>
      <c r="D444"/>
      <c r="E444" t="s">
        <v>8</v>
      </c>
      <c r="X444" s="27" t="s">
        <v>7</v>
      </c>
      <c r="Y444" s="27" t="s">
        <v>8</v>
      </c>
    </row>
    <row r="445" spans="1:25" x14ac:dyDescent="0.25">
      <c r="A445" s="7">
        <v>16.642723203463923</v>
      </c>
      <c r="B445"/>
      <c r="C445"/>
      <c r="D445"/>
      <c r="E445" t="s">
        <v>8</v>
      </c>
      <c r="X445" s="27" t="s">
        <v>7</v>
      </c>
      <c r="Y445" s="27" t="s">
        <v>8</v>
      </c>
    </row>
    <row r="446" spans="1:25" x14ac:dyDescent="0.25">
      <c r="A446" s="7">
        <v>16.316395297513651</v>
      </c>
      <c r="B446"/>
      <c r="C446"/>
      <c r="D446"/>
      <c r="E446" t="s">
        <v>8</v>
      </c>
      <c r="X446" s="27" t="s">
        <v>7</v>
      </c>
      <c r="Y446" s="27" t="s">
        <v>8</v>
      </c>
    </row>
    <row r="447" spans="1:25" x14ac:dyDescent="0.25">
      <c r="A447" s="7">
        <v>15.996465977954561</v>
      </c>
      <c r="B447"/>
      <c r="C447"/>
      <c r="D447"/>
      <c r="E447" t="s">
        <v>8</v>
      </c>
      <c r="X447" s="27" t="s">
        <v>7</v>
      </c>
      <c r="Y447" s="27" t="s">
        <v>8</v>
      </c>
    </row>
    <row r="448" spans="1:25" x14ac:dyDescent="0.25">
      <c r="A448" s="7">
        <v>15.682809782308393</v>
      </c>
      <c r="B448"/>
      <c r="C448"/>
      <c r="D448"/>
      <c r="E448" t="s">
        <v>8</v>
      </c>
      <c r="X448" s="27" t="s">
        <v>7</v>
      </c>
      <c r="Y448" s="27" t="s">
        <v>8</v>
      </c>
    </row>
    <row r="449" spans="1:25" x14ac:dyDescent="0.25">
      <c r="A449" s="7">
        <v>15.375303708145482</v>
      </c>
      <c r="B449"/>
      <c r="C449"/>
      <c r="D449"/>
      <c r="E449" t="s">
        <v>8</v>
      </c>
      <c r="X449" s="27" t="s">
        <v>7</v>
      </c>
      <c r="Y449" s="27" t="s">
        <v>8</v>
      </c>
    </row>
    <row r="450" spans="1:25" x14ac:dyDescent="0.25">
      <c r="A450" s="7">
        <v>15.073827164848511</v>
      </c>
      <c r="B450"/>
      <c r="C450"/>
      <c r="D450"/>
      <c r="E450" t="s">
        <v>8</v>
      </c>
      <c r="X450" s="27" t="s">
        <v>7</v>
      </c>
      <c r="Y450" s="27" t="s">
        <v>8</v>
      </c>
    </row>
    <row r="451" spans="1:25" x14ac:dyDescent="0.25">
      <c r="A451" s="7">
        <v>14.77826192632207</v>
      </c>
      <c r="B451"/>
      <c r="C451"/>
      <c r="D451"/>
      <c r="E451" t="s">
        <v>8</v>
      </c>
      <c r="X451" s="27" t="s">
        <v>7</v>
      </c>
      <c r="Y451" s="27" t="s">
        <v>8</v>
      </c>
    </row>
    <row r="452" spans="1:25" x14ac:dyDescent="0.25">
      <c r="A452" s="7">
        <v>14.488492084629481</v>
      </c>
      <c r="B452"/>
      <c r="C452"/>
      <c r="D452"/>
      <c r="E452" t="s">
        <v>8</v>
      </c>
      <c r="X452" s="27" t="s">
        <v>7</v>
      </c>
      <c r="Y452" s="27" t="s">
        <v>8</v>
      </c>
    </row>
    <row r="453" spans="1:25" x14ac:dyDescent="0.25">
      <c r="A453" s="7">
        <v>14.204404004538707</v>
      </c>
      <c r="B453"/>
      <c r="C453"/>
      <c r="D453"/>
      <c r="E453" t="s">
        <v>8</v>
      </c>
      <c r="X453" s="27" t="s">
        <v>7</v>
      </c>
      <c r="Y453" s="27" t="s">
        <v>8</v>
      </c>
    </row>
    <row r="454" spans="1:25" x14ac:dyDescent="0.25">
      <c r="A454" s="7">
        <v>13.925886278959517</v>
      </c>
      <c r="B454"/>
      <c r="C454"/>
      <c r="D454"/>
      <c r="E454" t="s">
        <v>8</v>
      </c>
      <c r="X454" s="27" t="s">
        <v>7</v>
      </c>
      <c r="Y454" s="27" t="s">
        <v>8</v>
      </c>
    </row>
    <row r="455" spans="1:25" x14ac:dyDescent="0.25">
      <c r="A455" s="7">
        <v>13.652829685254428</v>
      </c>
      <c r="B455"/>
      <c r="C455"/>
      <c r="D455"/>
      <c r="E455" t="s">
        <v>8</v>
      </c>
      <c r="X455" s="27" t="s">
        <v>7</v>
      </c>
      <c r="Y455" s="27" t="s">
        <v>8</v>
      </c>
    </row>
    <row r="456" spans="1:25" x14ac:dyDescent="0.25">
      <c r="A456" s="7">
        <v>13.385127142406303</v>
      </c>
      <c r="B456"/>
      <c r="C456"/>
      <c r="D456"/>
      <c r="E456" t="s">
        <v>8</v>
      </c>
      <c r="X456" s="27" t="s">
        <v>7</v>
      </c>
      <c r="Y456" s="27" t="s">
        <v>8</v>
      </c>
    </row>
    <row r="457" spans="1:25" x14ac:dyDescent="0.25">
      <c r="A457" s="7">
        <v>13.122673669025787</v>
      </c>
      <c r="B457"/>
      <c r="C457"/>
      <c r="D457"/>
      <c r="E457" t="s">
        <v>8</v>
      </c>
      <c r="X457" s="27" t="s">
        <v>7</v>
      </c>
      <c r="Y457" s="27" t="s">
        <v>8</v>
      </c>
    </row>
    <row r="458" spans="1:25" x14ac:dyDescent="0.25">
      <c r="A458" s="7">
        <v>12.865366342182144</v>
      </c>
      <c r="B458"/>
      <c r="C458"/>
      <c r="D458"/>
      <c r="E458" t="s">
        <v>8</v>
      </c>
      <c r="X458" s="27" t="s">
        <v>7</v>
      </c>
      <c r="Y458" s="27" t="s">
        <v>8</v>
      </c>
    </row>
    <row r="459" spans="1:25" x14ac:dyDescent="0.25">
      <c r="A459" s="7">
        <v>12.613104257041318</v>
      </c>
      <c r="B459"/>
      <c r="C459"/>
      <c r="D459"/>
      <c r="E459" t="s">
        <v>8</v>
      </c>
      <c r="X459" s="27" t="s">
        <v>7</v>
      </c>
      <c r="Y459" s="27" t="s">
        <v>8</v>
      </c>
    </row>
    <row r="460" spans="1:25" x14ac:dyDescent="0.25">
      <c r="A460" s="7">
        <v>12.36578848729541</v>
      </c>
      <c r="B460"/>
      <c r="C460"/>
      <c r="D460"/>
      <c r="E460" t="s">
        <v>8</v>
      </c>
      <c r="X460" s="27" t="s">
        <v>7</v>
      </c>
      <c r="Y460" s="27" t="s">
        <v>8</v>
      </c>
    </row>
    <row r="461" spans="1:25" x14ac:dyDescent="0.25">
      <c r="A461" s="7">
        <v>12.123322046368049</v>
      </c>
      <c r="B461"/>
      <c r="C461"/>
      <c r="D461"/>
      <c r="E461" t="s">
        <v>8</v>
      </c>
      <c r="X461" s="27" t="s">
        <v>7</v>
      </c>
      <c r="Y461" s="27" t="s">
        <v>8</v>
      </c>
    </row>
    <row r="462" spans="1:25" x14ac:dyDescent="0.25">
      <c r="A462" s="7">
        <v>11.88560984938044</v>
      </c>
      <c r="B462"/>
      <c r="C462"/>
      <c r="D462"/>
      <c r="E462" t="s">
        <v>8</v>
      </c>
      <c r="X462" s="27" t="s">
        <v>7</v>
      </c>
      <c r="Y462" s="27" t="s">
        <v>8</v>
      </c>
    </row>
    <row r="463" spans="1:25" x14ac:dyDescent="0.25">
      <c r="A463" s="7">
        <v>11.652558675863176</v>
      </c>
      <c r="B463"/>
      <c r="C463"/>
      <c r="D463"/>
      <c r="E463" t="s">
        <v>8</v>
      </c>
      <c r="X463" s="27" t="s">
        <v>7</v>
      </c>
      <c r="Y463" s="27" t="s">
        <v>8</v>
      </c>
    </row>
    <row r="464" spans="1:25" x14ac:dyDescent="0.25">
      <c r="A464" s="7">
        <v>11.424077133199193</v>
      </c>
      <c r="B464"/>
      <c r="C464"/>
      <c r="D464"/>
      <c r="E464" t="s">
        <v>8</v>
      </c>
      <c r="X464" s="27" t="s">
        <v>7</v>
      </c>
      <c r="Y464" s="27" t="s">
        <v>8</v>
      </c>
    </row>
    <row r="465" spans="1:25" x14ac:dyDescent="0.25">
      <c r="A465" s="7">
        <v>11.200075620783522</v>
      </c>
      <c r="B465"/>
      <c r="C465"/>
      <c r="D465"/>
      <c r="E465" t="s">
        <v>8</v>
      </c>
      <c r="X465" s="27" t="s">
        <v>7</v>
      </c>
      <c r="Y465" s="27" t="s">
        <v>8</v>
      </c>
    </row>
    <row r="466" spans="1:25" x14ac:dyDescent="0.25">
      <c r="A466" s="7">
        <v>10.980466294885806</v>
      </c>
      <c r="B466"/>
      <c r="C466"/>
      <c r="D466"/>
      <c r="E466" t="s">
        <v>8</v>
      </c>
      <c r="X466" s="27" t="s">
        <v>7</v>
      </c>
      <c r="Y466" s="27" t="s">
        <v>8</v>
      </c>
    </row>
    <row r="467" spans="1:25" x14ac:dyDescent="0.25">
      <c r="A467" s="7">
        <v>10.765163034201771</v>
      </c>
      <c r="B467"/>
      <c r="C467"/>
      <c r="D467"/>
      <c r="E467" t="s">
        <v>8</v>
      </c>
      <c r="X467" s="27" t="s">
        <v>7</v>
      </c>
      <c r="Y467" s="27" t="s">
        <v>8</v>
      </c>
    </row>
    <row r="468" spans="1:25" x14ac:dyDescent="0.25">
      <c r="A468" s="7">
        <v>10.554081406080169</v>
      </c>
      <c r="B468"/>
      <c r="C468"/>
      <c r="D468"/>
      <c r="E468" t="s">
        <v>8</v>
      </c>
      <c r="X468" s="27" t="s">
        <v>7</v>
      </c>
      <c r="Y468" s="27" t="s">
        <v>8</v>
      </c>
    </row>
    <row r="469" spans="1:25" x14ac:dyDescent="0.25">
      <c r="A469" s="7">
        <v>10.34713863341193</v>
      </c>
      <c r="B469"/>
      <c r="C469"/>
      <c r="D469"/>
      <c r="E469" t="s">
        <v>8</v>
      </c>
      <c r="X469" s="27" t="s">
        <v>7</v>
      </c>
      <c r="Y469" s="27" t="s">
        <v>8</v>
      </c>
    </row>
    <row r="470" spans="1:25" x14ac:dyDescent="0.25">
      <c r="A470" s="7">
        <v>10.14425356216856</v>
      </c>
      <c r="B470"/>
      <c r="C470"/>
      <c r="D470"/>
      <c r="E470" t="s">
        <v>8</v>
      </c>
      <c r="X470" s="27" t="s">
        <v>7</v>
      </c>
      <c r="Y470" s="27" t="s">
        <v>8</v>
      </c>
    </row>
    <row r="471" spans="1:25" x14ac:dyDescent="0.25">
      <c r="A471" s="7">
        <v>9.9453466295770188</v>
      </c>
      <c r="B471"/>
      <c r="C471"/>
      <c r="D471"/>
      <c r="E471" t="s">
        <v>8</v>
      </c>
      <c r="X471" s="27" t="s">
        <v>7</v>
      </c>
      <c r="Y471" s="27" t="s">
        <v>8</v>
      </c>
    </row>
    <row r="472" spans="1:25" x14ac:dyDescent="0.25">
      <c r="A472" s="7">
        <v>9.7503398329186464</v>
      </c>
      <c r="B472"/>
      <c r="C472"/>
      <c r="D472"/>
      <c r="E472" t="s">
        <v>8</v>
      </c>
      <c r="X472" s="27" t="s">
        <v>7</v>
      </c>
      <c r="Y472" s="27" t="s">
        <v>8</v>
      </c>
    </row>
    <row r="473" spans="1:25" x14ac:dyDescent="0.25">
      <c r="A473" s="7">
        <v>9.5591566989398498</v>
      </c>
      <c r="B473"/>
      <c r="C473"/>
      <c r="D473"/>
      <c r="E473" t="s">
        <v>8</v>
      </c>
      <c r="X473" s="27" t="s">
        <v>7</v>
      </c>
      <c r="Y473" s="27" t="s">
        <v>8</v>
      </c>
    </row>
    <row r="474" spans="1:25" x14ac:dyDescent="0.25">
      <c r="A474" s="7">
        <v>9.3717222538625968</v>
      </c>
      <c r="B474"/>
      <c r="C474"/>
      <c r="D474"/>
      <c r="E474" t="s">
        <v>8</v>
      </c>
      <c r="X474" s="27" t="s">
        <v>7</v>
      </c>
      <c r="Y474" s="27" t="s">
        <v>8</v>
      </c>
    </row>
    <row r="475" spans="1:25" x14ac:dyDescent="0.25">
      <c r="A475" s="7">
        <v>9.1879629939829375</v>
      </c>
      <c r="B475"/>
      <c r="C475"/>
      <c r="D475"/>
      <c r="E475" t="s">
        <v>8</v>
      </c>
      <c r="X475" s="27" t="s">
        <v>7</v>
      </c>
      <c r="Y475" s="27" t="s">
        <v>8</v>
      </c>
    </row>
    <row r="476" spans="1:25" x14ac:dyDescent="0.25">
      <c r="A476" s="7">
        <v>9.0078068568460168</v>
      </c>
      <c r="B476"/>
      <c r="C476"/>
      <c r="D476"/>
      <c r="E476" t="s">
        <v>8</v>
      </c>
      <c r="X476" s="27" t="s">
        <v>7</v>
      </c>
      <c r="Y476" s="27" t="s">
        <v>8</v>
      </c>
    </row>
    <row r="477" spans="1:25" x14ac:dyDescent="0.25">
      <c r="A477" s="7">
        <v>8.8311831929862912</v>
      </c>
      <c r="B477"/>
      <c r="C477"/>
      <c r="D477"/>
      <c r="E477" t="s">
        <v>8</v>
      </c>
      <c r="X477" s="27" t="s">
        <v>7</v>
      </c>
      <c r="Y477" s="27" t="s">
        <v>8</v>
      </c>
    </row>
    <row r="478" spans="1:25" x14ac:dyDescent="0.25">
      <c r="A478" s="7">
        <v>8.6580227382218542</v>
      </c>
      <c r="B478"/>
      <c r="C478"/>
      <c r="D478"/>
      <c r="E478" t="s">
        <v>8</v>
      </c>
      <c r="X478" s="27" t="s">
        <v>7</v>
      </c>
      <c r="Y478" s="27" t="s">
        <v>8</v>
      </c>
    </row>
    <row r="479" spans="1:25" x14ac:dyDescent="0.25">
      <c r="A479" s="7">
        <v>8.4882575864920131</v>
      </c>
      <c r="B479"/>
      <c r="C479"/>
      <c r="D479"/>
      <c r="E479" t="s">
        <v>8</v>
      </c>
      <c r="X479" s="27" t="s">
        <v>7</v>
      </c>
      <c r="Y479" s="27" t="s">
        <v>8</v>
      </c>
    </row>
    <row r="480" spans="1:25" x14ac:dyDescent="0.25">
      <c r="A480" s="7">
        <v>8.3218211632274635</v>
      </c>
      <c r="B480"/>
      <c r="C480"/>
      <c r="D480"/>
      <c r="E480" t="s">
        <v>8</v>
      </c>
      <c r="X480" s="27" t="s">
        <v>7</v>
      </c>
      <c r="Y480" s="27" t="s">
        <v>8</v>
      </c>
    </row>
    <row r="481" spans="1:25" x14ac:dyDescent="0.25">
      <c r="A481" s="7">
        <v>8.1586481992426112</v>
      </c>
      <c r="B481"/>
      <c r="C481"/>
      <c r="D481"/>
      <c r="E481" t="s">
        <v>8</v>
      </c>
      <c r="X481" s="27" t="s">
        <v>7</v>
      </c>
      <c r="Y481" s="27" t="s">
        <v>8</v>
      </c>
    </row>
    <row r="482" spans="1:25" x14ac:dyDescent="0.25">
      <c r="A482" s="7">
        <v>7.9986747051398144</v>
      </c>
      <c r="B482"/>
      <c r="C482"/>
      <c r="D482"/>
      <c r="E482" t="s">
        <v>8</v>
      </c>
      <c r="X482" s="27" t="s">
        <v>7</v>
      </c>
      <c r="Y482" s="27" t="s">
        <v>8</v>
      </c>
    </row>
    <row r="483" spans="1:25" x14ac:dyDescent="0.25">
      <c r="A483" s="7">
        <v>7.8418379462155041</v>
      </c>
      <c r="B483"/>
      <c r="C483"/>
      <c r="D483"/>
      <c r="E483" t="s">
        <v>8</v>
      </c>
      <c r="X483" s="27" t="s">
        <v>7</v>
      </c>
      <c r="Y483" s="27" t="s">
        <v>8</v>
      </c>
    </row>
    <row r="484" spans="1:25" x14ac:dyDescent="0.25">
      <c r="A484" s="7">
        <v>7.688076417858337</v>
      </c>
      <c r="B484"/>
      <c r="C484"/>
      <c r="D484"/>
      <c r="E484" t="s">
        <v>8</v>
      </c>
      <c r="X484" s="27" t="s">
        <v>7</v>
      </c>
      <c r="Y484" s="27" t="s">
        <v>8</v>
      </c>
    </row>
    <row r="485" spans="1:25" x14ac:dyDescent="0.25">
      <c r="A485" s="7">
        <v>7.5373298214297417</v>
      </c>
      <c r="B485"/>
      <c r="C485"/>
      <c r="D485"/>
      <c r="E485" t="s">
        <v>8</v>
      </c>
      <c r="X485" s="27" t="s">
        <v>7</v>
      </c>
      <c r="Y485" s="27" t="s">
        <v>8</v>
      </c>
    </row>
    <row r="486" spans="1:25" x14ac:dyDescent="0.25">
      <c r="A486" s="7">
        <v>7.389539040617394</v>
      </c>
      <c r="B486"/>
      <c r="C486"/>
      <c r="D486"/>
      <c r="E486" t="s">
        <v>8</v>
      </c>
      <c r="X486" s="27" t="s">
        <v>7</v>
      </c>
    </row>
    <row r="487" spans="1:25" x14ac:dyDescent="0.25">
      <c r="A487" s="7">
        <v>7.2446461182523469</v>
      </c>
      <c r="B487"/>
      <c r="C487"/>
      <c r="D487"/>
      <c r="E487" t="s">
        <v>8</v>
      </c>
    </row>
    <row r="488" spans="1:25" x14ac:dyDescent="0.25">
      <c r="A488" s="7">
        <v>7.1025942335807324</v>
      </c>
      <c r="B488"/>
      <c r="C488"/>
      <c r="D488"/>
      <c r="E488" t="s">
        <v>8</v>
      </c>
    </row>
    <row r="489" spans="1:25" x14ac:dyDescent="0.25">
      <c r="A489" s="7">
        <v>6.9633276799811101</v>
      </c>
      <c r="B489"/>
      <c r="C489"/>
      <c r="D489"/>
      <c r="E489" t="s">
        <v>8</v>
      </c>
    </row>
    <row r="490" spans="1:25" x14ac:dyDescent="0.25">
      <c r="A490" s="7">
        <v>6.8267918431187349</v>
      </c>
      <c r="B490"/>
      <c r="C490"/>
      <c r="D490"/>
      <c r="E490" t="s">
        <v>8</v>
      </c>
    </row>
    <row r="491" spans="1:25" x14ac:dyDescent="0.25">
      <c r="A491" s="7">
        <v>6.692933179528171</v>
      </c>
      <c r="B491"/>
      <c r="C491"/>
      <c r="D491"/>
      <c r="E491" t="s">
        <v>8</v>
      </c>
    </row>
    <row r="492" spans="1:25" x14ac:dyDescent="0.25">
      <c r="A492" s="7">
        <v>6.5616991956158541</v>
      </c>
      <c r="B492"/>
      <c r="C492"/>
      <c r="D492"/>
      <c r="E492" t="s">
        <v>8</v>
      </c>
    </row>
    <row r="493" spans="1:25" x14ac:dyDescent="0.25">
      <c r="A493" s="7">
        <v>6.4330384270743668</v>
      </c>
      <c r="B493"/>
      <c r="C493"/>
      <c r="D493"/>
      <c r="E493" t="s">
        <v>8</v>
      </c>
    </row>
    <row r="494" spans="1:25" x14ac:dyDescent="0.25">
      <c r="A494" s="7">
        <v>6.3069004187003594</v>
      </c>
      <c r="B494"/>
      <c r="C494"/>
      <c r="D494"/>
      <c r="E494" t="s">
        <v>8</v>
      </c>
    </row>
    <row r="495" spans="1:25" x14ac:dyDescent="0.25">
      <c r="A495" s="7">
        <v>6.1832357046081956</v>
      </c>
      <c r="B495"/>
      <c r="C495"/>
      <c r="D495"/>
      <c r="E495" t="s">
        <v>8</v>
      </c>
    </row>
    <row r="496" spans="1:2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04" operator="equal">
      <formula>$U$1</formula>
    </cfRule>
    <cfRule type="cellIs" dxfId="89" priority="905" operator="equal">
      <formula>$S$1</formula>
    </cfRule>
  </conditionalFormatting>
  <conditionalFormatting sqref="D27">
    <cfRule type="cellIs" dxfId="88" priority="902" operator="equal">
      <formula>$S$1</formula>
    </cfRule>
    <cfRule type="cellIs" dxfId="87" priority="903" operator="equal">
      <formula>$U$1</formula>
    </cfRule>
  </conditionalFormatting>
  <conditionalFormatting sqref="C164">
    <cfRule type="cellIs" dxfId="86" priority="900" operator="equal">
      <formula>$U$1</formula>
    </cfRule>
    <cfRule type="cellIs" dxfId="85" priority="901" operator="equal">
      <formula>$S$1</formula>
    </cfRule>
  </conditionalFormatting>
  <conditionalFormatting sqref="D164">
    <cfRule type="cellIs" dxfId="84" priority="898" operator="equal">
      <formula>$S$1</formula>
    </cfRule>
    <cfRule type="cellIs" dxfId="83" priority="899" operator="equal">
      <formula>$U$1</formula>
    </cfRule>
  </conditionalFormatting>
  <conditionalFormatting sqref="C55">
    <cfRule type="cellIs" dxfId="82" priority="896" operator="equal">
      <formula>$U$1</formula>
    </cfRule>
    <cfRule type="cellIs" dxfId="81" priority="897" operator="equal">
      <formula>$S$1</formula>
    </cfRule>
  </conditionalFormatting>
  <conditionalFormatting sqref="D55">
    <cfRule type="cellIs" dxfId="80" priority="894" operator="equal">
      <formula>$S$1</formula>
    </cfRule>
    <cfRule type="cellIs" dxfId="79" priority="895" operator="equal">
      <formula>$U$1</formula>
    </cfRule>
  </conditionalFormatting>
  <conditionalFormatting sqref="C89">
    <cfRule type="cellIs" dxfId="78" priority="892" operator="equal">
      <formula>$U$1</formula>
    </cfRule>
    <cfRule type="cellIs" dxfId="77" priority="893" operator="equal">
      <formula>$S$1</formula>
    </cfRule>
  </conditionalFormatting>
  <conditionalFormatting sqref="D89">
    <cfRule type="cellIs" dxfId="76" priority="890" operator="equal">
      <formula>$S$1</formula>
    </cfRule>
    <cfRule type="cellIs" dxfId="75" priority="891" operator="equal">
      <formula>$U$1</formula>
    </cfRule>
  </conditionalFormatting>
  <conditionalFormatting sqref="C136">
    <cfRule type="cellIs" dxfId="74" priority="888" operator="equal">
      <formula>$U$1</formula>
    </cfRule>
    <cfRule type="cellIs" dxfId="73" priority="889" operator="equal">
      <formula>$S$1</formula>
    </cfRule>
  </conditionalFormatting>
  <conditionalFormatting sqref="D136">
    <cfRule type="cellIs" dxfId="72" priority="886" operator="equal">
      <formula>$S$1</formula>
    </cfRule>
    <cfRule type="cellIs" dxfId="71" priority="887" operator="equal">
      <formula>$U$1</formula>
    </cfRule>
  </conditionalFormatting>
  <conditionalFormatting sqref="C1">
    <cfRule type="cellIs" dxfId="70" priority="88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20" zoomScale="90" zoomScaleNormal="90" workbookViewId="0">
      <pane xSplit="4" topLeftCell="CC1" activePane="topRight" state="frozen"/>
      <selection activeCell="A109" sqref="A109"/>
      <selection pane="topRight" activeCell="ER168" sqref="ER16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$A$167</v>
      </c>
      <c r="D111" s="1" t="str">
        <f>ADDRESS(C121-1,D121,1,1)</f>
        <v>$ER$167</v>
      </c>
      <c r="E111"/>
    </row>
    <row r="112" spans="1:5" x14ac:dyDescent="0.25">
      <c r="A112" s="30">
        <v>515.50191262726139</v>
      </c>
      <c r="C112" s="1" t="str">
        <f>ADDRESS(C121,1,1,1)</f>
        <v>$A$168</v>
      </c>
      <c r="D112" s="1" t="str">
        <f>ADDRESS(C121,D121-1,1,1)</f>
        <v>$EQ$168</v>
      </c>
      <c r="E112"/>
    </row>
    <row r="113" spans="1:64" x14ac:dyDescent="0.25">
      <c r="A113" s="30">
        <v>490.95420250215363</v>
      </c>
      <c r="C113" s="1" t="str">
        <f>ADDRESS(C121+1,1,1,1)</f>
        <v>$A$169</v>
      </c>
      <c r="D113" s="1" t="str">
        <f>ADDRESS(C121-1,D121+1,1,1)</f>
        <v>$ES$167</v>
      </c>
    </row>
    <row r="114" spans="1:64" x14ac:dyDescent="0.25">
      <c r="A114" s="30">
        <v>467.57543095443202</v>
      </c>
      <c r="C114" s="1" t="str">
        <f>ADDRESS(C121,D121,1,1)</f>
        <v>$ER$168</v>
      </c>
      <c r="D114" s="1" t="str">
        <f>ADDRESS(C121+1,D121+1,1,1)</f>
        <v>$ES$169</v>
      </c>
    </row>
    <row r="115" spans="1:64" x14ac:dyDescent="0.25">
      <c r="A115" s="30">
        <v>445.30993424231622</v>
      </c>
      <c r="C115" s="1" t="str">
        <f>ADDRESS(C121+1,D121,1,1)</f>
        <v>$ER$169</v>
      </c>
    </row>
    <row r="116" spans="1:64" x14ac:dyDescent="0.25">
      <c r="A116" s="30">
        <v>424.10469927839637</v>
      </c>
      <c r="C116" s="1">
        <f>C117-1</f>
        <v>167</v>
      </c>
    </row>
    <row r="117" spans="1:64" x14ac:dyDescent="0.25">
      <c r="A117" s="30">
        <v>403.9092374079965</v>
      </c>
      <c r="C117" s="1">
        <f>C121</f>
        <v>168</v>
      </c>
      <c r="D117" s="1">
        <f>D121</f>
        <v>148</v>
      </c>
    </row>
    <row r="118" spans="1:64" x14ac:dyDescent="0.25">
      <c r="A118" s="30">
        <v>384.6754641980919</v>
      </c>
      <c r="C118" s="1">
        <f>C117+1</f>
        <v>169</v>
      </c>
      <c r="D118" s="1">
        <f>D117+1</f>
        <v>149</v>
      </c>
    </row>
    <row r="119" spans="1:64" x14ac:dyDescent="0.25">
      <c r="A119" s="30">
        <v>366.35758495056371</v>
      </c>
      <c r="BG119" s="27" t="s">
        <v>8</v>
      </c>
    </row>
    <row r="120" spans="1:64" x14ac:dyDescent="0.25">
      <c r="A120" s="30">
        <v>348.91198566720351</v>
      </c>
      <c r="C120" s="1" t="s">
        <v>9</v>
      </c>
      <c r="BG120" s="27" t="s">
        <v>8</v>
      </c>
      <c r="BH120" s="27" t="s">
        <v>7</v>
      </c>
    </row>
    <row r="121" spans="1:64" x14ac:dyDescent="0.25">
      <c r="A121" s="30">
        <v>332.29712920686046</v>
      </c>
      <c r="C121" s="18">
        <v>168</v>
      </c>
      <c r="D121" s="19">
        <v>148</v>
      </c>
      <c r="E121" s="19"/>
      <c r="BG121" s="27" t="s">
        <v>8</v>
      </c>
      <c r="BH121" s="27" t="s">
        <v>7</v>
      </c>
    </row>
    <row r="122" spans="1:64" x14ac:dyDescent="0.25">
      <c r="A122" s="30">
        <v>316.47345638748612</v>
      </c>
      <c r="C122" s="1" t="str">
        <f>INDEX(1:1048576,C117,D117)</f>
        <v>O</v>
      </c>
      <c r="BE122" s="27" t="s">
        <v>8</v>
      </c>
      <c r="BG122" s="27" t="s">
        <v>8</v>
      </c>
      <c r="BH122" s="27" t="s">
        <v>7</v>
      </c>
    </row>
    <row r="123" spans="1:64" x14ac:dyDescent="0.25">
      <c r="A123" s="30">
        <v>301.40329179760585</v>
      </c>
      <c r="C123" s="1" t="str">
        <f>"R"&amp;C121</f>
        <v>R168</v>
      </c>
      <c r="D123" s="1" t="str">
        <f>"C"&amp;D121</f>
        <v>C148</v>
      </c>
      <c r="BE123" s="27" t="s">
        <v>8</v>
      </c>
      <c r="BF123" s="27" t="s">
        <v>7</v>
      </c>
      <c r="BG123" s="27" t="s">
        <v>8</v>
      </c>
      <c r="BH123" s="27" t="s">
        <v>7</v>
      </c>
    </row>
    <row r="124" spans="1:64" x14ac:dyDescent="0.25">
      <c r="A124" s="30">
        <v>287.05075409295796</v>
      </c>
      <c r="C124" s="1">
        <f>SUM(C130:D130)</f>
        <v>0</v>
      </c>
      <c r="D124" s="1">
        <f>IF(C124=0,0,1)</f>
        <v>0</v>
      </c>
      <c r="BE124" s="27" t="s">
        <v>8</v>
      </c>
      <c r="BF124" s="27" t="s">
        <v>7</v>
      </c>
      <c r="BG124" s="27" t="s">
        <v>8</v>
      </c>
      <c r="BH124" s="27" t="s">
        <v>7</v>
      </c>
      <c r="BI124" s="27" t="s">
        <v>8</v>
      </c>
    </row>
    <row r="125" spans="1:64" x14ac:dyDescent="0.25">
      <c r="A125" s="30">
        <v>273.38167056472184</v>
      </c>
      <c r="BE125" s="27" t="s">
        <v>8</v>
      </c>
      <c r="BF125" s="27" t="s">
        <v>7</v>
      </c>
      <c r="BG125" s="27" t="s">
        <v>8</v>
      </c>
      <c r="BH125" s="27" t="s">
        <v>7</v>
      </c>
      <c r="BI125" s="27" t="s">
        <v>8</v>
      </c>
      <c r="BJ125" s="27" t="s">
        <v>7</v>
      </c>
      <c r="BK125" s="27" t="s">
        <v>8</v>
      </c>
    </row>
    <row r="126" spans="1:64" x14ac:dyDescent="0.25">
      <c r="A126" s="30">
        <v>260.36349577592557</v>
      </c>
      <c r="C126" s="1" t="s">
        <v>10</v>
      </c>
      <c r="BE126" s="27" t="s">
        <v>8</v>
      </c>
      <c r="BF126" s="27" t="s">
        <v>7</v>
      </c>
      <c r="BH126" s="27" t="s">
        <v>7</v>
      </c>
      <c r="BI126" s="27" t="s">
        <v>8</v>
      </c>
      <c r="BJ126" s="27" t="s">
        <v>7</v>
      </c>
      <c r="BK126" s="27" t="s">
        <v>8</v>
      </c>
      <c r="BL126" s="27" t="s">
        <v>7</v>
      </c>
    </row>
    <row r="127" spans="1:64" x14ac:dyDescent="0.25">
      <c r="A127" s="30">
        <v>247.96523407231004</v>
      </c>
      <c r="C127" s="30">
        <v>33.545134152904119</v>
      </c>
      <c r="D127"/>
      <c r="BE127" s="27" t="s">
        <v>8</v>
      </c>
      <c r="BH127" s="27" t="s">
        <v>7</v>
      </c>
      <c r="BI127" s="27" t="s">
        <v>8</v>
      </c>
      <c r="BJ127" s="27" t="s">
        <v>7</v>
      </c>
      <c r="BK127" s="27" t="s">
        <v>8</v>
      </c>
      <c r="BL127" s="27" t="s">
        <v>7</v>
      </c>
    </row>
    <row r="128" spans="1:64" x14ac:dyDescent="0.25">
      <c r="A128" s="30">
        <v>236.15736578315241</v>
      </c>
      <c r="BE128" s="27" t="s">
        <v>8</v>
      </c>
      <c r="BH128" s="27" t="s">
        <v>7</v>
      </c>
      <c r="BI128" s="27" t="s">
        <v>8</v>
      </c>
      <c r="BJ128" s="27" t="s">
        <v>7</v>
      </c>
      <c r="BK128" s="27" t="s">
        <v>8</v>
      </c>
      <c r="BL128" s="27" t="s">
        <v>7</v>
      </c>
    </row>
    <row r="129" spans="1:126" x14ac:dyDescent="0.25">
      <c r="A129" s="30">
        <v>224.91177693633563</v>
      </c>
      <c r="C129" s="1" t="s">
        <v>11</v>
      </c>
      <c r="D129" s="1" t="s">
        <v>12</v>
      </c>
      <c r="E129"/>
      <c r="BE129" s="27" t="s">
        <v>8</v>
      </c>
      <c r="BH129" s="27" t="s">
        <v>7</v>
      </c>
      <c r="BI129" s="27" t="s">
        <v>8</v>
      </c>
      <c r="BJ129" s="27" t="s">
        <v>7</v>
      </c>
      <c r="BL129" s="27" t="s">
        <v>7</v>
      </c>
      <c r="BM129" s="27" t="s">
        <v>8</v>
      </c>
    </row>
    <row r="130" spans="1:126" x14ac:dyDescent="0.25">
      <c r="A130" s="30">
        <v>214.20169232031964</v>
      </c>
      <c r="C130" s="6"/>
      <c r="D130" s="6"/>
      <c r="E130"/>
      <c r="BE130" s="27" t="s">
        <v>8</v>
      </c>
      <c r="BH130" s="27" t="s">
        <v>7</v>
      </c>
      <c r="BL130" s="27" t="s">
        <v>7</v>
      </c>
      <c r="BM130" s="27" t="s">
        <v>8</v>
      </c>
      <c r="BN130" s="27" t="s">
        <v>7</v>
      </c>
      <c r="CO130" s="27" t="s">
        <v>8</v>
      </c>
      <c r="DM130" s="27" t="s">
        <v>8</v>
      </c>
      <c r="DO130" s="27" t="s">
        <v>8</v>
      </c>
    </row>
    <row r="131" spans="1:126" x14ac:dyDescent="0.25">
      <c r="A131" s="30">
        <v>204.00161173363773</v>
      </c>
      <c r="E131"/>
      <c r="BA131" s="27" t="s">
        <v>8</v>
      </c>
      <c r="BC131" s="27" t="s">
        <v>8</v>
      </c>
      <c r="BE131" s="27" t="s">
        <v>8</v>
      </c>
      <c r="BL131" s="27" t="s">
        <v>7</v>
      </c>
      <c r="BM131" s="27" t="s">
        <v>8</v>
      </c>
      <c r="BN131" s="27" t="s">
        <v>7</v>
      </c>
      <c r="BO131" s="27" t="s">
        <v>8</v>
      </c>
      <c r="CO131" s="27" t="s">
        <v>8</v>
      </c>
      <c r="CP131" s="27" t="s">
        <v>7</v>
      </c>
      <c r="DM131" s="27" t="s">
        <v>8</v>
      </c>
      <c r="DN131" s="27" t="s">
        <v>7</v>
      </c>
      <c r="DO131" s="27" t="s">
        <v>8</v>
      </c>
      <c r="DP131" s="27" t="s">
        <v>7</v>
      </c>
    </row>
    <row r="132" spans="1:126" x14ac:dyDescent="0.25">
      <c r="A132" s="30">
        <v>194.28724927013116</v>
      </c>
      <c r="C132" s="1" t="s">
        <v>13</v>
      </c>
      <c r="E132"/>
      <c r="BA132" s="27" t="s">
        <v>8</v>
      </c>
      <c r="BB132" s="27" t="s">
        <v>7</v>
      </c>
      <c r="BC132" s="27" t="s">
        <v>8</v>
      </c>
      <c r="BD132" s="27" t="s">
        <v>7</v>
      </c>
      <c r="BE132" s="27" t="s">
        <v>8</v>
      </c>
      <c r="BL132" s="27" t="s">
        <v>7</v>
      </c>
      <c r="BN132" s="27" t="s">
        <v>7</v>
      </c>
      <c r="BO132" s="27" t="s">
        <v>8</v>
      </c>
      <c r="BP132" s="27" t="s">
        <v>7</v>
      </c>
      <c r="BQ132" s="27" t="s">
        <v>8</v>
      </c>
      <c r="CO132" s="27" t="s">
        <v>8</v>
      </c>
      <c r="CP132" s="27" t="s">
        <v>7</v>
      </c>
      <c r="CQ132" s="27" t="s">
        <v>8</v>
      </c>
      <c r="DM132" s="27" t="s">
        <v>8</v>
      </c>
      <c r="DN132" s="27" t="s">
        <v>7</v>
      </c>
      <c r="DO132" s="27" t="s">
        <v>8</v>
      </c>
      <c r="DP132" s="27" t="s">
        <v>7</v>
      </c>
    </row>
    <row r="133" spans="1:126" x14ac:dyDescent="0.25">
      <c r="A133" s="30">
        <v>185.03547549536299</v>
      </c>
      <c r="C133" s="1" t="str">
        <f>C122</f>
        <v>O</v>
      </c>
      <c r="E133"/>
      <c r="BA133" s="27" t="s">
        <v>8</v>
      </c>
      <c r="BB133" s="27" t="s">
        <v>7</v>
      </c>
      <c r="BC133" s="27" t="s">
        <v>8</v>
      </c>
      <c r="BD133" s="27" t="s">
        <v>7</v>
      </c>
      <c r="BE133" s="27" t="s">
        <v>8</v>
      </c>
      <c r="BN133" s="27" t="s">
        <v>7</v>
      </c>
      <c r="BO133" s="27" t="s">
        <v>8</v>
      </c>
      <c r="BP133" s="27" t="s">
        <v>7</v>
      </c>
      <c r="BQ133" s="27" t="s">
        <v>8</v>
      </c>
      <c r="BR133" s="27" t="s">
        <v>7</v>
      </c>
      <c r="CI133" s="27" t="s">
        <v>8</v>
      </c>
      <c r="CO133" s="27" t="s">
        <v>8</v>
      </c>
      <c r="CP133" s="27" t="s">
        <v>7</v>
      </c>
      <c r="CQ133" s="27" t="s">
        <v>8</v>
      </c>
      <c r="CR133" s="27" t="s">
        <v>7</v>
      </c>
      <c r="DK133" s="27" t="s">
        <v>8</v>
      </c>
      <c r="DM133" s="27" t="s">
        <v>8</v>
      </c>
      <c r="DN133" s="27" t="s">
        <v>7</v>
      </c>
      <c r="DO133" s="27" t="s">
        <v>8</v>
      </c>
      <c r="DP133" s="27" t="s">
        <v>7</v>
      </c>
    </row>
    <row r="134" spans="1:126" x14ac:dyDescent="0.25">
      <c r="A134" s="30">
        <v>176.22426237653616</v>
      </c>
      <c r="C134"/>
      <c r="E134"/>
      <c r="BA134" s="27" t="s">
        <v>8</v>
      </c>
      <c r="BB134" s="27" t="s">
        <v>7</v>
      </c>
      <c r="BC134" s="27" t="s">
        <v>8</v>
      </c>
      <c r="BD134" s="27" t="s">
        <v>7</v>
      </c>
      <c r="BE134" s="27" t="s">
        <v>8</v>
      </c>
      <c r="BN134" s="27" t="s">
        <v>7</v>
      </c>
      <c r="BP134" s="27" t="s">
        <v>7</v>
      </c>
      <c r="BQ134" s="27" t="s">
        <v>8</v>
      </c>
      <c r="BR134" s="27" t="s">
        <v>7</v>
      </c>
      <c r="CE134" s="27" t="s">
        <v>8</v>
      </c>
      <c r="CI134" s="27" t="s">
        <v>8</v>
      </c>
      <c r="CJ134" s="27" t="s">
        <v>7</v>
      </c>
      <c r="CO134" s="27" t="s">
        <v>8</v>
      </c>
      <c r="CP134" s="27" t="s">
        <v>7</v>
      </c>
      <c r="CQ134" s="27" t="s">
        <v>8</v>
      </c>
      <c r="CR134" s="27" t="s">
        <v>7</v>
      </c>
      <c r="DE134" s="27" t="s">
        <v>8</v>
      </c>
      <c r="DK134" s="27" t="s">
        <v>8</v>
      </c>
      <c r="DL134" s="27" t="s">
        <v>7</v>
      </c>
      <c r="DM134" s="27" t="s">
        <v>8</v>
      </c>
      <c r="DN134" s="27" t="s">
        <v>7</v>
      </c>
      <c r="DO134" s="27" t="s">
        <v>8</v>
      </c>
      <c r="DP134" s="27" t="s">
        <v>7</v>
      </c>
    </row>
    <row r="135" spans="1:126" x14ac:dyDescent="0.25">
      <c r="A135" s="30">
        <v>167.83263083479633</v>
      </c>
      <c r="C135" s="1" t="s">
        <v>14</v>
      </c>
      <c r="E135"/>
      <c r="BA135" s="27" t="s">
        <v>8</v>
      </c>
      <c r="BB135" s="27" t="s">
        <v>7</v>
      </c>
      <c r="BC135" s="27" t="s">
        <v>8</v>
      </c>
      <c r="BD135" s="27" t="s">
        <v>7</v>
      </c>
      <c r="BE135" s="27" t="s">
        <v>8</v>
      </c>
      <c r="BP135" s="27" t="s">
        <v>7</v>
      </c>
      <c r="BR135" s="27" t="s">
        <v>7</v>
      </c>
      <c r="CE135" s="27" t="s">
        <v>8</v>
      </c>
      <c r="CF135" s="27" t="s">
        <v>7</v>
      </c>
      <c r="CG135" s="27" t="s">
        <v>8</v>
      </c>
      <c r="CI135" s="27" t="s">
        <v>8</v>
      </c>
      <c r="CJ135" s="27" t="s">
        <v>7</v>
      </c>
      <c r="CO135" s="27" t="s">
        <v>8</v>
      </c>
      <c r="CP135" s="27" t="s">
        <v>7</v>
      </c>
      <c r="CQ135" s="27" t="s">
        <v>8</v>
      </c>
      <c r="CR135" s="27" t="s">
        <v>7</v>
      </c>
      <c r="CU135" s="27" t="s">
        <v>8</v>
      </c>
      <c r="DC135" s="27" t="s">
        <v>8</v>
      </c>
      <c r="DE135" s="27" t="s">
        <v>8</v>
      </c>
      <c r="DF135" s="27" t="s">
        <v>7</v>
      </c>
      <c r="DG135" s="27" t="s">
        <v>8</v>
      </c>
      <c r="DK135" s="27" t="s">
        <v>8</v>
      </c>
      <c r="DL135" s="27" t="s">
        <v>7</v>
      </c>
      <c r="DM135" s="27" t="s">
        <v>8</v>
      </c>
      <c r="DN135" s="31" t="s">
        <v>7</v>
      </c>
      <c r="DO135" s="27" t="s">
        <v>8</v>
      </c>
      <c r="DP135" s="27" t="s">
        <v>7</v>
      </c>
      <c r="DQ135" s="27" t="s">
        <v>8</v>
      </c>
      <c r="DS135" s="27" t="s">
        <v>8</v>
      </c>
    </row>
    <row r="136" spans="1:126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  <c r="G136" s="27" t="s">
        <v>8</v>
      </c>
      <c r="BA136" s="27" t="s">
        <v>8</v>
      </c>
      <c r="BB136" s="27" t="s">
        <v>7</v>
      </c>
      <c r="BC136" s="27" t="s">
        <v>8</v>
      </c>
      <c r="BD136" s="27" t="s">
        <v>7</v>
      </c>
      <c r="BE136" s="27" t="s">
        <v>8</v>
      </c>
      <c r="BR136" s="27" t="s">
        <v>7</v>
      </c>
      <c r="CC136" s="27" t="s">
        <v>8</v>
      </c>
      <c r="CE136" s="27" t="s">
        <v>8</v>
      </c>
      <c r="CF136" s="27" t="s">
        <v>7</v>
      </c>
      <c r="CG136" s="27" t="s">
        <v>8</v>
      </c>
      <c r="CH136" s="27" t="s">
        <v>7</v>
      </c>
      <c r="CI136" s="27" t="s">
        <v>8</v>
      </c>
      <c r="CJ136" s="27" t="s">
        <v>7</v>
      </c>
      <c r="CO136" s="27" t="s">
        <v>8</v>
      </c>
      <c r="CP136" s="27" t="s">
        <v>7</v>
      </c>
      <c r="CQ136" s="27" t="s">
        <v>8</v>
      </c>
      <c r="CR136" s="27" t="s">
        <v>7</v>
      </c>
      <c r="CU136" s="27" t="s">
        <v>8</v>
      </c>
      <c r="CV136" s="27" t="s">
        <v>7</v>
      </c>
      <c r="DC136" s="27" t="s">
        <v>8</v>
      </c>
      <c r="DD136" s="27" t="s">
        <v>7</v>
      </c>
      <c r="DE136" s="27" t="s">
        <v>8</v>
      </c>
      <c r="DF136" s="27" t="s">
        <v>7</v>
      </c>
      <c r="DG136" s="27" t="s">
        <v>8</v>
      </c>
      <c r="DH136" s="27" t="s">
        <v>7</v>
      </c>
      <c r="DI136" s="27" t="s">
        <v>8</v>
      </c>
      <c r="DK136" s="27" t="s">
        <v>8</v>
      </c>
      <c r="DL136" s="18" t="s">
        <v>7</v>
      </c>
      <c r="DM136" s="31" t="s">
        <v>8</v>
      </c>
      <c r="DN136" s="27" t="s">
        <v>7</v>
      </c>
      <c r="DO136" s="27" t="s">
        <v>8</v>
      </c>
      <c r="DP136" s="27" t="s">
        <v>7</v>
      </c>
      <c r="DQ136" s="27" t="s">
        <v>8</v>
      </c>
      <c r="DR136" s="27" t="s">
        <v>7</v>
      </c>
      <c r="DS136" s="27" t="s">
        <v>8</v>
      </c>
      <c r="DT136" s="27" t="s">
        <v>7</v>
      </c>
      <c r="DU136" s="27" t="s">
        <v>8</v>
      </c>
    </row>
    <row r="137" spans="1:126" x14ac:dyDescent="0.25">
      <c r="A137" s="30">
        <v>152.22914361432771</v>
      </c>
      <c r="E137"/>
      <c r="G137" s="27" t="s">
        <v>8</v>
      </c>
      <c r="H137" s="27" t="s">
        <v>7</v>
      </c>
      <c r="BA137" s="27" t="s">
        <v>8</v>
      </c>
      <c r="BB137" s="27" t="s">
        <v>7</v>
      </c>
      <c r="BC137" s="27" t="s">
        <v>8</v>
      </c>
      <c r="BD137" s="27" t="s">
        <v>7</v>
      </c>
      <c r="BE137" s="27" t="s">
        <v>8</v>
      </c>
      <c r="BR137" s="27" t="s">
        <v>7</v>
      </c>
      <c r="CC137" s="27" t="s">
        <v>8</v>
      </c>
      <c r="CD137" s="27" t="s">
        <v>7</v>
      </c>
      <c r="CE137" s="27" t="s">
        <v>8</v>
      </c>
      <c r="CF137" s="27" t="s">
        <v>7</v>
      </c>
      <c r="CG137" s="27" t="s">
        <v>8</v>
      </c>
      <c r="CH137" s="27" t="s">
        <v>7</v>
      </c>
      <c r="CI137" s="27" t="s">
        <v>8</v>
      </c>
      <c r="CJ137" s="27" t="s">
        <v>7</v>
      </c>
      <c r="CO137" s="27" t="s">
        <v>8</v>
      </c>
      <c r="CP137" s="27" t="s">
        <v>7</v>
      </c>
      <c r="CR137" s="27" t="s">
        <v>7</v>
      </c>
      <c r="CU137" s="27" t="s">
        <v>8</v>
      </c>
      <c r="CV137" s="27" t="s">
        <v>7</v>
      </c>
      <c r="DC137" s="27" t="s">
        <v>8</v>
      </c>
      <c r="DD137" s="27" t="s">
        <v>7</v>
      </c>
      <c r="DE137" s="27" t="s">
        <v>8</v>
      </c>
      <c r="DF137" s="27" t="s">
        <v>7</v>
      </c>
      <c r="DG137" s="27" t="s">
        <v>8</v>
      </c>
      <c r="DH137" s="27" t="s">
        <v>7</v>
      </c>
      <c r="DI137" s="27" t="s">
        <v>8</v>
      </c>
      <c r="DJ137" s="27" t="s">
        <v>7</v>
      </c>
      <c r="DK137" s="27" t="s">
        <v>8</v>
      </c>
      <c r="DL137" s="31" t="s">
        <v>7</v>
      </c>
      <c r="DN137" s="27" t="s">
        <v>7</v>
      </c>
      <c r="DO137" s="27" t="s">
        <v>8</v>
      </c>
      <c r="DP137" s="27" t="s">
        <v>7</v>
      </c>
      <c r="DQ137" s="27" t="s">
        <v>8</v>
      </c>
      <c r="DR137" s="27" t="s">
        <v>7</v>
      </c>
      <c r="DS137" s="27" t="s">
        <v>8</v>
      </c>
      <c r="DT137" s="27" t="s">
        <v>7</v>
      </c>
      <c r="DU137" s="27" t="s">
        <v>8</v>
      </c>
      <c r="DV137" s="27" t="s">
        <v>7</v>
      </c>
    </row>
    <row r="138" spans="1:126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  <c r="G138" s="27" t="s">
        <v>8</v>
      </c>
      <c r="H138" s="27" t="s">
        <v>7</v>
      </c>
      <c r="AY138" s="27" t="s">
        <v>8</v>
      </c>
      <c r="BA138" s="27" t="s">
        <v>8</v>
      </c>
      <c r="BB138" s="27" t="s">
        <v>7</v>
      </c>
      <c r="BC138" s="27" t="s">
        <v>8</v>
      </c>
      <c r="BD138" s="27" t="s">
        <v>7</v>
      </c>
      <c r="BR138" s="27" t="s">
        <v>7</v>
      </c>
      <c r="BS138" s="27" t="s">
        <v>8</v>
      </c>
      <c r="BW138" s="27" t="s">
        <v>8</v>
      </c>
      <c r="CC138" s="27" t="s">
        <v>8</v>
      </c>
      <c r="CD138" s="27" t="s">
        <v>7</v>
      </c>
      <c r="CE138" s="27" t="s">
        <v>8</v>
      </c>
      <c r="CF138" s="27" t="s">
        <v>7</v>
      </c>
      <c r="CH138" s="27" t="s">
        <v>7</v>
      </c>
      <c r="CJ138" s="27" t="s">
        <v>7</v>
      </c>
      <c r="CO138" s="27" t="s">
        <v>8</v>
      </c>
      <c r="CR138" s="27" t="s">
        <v>7</v>
      </c>
      <c r="CS138" s="27" t="s">
        <v>8</v>
      </c>
      <c r="CU138" s="27" t="s">
        <v>8</v>
      </c>
      <c r="CV138" s="27" t="s">
        <v>7</v>
      </c>
      <c r="CW138" s="27" t="s">
        <v>8</v>
      </c>
      <c r="DC138" s="27" t="s">
        <v>8</v>
      </c>
      <c r="DD138" s="27" t="s">
        <v>7</v>
      </c>
      <c r="DF138" s="27" t="s">
        <v>7</v>
      </c>
      <c r="DG138" s="27" t="s">
        <v>8</v>
      </c>
      <c r="DH138" s="27" t="s">
        <v>7</v>
      </c>
      <c r="DI138" s="27" t="s">
        <v>8</v>
      </c>
      <c r="DJ138" s="27" t="s">
        <v>7</v>
      </c>
      <c r="DK138" s="31" t="s">
        <v>8</v>
      </c>
      <c r="DN138" s="27" t="s">
        <v>7</v>
      </c>
      <c r="DP138" s="27" t="s">
        <v>7</v>
      </c>
      <c r="DQ138" s="27" t="s">
        <v>8</v>
      </c>
      <c r="DR138" s="27" t="s">
        <v>7</v>
      </c>
      <c r="DS138" s="27" t="s">
        <v>8</v>
      </c>
      <c r="DT138" s="27" t="s">
        <v>7</v>
      </c>
      <c r="DU138" s="27" t="s">
        <v>8</v>
      </c>
      <c r="DV138" s="27" t="s">
        <v>7</v>
      </c>
    </row>
    <row r="139" spans="1:126" x14ac:dyDescent="0.25">
      <c r="A139" s="30">
        <v>138.07632073861922</v>
      </c>
      <c r="E139"/>
      <c r="G139" s="27" t="s">
        <v>8</v>
      </c>
      <c r="H139" s="27" t="s">
        <v>7</v>
      </c>
      <c r="AY139" s="27" t="s">
        <v>8</v>
      </c>
      <c r="AZ139" s="27" t="s">
        <v>7</v>
      </c>
      <c r="BA139" s="27" t="s">
        <v>8</v>
      </c>
      <c r="BB139" s="27" t="s">
        <v>7</v>
      </c>
      <c r="BC139" s="27" t="s">
        <v>8</v>
      </c>
      <c r="BR139" s="27" t="s">
        <v>7</v>
      </c>
      <c r="BS139" s="27" t="s">
        <v>8</v>
      </c>
      <c r="BT139" s="27" t="s">
        <v>7</v>
      </c>
      <c r="BW139" s="27" t="s">
        <v>8</v>
      </c>
      <c r="BX139" s="27" t="s">
        <v>7</v>
      </c>
      <c r="BY139" s="27" t="s">
        <v>8</v>
      </c>
      <c r="CA139" s="27" t="s">
        <v>8</v>
      </c>
      <c r="CC139" s="27" t="s">
        <v>8</v>
      </c>
      <c r="CD139" s="27" t="s">
        <v>7</v>
      </c>
      <c r="CE139" s="27" t="s">
        <v>8</v>
      </c>
      <c r="CJ139" s="27" t="s">
        <v>7</v>
      </c>
      <c r="CO139" s="27" t="s">
        <v>8</v>
      </c>
      <c r="CR139" s="27" t="s">
        <v>7</v>
      </c>
      <c r="CS139" s="27" t="s">
        <v>8</v>
      </c>
      <c r="CT139" s="27" t="s">
        <v>7</v>
      </c>
      <c r="CU139" s="27" t="s">
        <v>8</v>
      </c>
      <c r="CV139" s="27" t="s">
        <v>7</v>
      </c>
      <c r="CW139" s="27" t="s">
        <v>8</v>
      </c>
      <c r="CX139" s="27" t="s">
        <v>7</v>
      </c>
      <c r="DC139" s="27" t="s">
        <v>8</v>
      </c>
      <c r="DF139" s="27" t="s">
        <v>7</v>
      </c>
      <c r="DH139" s="27" t="s">
        <v>7</v>
      </c>
      <c r="DI139" s="27" t="s">
        <v>8</v>
      </c>
      <c r="DJ139" s="31" t="s">
        <v>7</v>
      </c>
      <c r="DP139" s="27" t="s">
        <v>7</v>
      </c>
      <c r="DR139" s="27" t="s">
        <v>7</v>
      </c>
      <c r="DS139" s="27" t="s">
        <v>8</v>
      </c>
      <c r="DT139" s="27" t="s">
        <v>7</v>
      </c>
      <c r="DU139" s="27" t="s">
        <v>8</v>
      </c>
      <c r="DV139" s="27" t="s">
        <v>7</v>
      </c>
    </row>
    <row r="140" spans="1:126" x14ac:dyDescent="0.25">
      <c r="A140" s="30">
        <v>131.50125784630401</v>
      </c>
      <c r="C140" s="1">
        <v>0</v>
      </c>
      <c r="E140"/>
      <c r="G140" s="27" t="s">
        <v>8</v>
      </c>
      <c r="H140" s="27" t="s">
        <v>7</v>
      </c>
      <c r="AY140" s="27" t="s">
        <v>8</v>
      </c>
      <c r="AZ140" s="27" t="s">
        <v>7</v>
      </c>
      <c r="BA140" s="27" t="s">
        <v>8</v>
      </c>
      <c r="BB140" s="27" t="s">
        <v>7</v>
      </c>
      <c r="BC140" s="27" t="s">
        <v>8</v>
      </c>
      <c r="BR140" s="27" t="s">
        <v>7</v>
      </c>
      <c r="BS140" s="27" t="s">
        <v>8</v>
      </c>
      <c r="BT140" s="27" t="s">
        <v>7</v>
      </c>
      <c r="BU140" s="27" t="s">
        <v>8</v>
      </c>
      <c r="BW140" s="27" t="s">
        <v>8</v>
      </c>
      <c r="BX140" s="27" t="s">
        <v>7</v>
      </c>
      <c r="BY140" s="27" t="s">
        <v>8</v>
      </c>
      <c r="BZ140" s="27" t="s">
        <v>7</v>
      </c>
      <c r="CA140" s="27" t="s">
        <v>8</v>
      </c>
      <c r="CB140" s="27" t="s">
        <v>7</v>
      </c>
      <c r="CC140" s="27" t="s">
        <v>8</v>
      </c>
      <c r="CD140" s="27" t="s">
        <v>7</v>
      </c>
      <c r="CJ140" s="27" t="s">
        <v>7</v>
      </c>
      <c r="CO140" s="27" t="s">
        <v>8</v>
      </c>
      <c r="CR140" s="27" t="s">
        <v>7</v>
      </c>
      <c r="CS140" s="27" t="s">
        <v>8</v>
      </c>
      <c r="CT140" s="27" t="s">
        <v>7</v>
      </c>
      <c r="CU140" s="27" t="s">
        <v>8</v>
      </c>
      <c r="CV140" s="27" t="s">
        <v>7</v>
      </c>
      <c r="CW140" s="27" t="s">
        <v>8</v>
      </c>
      <c r="CX140" s="27" t="s">
        <v>7</v>
      </c>
      <c r="DC140" s="27" t="s">
        <v>8</v>
      </c>
      <c r="DH140" s="31" t="s">
        <v>7</v>
      </c>
      <c r="DI140" s="31" t="s">
        <v>8</v>
      </c>
      <c r="DR140" s="27" t="s">
        <v>7</v>
      </c>
      <c r="DT140" s="27" t="s">
        <v>7</v>
      </c>
      <c r="DV140" s="27" t="s">
        <v>7</v>
      </c>
    </row>
    <row r="141" spans="1:126" x14ac:dyDescent="0.25">
      <c r="A141" s="30">
        <v>125.23929318695619</v>
      </c>
      <c r="C141" s="1">
        <v>1</v>
      </c>
      <c r="E141"/>
      <c r="G141" s="27" t="s">
        <v>8</v>
      </c>
      <c r="H141" s="27" t="s">
        <v>7</v>
      </c>
      <c r="I141" s="27" t="s">
        <v>8</v>
      </c>
      <c r="AY141" s="27" t="s">
        <v>8</v>
      </c>
      <c r="AZ141" s="27" t="s">
        <v>7</v>
      </c>
      <c r="BA141" s="27" t="s">
        <v>8</v>
      </c>
      <c r="BB141" s="27" t="s">
        <v>7</v>
      </c>
      <c r="BR141" s="27" t="s">
        <v>7</v>
      </c>
      <c r="BS141" s="27" t="s">
        <v>8</v>
      </c>
      <c r="BT141" s="27" t="s">
        <v>7</v>
      </c>
      <c r="BU141" s="27" t="s">
        <v>8</v>
      </c>
      <c r="BV141" s="27" t="s">
        <v>7</v>
      </c>
      <c r="BW141" s="27" t="s">
        <v>8</v>
      </c>
      <c r="BX141" s="27" t="s">
        <v>7</v>
      </c>
      <c r="BY141" s="27" t="s">
        <v>8</v>
      </c>
      <c r="BZ141" s="27" t="s">
        <v>7</v>
      </c>
      <c r="CA141" s="27" t="s">
        <v>8</v>
      </c>
      <c r="CB141" s="27" t="s">
        <v>7</v>
      </c>
      <c r="CC141" s="27" t="s">
        <v>8</v>
      </c>
      <c r="CJ141" s="27" t="s">
        <v>7</v>
      </c>
      <c r="CO141" s="27" t="s">
        <v>8</v>
      </c>
      <c r="CR141" s="27" t="s">
        <v>7</v>
      </c>
      <c r="CS141" s="27" t="s">
        <v>8</v>
      </c>
      <c r="CT141" s="27" t="s">
        <v>7</v>
      </c>
      <c r="CU141" s="27" t="s">
        <v>8</v>
      </c>
      <c r="CV141" s="27" t="s">
        <v>7</v>
      </c>
      <c r="CX141" s="27" t="s">
        <v>7</v>
      </c>
      <c r="DA141" s="27" t="s">
        <v>8</v>
      </c>
      <c r="DC141" s="27" t="s">
        <v>8</v>
      </c>
      <c r="DG141" s="31"/>
      <c r="DH141" s="27" t="s">
        <v>7</v>
      </c>
      <c r="DV141" s="27" t="s">
        <v>7</v>
      </c>
    </row>
    <row r="142" spans="1:126" x14ac:dyDescent="0.25">
      <c r="A142" s="30">
        <v>119.27551732091065</v>
      </c>
      <c r="C142" s="1">
        <v>2</v>
      </c>
      <c r="E142"/>
      <c r="G142" s="27" t="s">
        <v>8</v>
      </c>
      <c r="H142" s="27" t="s">
        <v>7</v>
      </c>
      <c r="I142" s="27" t="s">
        <v>8</v>
      </c>
      <c r="J142" s="27" t="s">
        <v>7</v>
      </c>
      <c r="AY142" s="27" t="s">
        <v>8</v>
      </c>
      <c r="AZ142" s="27" t="s">
        <v>7</v>
      </c>
      <c r="BA142" s="27" t="s">
        <v>8</v>
      </c>
      <c r="BR142" s="27" t="s">
        <v>7</v>
      </c>
      <c r="BS142" s="27" t="s">
        <v>8</v>
      </c>
      <c r="BT142" s="27" t="s">
        <v>7</v>
      </c>
      <c r="BU142" s="27" t="s">
        <v>8</v>
      </c>
      <c r="BV142" s="27" t="s">
        <v>7</v>
      </c>
      <c r="BW142" s="27" t="s">
        <v>8</v>
      </c>
      <c r="BX142" s="27" t="s">
        <v>7</v>
      </c>
      <c r="BZ142" s="27" t="s">
        <v>7</v>
      </c>
      <c r="CA142" s="27" t="s">
        <v>8</v>
      </c>
      <c r="CB142" s="27" t="s">
        <v>7</v>
      </c>
      <c r="CC142" s="27" t="s">
        <v>8</v>
      </c>
      <c r="CJ142" s="27" t="s">
        <v>7</v>
      </c>
      <c r="CK142" s="27" t="s">
        <v>8</v>
      </c>
      <c r="CM142" s="27" t="s">
        <v>8</v>
      </c>
      <c r="CO142" s="27" t="s">
        <v>8</v>
      </c>
      <c r="CR142" s="27" t="s">
        <v>7</v>
      </c>
      <c r="CS142" s="27" t="s">
        <v>8</v>
      </c>
      <c r="CT142" s="27" t="s">
        <v>7</v>
      </c>
      <c r="CU142" s="27" t="s">
        <v>8</v>
      </c>
      <c r="CX142" s="27" t="s">
        <v>7</v>
      </c>
      <c r="CY142" s="27" t="s">
        <v>8</v>
      </c>
      <c r="DA142" s="27" t="s">
        <v>8</v>
      </c>
      <c r="DB142" s="27" t="s">
        <v>7</v>
      </c>
      <c r="DC142" s="27" t="s">
        <v>8</v>
      </c>
      <c r="DF142" s="31"/>
      <c r="DV142" s="27" t="s">
        <v>7</v>
      </c>
    </row>
    <row r="143" spans="1:126" x14ac:dyDescent="0.25">
      <c r="A143" s="30">
        <v>113.59573078181967</v>
      </c>
      <c r="C143" s="1">
        <v>3</v>
      </c>
      <c r="E143"/>
      <c r="G143" s="27" t="s">
        <v>8</v>
      </c>
      <c r="H143" s="27" t="s">
        <v>7</v>
      </c>
      <c r="I143" s="27" t="s">
        <v>8</v>
      </c>
      <c r="J143" s="27" t="s">
        <v>7</v>
      </c>
      <c r="AY143" s="27" t="s">
        <v>8</v>
      </c>
      <c r="AZ143" s="27" t="s">
        <v>7</v>
      </c>
      <c r="BA143" s="27" t="s">
        <v>8</v>
      </c>
      <c r="BR143" s="27" t="s">
        <v>7</v>
      </c>
      <c r="BS143" s="27" t="s">
        <v>8</v>
      </c>
      <c r="BT143" s="27" t="s">
        <v>7</v>
      </c>
      <c r="BV143" s="27" t="s">
        <v>7</v>
      </c>
      <c r="BW143" s="27" t="s">
        <v>8</v>
      </c>
      <c r="BZ143" s="27" t="s">
        <v>7</v>
      </c>
      <c r="CA143" s="27" t="s">
        <v>8</v>
      </c>
      <c r="CB143" s="27" t="s">
        <v>7</v>
      </c>
      <c r="CC143" s="27" t="s">
        <v>8</v>
      </c>
      <c r="CJ143" s="27" t="s">
        <v>7</v>
      </c>
      <c r="CK143" s="27" t="s">
        <v>8</v>
      </c>
      <c r="CL143" s="27" t="s">
        <v>7</v>
      </c>
      <c r="CM143" s="27" t="s">
        <v>8</v>
      </c>
      <c r="CN143" s="27" t="s">
        <v>7</v>
      </c>
      <c r="CO143" s="27" t="s">
        <v>8</v>
      </c>
      <c r="CR143" s="27" t="s">
        <v>7</v>
      </c>
      <c r="CS143" s="27" t="s">
        <v>8</v>
      </c>
      <c r="CT143" s="27" t="s">
        <v>7</v>
      </c>
      <c r="CX143" s="27" t="s">
        <v>7</v>
      </c>
      <c r="CY143" s="27" t="s">
        <v>8</v>
      </c>
      <c r="CZ143" s="27" t="s">
        <v>7</v>
      </c>
      <c r="DA143" s="27" t="s">
        <v>8</v>
      </c>
      <c r="DB143" s="27" t="s">
        <v>7</v>
      </c>
      <c r="DC143" s="27" t="s">
        <v>8</v>
      </c>
      <c r="DE143" s="31"/>
      <c r="DV143" s="27" t="s">
        <v>7</v>
      </c>
    </row>
    <row r="144" spans="1:126" x14ac:dyDescent="0.25">
      <c r="A144" s="30">
        <v>108.18641026839968</v>
      </c>
      <c r="C144" s="1">
        <v>4</v>
      </c>
      <c r="E144"/>
      <c r="G144" s="27" t="s">
        <v>8</v>
      </c>
      <c r="H144" s="27" t="s">
        <v>7</v>
      </c>
      <c r="I144" s="27" t="s">
        <v>8</v>
      </c>
      <c r="J144" s="27" t="s">
        <v>7</v>
      </c>
      <c r="AY144" s="27" t="s">
        <v>8</v>
      </c>
      <c r="AZ144" s="27" t="s">
        <v>7</v>
      </c>
      <c r="BA144" s="27" t="s">
        <v>8</v>
      </c>
      <c r="BR144" s="27" t="s">
        <v>7</v>
      </c>
      <c r="BS144" s="27" t="s">
        <v>8</v>
      </c>
      <c r="BV144" s="27" t="s">
        <v>7</v>
      </c>
      <c r="BW144" s="27" t="s">
        <v>8</v>
      </c>
      <c r="BZ144" s="27" t="s">
        <v>7</v>
      </c>
      <c r="CA144" s="27" t="s">
        <v>8</v>
      </c>
      <c r="CB144" s="27" t="s">
        <v>7</v>
      </c>
      <c r="CC144" s="27" t="s">
        <v>8</v>
      </c>
      <c r="CJ144" s="27" t="s">
        <v>7</v>
      </c>
      <c r="CK144" s="27" t="s">
        <v>8</v>
      </c>
      <c r="CL144" s="27" t="s">
        <v>7</v>
      </c>
      <c r="CM144" s="27" t="s">
        <v>8</v>
      </c>
      <c r="CN144" s="27" t="s">
        <v>7</v>
      </c>
      <c r="CO144" s="27" t="s">
        <v>8</v>
      </c>
      <c r="CR144" s="27" t="s">
        <v>7</v>
      </c>
      <c r="CX144" s="27" t="s">
        <v>7</v>
      </c>
      <c r="CY144" s="27" t="s">
        <v>8</v>
      </c>
      <c r="CZ144" s="27" t="s">
        <v>7</v>
      </c>
      <c r="DA144" s="27" t="s">
        <v>8</v>
      </c>
      <c r="DB144" s="27" t="s">
        <v>7</v>
      </c>
      <c r="DD144" s="31"/>
      <c r="DV144" s="27" t="s">
        <v>7</v>
      </c>
    </row>
    <row r="145" spans="1:148" x14ac:dyDescent="0.25">
      <c r="A145" s="30">
        <v>103.03467644609493</v>
      </c>
      <c r="E145"/>
      <c r="G145" s="27" t="s">
        <v>8</v>
      </c>
      <c r="H145" s="27" t="s">
        <v>7</v>
      </c>
      <c r="I145" s="27" t="s">
        <v>8</v>
      </c>
      <c r="J145" s="27" t="s">
        <v>7</v>
      </c>
      <c r="AE145" s="27" t="s">
        <v>8</v>
      </c>
      <c r="AG145" s="27" t="s">
        <v>8</v>
      </c>
      <c r="AY145" s="27" t="s">
        <v>8</v>
      </c>
      <c r="AZ145" s="27" t="s">
        <v>7</v>
      </c>
      <c r="BA145" s="27" t="s">
        <v>8</v>
      </c>
      <c r="BR145" s="27" t="s">
        <v>7</v>
      </c>
      <c r="BV145" s="27" t="s">
        <v>7</v>
      </c>
      <c r="BZ145" s="27" t="s">
        <v>7</v>
      </c>
      <c r="CA145" s="27" t="s">
        <v>8</v>
      </c>
      <c r="CB145" s="27" t="s">
        <v>7</v>
      </c>
      <c r="CJ145" s="27" t="s">
        <v>7</v>
      </c>
      <c r="CL145" s="27" t="s">
        <v>7</v>
      </c>
      <c r="CN145" s="27" t="s">
        <v>7</v>
      </c>
      <c r="CO145" s="27" t="s">
        <v>8</v>
      </c>
      <c r="CX145" s="27" t="s">
        <v>7</v>
      </c>
      <c r="CY145" s="27" t="s">
        <v>8</v>
      </c>
      <c r="CZ145" s="27" t="s">
        <v>7</v>
      </c>
      <c r="DA145" s="27" t="s">
        <v>8</v>
      </c>
      <c r="DC145" s="31"/>
      <c r="DV145" s="27" t="s">
        <v>7</v>
      </c>
    </row>
    <row r="146" spans="1:148" x14ac:dyDescent="0.25">
      <c r="A146" s="30">
        <v>98.128263281995174</v>
      </c>
      <c r="E146" t="s">
        <v>8</v>
      </c>
      <c r="G146" s="27" t="s">
        <v>8</v>
      </c>
      <c r="H146" s="27" t="s">
        <v>7</v>
      </c>
      <c r="I146" s="27" t="s">
        <v>8</v>
      </c>
      <c r="J146" s="27" t="s">
        <v>7</v>
      </c>
      <c r="AE146" s="27" t="s">
        <v>8</v>
      </c>
      <c r="AF146" s="27" t="s">
        <v>7</v>
      </c>
      <c r="AG146" s="27" t="s">
        <v>8</v>
      </c>
      <c r="AH146" s="27" t="s">
        <v>7</v>
      </c>
      <c r="AU146" s="27" t="s">
        <v>8</v>
      </c>
      <c r="AW146" s="27" t="s">
        <v>8</v>
      </c>
      <c r="AY146" s="27" t="s">
        <v>8</v>
      </c>
      <c r="AZ146" s="27" t="s">
        <v>7</v>
      </c>
      <c r="BA146" s="27" t="s">
        <v>8</v>
      </c>
      <c r="BZ146" s="27" t="s">
        <v>7</v>
      </c>
      <c r="CN146" s="27" t="s">
        <v>7</v>
      </c>
      <c r="CO146" s="27" t="s">
        <v>8</v>
      </c>
      <c r="CX146" s="27" t="s">
        <v>7</v>
      </c>
      <c r="CY146" s="27" t="s">
        <v>8</v>
      </c>
      <c r="CZ146" s="27" t="s">
        <v>7</v>
      </c>
      <c r="DA146" s="27" t="s">
        <v>8</v>
      </c>
      <c r="DB146" s="31"/>
      <c r="DV146" s="27" t="s">
        <v>7</v>
      </c>
    </row>
    <row r="147" spans="1:148" x14ac:dyDescent="0.25">
      <c r="A147" s="30">
        <v>93.455488839995397</v>
      </c>
      <c r="E147" t="s">
        <v>8</v>
      </c>
      <c r="F147" s="27" t="s">
        <v>7</v>
      </c>
      <c r="G147" s="27" t="s">
        <v>8</v>
      </c>
      <c r="H147" s="27" t="s">
        <v>7</v>
      </c>
      <c r="I147" s="27" t="s">
        <v>8</v>
      </c>
      <c r="J147" s="27" t="s">
        <v>7</v>
      </c>
      <c r="K147" s="27" t="s">
        <v>8</v>
      </c>
      <c r="AE147" s="27" t="s">
        <v>8</v>
      </c>
      <c r="AF147" s="27" t="s">
        <v>7</v>
      </c>
      <c r="AG147" s="27" t="s">
        <v>8</v>
      </c>
      <c r="AH147" s="27" t="s">
        <v>7</v>
      </c>
      <c r="AU147" s="27" t="s">
        <v>8</v>
      </c>
      <c r="AV147" s="27" t="s">
        <v>7</v>
      </c>
      <c r="AW147" s="27" t="s">
        <v>8</v>
      </c>
      <c r="AX147" s="27" t="s">
        <v>7</v>
      </c>
      <c r="AY147" s="27" t="s">
        <v>8</v>
      </c>
      <c r="AZ147" s="27" t="s">
        <v>7</v>
      </c>
      <c r="BA147" s="27" t="s">
        <v>8</v>
      </c>
      <c r="CN147" s="27" t="s">
        <v>7</v>
      </c>
      <c r="CO147" s="27" t="s">
        <v>8</v>
      </c>
      <c r="CX147" s="27" t="s">
        <v>7</v>
      </c>
      <c r="CZ147" s="27" t="s">
        <v>7</v>
      </c>
      <c r="DA147" s="31" t="s">
        <v>8</v>
      </c>
      <c r="DV147" s="27" t="s">
        <v>7</v>
      </c>
      <c r="EM147" s="27" t="s">
        <v>8</v>
      </c>
    </row>
    <row r="148" spans="1:148" x14ac:dyDescent="0.25">
      <c r="A148" s="30">
        <v>89.005227466662276</v>
      </c>
      <c r="E148" t="s">
        <v>8</v>
      </c>
      <c r="F148" s="27" t="s">
        <v>7</v>
      </c>
      <c r="G148" s="27" t="s">
        <v>8</v>
      </c>
      <c r="H148" s="27" t="s">
        <v>7</v>
      </c>
      <c r="J148" s="27" t="s">
        <v>7</v>
      </c>
      <c r="K148" s="27" t="s">
        <v>8</v>
      </c>
      <c r="L148" s="27" t="s">
        <v>7</v>
      </c>
      <c r="U148" s="27" t="s">
        <v>8</v>
      </c>
      <c r="AE148" s="27" t="s">
        <v>8</v>
      </c>
      <c r="AF148" s="27" t="s">
        <v>7</v>
      </c>
      <c r="AG148" s="27" t="s">
        <v>8</v>
      </c>
      <c r="AH148" s="27" t="s">
        <v>7</v>
      </c>
      <c r="AU148" s="27" t="s">
        <v>8</v>
      </c>
      <c r="AV148" s="27" t="s">
        <v>7</v>
      </c>
      <c r="AW148" s="27" t="s">
        <v>8</v>
      </c>
      <c r="AX148" s="27" t="s">
        <v>7</v>
      </c>
      <c r="AY148" s="27" t="s">
        <v>8</v>
      </c>
      <c r="AZ148" s="27" t="s">
        <v>7</v>
      </c>
      <c r="BA148" s="27" t="s">
        <v>8</v>
      </c>
      <c r="CN148" s="27" t="s">
        <v>7</v>
      </c>
      <c r="CO148" s="27" t="s">
        <v>8</v>
      </c>
      <c r="CZ148" s="31" t="s">
        <v>7</v>
      </c>
      <c r="DV148" s="27" t="s">
        <v>7</v>
      </c>
      <c r="EM148" s="27" t="s">
        <v>8</v>
      </c>
      <c r="EN148" s="27" t="s">
        <v>7</v>
      </c>
    </row>
    <row r="149" spans="1:148" x14ac:dyDescent="0.25">
      <c r="A149" s="30">
        <v>84.766883301583121</v>
      </c>
      <c r="E149" t="s">
        <v>8</v>
      </c>
      <c r="F149" s="27" t="s">
        <v>7</v>
      </c>
      <c r="G149" s="27" t="s">
        <v>8</v>
      </c>
      <c r="J149" s="27" t="s">
        <v>7</v>
      </c>
      <c r="K149" s="27" t="s">
        <v>8</v>
      </c>
      <c r="L149" s="27" t="s">
        <v>7</v>
      </c>
      <c r="U149" s="27" t="s">
        <v>8</v>
      </c>
      <c r="V149" s="27" t="s">
        <v>7</v>
      </c>
      <c r="AE149" s="27" t="s">
        <v>8</v>
      </c>
      <c r="AF149" s="27" t="s">
        <v>7</v>
      </c>
      <c r="AG149" s="27" t="s">
        <v>8</v>
      </c>
      <c r="AH149" s="27" t="s">
        <v>7</v>
      </c>
      <c r="AI149" s="27" t="s">
        <v>8</v>
      </c>
      <c r="AU149" s="27" t="s">
        <v>8</v>
      </c>
      <c r="AV149" s="27" t="s">
        <v>7</v>
      </c>
      <c r="AW149" s="27" t="s">
        <v>8</v>
      </c>
      <c r="AX149" s="27" t="s">
        <v>7</v>
      </c>
      <c r="AY149" s="27" t="s">
        <v>8</v>
      </c>
      <c r="AZ149" s="27" t="s">
        <v>7</v>
      </c>
      <c r="CN149" s="27" t="s">
        <v>7</v>
      </c>
      <c r="DV149" s="27" t="s">
        <v>7</v>
      </c>
      <c r="EM149" s="27" t="s">
        <v>8</v>
      </c>
      <c r="EN149" s="27" t="s">
        <v>7</v>
      </c>
    </row>
    <row r="150" spans="1:148" x14ac:dyDescent="0.25">
      <c r="A150" s="30">
        <v>80.730365049126775</v>
      </c>
      <c r="E150" t="s">
        <v>8</v>
      </c>
      <c r="F150" s="27" t="s">
        <v>7</v>
      </c>
      <c r="G150" s="27" t="s">
        <v>8</v>
      </c>
      <c r="J150" s="27" t="s">
        <v>7</v>
      </c>
      <c r="L150" s="27" t="s">
        <v>7</v>
      </c>
      <c r="U150" s="27" t="s">
        <v>8</v>
      </c>
      <c r="V150" s="27" t="s">
        <v>7</v>
      </c>
      <c r="AE150" s="27" t="s">
        <v>8</v>
      </c>
      <c r="AF150" s="27" t="s">
        <v>7</v>
      </c>
      <c r="AG150" s="27" t="s">
        <v>8</v>
      </c>
      <c r="AH150" s="27" t="s">
        <v>7</v>
      </c>
      <c r="AI150" s="27" t="s">
        <v>8</v>
      </c>
      <c r="AJ150" s="27" t="s">
        <v>7</v>
      </c>
      <c r="AU150" s="27" t="s">
        <v>8</v>
      </c>
      <c r="AV150" s="27" t="s">
        <v>7</v>
      </c>
      <c r="AW150" s="27" t="s">
        <v>8</v>
      </c>
      <c r="AX150" s="27" t="s">
        <v>7</v>
      </c>
      <c r="AY150" s="27" t="s">
        <v>8</v>
      </c>
      <c r="DV150" s="27" t="s">
        <v>7</v>
      </c>
      <c r="EM150" s="27" t="s">
        <v>8</v>
      </c>
      <c r="EN150" s="27" t="s">
        <v>7</v>
      </c>
    </row>
    <row r="151" spans="1:148" x14ac:dyDescent="0.25">
      <c r="A151" s="30">
        <v>76.886061951549308</v>
      </c>
      <c r="E151" t="s">
        <v>8</v>
      </c>
      <c r="F151" s="27" t="s">
        <v>7</v>
      </c>
      <c r="G151" s="27" t="s">
        <v>8</v>
      </c>
      <c r="L151" s="27" t="s">
        <v>7</v>
      </c>
      <c r="U151" s="27" t="s">
        <v>8</v>
      </c>
      <c r="V151" s="27" t="s">
        <v>7</v>
      </c>
      <c r="AE151" s="27" t="s">
        <v>8</v>
      </c>
      <c r="AF151" s="27" t="s">
        <v>7</v>
      </c>
      <c r="AG151" s="27" t="s">
        <v>8</v>
      </c>
      <c r="AH151" s="27" t="s">
        <v>7</v>
      </c>
      <c r="AI151" s="27" t="s">
        <v>8</v>
      </c>
      <c r="AJ151" s="27" t="s">
        <v>7</v>
      </c>
      <c r="AU151" s="27" t="s">
        <v>8</v>
      </c>
      <c r="AV151" s="27" t="s">
        <v>7</v>
      </c>
      <c r="AX151" s="27" t="s">
        <v>7</v>
      </c>
      <c r="AY151" s="27" t="s">
        <v>8</v>
      </c>
      <c r="DV151" s="27" t="s">
        <v>7</v>
      </c>
      <c r="EM151" s="27" t="s">
        <v>8</v>
      </c>
      <c r="EN151" s="27" t="s">
        <v>7</v>
      </c>
    </row>
    <row r="152" spans="1:148" x14ac:dyDescent="0.25">
      <c r="A152" s="30">
        <v>73.22482090623744</v>
      </c>
      <c r="E152" t="s">
        <v>8</v>
      </c>
      <c r="F152" s="27" t="s">
        <v>7</v>
      </c>
      <c r="G152" s="27" t="s">
        <v>8</v>
      </c>
      <c r="L152" s="27" t="s">
        <v>7</v>
      </c>
      <c r="U152" s="27" t="s">
        <v>8</v>
      </c>
      <c r="V152" s="27" t="s">
        <v>7</v>
      </c>
      <c r="AE152" s="27" t="s">
        <v>8</v>
      </c>
      <c r="AF152" s="27" t="s">
        <v>7</v>
      </c>
      <c r="AG152" s="27" t="s">
        <v>8</v>
      </c>
      <c r="AH152" s="27" t="s">
        <v>7</v>
      </c>
      <c r="AI152" s="27" t="s">
        <v>8</v>
      </c>
      <c r="AJ152" s="27" t="s">
        <v>7</v>
      </c>
      <c r="AM152" s="27" t="s">
        <v>8</v>
      </c>
      <c r="AQ152" s="27" t="s">
        <v>8</v>
      </c>
      <c r="AS152" s="27" t="s">
        <v>8</v>
      </c>
      <c r="AU152" s="27" t="s">
        <v>8</v>
      </c>
      <c r="AX152" s="27" t="s">
        <v>7</v>
      </c>
      <c r="AY152" s="27" t="s">
        <v>8</v>
      </c>
      <c r="DV152" s="27" t="s">
        <v>7</v>
      </c>
      <c r="EM152" s="27" t="s">
        <v>8</v>
      </c>
      <c r="EN152" s="27" t="s">
        <v>7</v>
      </c>
    </row>
    <row r="153" spans="1:148" x14ac:dyDescent="0.25">
      <c r="A153" s="30">
        <v>69.737924672607079</v>
      </c>
      <c r="C153" s="7"/>
      <c r="D153"/>
      <c r="E153" t="s">
        <v>8</v>
      </c>
      <c r="F153" s="27" t="s">
        <v>7</v>
      </c>
      <c r="G153" s="27" t="s">
        <v>8</v>
      </c>
      <c r="L153" s="27" t="s">
        <v>7</v>
      </c>
      <c r="U153" s="27" t="s">
        <v>8</v>
      </c>
      <c r="V153" s="27" t="s">
        <v>7</v>
      </c>
      <c r="AE153" s="27" t="s">
        <v>8</v>
      </c>
      <c r="AF153" s="27" t="s">
        <v>7</v>
      </c>
      <c r="AG153" s="27" t="s">
        <v>8</v>
      </c>
      <c r="AH153" s="27" t="s">
        <v>7</v>
      </c>
      <c r="AI153" s="27" t="s">
        <v>8</v>
      </c>
      <c r="AJ153" s="27" t="s">
        <v>7</v>
      </c>
      <c r="AK153" s="27" t="s">
        <v>8</v>
      </c>
      <c r="AM153" s="27" t="s">
        <v>8</v>
      </c>
      <c r="AN153" s="27" t="s">
        <v>7</v>
      </c>
      <c r="AQ153" s="27" t="s">
        <v>8</v>
      </c>
      <c r="AR153" s="27" t="s">
        <v>7</v>
      </c>
      <c r="AS153" s="27" t="s">
        <v>8</v>
      </c>
      <c r="AT153" s="27" t="s">
        <v>7</v>
      </c>
      <c r="AU153" s="27" t="s">
        <v>8</v>
      </c>
      <c r="AX153" s="27" t="s">
        <v>7</v>
      </c>
      <c r="AY153" s="27" t="s">
        <v>8</v>
      </c>
      <c r="DV153" s="27" t="s">
        <v>7</v>
      </c>
      <c r="EM153" s="27" t="s">
        <v>8</v>
      </c>
      <c r="EN153" s="27" t="s">
        <v>7</v>
      </c>
    </row>
    <row r="154" spans="1:148" x14ac:dyDescent="0.25">
      <c r="A154" s="30">
        <v>66.417071116768639</v>
      </c>
      <c r="E154" t="s">
        <v>8</v>
      </c>
      <c r="F154" s="27" t="s">
        <v>7</v>
      </c>
      <c r="G154" s="27" t="s">
        <v>8</v>
      </c>
      <c r="L154" s="27" t="s">
        <v>7</v>
      </c>
      <c r="U154" s="27" t="s">
        <v>8</v>
      </c>
      <c r="V154" s="27" t="s">
        <v>7</v>
      </c>
      <c r="AE154" s="27" t="s">
        <v>8</v>
      </c>
      <c r="AF154" s="27" t="s">
        <v>7</v>
      </c>
      <c r="AG154" s="27" t="s">
        <v>8</v>
      </c>
      <c r="AH154" s="27" t="s">
        <v>7</v>
      </c>
      <c r="AJ154" s="27" t="s">
        <v>7</v>
      </c>
      <c r="AK154" s="27" t="s">
        <v>8</v>
      </c>
      <c r="AL154" s="27" t="s">
        <v>7</v>
      </c>
      <c r="AM154" s="27" t="s">
        <v>8</v>
      </c>
      <c r="AN154" s="27" t="s">
        <v>7</v>
      </c>
      <c r="AO154" s="27" t="s">
        <v>8</v>
      </c>
      <c r="AQ154" s="27" t="s">
        <v>8</v>
      </c>
      <c r="AR154" s="27" t="s">
        <v>7</v>
      </c>
      <c r="AS154" s="27" t="s">
        <v>8</v>
      </c>
      <c r="AT154" s="27" t="s">
        <v>7</v>
      </c>
      <c r="AU154" s="27" t="s">
        <v>8</v>
      </c>
      <c r="AX154" s="27" t="s">
        <v>7</v>
      </c>
      <c r="AY154" s="27" t="s">
        <v>8</v>
      </c>
      <c r="DV154" s="27" t="s">
        <v>7</v>
      </c>
      <c r="EM154" s="27" t="s">
        <v>8</v>
      </c>
      <c r="EN154" s="27" t="s">
        <v>7</v>
      </c>
      <c r="EO154" s="27" t="s">
        <v>8</v>
      </c>
    </row>
    <row r="155" spans="1:148" x14ac:dyDescent="0.25">
      <c r="A155" s="30">
        <v>63.254353444541557</v>
      </c>
      <c r="E155" t="s">
        <v>8</v>
      </c>
      <c r="F155" s="27" t="s">
        <v>7</v>
      </c>
      <c r="G155" s="27" t="s">
        <v>8</v>
      </c>
      <c r="L155" s="27" t="s">
        <v>7</v>
      </c>
      <c r="U155" s="27" t="s">
        <v>8</v>
      </c>
      <c r="V155" s="27" t="s">
        <v>7</v>
      </c>
      <c r="AE155" s="27" t="s">
        <v>8</v>
      </c>
      <c r="AF155" s="27" t="s">
        <v>7</v>
      </c>
      <c r="AG155" s="27" t="s">
        <v>8</v>
      </c>
      <c r="AJ155" s="27" t="s">
        <v>7</v>
      </c>
      <c r="AK155" s="27" t="s">
        <v>8</v>
      </c>
      <c r="AL155" s="27" t="s">
        <v>7</v>
      </c>
      <c r="AM155" s="27" t="s">
        <v>8</v>
      </c>
      <c r="AN155" s="27" t="s">
        <v>7</v>
      </c>
      <c r="AO155" s="27" t="s">
        <v>8</v>
      </c>
      <c r="AP155" s="27" t="s">
        <v>7</v>
      </c>
      <c r="AQ155" s="27" t="s">
        <v>8</v>
      </c>
      <c r="AR155" s="27" t="s">
        <v>7</v>
      </c>
      <c r="AS155" s="27" t="s">
        <v>8</v>
      </c>
      <c r="AT155" s="27" t="s">
        <v>7</v>
      </c>
      <c r="AU155" s="27" t="s">
        <v>8</v>
      </c>
      <c r="AX155" s="27" t="s">
        <v>7</v>
      </c>
      <c r="AY155" s="27" t="s">
        <v>8</v>
      </c>
      <c r="DV155" s="27" t="s">
        <v>7</v>
      </c>
      <c r="DW155" s="27" t="s">
        <v>8</v>
      </c>
      <c r="EM155" s="27" t="s">
        <v>8</v>
      </c>
      <c r="EN155" s="27" t="s">
        <v>7</v>
      </c>
      <c r="EO155" s="27" t="s">
        <v>8</v>
      </c>
      <c r="EP155" s="27" t="s">
        <v>7</v>
      </c>
    </row>
    <row r="156" spans="1:148" x14ac:dyDescent="0.25">
      <c r="A156" s="30">
        <v>60.242241375753864</v>
      </c>
      <c r="C156"/>
      <c r="D156"/>
      <c r="E156" t="s">
        <v>8</v>
      </c>
      <c r="F156" s="27" t="s">
        <v>7</v>
      </c>
      <c r="G156" s="27" t="s">
        <v>8</v>
      </c>
      <c r="L156" s="27" t="s">
        <v>7</v>
      </c>
      <c r="U156" s="27" t="s">
        <v>8</v>
      </c>
      <c r="V156" s="27" t="s">
        <v>7</v>
      </c>
      <c r="W156" s="27" t="s">
        <v>8</v>
      </c>
      <c r="AC156" s="27" t="s">
        <v>8</v>
      </c>
      <c r="AE156" s="27" t="s">
        <v>8</v>
      </c>
      <c r="AF156" s="27" t="s">
        <v>7</v>
      </c>
      <c r="AG156" s="27" t="s">
        <v>8</v>
      </c>
      <c r="AJ156" s="27" t="s">
        <v>7</v>
      </c>
      <c r="AK156" s="27" t="s">
        <v>8</v>
      </c>
      <c r="AL156" s="27" t="s">
        <v>7</v>
      </c>
      <c r="AN156" s="27" t="s">
        <v>7</v>
      </c>
      <c r="AO156" s="27" t="s">
        <v>8</v>
      </c>
      <c r="AP156" s="27" t="s">
        <v>7</v>
      </c>
      <c r="AQ156" s="27" t="s">
        <v>8</v>
      </c>
      <c r="AR156" s="27" t="s">
        <v>7</v>
      </c>
      <c r="AS156" s="27" t="s">
        <v>8</v>
      </c>
      <c r="AT156" s="27" t="s">
        <v>7</v>
      </c>
      <c r="AU156" s="27" t="s">
        <v>8</v>
      </c>
      <c r="AX156" s="27" t="s">
        <v>7</v>
      </c>
      <c r="AY156" s="27" t="s">
        <v>8</v>
      </c>
      <c r="DV156" s="27" t="s">
        <v>7</v>
      </c>
      <c r="DW156" s="27" t="s">
        <v>8</v>
      </c>
      <c r="DX156" s="27" t="s">
        <v>7</v>
      </c>
      <c r="EM156" s="27" t="s">
        <v>8</v>
      </c>
      <c r="EN156" s="27" t="s">
        <v>7</v>
      </c>
      <c r="EO156" s="27" t="s">
        <v>8</v>
      </c>
      <c r="EP156" s="27" t="s">
        <v>7</v>
      </c>
    </row>
    <row r="157" spans="1:148" x14ac:dyDescent="0.25">
      <c r="A157" s="30">
        <v>57.373563215003678</v>
      </c>
      <c r="E157" t="s">
        <v>8</v>
      </c>
      <c r="F157" s="27" t="s">
        <v>7</v>
      </c>
      <c r="G157" s="27" t="s">
        <v>8</v>
      </c>
      <c r="L157" s="27" t="s">
        <v>7</v>
      </c>
      <c r="U157" s="27" t="s">
        <v>8</v>
      </c>
      <c r="V157" s="27" t="s">
        <v>7</v>
      </c>
      <c r="W157" s="27" t="s">
        <v>8</v>
      </c>
      <c r="X157" s="27" t="s">
        <v>7</v>
      </c>
      <c r="AC157" s="27" t="s">
        <v>8</v>
      </c>
      <c r="AD157" s="27" t="s">
        <v>7</v>
      </c>
      <c r="AE157" s="27" t="s">
        <v>8</v>
      </c>
      <c r="AF157" s="27" t="s">
        <v>7</v>
      </c>
      <c r="AJ157" s="27" t="s">
        <v>7</v>
      </c>
      <c r="AN157" s="27" t="s">
        <v>7</v>
      </c>
      <c r="AO157" s="27" t="s">
        <v>8</v>
      </c>
      <c r="AP157" s="27" t="s">
        <v>7</v>
      </c>
      <c r="AQ157" s="27" t="s">
        <v>8</v>
      </c>
      <c r="AR157" s="27" t="s">
        <v>7</v>
      </c>
      <c r="AT157" s="27" t="s">
        <v>7</v>
      </c>
      <c r="AX157" s="27" t="s">
        <v>7</v>
      </c>
      <c r="DV157" s="27" t="s">
        <v>7</v>
      </c>
      <c r="DW157" s="27" t="s">
        <v>8</v>
      </c>
      <c r="DX157" s="27" t="s">
        <v>7</v>
      </c>
      <c r="EM157" s="27" t="s">
        <v>8</v>
      </c>
      <c r="EN157" s="27" t="s">
        <v>7</v>
      </c>
      <c r="EO157" s="27" t="s">
        <v>8</v>
      </c>
      <c r="EP157" s="27" t="s">
        <v>7</v>
      </c>
    </row>
    <row r="158" spans="1:148" x14ac:dyDescent="0.25">
      <c r="A158" s="30">
        <v>54.641488776193974</v>
      </c>
      <c r="E158" t="s">
        <v>8</v>
      </c>
      <c r="F158" s="27" t="s">
        <v>7</v>
      </c>
      <c r="L158" s="27" t="s">
        <v>7</v>
      </c>
      <c r="U158" s="27" t="s">
        <v>8</v>
      </c>
      <c r="V158" s="27" t="s">
        <v>7</v>
      </c>
      <c r="W158" s="27" t="s">
        <v>8</v>
      </c>
      <c r="X158" s="27" t="s">
        <v>7</v>
      </c>
      <c r="AC158" s="27" t="s">
        <v>8</v>
      </c>
      <c r="AD158" s="27" t="s">
        <v>7</v>
      </c>
      <c r="AE158" s="27" t="s">
        <v>8</v>
      </c>
      <c r="AN158" s="27" t="s">
        <v>7</v>
      </c>
      <c r="AO158" s="27" t="s">
        <v>8</v>
      </c>
      <c r="AP158" s="27" t="s">
        <v>7</v>
      </c>
      <c r="AQ158" s="27" t="s">
        <v>8</v>
      </c>
      <c r="DV158" s="27" t="s">
        <v>7</v>
      </c>
      <c r="DW158" s="27" t="s">
        <v>8</v>
      </c>
      <c r="DX158" s="27" t="s">
        <v>7</v>
      </c>
      <c r="EM158" s="27" t="s">
        <v>8</v>
      </c>
      <c r="EN158" s="27" t="s">
        <v>7</v>
      </c>
      <c r="EP158" s="27" t="s">
        <v>7</v>
      </c>
      <c r="EQ158" s="27" t="s">
        <v>8</v>
      </c>
    </row>
    <row r="159" spans="1:148" x14ac:dyDescent="0.25">
      <c r="A159" s="30">
        <v>52.039513120184736</v>
      </c>
      <c r="E159" t="s">
        <v>8</v>
      </c>
      <c r="L159" s="27" t="s">
        <v>7</v>
      </c>
      <c r="U159" s="27" t="s">
        <v>8</v>
      </c>
      <c r="V159" s="27" t="s">
        <v>7</v>
      </c>
      <c r="W159" s="27" t="s">
        <v>8</v>
      </c>
      <c r="X159" s="27" t="s">
        <v>7</v>
      </c>
      <c r="AC159" s="27" t="s">
        <v>8</v>
      </c>
      <c r="AD159" s="27" t="s">
        <v>7</v>
      </c>
      <c r="AE159" s="27" t="s">
        <v>8</v>
      </c>
      <c r="AN159" s="27" t="s">
        <v>7</v>
      </c>
      <c r="AP159" s="27" t="s">
        <v>7</v>
      </c>
      <c r="AQ159" s="27" t="s">
        <v>8</v>
      </c>
      <c r="DV159" s="27" t="s">
        <v>7</v>
      </c>
      <c r="DW159" s="27" t="s">
        <v>8</v>
      </c>
      <c r="DX159" s="27" t="s">
        <v>7</v>
      </c>
      <c r="EM159" s="27" t="s">
        <v>8</v>
      </c>
      <c r="EP159" s="27" t="s">
        <v>7</v>
      </c>
      <c r="EQ159" s="27" t="s">
        <v>8</v>
      </c>
      <c r="ER159" s="27" t="s">
        <v>7</v>
      </c>
    </row>
    <row r="160" spans="1:148" x14ac:dyDescent="0.25">
      <c r="A160" s="30">
        <v>49.561441066842605</v>
      </c>
      <c r="C160"/>
      <c r="E160" t="s">
        <v>8</v>
      </c>
      <c r="L160" s="27" t="s">
        <v>7</v>
      </c>
      <c r="U160" s="27" t="s">
        <v>8</v>
      </c>
      <c r="V160" s="27" t="s">
        <v>7</v>
      </c>
      <c r="W160" s="27" t="s">
        <v>8</v>
      </c>
      <c r="X160" s="27" t="s">
        <v>7</v>
      </c>
      <c r="Y160" s="27" t="s">
        <v>8</v>
      </c>
      <c r="AC160" s="27" t="s">
        <v>8</v>
      </c>
      <c r="AD160" s="27" t="s">
        <v>7</v>
      </c>
      <c r="AE160" s="27" t="s">
        <v>8</v>
      </c>
      <c r="AP160" s="27" t="s">
        <v>7</v>
      </c>
      <c r="AQ160" s="27" t="s">
        <v>8</v>
      </c>
      <c r="DV160" s="27" t="s">
        <v>7</v>
      </c>
      <c r="DW160" s="27" t="s">
        <v>8</v>
      </c>
      <c r="DX160" s="27" t="s">
        <v>7</v>
      </c>
      <c r="EM160" s="27" t="s">
        <v>8</v>
      </c>
      <c r="EP160" s="27" t="s">
        <v>7</v>
      </c>
      <c r="EQ160" s="27" t="s">
        <v>8</v>
      </c>
      <c r="ER160" s="27" t="s">
        <v>7</v>
      </c>
    </row>
    <row r="161" spans="1:148" x14ac:dyDescent="0.25">
      <c r="A161" s="30">
        <v>47.201372444612005</v>
      </c>
      <c r="E161" t="s">
        <v>8</v>
      </c>
      <c r="L161" s="27" t="s">
        <v>7</v>
      </c>
      <c r="M161" s="27" t="s">
        <v>8</v>
      </c>
      <c r="U161" s="27" t="s">
        <v>8</v>
      </c>
      <c r="V161" s="27" t="s">
        <v>7</v>
      </c>
      <c r="W161" s="27" t="s">
        <v>8</v>
      </c>
      <c r="X161" s="27" t="s">
        <v>7</v>
      </c>
      <c r="Y161" s="27" t="s">
        <v>8</v>
      </c>
      <c r="Z161" s="27" t="s">
        <v>7</v>
      </c>
      <c r="AA161" s="27" t="s">
        <v>8</v>
      </c>
      <c r="AC161" s="27" t="s">
        <v>8</v>
      </c>
      <c r="AD161" s="27" t="s">
        <v>7</v>
      </c>
      <c r="AE161" s="27" t="s">
        <v>8</v>
      </c>
      <c r="AP161" s="27" t="s">
        <v>7</v>
      </c>
      <c r="DV161" s="27" t="s">
        <v>7</v>
      </c>
      <c r="DW161" s="27" t="s">
        <v>8</v>
      </c>
      <c r="DX161" s="27" t="s">
        <v>7</v>
      </c>
      <c r="DY161" s="27" t="s">
        <v>8</v>
      </c>
      <c r="EC161" s="27" t="s">
        <v>8</v>
      </c>
      <c r="EM161" s="27" t="s">
        <v>8</v>
      </c>
      <c r="EP161" s="27" t="s">
        <v>7</v>
      </c>
      <c r="EQ161" s="27" t="s">
        <v>8</v>
      </c>
      <c r="ER161" s="27" t="s">
        <v>7</v>
      </c>
    </row>
    <row r="162" spans="1:148" x14ac:dyDescent="0.25">
      <c r="A162" s="30">
        <v>44.95368804248762</v>
      </c>
      <c r="E162" t="s">
        <v>8</v>
      </c>
      <c r="L162" s="27" t="s">
        <v>7</v>
      </c>
      <c r="M162" s="27" t="s">
        <v>8</v>
      </c>
      <c r="N162" s="27" t="s">
        <v>7</v>
      </c>
      <c r="U162" s="27" t="s">
        <v>8</v>
      </c>
      <c r="V162" s="27" t="s">
        <v>7</v>
      </c>
      <c r="W162" s="27" t="s">
        <v>8</v>
      </c>
      <c r="X162" s="27" t="s">
        <v>7</v>
      </c>
      <c r="Y162" s="27" t="s">
        <v>8</v>
      </c>
      <c r="Z162" s="27" t="s">
        <v>7</v>
      </c>
      <c r="AA162" s="27" t="s">
        <v>8</v>
      </c>
      <c r="AB162" s="27" t="s">
        <v>7</v>
      </c>
      <c r="AC162" s="27" t="s">
        <v>8</v>
      </c>
      <c r="AD162" s="27" t="s">
        <v>7</v>
      </c>
      <c r="AE162" s="27" t="s">
        <v>8</v>
      </c>
      <c r="DV162" s="27" t="s">
        <v>7</v>
      </c>
      <c r="DW162" s="27" t="s">
        <v>8</v>
      </c>
      <c r="DX162" s="27" t="s">
        <v>7</v>
      </c>
      <c r="DY162" s="27" t="s">
        <v>8</v>
      </c>
      <c r="DZ162" s="27" t="s">
        <v>7</v>
      </c>
      <c r="EC162" s="27" t="s">
        <v>8</v>
      </c>
      <c r="ED162" s="27" t="s">
        <v>7</v>
      </c>
      <c r="EK162" s="27" t="s">
        <v>8</v>
      </c>
      <c r="EM162" s="27" t="s">
        <v>8</v>
      </c>
      <c r="EP162" s="27" t="s">
        <v>7</v>
      </c>
      <c r="EQ162" s="27" t="s">
        <v>8</v>
      </c>
      <c r="ER162" s="27" t="s">
        <v>7</v>
      </c>
    </row>
    <row r="163" spans="1:148" x14ac:dyDescent="0.25">
      <c r="A163" s="30">
        <v>42.81303623094059</v>
      </c>
      <c r="E163" t="s">
        <v>8</v>
      </c>
      <c r="L163" s="27" t="s">
        <v>7</v>
      </c>
      <c r="M163" s="27" t="s">
        <v>8</v>
      </c>
      <c r="N163" s="27" t="s">
        <v>7</v>
      </c>
      <c r="O163" s="27" t="s">
        <v>8</v>
      </c>
      <c r="U163" s="27" t="s">
        <v>8</v>
      </c>
      <c r="V163" s="27" t="s">
        <v>7</v>
      </c>
      <c r="W163" s="27" t="s">
        <v>8</v>
      </c>
      <c r="X163" s="27" t="s">
        <v>7</v>
      </c>
      <c r="Y163" s="27" t="s">
        <v>8</v>
      </c>
      <c r="Z163" s="27" t="s">
        <v>7</v>
      </c>
      <c r="AA163" s="27" t="s">
        <v>8</v>
      </c>
      <c r="AB163" s="27" t="s">
        <v>7</v>
      </c>
      <c r="AC163" s="27" t="s">
        <v>8</v>
      </c>
      <c r="AD163" s="27" t="s">
        <v>7</v>
      </c>
      <c r="AE163" s="27" t="s">
        <v>8</v>
      </c>
      <c r="DV163" s="27" t="s">
        <v>7</v>
      </c>
      <c r="DW163" s="27" t="s">
        <v>8</v>
      </c>
      <c r="DX163" s="27" t="s">
        <v>7</v>
      </c>
      <c r="DY163" s="27" t="s">
        <v>8</v>
      </c>
      <c r="DZ163" s="27" t="s">
        <v>7</v>
      </c>
      <c r="EC163" s="27" t="s">
        <v>8</v>
      </c>
      <c r="ED163" s="27" t="s">
        <v>7</v>
      </c>
      <c r="EG163" s="27" t="s">
        <v>8</v>
      </c>
      <c r="EK163" s="27" t="s">
        <v>8</v>
      </c>
      <c r="EL163" s="27" t="s">
        <v>7</v>
      </c>
      <c r="EM163" s="27" t="s">
        <v>8</v>
      </c>
      <c r="EP163" s="27" t="s">
        <v>7</v>
      </c>
      <c r="EQ163" s="27" t="s">
        <v>8</v>
      </c>
      <c r="ER163" s="27" t="s">
        <v>7</v>
      </c>
    </row>
    <row r="164" spans="1:148" x14ac:dyDescent="0.25">
      <c r="A164" s="30">
        <v>40.774320219943419</v>
      </c>
      <c r="E164" t="s">
        <v>8</v>
      </c>
      <c r="L164" s="27" t="s">
        <v>7</v>
      </c>
      <c r="M164" s="27" t="s">
        <v>8</v>
      </c>
      <c r="N164" s="27" t="s">
        <v>7</v>
      </c>
      <c r="O164" s="27" t="s">
        <v>8</v>
      </c>
      <c r="P164" s="27" t="s">
        <v>7</v>
      </c>
      <c r="U164" s="27" t="s">
        <v>8</v>
      </c>
      <c r="V164" s="27" t="s">
        <v>7</v>
      </c>
      <c r="X164" s="27" t="s">
        <v>7</v>
      </c>
      <c r="Z164" s="27" t="s">
        <v>7</v>
      </c>
      <c r="AB164" s="27" t="s">
        <v>7</v>
      </c>
      <c r="AC164" s="27" t="s">
        <v>8</v>
      </c>
      <c r="AD164" s="27" t="s">
        <v>7</v>
      </c>
      <c r="AE164" s="27" t="s">
        <v>8</v>
      </c>
      <c r="DV164" s="27" t="s">
        <v>7</v>
      </c>
      <c r="DW164" s="27" t="s">
        <v>8</v>
      </c>
      <c r="DX164" s="27" t="s">
        <v>7</v>
      </c>
      <c r="DZ164" s="27" t="s">
        <v>7</v>
      </c>
      <c r="EC164" s="27" t="s">
        <v>8</v>
      </c>
      <c r="ED164" s="27" t="s">
        <v>7</v>
      </c>
      <c r="EG164" s="27" t="s">
        <v>8</v>
      </c>
      <c r="EH164" s="27" t="s">
        <v>7</v>
      </c>
      <c r="EI164" s="27" t="s">
        <v>8</v>
      </c>
      <c r="EK164" s="27" t="s">
        <v>8</v>
      </c>
      <c r="EL164" s="27" t="s">
        <v>7</v>
      </c>
      <c r="EM164" s="27" t="s">
        <v>8</v>
      </c>
      <c r="EP164" s="27" t="s">
        <v>7</v>
      </c>
      <c r="EQ164" s="27" t="s">
        <v>8</v>
      </c>
      <c r="ER164" s="27" t="s">
        <v>7</v>
      </c>
    </row>
    <row r="165" spans="1:148" x14ac:dyDescent="0.25">
      <c r="A165" s="30">
        <v>38.832685923755633</v>
      </c>
      <c r="E165" t="s">
        <v>8</v>
      </c>
      <c r="L165" s="27" t="s">
        <v>7</v>
      </c>
      <c r="M165" s="27" t="s">
        <v>8</v>
      </c>
      <c r="N165" s="27" t="s">
        <v>7</v>
      </c>
      <c r="O165" s="27" t="s">
        <v>8</v>
      </c>
      <c r="P165" s="27" t="s">
        <v>7</v>
      </c>
      <c r="U165" s="27" t="s">
        <v>8</v>
      </c>
      <c r="AB165" s="27" t="s">
        <v>7</v>
      </c>
      <c r="AC165" s="27" t="s">
        <v>8</v>
      </c>
      <c r="AD165" s="27" t="s">
        <v>7</v>
      </c>
      <c r="AE165" s="27" t="s">
        <v>8</v>
      </c>
      <c r="DV165" s="27" t="s">
        <v>7</v>
      </c>
      <c r="DW165" s="27" t="s">
        <v>8</v>
      </c>
      <c r="DZ165" s="27" t="s">
        <v>7</v>
      </c>
      <c r="EC165" s="27" t="s">
        <v>8</v>
      </c>
      <c r="ED165" s="27" t="s">
        <v>7</v>
      </c>
      <c r="EG165" s="27" t="s">
        <v>8</v>
      </c>
      <c r="EH165" s="27" t="s">
        <v>7</v>
      </c>
      <c r="EI165" s="27" t="s">
        <v>8</v>
      </c>
      <c r="EJ165" s="27" t="s">
        <v>7</v>
      </c>
      <c r="EK165" s="27" t="s">
        <v>8</v>
      </c>
      <c r="EL165" s="27" t="s">
        <v>7</v>
      </c>
      <c r="EP165" s="27" t="s">
        <v>7</v>
      </c>
      <c r="EQ165" s="27" t="s">
        <v>8</v>
      </c>
      <c r="ER165" s="27" t="s">
        <v>7</v>
      </c>
    </row>
    <row r="166" spans="1:148" x14ac:dyDescent="0.25">
      <c r="A166" s="30">
        <v>36.983510403576794</v>
      </c>
      <c r="E166" t="s">
        <v>8</v>
      </c>
      <c r="L166" s="27" t="s">
        <v>7</v>
      </c>
      <c r="M166" s="27" t="s">
        <v>8</v>
      </c>
      <c r="N166" s="27" t="s">
        <v>7</v>
      </c>
      <c r="O166" s="27" t="s">
        <v>8</v>
      </c>
      <c r="P166" s="27" t="s">
        <v>7</v>
      </c>
      <c r="U166" s="27" t="s">
        <v>8</v>
      </c>
      <c r="AB166" s="27" t="s">
        <v>7</v>
      </c>
      <c r="AD166" s="27" t="s">
        <v>7</v>
      </c>
      <c r="DV166" s="27" t="s">
        <v>7</v>
      </c>
      <c r="DW166" s="27" t="s">
        <v>8</v>
      </c>
      <c r="DZ166" s="27" t="s">
        <v>7</v>
      </c>
      <c r="EC166" s="27" t="s">
        <v>8</v>
      </c>
      <c r="ED166" s="27" t="s">
        <v>7</v>
      </c>
      <c r="EE166" s="27" t="s">
        <v>8</v>
      </c>
      <c r="EG166" s="27" t="s">
        <v>8</v>
      </c>
      <c r="EH166" s="27" t="s">
        <v>7</v>
      </c>
      <c r="EI166" s="27" t="s">
        <v>8</v>
      </c>
      <c r="EJ166" s="27" t="s">
        <v>7</v>
      </c>
      <c r="EK166" s="27" t="s">
        <v>8</v>
      </c>
      <c r="EP166" s="27" t="s">
        <v>7</v>
      </c>
      <c r="EQ166" s="27" t="s">
        <v>8</v>
      </c>
      <c r="ER166" s="27" t="s">
        <v>7</v>
      </c>
    </row>
    <row r="167" spans="1:148" x14ac:dyDescent="0.25">
      <c r="A167" s="30">
        <v>35.222390860549325</v>
      </c>
      <c r="E167" t="s">
        <v>8</v>
      </c>
      <c r="L167" s="27" t="s">
        <v>7</v>
      </c>
      <c r="M167" s="27" t="s">
        <v>8</v>
      </c>
      <c r="N167" s="27" t="s">
        <v>7</v>
      </c>
      <c r="O167" s="27" t="s">
        <v>8</v>
      </c>
      <c r="P167" s="27" t="s">
        <v>7</v>
      </c>
      <c r="U167" s="27" t="s">
        <v>8</v>
      </c>
      <c r="DV167" s="27" t="s">
        <v>7</v>
      </c>
      <c r="DW167" s="27" t="s">
        <v>8</v>
      </c>
      <c r="DZ167" s="27" t="s">
        <v>7</v>
      </c>
      <c r="EC167" s="27" t="s">
        <v>8</v>
      </c>
      <c r="ED167" s="27" t="s">
        <v>7</v>
      </c>
      <c r="EE167" s="27" t="s">
        <v>8</v>
      </c>
      <c r="EF167" s="27" t="s">
        <v>7</v>
      </c>
      <c r="EG167" s="27" t="s">
        <v>8</v>
      </c>
      <c r="EH167" s="27" t="s">
        <v>7</v>
      </c>
      <c r="EI167" s="27" t="s">
        <v>8</v>
      </c>
      <c r="EJ167" s="27" t="s">
        <v>7</v>
      </c>
      <c r="EP167" s="27" t="s">
        <v>7</v>
      </c>
      <c r="ER167" s="27" t="s">
        <v>7</v>
      </c>
    </row>
    <row r="168" spans="1:148" x14ac:dyDescent="0.25">
      <c r="A168" s="30">
        <v>33.545134152904119</v>
      </c>
      <c r="E168" t="s">
        <v>8</v>
      </c>
      <c r="L168" s="27" t="s">
        <v>7</v>
      </c>
      <c r="N168" s="27" t="s">
        <v>7</v>
      </c>
      <c r="O168" s="27" t="s">
        <v>8</v>
      </c>
      <c r="P168" s="27" t="s">
        <v>7</v>
      </c>
      <c r="U168" s="27" t="s">
        <v>8</v>
      </c>
      <c r="DV168" s="27" t="s">
        <v>7</v>
      </c>
      <c r="DZ168" s="27" t="s">
        <v>7</v>
      </c>
      <c r="EC168" s="27" t="s">
        <v>8</v>
      </c>
      <c r="ED168" s="27" t="s">
        <v>7</v>
      </c>
      <c r="EE168" s="27" t="s">
        <v>8</v>
      </c>
      <c r="EF168" s="27" t="s">
        <v>7</v>
      </c>
      <c r="EG168" s="27" t="s">
        <v>8</v>
      </c>
      <c r="EH168" s="27" t="s">
        <v>7</v>
      </c>
      <c r="ER168" s="27" t="s">
        <v>7</v>
      </c>
    </row>
    <row r="169" spans="1:148" x14ac:dyDescent="0.25">
      <c r="A169" s="30">
        <v>31.947746812289637</v>
      </c>
      <c r="E169" t="s">
        <v>8</v>
      </c>
      <c r="N169" s="27" t="s">
        <v>7</v>
      </c>
      <c r="O169" s="27" t="s">
        <v>8</v>
      </c>
      <c r="P169" s="27" t="s">
        <v>7</v>
      </c>
      <c r="Q169" s="27" t="s">
        <v>8</v>
      </c>
      <c r="U169" s="27" t="s">
        <v>8</v>
      </c>
      <c r="DZ169" s="27" t="s">
        <v>7</v>
      </c>
      <c r="EA169" s="27" t="s">
        <v>8</v>
      </c>
      <c r="EC169" s="27" t="s">
        <v>8</v>
      </c>
      <c r="ED169" s="27" t="s">
        <v>7</v>
      </c>
      <c r="EE169" s="27" t="s">
        <v>8</v>
      </c>
      <c r="EF169" s="27" t="s">
        <v>7</v>
      </c>
      <c r="EG169" s="27" t="s">
        <v>8</v>
      </c>
    </row>
    <row r="170" spans="1:148" x14ac:dyDescent="0.25">
      <c r="A170" s="30">
        <v>30.426425535513939</v>
      </c>
      <c r="E170" t="s">
        <v>8</v>
      </c>
      <c r="N170" s="27" t="s">
        <v>7</v>
      </c>
      <c r="P170" s="27" t="s">
        <v>7</v>
      </c>
      <c r="Q170" s="27" t="s">
        <v>8</v>
      </c>
      <c r="R170" s="27" t="s">
        <v>7</v>
      </c>
      <c r="S170" s="27" t="s">
        <v>8</v>
      </c>
      <c r="U170" s="27" t="s">
        <v>8</v>
      </c>
      <c r="DZ170" s="27" t="s">
        <v>7</v>
      </c>
      <c r="EA170" s="27" t="s">
        <v>8</v>
      </c>
      <c r="EB170" s="27" t="s">
        <v>7</v>
      </c>
      <c r="EC170" s="27" t="s">
        <v>8</v>
      </c>
      <c r="ED170" s="27" t="s">
        <v>7</v>
      </c>
      <c r="EF170" s="27" t="s">
        <v>7</v>
      </c>
    </row>
    <row r="171" spans="1:148" x14ac:dyDescent="0.25">
      <c r="A171" s="30">
        <v>28.977548129060892</v>
      </c>
      <c r="E171" t="s">
        <v>8</v>
      </c>
      <c r="P171" s="27" t="s">
        <v>7</v>
      </c>
      <c r="Q171" s="27" t="s">
        <v>8</v>
      </c>
      <c r="R171" s="27" t="s">
        <v>7</v>
      </c>
      <c r="S171" s="27" t="s">
        <v>8</v>
      </c>
      <c r="T171" s="27" t="s">
        <v>7</v>
      </c>
      <c r="U171" s="27" t="s">
        <v>8</v>
      </c>
      <c r="DZ171" s="27" t="s">
        <v>7</v>
      </c>
      <c r="EA171" s="27" t="s">
        <v>8</v>
      </c>
      <c r="EB171" s="27" t="s">
        <v>7</v>
      </c>
      <c r="EC171" s="27" t="s">
        <v>8</v>
      </c>
    </row>
    <row r="172" spans="1:148" x14ac:dyDescent="0.25">
      <c r="A172" s="30">
        <v>27.597664884819896</v>
      </c>
      <c r="E172" t="s">
        <v>8</v>
      </c>
      <c r="P172" s="27" t="s">
        <v>7</v>
      </c>
      <c r="R172" s="27" t="s">
        <v>7</v>
      </c>
      <c r="S172" s="27" t="s">
        <v>8</v>
      </c>
      <c r="T172" s="27" t="s">
        <v>7</v>
      </c>
      <c r="U172" s="27" t="s">
        <v>8</v>
      </c>
      <c r="DZ172" s="27" t="s">
        <v>7</v>
      </c>
      <c r="EA172" s="27" t="s">
        <v>8</v>
      </c>
      <c r="EB172" s="27" t="s">
        <v>7</v>
      </c>
      <c r="EC172" s="27" t="s">
        <v>8</v>
      </c>
    </row>
    <row r="173" spans="1:148" x14ac:dyDescent="0.25">
      <c r="A173" s="30">
        <v>26.283490366495137</v>
      </c>
      <c r="E173" t="s">
        <v>8</v>
      </c>
      <c r="R173" s="27" t="s">
        <v>7</v>
      </c>
      <c r="S173" s="27" t="s">
        <v>8</v>
      </c>
      <c r="T173" s="27" t="s">
        <v>7</v>
      </c>
      <c r="U173" s="27" t="s">
        <v>8</v>
      </c>
      <c r="DZ173" s="27" t="s">
        <v>7</v>
      </c>
      <c r="EB173" s="27" t="s">
        <v>7</v>
      </c>
      <c r="EC173" s="27" t="s">
        <v>8</v>
      </c>
    </row>
    <row r="174" spans="1:148" x14ac:dyDescent="0.25">
      <c r="A174" s="30">
        <v>25.031895587138223</v>
      </c>
      <c r="E174" t="s">
        <v>8</v>
      </c>
      <c r="R174" s="27" t="s">
        <v>7</v>
      </c>
      <c r="T174" s="27" t="s">
        <v>7</v>
      </c>
      <c r="U174" s="27" t="s">
        <v>8</v>
      </c>
      <c r="EB174" s="27" t="s">
        <v>7</v>
      </c>
    </row>
    <row r="175" spans="1:148" x14ac:dyDescent="0.25">
      <c r="A175" s="30">
        <v>23.839900559179259</v>
      </c>
      <c r="E175" t="s">
        <v>8</v>
      </c>
      <c r="T175" s="27" t="s">
        <v>7</v>
      </c>
      <c r="U175" s="27" t="s">
        <v>8</v>
      </c>
    </row>
    <row r="176" spans="1:148" x14ac:dyDescent="0.25">
      <c r="A176" s="30">
        <v>22.704667199218342</v>
      </c>
      <c r="E176" t="s">
        <v>8</v>
      </c>
      <c r="T176" s="27" t="s">
        <v>7</v>
      </c>
      <c r="U176" s="27" t="s">
        <v>8</v>
      </c>
    </row>
    <row r="177" spans="1:21" x14ac:dyDescent="0.25">
      <c r="A177" s="30">
        <v>21.623492570684135</v>
      </c>
      <c r="E177" t="s">
        <v>8</v>
      </c>
      <c r="T177" s="27" t="s">
        <v>7</v>
      </c>
      <c r="U177" s="27" t="s">
        <v>8</v>
      </c>
    </row>
    <row r="178" spans="1:21" x14ac:dyDescent="0.25">
      <c r="A178" s="30">
        <v>20.593802448270605</v>
      </c>
      <c r="C178" s="7"/>
      <c r="D178"/>
      <c r="E178" t="s">
        <v>8</v>
      </c>
      <c r="T178" s="27" t="s">
        <v>7</v>
      </c>
      <c r="U178" s="27" t="s">
        <v>8</v>
      </c>
    </row>
    <row r="179" spans="1:21" x14ac:dyDescent="0.25">
      <c r="A179" s="30">
        <v>19.613145188829147</v>
      </c>
      <c r="E179" t="s">
        <v>8</v>
      </c>
      <c r="T179" s="27" t="s">
        <v>7</v>
      </c>
      <c r="U179" s="27" t="s">
        <v>8</v>
      </c>
    </row>
    <row r="180" spans="1:21" x14ac:dyDescent="0.25">
      <c r="A180" s="30">
        <v>18.679185894122998</v>
      </c>
      <c r="E180" t="s">
        <v>8</v>
      </c>
      <c r="T180" s="27" t="s">
        <v>7</v>
      </c>
      <c r="U180" s="27" t="s">
        <v>8</v>
      </c>
    </row>
    <row r="181" spans="1:21" x14ac:dyDescent="0.25">
      <c r="A181" s="30">
        <v>17.78970085154571</v>
      </c>
      <c r="C181"/>
      <c r="D181"/>
      <c r="E181" t="s">
        <v>8</v>
      </c>
      <c r="T181" s="27" t="s">
        <v>7</v>
      </c>
      <c r="U181" s="27" t="s">
        <v>8</v>
      </c>
    </row>
    <row r="182" spans="1:21" x14ac:dyDescent="0.25">
      <c r="A182" s="30">
        <v>16.942572239567344</v>
      </c>
      <c r="E182" t="s">
        <v>8</v>
      </c>
      <c r="T182" s="27" t="s">
        <v>7</v>
      </c>
      <c r="U182" s="27" t="s">
        <v>8</v>
      </c>
    </row>
    <row r="183" spans="1:21" x14ac:dyDescent="0.25">
      <c r="A183" s="30">
        <v>16.135783085302233</v>
      </c>
      <c r="E183" t="s">
        <v>8</v>
      </c>
      <c r="T183" s="27" t="s">
        <v>7</v>
      </c>
      <c r="U183" s="27" t="s">
        <v>8</v>
      </c>
    </row>
    <row r="184" spans="1:21" x14ac:dyDescent="0.25">
      <c r="A184" s="30">
        <v>15.367412462192602</v>
      </c>
      <c r="E184" t="s">
        <v>8</v>
      </c>
      <c r="T184" s="27" t="s">
        <v>7</v>
      </c>
      <c r="U184" s="27" t="s">
        <v>8</v>
      </c>
    </row>
    <row r="185" spans="1:21" x14ac:dyDescent="0.25">
      <c r="A185" s="30">
        <v>14.635630916373906</v>
      </c>
      <c r="C185"/>
      <c r="E185" t="s">
        <v>8</v>
      </c>
      <c r="T185" s="27" t="s">
        <v>7</v>
      </c>
      <c r="U185" s="27" t="s">
        <v>8</v>
      </c>
    </row>
    <row r="186" spans="1:21" x14ac:dyDescent="0.25">
      <c r="A186" s="30">
        <v>13.938696110832291</v>
      </c>
      <c r="E186" t="s">
        <v>8</v>
      </c>
      <c r="T186" s="27" t="s">
        <v>7</v>
      </c>
      <c r="U186" s="27" t="s">
        <v>8</v>
      </c>
    </row>
    <row r="187" spans="1:2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T187" s="27" t="s">
        <v>7</v>
      </c>
      <c r="U187" s="27" t="s">
        <v>8</v>
      </c>
    </row>
    <row r="188" spans="1:21" x14ac:dyDescent="0.25">
      <c r="A188" s="30">
        <v>12.64280826379346</v>
      </c>
      <c r="E188" t="s">
        <v>8</v>
      </c>
      <c r="T188" s="27" t="s">
        <v>7</v>
      </c>
      <c r="U188" s="27" t="s">
        <v>8</v>
      </c>
    </row>
    <row r="189" spans="1:21" x14ac:dyDescent="0.25">
      <c r="A189" s="30">
        <v>12.04076977504139</v>
      </c>
      <c r="E189" t="s">
        <v>8</v>
      </c>
      <c r="T189" s="27" t="s">
        <v>7</v>
      </c>
      <c r="U189" s="27" t="s">
        <v>8</v>
      </c>
    </row>
    <row r="190" spans="1:21" x14ac:dyDescent="0.25">
      <c r="A190" s="30">
        <v>11.467399785753704</v>
      </c>
      <c r="E190" t="s">
        <v>8</v>
      </c>
      <c r="T190" s="27" t="s">
        <v>7</v>
      </c>
      <c r="U190" s="27" t="s">
        <v>8</v>
      </c>
    </row>
    <row r="191" spans="1:21" x14ac:dyDescent="0.25">
      <c r="A191" s="30">
        <v>10.921333129289241</v>
      </c>
      <c r="E191" t="s">
        <v>8</v>
      </c>
      <c r="T191" s="27" t="s">
        <v>7</v>
      </c>
      <c r="U191" s="27" t="s">
        <v>8</v>
      </c>
    </row>
    <row r="192" spans="1:21" x14ac:dyDescent="0.25">
      <c r="A192" s="30">
        <v>10.401269646942135</v>
      </c>
      <c r="E192" t="s">
        <v>8</v>
      </c>
      <c r="T192" s="27" t="s">
        <v>7</v>
      </c>
      <c r="U192" s="27" t="s">
        <v>8</v>
      </c>
    </row>
    <row r="193" spans="1:21" x14ac:dyDescent="0.25">
      <c r="A193" s="30">
        <v>9.9059710923258422</v>
      </c>
      <c r="E193" t="s">
        <v>8</v>
      </c>
      <c r="T193" s="27" t="s">
        <v>7</v>
      </c>
      <c r="U193" s="27" t="s">
        <v>8</v>
      </c>
    </row>
    <row r="194" spans="1:21" x14ac:dyDescent="0.25">
      <c r="A194" s="30">
        <v>9.4342581831674686</v>
      </c>
      <c r="E194" t="s">
        <v>8</v>
      </c>
      <c r="T194" s="27" t="s">
        <v>7</v>
      </c>
      <c r="U194" s="27" t="s">
        <v>8</v>
      </c>
    </row>
    <row r="195" spans="1:21" x14ac:dyDescent="0.25">
      <c r="A195" s="30">
        <v>8.9850077934928265</v>
      </c>
      <c r="E195" t="s">
        <v>8</v>
      </c>
      <c r="T195" s="27" t="s">
        <v>7</v>
      </c>
      <c r="U195" s="27" t="s">
        <v>8</v>
      </c>
    </row>
    <row r="196" spans="1:21" x14ac:dyDescent="0.25">
      <c r="A196" s="30">
        <v>8.5571502795169767</v>
      </c>
      <c r="E196" t="s">
        <v>8</v>
      </c>
      <c r="T196" s="27" t="s">
        <v>7</v>
      </c>
      <c r="U196" s="27" t="s">
        <v>8</v>
      </c>
    </row>
    <row r="197" spans="1:21" x14ac:dyDescent="0.25">
      <c r="A197" s="30">
        <v>8.1496669328733109</v>
      </c>
      <c r="E197" t="s">
        <v>8</v>
      </c>
      <c r="T197" s="27" t="s">
        <v>7</v>
      </c>
      <c r="U197" s="27" t="s">
        <v>8</v>
      </c>
    </row>
    <row r="198" spans="1:21" x14ac:dyDescent="0.25">
      <c r="A198" s="30">
        <v>7.7615875551174378</v>
      </c>
      <c r="E198" t="s">
        <v>8</v>
      </c>
      <c r="T198" s="27" t="s">
        <v>7</v>
      </c>
      <c r="U198" s="27" t="s">
        <v>8</v>
      </c>
    </row>
    <row r="199" spans="1:21" x14ac:dyDescent="0.25">
      <c r="A199" s="30">
        <v>7.3919881477308929</v>
      </c>
      <c r="E199" t="s">
        <v>8</v>
      </c>
      <c r="T199" s="27" t="s">
        <v>7</v>
      </c>
    </row>
    <row r="200" spans="1:21" x14ac:dyDescent="0.25">
      <c r="A200" s="30">
        <v>7.0399887121246598</v>
      </c>
      <c r="E200" t="s">
        <v>8</v>
      </c>
    </row>
    <row r="201" spans="1:21" x14ac:dyDescent="0.25">
      <c r="A201" s="30">
        <v>6.7047511544044376</v>
      </c>
      <c r="E201" t="s">
        <v>8</v>
      </c>
    </row>
    <row r="202" spans="1:21" x14ac:dyDescent="0.25">
      <c r="A202" s="30">
        <v>6.3854772899089882</v>
      </c>
      <c r="E202" t="s">
        <v>8</v>
      </c>
    </row>
    <row r="203" spans="1:21" x14ac:dyDescent="0.25">
      <c r="A203" s="30">
        <v>6.0814069427704647</v>
      </c>
      <c r="C203" s="7"/>
      <c r="D203"/>
      <c r="E203" t="s">
        <v>8</v>
      </c>
    </row>
    <row r="204" spans="1:21" x14ac:dyDescent="0.25">
      <c r="A204" s="30">
        <v>5.7918161359718709</v>
      </c>
      <c r="E204" t="s">
        <v>8</v>
      </c>
    </row>
    <row r="205" spans="1:21" x14ac:dyDescent="0.25">
      <c r="A205" s="30">
        <v>5.5160153675922574</v>
      </c>
      <c r="E205" t="s">
        <v>8</v>
      </c>
    </row>
    <row r="206" spans="1:21" x14ac:dyDescent="0.25">
      <c r="A206" s="30">
        <v>5.2533479691354827</v>
      </c>
      <c r="C206"/>
      <c r="D206"/>
      <c r="E206" t="s">
        <v>8</v>
      </c>
    </row>
    <row r="207" spans="1:21" x14ac:dyDescent="0.25">
      <c r="A207" s="30">
        <v>5.0031885420337927</v>
      </c>
      <c r="E207" t="s">
        <v>8</v>
      </c>
    </row>
    <row r="208" spans="1:21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19" operator="equal">
      <formula>$U$1</formula>
    </cfRule>
    <cfRule type="cellIs" dxfId="67" priority="920" operator="equal">
      <formula>$S$1</formula>
    </cfRule>
  </conditionalFormatting>
  <conditionalFormatting sqref="D136">
    <cfRule type="cellIs" dxfId="66" priority="917" operator="equal">
      <formula>$S$1</formula>
    </cfRule>
    <cfRule type="cellIs" dxfId="65" priority="918" operator="equal">
      <formula>$U$1</formula>
    </cfRule>
  </conditionalFormatting>
  <conditionalFormatting sqref="C162">
    <cfRule type="cellIs" dxfId="64" priority="915" operator="equal">
      <formula>$U$1</formula>
    </cfRule>
    <cfRule type="cellIs" dxfId="63" priority="916" operator="equal">
      <formula>$S$1</formula>
    </cfRule>
  </conditionalFormatting>
  <conditionalFormatting sqref="D162">
    <cfRule type="cellIs" dxfId="62" priority="913" operator="equal">
      <formula>$S$1</formula>
    </cfRule>
    <cfRule type="cellIs" dxfId="61" priority="914" operator="equal">
      <formula>$U$1</formula>
    </cfRule>
  </conditionalFormatting>
  <conditionalFormatting sqref="C187">
    <cfRule type="cellIs" dxfId="60" priority="911" operator="equal">
      <formula>$U$1</formula>
    </cfRule>
    <cfRule type="cellIs" dxfId="59" priority="912" operator="equal">
      <formula>$S$1</formula>
    </cfRule>
  </conditionalFormatting>
  <conditionalFormatting sqref="D187">
    <cfRule type="cellIs" dxfId="58" priority="909" operator="equal">
      <formula>$S$1</formula>
    </cfRule>
    <cfRule type="cellIs" dxfId="57" priority="910" operator="equal">
      <formula>$U$1</formula>
    </cfRule>
  </conditionalFormatting>
  <conditionalFormatting sqref="C212">
    <cfRule type="cellIs" dxfId="56" priority="907" operator="equal">
      <formula>$U$1</formula>
    </cfRule>
    <cfRule type="cellIs" dxfId="55" priority="908" operator="equal">
      <formula>$S$1</formula>
    </cfRule>
  </conditionalFormatting>
  <conditionalFormatting sqref="D212">
    <cfRule type="cellIs" dxfId="54" priority="905" operator="equal">
      <formula>$S$1</formula>
    </cfRule>
    <cfRule type="cellIs" dxfId="53" priority="906" operator="equal">
      <formula>$U$1</formula>
    </cfRule>
  </conditionalFormatting>
  <conditionalFormatting sqref="C237">
    <cfRule type="cellIs" dxfId="52" priority="903" operator="equal">
      <formula>$U$1</formula>
    </cfRule>
    <cfRule type="cellIs" dxfId="51" priority="904" operator="equal">
      <formula>$S$1</formula>
    </cfRule>
  </conditionalFormatting>
  <conditionalFormatting sqref="D237">
    <cfRule type="cellIs" dxfId="50" priority="901" operator="equal">
      <formula>$S$1</formula>
    </cfRule>
    <cfRule type="cellIs" dxfId="49" priority="902" operator="equal">
      <formula>$U$1</formula>
    </cfRule>
  </conditionalFormatting>
  <conditionalFormatting sqref="C106">
    <cfRule type="cellIs" dxfId="48" priority="899" operator="equal">
      <formula>$U$1</formula>
    </cfRule>
    <cfRule type="cellIs" dxfId="47" priority="900" operator="equal">
      <formula>$S$1</formula>
    </cfRule>
  </conditionalFormatting>
  <conditionalFormatting sqref="D106">
    <cfRule type="cellIs" dxfId="46" priority="897" operator="equal">
      <formula>$S$1</formula>
    </cfRule>
    <cfRule type="cellIs" dxfId="45" priority="898" operator="equal">
      <formula>$U$1</formula>
    </cfRule>
  </conditionalFormatting>
  <conditionalFormatting sqref="C81">
    <cfRule type="cellIs" dxfId="44" priority="895" operator="equal">
      <formula>$U$1</formula>
    </cfRule>
    <cfRule type="cellIs" dxfId="43" priority="896" operator="equal">
      <formula>$S$1</formula>
    </cfRule>
  </conditionalFormatting>
  <conditionalFormatting sqref="D81">
    <cfRule type="cellIs" dxfId="42" priority="893" operator="equal">
      <formula>$S$1</formula>
    </cfRule>
    <cfRule type="cellIs" dxfId="41" priority="894" operator="equal">
      <formula>$U$1</formula>
    </cfRule>
  </conditionalFormatting>
  <conditionalFormatting sqref="C56">
    <cfRule type="cellIs" dxfId="40" priority="891" operator="equal">
      <formula>$U$1</formula>
    </cfRule>
    <cfRule type="cellIs" dxfId="39" priority="892" operator="equal">
      <formula>$S$1</formula>
    </cfRule>
  </conditionalFormatting>
  <conditionalFormatting sqref="D56">
    <cfRule type="cellIs" dxfId="38" priority="889" operator="equal">
      <formula>$S$1</formula>
    </cfRule>
    <cfRule type="cellIs" dxfId="37" priority="890" operator="equal">
      <formula>$U$1</formula>
    </cfRule>
  </conditionalFormatting>
  <conditionalFormatting sqref="C31">
    <cfRule type="cellIs" dxfId="36" priority="887" operator="equal">
      <formula>$U$1</formula>
    </cfRule>
    <cfRule type="cellIs" dxfId="35" priority="888" operator="equal">
      <formula>$S$1</formula>
    </cfRule>
  </conditionalFormatting>
  <conditionalFormatting sqref="D31">
    <cfRule type="cellIs" dxfId="34" priority="885" operator="equal">
      <formula>$S$1</formula>
    </cfRule>
    <cfRule type="cellIs" dxfId="33" priority="88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J84" sqref="BJ8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36" x14ac:dyDescent="0.25">
      <c r="A49" s="30">
        <v>955.59381772732638</v>
      </c>
      <c r="C49" s="1">
        <f>C38</f>
        <v>0</v>
      </c>
      <c r="E49"/>
    </row>
    <row r="50" spans="1:36" x14ac:dyDescent="0.25">
      <c r="A50" s="30">
        <v>868.72165247938756</v>
      </c>
      <c r="C50"/>
      <c r="D50"/>
      <c r="E50"/>
    </row>
    <row r="51" spans="1:36" x14ac:dyDescent="0.25">
      <c r="A51" s="30">
        <v>789.74695679944318</v>
      </c>
      <c r="C51" s="1" t="s">
        <v>14</v>
      </c>
      <c r="E51"/>
    </row>
    <row r="52" spans="1:36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36" x14ac:dyDescent="0.25">
      <c r="A53" s="30">
        <v>652.68343537144051</v>
      </c>
      <c r="E53"/>
    </row>
    <row r="54" spans="1:36" x14ac:dyDescent="0.25">
      <c r="A54" s="30">
        <v>593.34857761040041</v>
      </c>
      <c r="E54"/>
    </row>
    <row r="55" spans="1:36" x14ac:dyDescent="0.25">
      <c r="A55" s="30">
        <v>539.40779782763673</v>
      </c>
      <c r="E55"/>
    </row>
    <row r="56" spans="1:36" x14ac:dyDescent="0.25">
      <c r="A56" s="30">
        <v>490.37072529785149</v>
      </c>
      <c r="E56"/>
    </row>
    <row r="57" spans="1:36" x14ac:dyDescent="0.25">
      <c r="A57" s="30">
        <v>445.79156845259223</v>
      </c>
      <c r="E57"/>
    </row>
    <row r="58" spans="1:36" x14ac:dyDescent="0.25">
      <c r="A58" s="30">
        <v>405.26506222962928</v>
      </c>
      <c r="E58"/>
    </row>
    <row r="59" spans="1:36" x14ac:dyDescent="0.25">
      <c r="A59" s="30">
        <v>368.42278384511752</v>
      </c>
      <c r="E59"/>
      <c r="AG59" s="27" t="s">
        <v>8</v>
      </c>
    </row>
    <row r="60" spans="1:36" x14ac:dyDescent="0.25">
      <c r="A60" s="30">
        <v>334.92980349556137</v>
      </c>
      <c r="E60"/>
      <c r="AG60" s="27" t="s">
        <v>8</v>
      </c>
      <c r="AH60" s="27" t="s">
        <v>7</v>
      </c>
    </row>
    <row r="61" spans="1:36" x14ac:dyDescent="0.25">
      <c r="A61" s="30">
        <v>304.48163954141938</v>
      </c>
      <c r="E61"/>
      <c r="AG61" s="27" t="s">
        <v>8</v>
      </c>
      <c r="AH61" s="27" t="s">
        <v>7</v>
      </c>
    </row>
    <row r="62" spans="1:36" x14ac:dyDescent="0.25">
      <c r="A62" s="30">
        <v>276.80149049219943</v>
      </c>
      <c r="E62"/>
      <c r="AG62" s="27" t="s">
        <v>8</v>
      </c>
      <c r="AH62" s="27" t="s">
        <v>7</v>
      </c>
      <c r="AI62" s="27" t="s">
        <v>8</v>
      </c>
    </row>
    <row r="63" spans="1:36" x14ac:dyDescent="0.25">
      <c r="A63" s="30">
        <v>251.63771862927217</v>
      </c>
      <c r="E63"/>
      <c r="AG63" s="27" t="s">
        <v>8</v>
      </c>
      <c r="AH63" s="27" t="s">
        <v>7</v>
      </c>
      <c r="AI63" s="27" t="s">
        <v>8</v>
      </c>
      <c r="AJ63" s="27" t="s">
        <v>7</v>
      </c>
    </row>
    <row r="64" spans="1:36" x14ac:dyDescent="0.25">
      <c r="A64" s="30">
        <v>228.76156239024741</v>
      </c>
      <c r="E64"/>
      <c r="AG64" s="27" t="s">
        <v>8</v>
      </c>
      <c r="AH64" s="27" t="s">
        <v>7</v>
      </c>
      <c r="AI64" s="27" t="s">
        <v>8</v>
      </c>
      <c r="AJ64" s="27" t="s">
        <v>7</v>
      </c>
    </row>
    <row r="65" spans="1:62" x14ac:dyDescent="0.25">
      <c r="A65" s="30">
        <v>207.96505671840671</v>
      </c>
      <c r="E65"/>
      <c r="AC65" s="27" t="s">
        <v>8</v>
      </c>
      <c r="AG65" s="27" t="s">
        <v>8</v>
      </c>
      <c r="AH65" s="27" t="s">
        <v>7</v>
      </c>
      <c r="AJ65" s="27" t="s">
        <v>7</v>
      </c>
      <c r="AS65" s="27" t="s">
        <v>8</v>
      </c>
      <c r="AY65" s="27" t="s">
        <v>8</v>
      </c>
      <c r="BA65" s="27" t="s">
        <v>8</v>
      </c>
    </row>
    <row r="66" spans="1:62" x14ac:dyDescent="0.25">
      <c r="A66" s="30">
        <v>189.05914247127882</v>
      </c>
      <c r="E66"/>
      <c r="AC66" s="27" t="s">
        <v>8</v>
      </c>
      <c r="AD66" s="27" t="s">
        <v>7</v>
      </c>
      <c r="AE66" s="27" t="s">
        <v>8</v>
      </c>
      <c r="AG66" s="27" t="s">
        <v>8</v>
      </c>
      <c r="AJ66" s="27" t="s">
        <v>7</v>
      </c>
      <c r="AQ66" s="27" t="s">
        <v>8</v>
      </c>
      <c r="AS66" s="27" t="s">
        <v>8</v>
      </c>
      <c r="AT66" s="27" t="s">
        <v>7</v>
      </c>
      <c r="AY66" s="18" t="s">
        <v>8</v>
      </c>
      <c r="AZ66" s="27" t="s">
        <v>7</v>
      </c>
      <c r="BA66" s="27" t="s">
        <v>8</v>
      </c>
      <c r="BB66" s="27" t="s">
        <v>7</v>
      </c>
    </row>
    <row r="67" spans="1:62" x14ac:dyDescent="0.25">
      <c r="A67" s="30">
        <v>171.87194770116255</v>
      </c>
      <c r="C67" s="1" t="s">
        <v>15</v>
      </c>
      <c r="E67"/>
      <c r="AC67" s="27" t="s">
        <v>8</v>
      </c>
      <c r="AD67" s="27" t="s">
        <v>7</v>
      </c>
      <c r="AE67" s="27" t="s">
        <v>8</v>
      </c>
      <c r="AF67" s="27" t="s">
        <v>7</v>
      </c>
      <c r="AG67" s="27" t="s">
        <v>8</v>
      </c>
      <c r="AJ67" s="27" t="s">
        <v>7</v>
      </c>
      <c r="AQ67" s="27" t="s">
        <v>8</v>
      </c>
      <c r="AR67" s="27" t="s">
        <v>7</v>
      </c>
      <c r="AS67" s="27" t="s">
        <v>8</v>
      </c>
      <c r="AT67" s="27" t="s">
        <v>7</v>
      </c>
      <c r="AW67" s="27" t="s">
        <v>8</v>
      </c>
      <c r="AY67" s="27" t="s">
        <v>8</v>
      </c>
      <c r="AZ67" s="27" t="s">
        <v>7</v>
      </c>
      <c r="BA67" s="27" t="s">
        <v>8</v>
      </c>
      <c r="BB67" s="27" t="s">
        <v>7</v>
      </c>
    </row>
    <row r="68" spans="1:62" x14ac:dyDescent="0.25">
      <c r="A68" s="30">
        <v>156.24722518287504</v>
      </c>
      <c r="C68" s="7">
        <v>0.11167815779424731</v>
      </c>
      <c r="D68"/>
      <c r="E68"/>
      <c r="G68" s="27" t="s">
        <v>8</v>
      </c>
      <c r="AC68" s="27" t="s">
        <v>8</v>
      </c>
      <c r="AD68" s="27" t="s">
        <v>7</v>
      </c>
      <c r="AE68" s="27" t="s">
        <v>8</v>
      </c>
      <c r="AF68" s="27" t="s">
        <v>7</v>
      </c>
      <c r="AG68" s="27" t="s">
        <v>8</v>
      </c>
      <c r="AJ68" s="27" t="s">
        <v>7</v>
      </c>
      <c r="AQ68" s="27" t="s">
        <v>8</v>
      </c>
      <c r="AR68" s="27" t="s">
        <v>7</v>
      </c>
      <c r="AS68" s="27" t="s">
        <v>8</v>
      </c>
      <c r="AT68" s="27" t="s">
        <v>7</v>
      </c>
      <c r="AU68" s="27" t="s">
        <v>8</v>
      </c>
      <c r="AW68" s="27" t="s">
        <v>8</v>
      </c>
      <c r="AX68" s="27" t="s">
        <v>7</v>
      </c>
      <c r="AY68" s="27" t="s">
        <v>8</v>
      </c>
      <c r="AZ68" s="27" t="s">
        <v>7</v>
      </c>
      <c r="BA68" s="27" t="s">
        <v>8</v>
      </c>
      <c r="BB68" s="27" t="s">
        <v>7</v>
      </c>
    </row>
    <row r="69" spans="1:62" x14ac:dyDescent="0.25">
      <c r="A69" s="30">
        <v>142.04293198443185</v>
      </c>
      <c r="E69"/>
      <c r="G69" s="27" t="s">
        <v>8</v>
      </c>
      <c r="H69" s="27" t="s">
        <v>7</v>
      </c>
      <c r="AA69" s="27" t="s">
        <v>8</v>
      </c>
      <c r="AC69" s="27" t="s">
        <v>8</v>
      </c>
      <c r="AD69" s="27" t="s">
        <v>7</v>
      </c>
      <c r="AE69" s="27" t="s">
        <v>8</v>
      </c>
      <c r="AF69" s="27" t="s">
        <v>7</v>
      </c>
      <c r="AJ69" s="27" t="s">
        <v>7</v>
      </c>
      <c r="AK69" s="27" t="s">
        <v>8</v>
      </c>
      <c r="AM69" s="27" t="s">
        <v>8</v>
      </c>
      <c r="AO69" s="27" t="s">
        <v>8</v>
      </c>
      <c r="AQ69" s="27" t="s">
        <v>8</v>
      </c>
      <c r="AR69" s="27" t="s">
        <v>7</v>
      </c>
      <c r="AS69" s="27" t="s">
        <v>8</v>
      </c>
      <c r="AT69" s="27" t="s">
        <v>7</v>
      </c>
      <c r="AU69" s="27" t="s">
        <v>8</v>
      </c>
      <c r="AV69" s="27" t="s">
        <v>7</v>
      </c>
      <c r="AW69" s="27" t="s">
        <v>8</v>
      </c>
      <c r="AX69" s="27" t="s">
        <v>7</v>
      </c>
      <c r="AY69" s="27" t="s">
        <v>8</v>
      </c>
      <c r="AZ69" s="27" t="s">
        <v>7</v>
      </c>
      <c r="BB69" s="27" t="s">
        <v>7</v>
      </c>
    </row>
    <row r="70" spans="1:62" x14ac:dyDescent="0.25">
      <c r="A70" s="30">
        <v>129.1299381676653</v>
      </c>
      <c r="C70" s="1" t="s">
        <v>11</v>
      </c>
      <c r="D70" s="1" t="s">
        <v>12</v>
      </c>
      <c r="E70"/>
      <c r="G70" s="27" t="s">
        <v>8</v>
      </c>
      <c r="H70" s="27" t="s">
        <v>7</v>
      </c>
      <c r="AA70" s="27" t="s">
        <v>8</v>
      </c>
      <c r="AB70" s="27" t="s">
        <v>7</v>
      </c>
      <c r="AC70" s="27" t="s">
        <v>8</v>
      </c>
      <c r="AD70" s="27" t="s">
        <v>7</v>
      </c>
      <c r="AJ70" s="27" t="s">
        <v>7</v>
      </c>
      <c r="AK70" s="27" t="s">
        <v>8</v>
      </c>
      <c r="AL70" s="27" t="s">
        <v>7</v>
      </c>
      <c r="AM70" s="27" t="s">
        <v>8</v>
      </c>
      <c r="AN70" s="27" t="s">
        <v>7</v>
      </c>
      <c r="AO70" s="27" t="s">
        <v>8</v>
      </c>
      <c r="AP70" s="27" t="s">
        <v>7</v>
      </c>
      <c r="AQ70" s="27" t="s">
        <v>8</v>
      </c>
      <c r="AR70" s="27" t="s">
        <v>7</v>
      </c>
      <c r="AS70" s="27" t="s">
        <v>8</v>
      </c>
      <c r="AT70" s="27" t="s">
        <v>7</v>
      </c>
      <c r="AU70" s="27" t="s">
        <v>8</v>
      </c>
      <c r="AV70" s="27" t="s">
        <v>7</v>
      </c>
      <c r="AW70" s="27" t="s">
        <v>8</v>
      </c>
      <c r="AX70" s="27" t="s">
        <v>7</v>
      </c>
      <c r="BB70" s="27" t="s">
        <v>7</v>
      </c>
    </row>
    <row r="71" spans="1:62" x14ac:dyDescent="0.25">
      <c r="A71" s="30">
        <v>117.39085287969573</v>
      </c>
      <c r="C71"/>
      <c r="D71"/>
      <c r="E71"/>
      <c r="G71" s="27" t="s">
        <v>8</v>
      </c>
      <c r="H71" s="27" t="s">
        <v>7</v>
      </c>
      <c r="I71" s="27" t="s">
        <v>8</v>
      </c>
      <c r="AA71" s="27" t="s">
        <v>8</v>
      </c>
      <c r="AB71" s="27" t="s">
        <v>7</v>
      </c>
      <c r="AC71" s="27" t="s">
        <v>8</v>
      </c>
      <c r="AJ71" s="27" t="s">
        <v>7</v>
      </c>
      <c r="AK71" s="27" t="s">
        <v>8</v>
      </c>
      <c r="AL71" s="27" t="s">
        <v>7</v>
      </c>
      <c r="AM71" s="27" t="s">
        <v>8</v>
      </c>
      <c r="AN71" s="27" t="s">
        <v>7</v>
      </c>
      <c r="AO71" s="27" t="s">
        <v>8</v>
      </c>
      <c r="AP71" s="27" t="s">
        <v>7</v>
      </c>
      <c r="AQ71" s="27" t="s">
        <v>8</v>
      </c>
      <c r="AR71" s="27" t="s">
        <v>7</v>
      </c>
      <c r="AS71" s="27" t="s">
        <v>8</v>
      </c>
      <c r="AT71" s="27" t="s">
        <v>7</v>
      </c>
      <c r="AU71" s="27" t="s">
        <v>8</v>
      </c>
      <c r="AV71" s="27" t="s">
        <v>7</v>
      </c>
      <c r="AW71" s="27" t="s">
        <v>8</v>
      </c>
      <c r="BB71" s="27" t="s">
        <v>7</v>
      </c>
    </row>
    <row r="72" spans="1:62" x14ac:dyDescent="0.25">
      <c r="A72" s="30">
        <v>106.71895716335975</v>
      </c>
      <c r="E72"/>
      <c r="G72" s="27" t="s">
        <v>8</v>
      </c>
      <c r="H72" s="27" t="s">
        <v>7</v>
      </c>
      <c r="I72" s="27" t="s">
        <v>8</v>
      </c>
      <c r="J72" s="27" t="s">
        <v>7</v>
      </c>
      <c r="AA72" s="27" t="s">
        <v>8</v>
      </c>
      <c r="AB72" s="27" t="s">
        <v>7</v>
      </c>
      <c r="AC72" s="27" t="s">
        <v>8</v>
      </c>
      <c r="AJ72" s="27" t="s">
        <v>7</v>
      </c>
      <c r="AL72" s="27" t="s">
        <v>7</v>
      </c>
      <c r="AN72" s="27" t="s">
        <v>7</v>
      </c>
      <c r="AO72" s="27" t="s">
        <v>8</v>
      </c>
      <c r="AP72" s="27" t="s">
        <v>7</v>
      </c>
      <c r="AR72" s="27" t="s">
        <v>7</v>
      </c>
      <c r="AS72" s="27" t="s">
        <v>8</v>
      </c>
      <c r="AT72" s="27" t="s">
        <v>7</v>
      </c>
      <c r="AV72" s="27" t="s">
        <v>7</v>
      </c>
      <c r="AW72" s="27" t="s">
        <v>8</v>
      </c>
      <c r="BB72" s="27" t="s">
        <v>7</v>
      </c>
    </row>
    <row r="73" spans="1:62" x14ac:dyDescent="0.25">
      <c r="A73" s="30">
        <v>97.017233784872488</v>
      </c>
      <c r="C73" s="1" t="s">
        <v>13</v>
      </c>
      <c r="E73" t="s">
        <v>8</v>
      </c>
      <c r="G73" s="27" t="s">
        <v>8</v>
      </c>
      <c r="H73" s="27" t="s">
        <v>7</v>
      </c>
      <c r="I73" s="27" t="s">
        <v>8</v>
      </c>
      <c r="J73" s="27" t="s">
        <v>7</v>
      </c>
      <c r="U73" s="27" t="s">
        <v>8</v>
      </c>
      <c r="W73" s="27" t="s">
        <v>8</v>
      </c>
      <c r="Y73" s="27" t="s">
        <v>8</v>
      </c>
      <c r="AA73" s="27" t="s">
        <v>8</v>
      </c>
      <c r="AB73" s="27" t="s">
        <v>7</v>
      </c>
      <c r="AC73" s="27" t="s">
        <v>8</v>
      </c>
      <c r="AN73" s="27" t="s">
        <v>7</v>
      </c>
      <c r="AR73" s="27" t="s">
        <v>7</v>
      </c>
      <c r="AS73" s="27" t="s">
        <v>8</v>
      </c>
      <c r="AV73" s="27" t="s">
        <v>7</v>
      </c>
      <c r="AW73" s="27" t="s">
        <v>8</v>
      </c>
      <c r="BB73" s="27" t="s">
        <v>7</v>
      </c>
    </row>
    <row r="74" spans="1:62" x14ac:dyDescent="0.25">
      <c r="A74" s="30">
        <v>88.197485258974979</v>
      </c>
      <c r="C74" s="1">
        <f>C63</f>
        <v>0</v>
      </c>
      <c r="E74" t="s">
        <v>8</v>
      </c>
      <c r="F74" s="27" t="s">
        <v>7</v>
      </c>
      <c r="G74" s="27" t="s">
        <v>8</v>
      </c>
      <c r="H74" s="27" t="s">
        <v>7</v>
      </c>
      <c r="J74" s="27" t="s">
        <v>7</v>
      </c>
      <c r="O74" s="27" t="s">
        <v>8</v>
      </c>
      <c r="U74" s="27" t="s">
        <v>8</v>
      </c>
      <c r="V74" s="27" t="s">
        <v>7</v>
      </c>
      <c r="W74" s="27" t="s">
        <v>8</v>
      </c>
      <c r="X74" s="27" t="s">
        <v>7</v>
      </c>
      <c r="Y74" s="27" t="s">
        <v>8</v>
      </c>
      <c r="Z74" s="27" t="s">
        <v>7</v>
      </c>
      <c r="AA74" s="27" t="s">
        <v>8</v>
      </c>
      <c r="AB74" s="27" t="s">
        <v>7</v>
      </c>
      <c r="AR74" s="27" t="s">
        <v>7</v>
      </c>
      <c r="AV74" s="27" t="s">
        <v>7</v>
      </c>
      <c r="BB74" s="27" t="s">
        <v>7</v>
      </c>
      <c r="BG74" s="27" t="s">
        <v>8</v>
      </c>
    </row>
    <row r="75" spans="1:62" x14ac:dyDescent="0.25">
      <c r="A75" s="30">
        <v>80.179532053613613</v>
      </c>
      <c r="C75"/>
      <c r="D75"/>
      <c r="E75" t="s">
        <v>8</v>
      </c>
      <c r="F75" s="27" t="s">
        <v>7</v>
      </c>
      <c r="G75" s="27" t="s">
        <v>8</v>
      </c>
      <c r="J75" s="27" t="s">
        <v>7</v>
      </c>
      <c r="O75" s="27" t="s">
        <v>8</v>
      </c>
      <c r="P75" s="27" t="s">
        <v>7</v>
      </c>
      <c r="U75" s="27" t="s">
        <v>8</v>
      </c>
      <c r="V75" s="27" t="s">
        <v>7</v>
      </c>
      <c r="W75" s="27" t="s">
        <v>8</v>
      </c>
      <c r="X75" s="27" t="s">
        <v>7</v>
      </c>
      <c r="Y75" s="27" t="s">
        <v>8</v>
      </c>
      <c r="Z75" s="27" t="s">
        <v>7</v>
      </c>
      <c r="AA75" s="27" t="s">
        <v>8</v>
      </c>
      <c r="BB75" s="27" t="s">
        <v>7</v>
      </c>
      <c r="BG75" s="27" t="s">
        <v>8</v>
      </c>
      <c r="BH75" s="27" t="s">
        <v>7</v>
      </c>
    </row>
    <row r="76" spans="1:62" x14ac:dyDescent="0.25">
      <c r="A76" s="30">
        <v>72.890483685103277</v>
      </c>
      <c r="C76" s="1" t="s">
        <v>14</v>
      </c>
      <c r="E76" t="s">
        <v>8</v>
      </c>
      <c r="F76" s="27" t="s">
        <v>7</v>
      </c>
      <c r="G76" s="27" t="s">
        <v>8</v>
      </c>
      <c r="J76" s="27" t="s">
        <v>7</v>
      </c>
      <c r="O76" s="27" t="s">
        <v>8</v>
      </c>
      <c r="P76" s="27" t="s">
        <v>7</v>
      </c>
      <c r="U76" s="27" t="s">
        <v>8</v>
      </c>
      <c r="V76" s="27" t="s">
        <v>7</v>
      </c>
      <c r="W76" s="27" t="s">
        <v>8</v>
      </c>
      <c r="X76" s="27" t="s">
        <v>7</v>
      </c>
      <c r="Y76" s="27" t="s">
        <v>8</v>
      </c>
      <c r="Z76" s="27" t="s">
        <v>7</v>
      </c>
      <c r="AA76" s="27" t="s">
        <v>8</v>
      </c>
      <c r="BB76" s="27" t="s">
        <v>7</v>
      </c>
      <c r="BG76" s="27" t="s">
        <v>8</v>
      </c>
      <c r="BH76" s="27" t="s">
        <v>7</v>
      </c>
    </row>
    <row r="77" spans="1:62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F77" s="27" t="s">
        <v>7</v>
      </c>
      <c r="G77" s="27" t="s">
        <v>8</v>
      </c>
      <c r="J77" s="27" t="s">
        <v>7</v>
      </c>
      <c r="O77" s="27" t="s">
        <v>8</v>
      </c>
      <c r="P77" s="27" t="s">
        <v>7</v>
      </c>
      <c r="U77" s="27" t="s">
        <v>8</v>
      </c>
      <c r="V77" s="27" t="s">
        <v>7</v>
      </c>
      <c r="W77" s="27" t="s">
        <v>8</v>
      </c>
      <c r="X77" s="27" t="s">
        <v>7</v>
      </c>
      <c r="Y77" s="27" t="s">
        <v>8</v>
      </c>
      <c r="Z77" s="27" t="s">
        <v>7</v>
      </c>
      <c r="AA77" s="27" t="s">
        <v>8</v>
      </c>
      <c r="BB77" s="27" t="s">
        <v>7</v>
      </c>
      <c r="BG77" s="27" t="s">
        <v>8</v>
      </c>
      <c r="BH77" s="27" t="s">
        <v>7</v>
      </c>
    </row>
    <row r="78" spans="1:62" x14ac:dyDescent="0.25">
      <c r="A78" s="30">
        <v>60.240069161242367</v>
      </c>
      <c r="E78" t="s">
        <v>8</v>
      </c>
      <c r="F78" s="27" t="s">
        <v>7</v>
      </c>
      <c r="G78" s="27" t="s">
        <v>8</v>
      </c>
      <c r="J78" s="27" t="s">
        <v>7</v>
      </c>
      <c r="O78" s="27" t="s">
        <v>8</v>
      </c>
      <c r="P78" s="27" t="s">
        <v>7</v>
      </c>
      <c r="Q78" s="27" t="s">
        <v>8</v>
      </c>
      <c r="S78" s="27" t="s">
        <v>8</v>
      </c>
      <c r="U78" s="27" t="s">
        <v>8</v>
      </c>
      <c r="V78" s="27" t="s">
        <v>7</v>
      </c>
      <c r="X78" s="27" t="s">
        <v>7</v>
      </c>
      <c r="Y78" s="27" t="s">
        <v>8</v>
      </c>
      <c r="Z78" s="27" t="s">
        <v>7</v>
      </c>
      <c r="BB78" s="27" t="s">
        <v>7</v>
      </c>
      <c r="BC78" s="27" t="s">
        <v>8</v>
      </c>
      <c r="BG78" s="27" t="s">
        <v>8</v>
      </c>
      <c r="BH78" s="27" t="s">
        <v>7</v>
      </c>
    </row>
    <row r="79" spans="1:62" x14ac:dyDescent="0.25">
      <c r="A79" s="30">
        <v>54.763699237493057</v>
      </c>
      <c r="E79" t="s">
        <v>8</v>
      </c>
      <c r="F79" s="27" t="s">
        <v>7</v>
      </c>
      <c r="J79" s="27" t="s">
        <v>7</v>
      </c>
      <c r="O79" s="27" t="s">
        <v>8</v>
      </c>
      <c r="P79" s="27" t="s">
        <v>7</v>
      </c>
      <c r="Q79" s="27" t="s">
        <v>8</v>
      </c>
      <c r="R79" s="27" t="s">
        <v>7</v>
      </c>
      <c r="S79" s="27" t="s">
        <v>8</v>
      </c>
      <c r="T79" s="27" t="s">
        <v>7</v>
      </c>
      <c r="U79" s="27" t="s">
        <v>8</v>
      </c>
      <c r="X79" s="27" t="s">
        <v>7</v>
      </c>
      <c r="Y79" s="27" t="s">
        <v>8</v>
      </c>
      <c r="BB79" s="27" t="s">
        <v>7</v>
      </c>
      <c r="BC79" s="27" t="s">
        <v>8</v>
      </c>
      <c r="BD79" s="27" t="s">
        <v>7</v>
      </c>
      <c r="BG79" s="27" t="s">
        <v>8</v>
      </c>
      <c r="BH79" s="27" t="s">
        <v>7</v>
      </c>
      <c r="BI79" s="27" t="s">
        <v>8</v>
      </c>
    </row>
    <row r="80" spans="1:62" x14ac:dyDescent="0.25">
      <c r="A80" s="30">
        <v>49.785181124993684</v>
      </c>
      <c r="E80" t="s">
        <v>8</v>
      </c>
      <c r="J80" s="27" t="s">
        <v>7</v>
      </c>
      <c r="O80" s="27" t="s">
        <v>8</v>
      </c>
      <c r="P80" s="27" t="s">
        <v>7</v>
      </c>
      <c r="Q80" s="27" t="s">
        <v>8</v>
      </c>
      <c r="R80" s="27" t="s">
        <v>7</v>
      </c>
      <c r="S80" s="27" t="s">
        <v>8</v>
      </c>
      <c r="T80" s="27" t="s">
        <v>7</v>
      </c>
      <c r="U80" s="27" t="s">
        <v>8</v>
      </c>
      <c r="X80" s="27" t="s">
        <v>7</v>
      </c>
      <c r="BB80" s="27" t="s">
        <v>7</v>
      </c>
      <c r="BC80" s="27" t="s">
        <v>8</v>
      </c>
      <c r="BD80" s="27" t="s">
        <v>7</v>
      </c>
      <c r="BG80" s="27" t="s">
        <v>8</v>
      </c>
      <c r="BH80" s="27" t="s">
        <v>7</v>
      </c>
      <c r="BI80" s="27" t="s">
        <v>8</v>
      </c>
      <c r="BJ80" s="27" t="s">
        <v>7</v>
      </c>
    </row>
    <row r="81" spans="1:62" x14ac:dyDescent="0.25">
      <c r="A81" s="30">
        <v>45.259255568176073</v>
      </c>
      <c r="E81" t="s">
        <v>8</v>
      </c>
      <c r="J81" s="27" t="s">
        <v>7</v>
      </c>
      <c r="K81" s="27" t="s">
        <v>8</v>
      </c>
      <c r="O81" s="27" t="s">
        <v>8</v>
      </c>
      <c r="P81" s="27" t="s">
        <v>7</v>
      </c>
      <c r="Q81" s="27" t="s">
        <v>8</v>
      </c>
      <c r="R81" s="27" t="s">
        <v>7</v>
      </c>
      <c r="S81" s="27" t="s">
        <v>8</v>
      </c>
      <c r="T81" s="27" t="s">
        <v>7</v>
      </c>
      <c r="U81" s="27" t="s">
        <v>8</v>
      </c>
      <c r="BB81" s="27" t="s">
        <v>7</v>
      </c>
      <c r="BC81" s="27" t="s">
        <v>8</v>
      </c>
      <c r="BD81" s="27" t="s">
        <v>7</v>
      </c>
      <c r="BE81" s="27" t="s">
        <v>8</v>
      </c>
      <c r="BG81" s="27" t="s">
        <v>8</v>
      </c>
      <c r="BH81" s="27" t="s">
        <v>7</v>
      </c>
      <c r="BI81" s="27" t="s">
        <v>8</v>
      </c>
      <c r="BJ81" s="27" t="s">
        <v>7</v>
      </c>
    </row>
    <row r="82" spans="1:62" x14ac:dyDescent="0.25">
      <c r="A82" s="30">
        <v>41.144777789250973</v>
      </c>
      <c r="E82" t="s">
        <v>8</v>
      </c>
      <c r="J82" s="27" t="s">
        <v>7</v>
      </c>
      <c r="K82" s="27" t="s">
        <v>8</v>
      </c>
      <c r="L82" s="27" t="s">
        <v>7</v>
      </c>
      <c r="M82" s="27" t="s">
        <v>8</v>
      </c>
      <c r="O82" s="27" t="s">
        <v>8</v>
      </c>
      <c r="P82" s="27" t="s">
        <v>7</v>
      </c>
      <c r="R82" s="27" t="s">
        <v>7</v>
      </c>
      <c r="S82" s="27" t="s">
        <v>8</v>
      </c>
      <c r="T82" s="27" t="s">
        <v>7</v>
      </c>
      <c r="U82" s="27" t="s">
        <v>8</v>
      </c>
      <c r="BB82" s="27" t="s">
        <v>7</v>
      </c>
      <c r="BC82" s="27" t="s">
        <v>8</v>
      </c>
      <c r="BD82" s="27" t="s">
        <v>7</v>
      </c>
      <c r="BE82" s="27" t="s">
        <v>8</v>
      </c>
      <c r="BF82" s="27" t="s">
        <v>7</v>
      </c>
      <c r="BG82" s="27" t="s">
        <v>8</v>
      </c>
      <c r="BH82" s="27" t="s">
        <v>7</v>
      </c>
      <c r="BI82" s="27" t="s">
        <v>8</v>
      </c>
      <c r="BJ82" s="27" t="s">
        <v>7</v>
      </c>
    </row>
    <row r="83" spans="1:62" x14ac:dyDescent="0.25">
      <c r="A83" s="30">
        <v>37.404343444773609</v>
      </c>
      <c r="E83" t="s">
        <v>8</v>
      </c>
      <c r="J83" s="27" t="s">
        <v>7</v>
      </c>
      <c r="K83" s="27" t="s">
        <v>8</v>
      </c>
      <c r="L83" s="27" t="s">
        <v>7</v>
      </c>
      <c r="M83" s="27" t="s">
        <v>8</v>
      </c>
      <c r="N83" s="27" t="s">
        <v>7</v>
      </c>
      <c r="O83" s="27" t="s">
        <v>8</v>
      </c>
      <c r="R83" s="27" t="s">
        <v>7</v>
      </c>
      <c r="T83" s="27" t="s">
        <v>7</v>
      </c>
      <c r="BB83" s="27" t="s">
        <v>7</v>
      </c>
      <c r="BC83" s="27" t="s">
        <v>8</v>
      </c>
      <c r="BD83" s="27" t="s">
        <v>7</v>
      </c>
      <c r="BE83" s="27" t="s">
        <v>8</v>
      </c>
      <c r="BF83" s="27" t="s">
        <v>7</v>
      </c>
      <c r="BG83" s="27" t="s">
        <v>8</v>
      </c>
      <c r="BH83" s="27" t="s">
        <v>7</v>
      </c>
      <c r="BJ83" s="27" t="s">
        <v>7</v>
      </c>
    </row>
    <row r="84" spans="1:62" x14ac:dyDescent="0.25">
      <c r="A84" s="30">
        <v>34.003948586157826</v>
      </c>
      <c r="E84" t="s">
        <v>8</v>
      </c>
      <c r="J84" s="27" t="s">
        <v>7</v>
      </c>
      <c r="L84" s="27" t="s">
        <v>7</v>
      </c>
      <c r="M84" s="27" t="s">
        <v>8</v>
      </c>
      <c r="N84" s="27" t="s">
        <v>7</v>
      </c>
      <c r="O84" s="27" t="s">
        <v>8</v>
      </c>
      <c r="BB84" s="27" t="s">
        <v>7</v>
      </c>
      <c r="BD84" s="27" t="s">
        <v>7</v>
      </c>
      <c r="BE84" s="27" t="s">
        <v>8</v>
      </c>
      <c r="BF84" s="27" t="s">
        <v>7</v>
      </c>
      <c r="BG84" s="27" t="s">
        <v>8</v>
      </c>
      <c r="BJ84" s="27" t="s">
        <v>7</v>
      </c>
    </row>
    <row r="85" spans="1:62" x14ac:dyDescent="0.25">
      <c r="A85" s="30">
        <v>30.912680532870748</v>
      </c>
      <c r="E85" t="s">
        <v>8</v>
      </c>
      <c r="L85" s="27" t="s">
        <v>7</v>
      </c>
      <c r="N85" s="27" t="s">
        <v>7</v>
      </c>
      <c r="O85" s="27" t="s">
        <v>8</v>
      </c>
      <c r="BD85" s="27" t="s">
        <v>7</v>
      </c>
      <c r="BE85" s="27" t="s">
        <v>8</v>
      </c>
      <c r="BF85" s="27" t="s">
        <v>7</v>
      </c>
    </row>
    <row r="86" spans="1:62" x14ac:dyDescent="0.25">
      <c r="A86" s="30">
        <v>28.102436848064315</v>
      </c>
      <c r="E86" t="s">
        <v>8</v>
      </c>
      <c r="N86" s="27" t="s">
        <v>7</v>
      </c>
      <c r="O86" s="27" t="s">
        <v>8</v>
      </c>
      <c r="BD86" s="27" t="s">
        <v>7</v>
      </c>
      <c r="BE86" s="27" t="s">
        <v>8</v>
      </c>
    </row>
    <row r="87" spans="1:62" x14ac:dyDescent="0.25">
      <c r="A87" s="30">
        <v>25.547669861876649</v>
      </c>
      <c r="E87" t="s">
        <v>8</v>
      </c>
      <c r="N87" s="27" t="s">
        <v>7</v>
      </c>
      <c r="O87" s="27" t="s">
        <v>8</v>
      </c>
      <c r="BD87" s="27" t="s">
        <v>7</v>
      </c>
    </row>
    <row r="88" spans="1:62" x14ac:dyDescent="0.25">
      <c r="A88" s="30">
        <v>23.225154419887861</v>
      </c>
      <c r="E88" t="s">
        <v>8</v>
      </c>
      <c r="N88" s="27" t="s">
        <v>7</v>
      </c>
      <c r="O88" s="27" t="s">
        <v>8</v>
      </c>
    </row>
    <row r="89" spans="1:62" x14ac:dyDescent="0.25">
      <c r="A89" s="30">
        <v>21.113776745352599</v>
      </c>
      <c r="E89" t="s">
        <v>8</v>
      </c>
      <c r="N89" s="27" t="s">
        <v>7</v>
      </c>
      <c r="O89" s="27" t="s">
        <v>8</v>
      </c>
    </row>
    <row r="90" spans="1:62" x14ac:dyDescent="0.25">
      <c r="A90" s="30">
        <v>19.194342495775089</v>
      </c>
      <c r="E90" t="s">
        <v>8</v>
      </c>
      <c r="N90" s="27" t="s">
        <v>7</v>
      </c>
      <c r="O90" s="27" t="s">
        <v>8</v>
      </c>
    </row>
    <row r="91" spans="1:62" x14ac:dyDescent="0.25">
      <c r="A91" s="30">
        <v>17.449402268886445</v>
      </c>
      <c r="E91" t="s">
        <v>8</v>
      </c>
      <c r="N91" s="27" t="s">
        <v>7</v>
      </c>
      <c r="O91" s="27" t="s">
        <v>8</v>
      </c>
    </row>
    <row r="92" spans="1:62" x14ac:dyDescent="0.25">
      <c r="A92" s="30">
        <v>15.863092971714948</v>
      </c>
      <c r="C92" s="1" t="s">
        <v>15</v>
      </c>
      <c r="E92" t="s">
        <v>8</v>
      </c>
      <c r="N92" s="27" t="s">
        <v>7</v>
      </c>
      <c r="O92" s="27" t="s">
        <v>8</v>
      </c>
    </row>
    <row r="93" spans="1:62" x14ac:dyDescent="0.25">
      <c r="A93" s="30">
        <v>14.420993610649951</v>
      </c>
      <c r="C93" s="7">
        <v>0.11167815779424731</v>
      </c>
      <c r="D93"/>
      <c r="E93" t="s">
        <v>8</v>
      </c>
      <c r="N93" s="27" t="s">
        <v>7</v>
      </c>
      <c r="O93" s="27" t="s">
        <v>8</v>
      </c>
    </row>
    <row r="94" spans="1:62" x14ac:dyDescent="0.25">
      <c r="A94" s="30">
        <v>13.109994191499954</v>
      </c>
      <c r="E94" t="s">
        <v>8</v>
      </c>
      <c r="N94" s="27" t="s">
        <v>7</v>
      </c>
      <c r="O94" s="27" t="s">
        <v>8</v>
      </c>
    </row>
    <row r="95" spans="1:62" x14ac:dyDescent="0.25">
      <c r="A95" s="30">
        <v>11.918176537727231</v>
      </c>
      <c r="C95" s="1" t="s">
        <v>11</v>
      </c>
      <c r="D95" s="1" t="s">
        <v>12</v>
      </c>
      <c r="E95" t="s">
        <v>8</v>
      </c>
      <c r="N95" s="27" t="s">
        <v>7</v>
      </c>
      <c r="O95" s="27" t="s">
        <v>8</v>
      </c>
    </row>
    <row r="96" spans="1:62" x14ac:dyDescent="0.25">
      <c r="A96" s="30">
        <v>10.834705943388391</v>
      </c>
      <c r="C96"/>
      <c r="D96"/>
      <c r="E96" t="s">
        <v>8</v>
      </c>
      <c r="N96" s="27" t="s">
        <v>7</v>
      </c>
      <c r="O96" s="27" t="s">
        <v>8</v>
      </c>
    </row>
    <row r="97" spans="1:15" x14ac:dyDescent="0.25">
      <c r="A97" s="30">
        <v>9.849732675807628</v>
      </c>
      <c r="E97" t="s">
        <v>8</v>
      </c>
      <c r="N97" s="27" t="s">
        <v>7</v>
      </c>
      <c r="O97" s="27" t="s">
        <v>8</v>
      </c>
    </row>
    <row r="98" spans="1:15" x14ac:dyDescent="0.25">
      <c r="A98" s="30">
        <v>8.9543024325523888</v>
      </c>
      <c r="C98" s="1" t="s">
        <v>13</v>
      </c>
      <c r="E98" t="s">
        <v>8</v>
      </c>
      <c r="N98" s="27" t="s">
        <v>7</v>
      </c>
      <c r="O98" s="27" t="s">
        <v>8</v>
      </c>
    </row>
    <row r="99" spans="1:15" x14ac:dyDescent="0.25">
      <c r="A99" s="30">
        <v>8.140274938683989</v>
      </c>
      <c r="C99" s="1">
        <f>C88</f>
        <v>0</v>
      </c>
      <c r="E99" t="s">
        <v>8</v>
      </c>
      <c r="N99" s="27" t="s">
        <v>7</v>
      </c>
      <c r="O99" s="27" t="s">
        <v>8</v>
      </c>
    </row>
    <row r="100" spans="1:15" x14ac:dyDescent="0.25">
      <c r="A100" s="30">
        <v>7.4002499442581717</v>
      </c>
      <c r="C100"/>
      <c r="D100"/>
      <c r="E100" t="s">
        <v>8</v>
      </c>
      <c r="N100" s="27" t="s">
        <v>7</v>
      </c>
    </row>
    <row r="101" spans="1:15" x14ac:dyDescent="0.25">
      <c r="A101" s="30">
        <v>6.72749994932561</v>
      </c>
      <c r="C101" s="1" t="s">
        <v>14</v>
      </c>
      <c r="E101" t="s">
        <v>8</v>
      </c>
    </row>
    <row r="102" spans="1:1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15" x14ac:dyDescent="0.25">
      <c r="A103" s="30">
        <v>5.5599173134922388</v>
      </c>
      <c r="E103" t="s">
        <v>8</v>
      </c>
    </row>
    <row r="104" spans="1:15" x14ac:dyDescent="0.25">
      <c r="A104" s="30">
        <v>5.0544702849929442</v>
      </c>
      <c r="E104" t="s">
        <v>8</v>
      </c>
    </row>
    <row r="105" spans="1:15" x14ac:dyDescent="0.25">
      <c r="A105" s="30">
        <v>4.594972986357222</v>
      </c>
      <c r="E105" t="s">
        <v>8</v>
      </c>
    </row>
    <row r="106" spans="1:15" x14ac:dyDescent="0.25">
      <c r="A106" s="30">
        <v>4.1772481694156562</v>
      </c>
      <c r="E106" t="s">
        <v>8</v>
      </c>
    </row>
    <row r="107" spans="1:15" x14ac:dyDescent="0.25">
      <c r="A107" s="30">
        <v>3.7974983358324148</v>
      </c>
      <c r="E107" t="s">
        <v>8</v>
      </c>
    </row>
    <row r="108" spans="1:15" x14ac:dyDescent="0.25">
      <c r="A108" s="30">
        <v>3.4522712143931042</v>
      </c>
      <c r="E108" t="s">
        <v>8</v>
      </c>
    </row>
    <row r="109" spans="1:15" x14ac:dyDescent="0.25">
      <c r="A109" s="30">
        <v>3.1384283767210035</v>
      </c>
      <c r="E109" t="s">
        <v>8</v>
      </c>
    </row>
    <row r="110" spans="1:15" x14ac:dyDescent="0.25">
      <c r="A110" s="30">
        <v>2.8531167061100029</v>
      </c>
      <c r="E110" t="s">
        <v>8</v>
      </c>
    </row>
    <row r="111" spans="1:15" x14ac:dyDescent="0.25">
      <c r="A111" s="30">
        <v>2.5937424601000023</v>
      </c>
      <c r="C111" s="1" t="str">
        <f>ADDRESS(C121-1,1,1,1)</f>
        <v>$A$83</v>
      </c>
      <c r="D111" s="1" t="str">
        <f>ADDRESS(C121-1,D121,1,1)</f>
        <v>$BJ$83</v>
      </c>
      <c r="E111" t="s">
        <v>8</v>
      </c>
    </row>
    <row r="112" spans="1:15" x14ac:dyDescent="0.25">
      <c r="A112" s="30">
        <v>2.3579476910000019</v>
      </c>
      <c r="C112" s="1" t="str">
        <f>ADDRESS(C121,1,1,1)</f>
        <v>$A$84</v>
      </c>
      <c r="D112" s="1" t="str">
        <f>ADDRESS(C121,D121-1,1,1)</f>
        <v>$BI$84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$A$85</v>
      </c>
      <c r="D113" s="1" t="str">
        <f>ADDRESS(C121-1,D121+1,1,1)</f>
        <v>$BK$83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$BJ$84</v>
      </c>
      <c r="D114" s="1" t="str">
        <f>ADDRESS(C121+1,D121+1,1,1)</f>
        <v>$BK$85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$BJ$85</v>
      </c>
      <c r="E115" s="1" t="s">
        <v>8</v>
      </c>
    </row>
    <row r="116" spans="1:5" x14ac:dyDescent="0.25">
      <c r="A116" s="30">
        <v>1.6105100000000008</v>
      </c>
      <c r="C116" s="1">
        <f>C117-1</f>
        <v>83</v>
      </c>
      <c r="E116" s="1" t="s">
        <v>8</v>
      </c>
    </row>
    <row r="117" spans="1:5" x14ac:dyDescent="0.25">
      <c r="A117" s="30">
        <v>1.4641000000000006</v>
      </c>
      <c r="C117" s="1">
        <f>C121</f>
        <v>84</v>
      </c>
      <c r="D117" s="1">
        <f>D121</f>
        <v>62</v>
      </c>
      <c r="E117" s="1" t="s">
        <v>8</v>
      </c>
    </row>
    <row r="118" spans="1:5" x14ac:dyDescent="0.25">
      <c r="A118" s="30">
        <v>1.3310000000000004</v>
      </c>
      <c r="C118" s="1">
        <f>C117+1</f>
        <v>85</v>
      </c>
      <c r="D118" s="1">
        <f>D117+1</f>
        <v>63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84</v>
      </c>
      <c r="D121" s="19">
        <v>62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R84</v>
      </c>
      <c r="D123" s="1" t="str">
        <f>"C"&amp;D121</f>
        <v>C62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34.003948586157826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03" operator="equal">
      <formula>$U$1</formula>
    </cfRule>
    <cfRule type="cellIs" dxfId="30" priority="904" operator="equal">
      <formula>$S$1</formula>
    </cfRule>
  </conditionalFormatting>
  <conditionalFormatting sqref="D136">
    <cfRule type="cellIs" dxfId="29" priority="901" operator="equal">
      <formula>$S$1</formula>
    </cfRule>
    <cfRule type="cellIs" dxfId="28" priority="902" operator="equal">
      <formula>$U$1</formula>
    </cfRule>
  </conditionalFormatting>
  <conditionalFormatting sqref="C102">
    <cfRule type="cellIs" dxfId="27" priority="899" operator="equal">
      <formula>$U$1</formula>
    </cfRule>
    <cfRule type="cellIs" dxfId="26" priority="900" operator="equal">
      <formula>$S$1</formula>
    </cfRule>
  </conditionalFormatting>
  <conditionalFormatting sqref="D102">
    <cfRule type="cellIs" dxfId="25" priority="897" operator="equal">
      <formula>$S$1</formula>
    </cfRule>
    <cfRule type="cellIs" dxfId="24" priority="898" operator="equal">
      <formula>$U$1</formula>
    </cfRule>
  </conditionalFormatting>
  <conditionalFormatting sqref="C77">
    <cfRule type="cellIs" dxfId="23" priority="895" operator="equal">
      <formula>$U$1</formula>
    </cfRule>
    <cfRule type="cellIs" dxfId="22" priority="896" operator="equal">
      <formula>$S$1</formula>
    </cfRule>
  </conditionalFormatting>
  <conditionalFormatting sqref="D77">
    <cfRule type="cellIs" dxfId="21" priority="893" operator="equal">
      <formula>$S$1</formula>
    </cfRule>
    <cfRule type="cellIs" dxfId="20" priority="894" operator="equal">
      <formula>$U$1</formula>
    </cfRule>
  </conditionalFormatting>
  <conditionalFormatting sqref="C52">
    <cfRule type="cellIs" dxfId="19" priority="891" operator="equal">
      <formula>$U$1</formula>
    </cfRule>
    <cfRule type="cellIs" dxfId="18" priority="892" operator="equal">
      <formula>$S$1</formula>
    </cfRule>
  </conditionalFormatting>
  <conditionalFormatting sqref="D52">
    <cfRule type="cellIs" dxfId="17" priority="889" operator="equal">
      <formula>$S$1</formula>
    </cfRule>
    <cfRule type="cellIs" dxfId="16" priority="890" operator="equal">
      <formula>$U$1</formula>
    </cfRule>
  </conditionalFormatting>
  <conditionalFormatting sqref="C26">
    <cfRule type="cellIs" dxfId="15" priority="887" operator="equal">
      <formula>$U$1</formula>
    </cfRule>
    <cfRule type="cellIs" dxfId="14" priority="888" operator="equal">
      <formula>$S$1</formula>
    </cfRule>
  </conditionalFormatting>
  <conditionalFormatting sqref="D26">
    <cfRule type="cellIs" dxfId="13" priority="885" operator="equal">
      <formula>$S$1</formula>
    </cfRule>
    <cfRule type="cellIs" dxfId="12" priority="88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2022-01-28T01:15:14Z</dcterms:modified>
</cp:coreProperties>
</file>