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9C4FB0E-117F-4D38-BDDF-8D700DB9A6D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C136" i="4" s="1"/>
  <c r="C118" i="4"/>
  <c r="R765" i="1"/>
  <c r="S766" i="1"/>
  <c r="T766" i="1" s="1"/>
  <c r="C122" i="3"/>
  <c r="C133" i="3" s="1"/>
  <c r="C136" i="3" s="1"/>
  <c r="D118" i="3"/>
  <c r="C118" i="3"/>
  <c r="C136" i="5" l="1"/>
  <c r="C138" i="5" s="1"/>
  <c r="D136" i="4"/>
  <c r="C138" i="4" s="1"/>
  <c r="R764" i="1"/>
  <c r="S765" i="1"/>
  <c r="T765" i="1" s="1"/>
  <c r="D136" i="3"/>
  <c r="C138" i="3" s="1"/>
  <c r="S764" i="1" l="1"/>
  <c r="T764" i="1" s="1"/>
  <c r="R763" i="1"/>
  <c r="R762" i="1" l="1"/>
  <c r="S763" i="1"/>
  <c r="T763" i="1" s="1"/>
  <c r="R761" i="1" l="1"/>
  <c r="S762" i="1"/>
  <c r="T762" i="1" s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S601" i="1" l="1"/>
  <c r="T601" i="1" s="1"/>
  <c r="R600" i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S556" i="1" l="1"/>
  <c r="T556" i="1" s="1"/>
  <c r="R555" i="1"/>
  <c r="R554" i="1" l="1"/>
  <c r="S555" i="1"/>
  <c r="T555" i="1" s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S519" i="1" l="1"/>
  <c r="T519" i="1" s="1"/>
  <c r="R518" i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S440" i="1" l="1"/>
  <c r="T440" i="1" s="1"/>
  <c r="R439" i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S408" i="1" l="1"/>
  <c r="T408" i="1" s="1"/>
  <c r="R407" i="1"/>
  <c r="S407" i="1" l="1"/>
  <c r="T407" i="1" s="1"/>
  <c r="R406" i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S378" i="1" l="1"/>
  <c r="T378" i="1" s="1"/>
  <c r="R377" i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S372" i="1" l="1"/>
  <c r="T372" i="1" s="1"/>
  <c r="R371" i="1"/>
  <c r="S371" i="1" l="1"/>
  <c r="T371" i="1" s="1"/>
  <c r="R370" i="1"/>
  <c r="S370" i="1" l="1"/>
  <c r="T370" i="1" s="1"/>
  <c r="R369" i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S223" i="1" l="1"/>
  <c r="T223" i="1" s="1"/>
  <c r="R222" i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S105" i="1" l="1"/>
  <c r="T105" i="1" s="1"/>
  <c r="R104" i="1"/>
  <c r="R103" i="1" l="1"/>
  <c r="S104" i="1"/>
  <c r="T104" i="1" s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<sst xmlns="http://schemas.openxmlformats.org/spreadsheetml/2006/main" count="4279" uniqueCount="34">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</sst>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4.156E-2</c:v>
                </c:pt>
                <c:pt idx="1">
                  <c:v>4.2430000000000002E-2</c:v>
                </c:pt>
                <c:pt idx="2">
                  <c:v>4.2029999999999998E-2</c:v>
                </c:pt>
                <c:pt idx="3">
                  <c:v>4.2340000000000003E-2</c:v>
                </c:pt>
                <c:pt idx="4">
                  <c:v>4.6440000000000002E-2</c:v>
                </c:pt>
                <c:pt idx="5">
                  <c:v>4.351E-2</c:v>
                </c:pt>
                <c:pt idx="6">
                  <c:v>4.8500000000000001E-2</c:v>
                </c:pt>
                <c:pt idx="7">
                  <c:v>5.8349999999999999E-2</c:v>
                </c:pt>
                <c:pt idx="8">
                  <c:v>6.5530000000000005E-2</c:v>
                </c:pt>
                <c:pt idx="9">
                  <c:v>6.7510000000000001E-2</c:v>
                </c:pt>
                <c:pt idx="10">
                  <c:v>6.2880000000000005E-2</c:v>
                </c:pt>
                <c:pt idx="11">
                  <c:v>6.93E-2</c:v>
                </c:pt>
                <c:pt idx="12">
                  <c:v>6.5449999999999994E-2</c:v>
                </c:pt>
                <c:pt idx="13">
                  <c:v>5.2810000000000003E-2</c:v>
                </c:pt>
                <c:pt idx="14">
                  <c:v>5.4440000000000002E-2</c:v>
                </c:pt>
                <c:pt idx="15">
                  <c:v>5.5440000000000003E-2</c:v>
                </c:pt>
                <c:pt idx="16">
                  <c:v>5.2990000000000002E-2</c:v>
                </c:pt>
                <c:pt idx="17">
                  <c:v>4.9639999999999997E-2</c:v>
                </c:pt>
                <c:pt idx="18">
                  <c:v>5.2220000000000003E-2</c:v>
                </c:pt>
                <c:pt idx="19">
                  <c:v>5.2200000000000003E-2</c:v>
                </c:pt>
                <c:pt idx="20">
                  <c:v>5.389E-2</c:v>
                </c:pt>
                <c:pt idx="21">
                  <c:v>6.0089999999999998E-2</c:v>
                </c:pt>
                <c:pt idx="22">
                  <c:v>6.2729999999999994E-2</c:v>
                </c:pt>
                <c:pt idx="23">
                  <c:v>6.6259999999999999E-2</c:v>
                </c:pt>
                <c:pt idx="24">
                  <c:v>6.7030000000000006E-2</c:v>
                </c:pt>
                <c:pt idx="25">
                  <c:v>6.8930000000000005E-2</c:v>
                </c:pt>
                <c:pt idx="26">
                  <c:v>6.5740000000000007E-2</c:v>
                </c:pt>
                <c:pt idx="27">
                  <c:v>6.3369999999999996E-2</c:v>
                </c:pt>
                <c:pt idx="28">
                  <c:v>6.3630000000000006E-2</c:v>
                </c:pt>
                <c:pt idx="29">
                  <c:v>6.5610000000000002E-2</c:v>
                </c:pt>
                <c:pt idx="30">
                  <c:v>6.8409999999999999E-2</c:v>
                </c:pt>
                <c:pt idx="31">
                  <c:v>7.4359999999999996E-2</c:v>
                </c:pt>
                <c:pt idx="32">
                  <c:v>7.1800000000000003E-2</c:v>
                </c:pt>
                <c:pt idx="33">
                  <c:v>6.8589999999999998E-2</c:v>
                </c:pt>
                <c:pt idx="34">
                  <c:v>6.4579999999999999E-2</c:v>
                </c:pt>
                <c:pt idx="35">
                  <c:v>6.7180000000000004E-2</c:v>
                </c:pt>
                <c:pt idx="36">
                  <c:v>6.4449999999999993E-2</c:v>
                </c:pt>
                <c:pt idx="37">
                  <c:v>6.565E-2</c:v>
                </c:pt>
                <c:pt idx="38">
                  <c:v>6.0449999999999997E-2</c:v>
                </c:pt>
                <c:pt idx="39">
                  <c:v>6.3969999999999999E-2</c:v>
                </c:pt>
                <c:pt idx="40">
                  <c:v>6.4839999999999995E-2</c:v>
                </c:pt>
                <c:pt idx="41">
                  <c:v>6.0780000000000001E-2</c:v>
                </c:pt>
                <c:pt idx="42">
                  <c:v>6.1949999999999998E-2</c:v>
                </c:pt>
                <c:pt idx="43">
                  <c:v>6.3060000000000005E-2</c:v>
                </c:pt>
                <c:pt idx="44">
                  <c:v>6.1870000000000001E-2</c:v>
                </c:pt>
                <c:pt idx="45">
                  <c:v>6.053E-2</c:v>
                </c:pt>
                <c:pt idx="46">
                  <c:v>7.1400000000000005E-2</c:v>
                </c:pt>
                <c:pt idx="47">
                  <c:v>6.8699999999999997E-2</c:v>
                </c:pt>
                <c:pt idx="48">
                  <c:v>6.7500000000000004E-2</c:v>
                </c:pt>
                <c:pt idx="49">
                  <c:v>7.1639999999999995E-2</c:v>
                </c:pt>
                <c:pt idx="50">
                  <c:v>8.1049999999999997E-2</c:v>
                </c:pt>
                <c:pt idx="51">
                  <c:v>7.8609999999999999E-2</c:v>
                </c:pt>
                <c:pt idx="52">
                  <c:v>7.9409999999999994E-2</c:v>
                </c:pt>
                <c:pt idx="53">
                  <c:v>8.0629999999999993E-2</c:v>
                </c:pt>
                <c:pt idx="54">
                  <c:v>8.5860000000000006E-2</c:v>
                </c:pt>
                <c:pt idx="55">
                  <c:v>9.9070000000000005E-2</c:v>
                </c:pt>
                <c:pt idx="56">
                  <c:v>9.9210000000000007E-2</c:v>
                </c:pt>
                <c:pt idx="57">
                  <c:v>0.10451000000000001</c:v>
                </c:pt>
                <c:pt idx="58">
                  <c:v>9.5829999999999999E-2</c:v>
                </c:pt>
                <c:pt idx="59">
                  <c:v>9.8430000000000004E-2</c:v>
                </c:pt>
                <c:pt idx="60">
                  <c:v>0.10138999999999999</c:v>
                </c:pt>
                <c:pt idx="61">
                  <c:v>0.11262</c:v>
                </c:pt>
                <c:pt idx="62">
                  <c:v>9.3579999999999997E-2</c:v>
                </c:pt>
                <c:pt idx="63">
                  <c:v>9.6930000000000002E-2</c:v>
                </c:pt>
                <c:pt idx="64">
                  <c:v>9.6549999999999997E-2</c:v>
                </c:pt>
                <c:pt idx="65">
                  <c:v>9.9089999999999998E-2</c:v>
                </c:pt>
                <c:pt idx="66">
                  <c:v>9.3090000000000006E-2</c:v>
                </c:pt>
                <c:pt idx="67">
                  <c:v>9.5039999999999999E-2</c:v>
                </c:pt>
                <c:pt idx="68">
                  <c:v>9.3829999999999997E-2</c:v>
                </c:pt>
                <c:pt idx="69">
                  <c:v>8.4339999999999998E-2</c:v>
                </c:pt>
                <c:pt idx="70">
                  <c:v>7.979E-2</c:v>
                </c:pt>
                <c:pt idx="71">
                  <c:v>8.7160000000000001E-2</c:v>
                </c:pt>
                <c:pt idx="72">
                  <c:v>8.4830000000000003E-2</c:v>
                </c:pt>
                <c:pt idx="73">
                  <c:v>9.5170000000000005E-2</c:v>
                </c:pt>
                <c:pt idx="74">
                  <c:v>9.9049999999999999E-2</c:v>
                </c:pt>
                <c:pt idx="75">
                  <c:v>9.887E-2</c:v>
                </c:pt>
                <c:pt idx="76">
                  <c:v>9.74E-2</c:v>
                </c:pt>
                <c:pt idx="77">
                  <c:v>9.8169999999999993E-2</c:v>
                </c:pt>
                <c:pt idx="78">
                  <c:v>9.5750000000000002E-2</c:v>
                </c:pt>
                <c:pt idx="79">
                  <c:v>0.10002</c:v>
                </c:pt>
                <c:pt idx="80">
                  <c:v>0.10424</c:v>
                </c:pt>
                <c:pt idx="81">
                  <c:v>9.4789999999999999E-2</c:v>
                </c:pt>
                <c:pt idx="82">
                  <c:v>9.1020000000000004E-2</c:v>
                </c:pt>
                <c:pt idx="83">
                  <c:v>9.239E-2</c:v>
                </c:pt>
                <c:pt idx="84">
                  <c:v>9.3390000000000001E-2</c:v>
                </c:pt>
                <c:pt idx="85">
                  <c:v>9.4850000000000004E-2</c:v>
                </c:pt>
                <c:pt idx="86">
                  <c:v>8.967E-2</c:v>
                </c:pt>
                <c:pt idx="87">
                  <c:v>8.8789999999999994E-2</c:v>
                </c:pt>
                <c:pt idx="88">
                  <c:v>8.924E-2</c:v>
                </c:pt>
                <c:pt idx="89">
                  <c:v>8.8569999999999996E-2</c:v>
                </c:pt>
                <c:pt idx="90">
                  <c:v>8.9700000000000002E-2</c:v>
                </c:pt>
                <c:pt idx="91">
                  <c:v>8.6139999999999994E-2</c:v>
                </c:pt>
                <c:pt idx="92">
                  <c:v>8.6730000000000002E-2</c:v>
                </c:pt>
                <c:pt idx="93">
                  <c:v>9.4219999999999998E-2</c:v>
                </c:pt>
                <c:pt idx="94">
                  <c:v>9.5670000000000005E-2</c:v>
                </c:pt>
                <c:pt idx="95">
                  <c:v>9.3840000000000007E-2</c:v>
                </c:pt>
                <c:pt idx="96">
                  <c:v>9.4899999999999998E-2</c:v>
                </c:pt>
                <c:pt idx="97">
                  <c:v>9.5399999999999999E-2</c:v>
                </c:pt>
                <c:pt idx="98">
                  <c:v>9.7189999999999999E-2</c:v>
                </c:pt>
                <c:pt idx="99">
                  <c:v>9.8299999999999998E-2</c:v>
                </c:pt>
                <c:pt idx="100">
                  <c:v>9.418E-2</c:v>
                </c:pt>
                <c:pt idx="101">
                  <c:v>9.4070000000000001E-2</c:v>
                </c:pt>
                <c:pt idx="102">
                  <c:v>9.6379999999999993E-2</c:v>
                </c:pt>
                <c:pt idx="103">
                  <c:v>9.7199999999999995E-2</c:v>
                </c:pt>
                <c:pt idx="104">
                  <c:v>9.5009999999999997E-2</c:v>
                </c:pt>
                <c:pt idx="105">
                  <c:v>9.1990000000000002E-2</c:v>
                </c:pt>
                <c:pt idx="106">
                  <c:v>9.0630000000000002E-2</c:v>
                </c:pt>
                <c:pt idx="107">
                  <c:v>8.9520000000000002E-2</c:v>
                </c:pt>
                <c:pt idx="108">
                  <c:v>9.1719999999999996E-2</c:v>
                </c:pt>
                <c:pt idx="109">
                  <c:v>9.1230000000000006E-2</c:v>
                </c:pt>
                <c:pt idx="110">
                  <c:v>9.2399999999999996E-2</c:v>
                </c:pt>
                <c:pt idx="111">
                  <c:v>8.8120000000000004E-2</c:v>
                </c:pt>
                <c:pt idx="112">
                  <c:v>8.7349999999999997E-2</c:v>
                </c:pt>
                <c:pt idx="113">
                  <c:v>9.06E-2</c:v>
                </c:pt>
                <c:pt idx="114">
                  <c:v>8.8209999999999997E-2</c:v>
                </c:pt>
                <c:pt idx="115">
                  <c:v>9.0899999999999995E-2</c:v>
                </c:pt>
                <c:pt idx="116">
                  <c:v>9.5030000000000003E-2</c:v>
                </c:pt>
                <c:pt idx="117">
                  <c:v>9.7280000000000005E-2</c:v>
                </c:pt>
                <c:pt idx="118">
                  <c:v>8.6550000000000002E-2</c:v>
                </c:pt>
                <c:pt idx="119">
                  <c:v>8.2400000000000001E-2</c:v>
                </c:pt>
                <c:pt idx="120">
                  <c:v>7.9630000000000006E-2</c:v>
                </c:pt>
                <c:pt idx="121">
                  <c:v>7.7979999999999994E-2</c:v>
                </c:pt>
                <c:pt idx="122">
                  <c:v>8.0070000000000002E-2</c:v>
                </c:pt>
                <c:pt idx="123">
                  <c:v>8.6309999999999998E-2</c:v>
                </c:pt>
                <c:pt idx="124">
                  <c:v>8.2650000000000001E-2</c:v>
                </c:pt>
                <c:pt idx="125">
                  <c:v>8.5949999999999999E-2</c:v>
                </c:pt>
                <c:pt idx="126">
                  <c:v>9.8100000000000007E-2</c:v>
                </c:pt>
                <c:pt idx="127">
                  <c:v>9.4950000000000007E-2</c:v>
                </c:pt>
                <c:pt idx="128">
                  <c:v>7.4440000000000006E-2</c:v>
                </c:pt>
                <c:pt idx="129">
                  <c:v>9.1380000000000003E-2</c:v>
                </c:pt>
                <c:pt idx="130">
                  <c:v>0.10653</c:v>
                </c:pt>
                <c:pt idx="131">
                  <c:v>0.1084</c:v>
                </c:pt>
                <c:pt idx="132">
                  <c:v>0.10882</c:v>
                </c:pt>
                <c:pt idx="133">
                  <c:v>0.11133</c:v>
                </c:pt>
                <c:pt idx="134">
                  <c:v>0.10935</c:v>
                </c:pt>
                <c:pt idx="135">
                  <c:v>0.11117</c:v>
                </c:pt>
                <c:pt idx="136">
                  <c:v>0.10242999999999999</c:v>
                </c:pt>
                <c:pt idx="137">
                  <c:v>0.11889</c:v>
                </c:pt>
                <c:pt idx="138">
                  <c:v>0.11617</c:v>
                </c:pt>
                <c:pt idx="139">
                  <c:v>0.1336</c:v>
                </c:pt>
                <c:pt idx="140">
                  <c:v>9.5659999999999995E-2</c:v>
                </c:pt>
                <c:pt idx="141">
                  <c:v>7.2590000000000002E-2</c:v>
                </c:pt>
                <c:pt idx="142">
                  <c:v>7.5899999999999995E-2</c:v>
                </c:pt>
                <c:pt idx="143">
                  <c:v>0.10134</c:v>
                </c:pt>
                <c:pt idx="144">
                  <c:v>9.4759999999999997E-2</c:v>
                </c:pt>
                <c:pt idx="145">
                  <c:v>8.8889999999999997E-2</c:v>
                </c:pt>
                <c:pt idx="146">
                  <c:v>8.8300000000000003E-2</c:v>
                </c:pt>
                <c:pt idx="147">
                  <c:v>8.6040000000000005E-2</c:v>
                </c:pt>
                <c:pt idx="148">
                  <c:v>8.6730000000000002E-2</c:v>
                </c:pt>
                <c:pt idx="149">
                  <c:v>8.4580000000000002E-2</c:v>
                </c:pt>
                <c:pt idx="150">
                  <c:v>8.6129999999999998E-2</c:v>
                </c:pt>
                <c:pt idx="151">
                  <c:v>8.7410000000000002E-2</c:v>
                </c:pt>
                <c:pt idx="152">
                  <c:v>8.9340000000000003E-2</c:v>
                </c:pt>
                <c:pt idx="153">
                  <c:v>8.813E-2</c:v>
                </c:pt>
                <c:pt idx="154">
                  <c:v>8.5290000000000005E-2</c:v>
                </c:pt>
                <c:pt idx="155">
                  <c:v>9.2399999999999996E-2</c:v>
                </c:pt>
                <c:pt idx="156">
                  <c:v>8.0100000000000005E-2</c:v>
                </c:pt>
                <c:pt idx="157">
                  <c:v>8.9099999999999999E-2</c:v>
                </c:pt>
                <c:pt idx="158">
                  <c:v>8.5999999999999993E-2</c:v>
                </c:pt>
                <c:pt idx="159">
                  <c:v>8.3199999999999996E-2</c:v>
                </c:pt>
                <c:pt idx="160">
                  <c:v>8.3900000000000002E-2</c:v>
                </c:pt>
                <c:pt idx="161">
                  <c:v>8.5099999999999995E-2</c:v>
                </c:pt>
                <c:pt idx="162">
                  <c:v>8.4400000000000003E-2</c:v>
                </c:pt>
                <c:pt idx="163">
                  <c:v>8.2400000000000001E-2</c:v>
                </c:pt>
                <c:pt idx="164">
                  <c:v>8.5699999999999998E-2</c:v>
                </c:pt>
                <c:pt idx="165">
                  <c:v>8.7900000000000006E-2</c:v>
                </c:pt>
                <c:pt idx="166">
                  <c:v>8.8099999999999998E-2</c:v>
                </c:pt>
                <c:pt idx="167">
                  <c:v>9.3899999999999997E-2</c:v>
                </c:pt>
                <c:pt idx="168">
                  <c:v>8.2000000000000003E-2</c:v>
                </c:pt>
                <c:pt idx="169">
                  <c:v>8.3500000000000005E-2</c:v>
                </c:pt>
                <c:pt idx="170">
                  <c:v>8.0600000000000005E-2</c:v>
                </c:pt>
                <c:pt idx="171">
                  <c:v>7.5399999999999995E-2</c:v>
                </c:pt>
                <c:pt idx="172">
                  <c:v>7.2800000000000004E-2</c:v>
                </c:pt>
                <c:pt idx="173">
                  <c:v>0.08</c:v>
                </c:pt>
                <c:pt idx="174">
                  <c:v>7.8399999999999997E-2</c:v>
                </c:pt>
                <c:pt idx="175">
                  <c:v>7.8299999999999995E-2</c:v>
                </c:pt>
                <c:pt idx="176">
                  <c:v>6.8099999999999994E-2</c:v>
                </c:pt>
                <c:pt idx="177">
                  <c:v>6.8599999999999994E-2</c:v>
                </c:pt>
                <c:pt idx="178">
                  <c:v>6.5100000000000005E-2</c:v>
                </c:pt>
                <c:pt idx="179">
                  <c:v>6.1400000000000003E-2</c:v>
                </c:pt>
                <c:pt idx="180">
                  <c:v>6.2899999999999998E-2</c:v>
                </c:pt>
                <c:pt idx="181">
                  <c:v>6.1600000000000002E-2</c:v>
                </c:pt>
                <c:pt idx="182">
                  <c:v>6.25E-2</c:v>
                </c:pt>
                <c:pt idx="183">
                  <c:v>6.0100000000000001E-2</c:v>
                </c:pt>
                <c:pt idx="184">
                  <c:v>5.7299999999999997E-2</c:v>
                </c:pt>
                <c:pt idx="185">
                  <c:v>5.7200000000000001E-2</c:v>
                </c:pt>
                <c:pt idx="186">
                  <c:v>5.9900000000000002E-2</c:v>
                </c:pt>
                <c:pt idx="187">
                  <c:v>5.45E-2</c:v>
                </c:pt>
                <c:pt idx="188">
                  <c:v>5.3699999999999998E-2</c:v>
                </c:pt>
                <c:pt idx="189">
                  <c:v>5.3600000000000002E-2</c:v>
                </c:pt>
                <c:pt idx="190">
                  <c:v>0.05</c:v>
                </c:pt>
                <c:pt idx="191">
                  <c:v>4.7E-2</c:v>
                </c:pt>
                <c:pt idx="192">
                  <c:v>5.0099999999999999E-2</c:v>
                </c:pt>
                <c:pt idx="193">
                  <c:v>5.5100000000000003E-2</c:v>
                </c:pt>
                <c:pt idx="194">
                  <c:v>5.6899999999999999E-2</c:v>
                </c:pt>
                <c:pt idx="195">
                  <c:v>6.0999999999999999E-2</c:v>
                </c:pt>
                <c:pt idx="196">
                  <c:v>7.0199999999999999E-2</c:v>
                </c:pt>
                <c:pt idx="197">
                  <c:v>6.3399999999999998E-2</c:v>
                </c:pt>
                <c:pt idx="198">
                  <c:v>6.3399999999999998E-2</c:v>
                </c:pt>
                <c:pt idx="199">
                  <c:v>6.1199999999999997E-2</c:v>
                </c:pt>
                <c:pt idx="200">
                  <c:v>6.4399999999999999E-2</c:v>
                </c:pt>
                <c:pt idx="201">
                  <c:v>6.3100000000000003E-2</c:v>
                </c:pt>
                <c:pt idx="202">
                  <c:v>6.6199999999999995E-2</c:v>
                </c:pt>
                <c:pt idx="203">
                  <c:v>6.4600000000000005E-2</c:v>
                </c:pt>
                <c:pt idx="204">
                  <c:v>7.22E-2</c:v>
                </c:pt>
                <c:pt idx="205">
                  <c:v>6.9800000000000001E-2</c:v>
                </c:pt>
                <c:pt idx="206">
                  <c:v>6.54E-2</c:v>
                </c:pt>
                <c:pt idx="207">
                  <c:v>6.9800000000000001E-2</c:v>
                </c:pt>
                <c:pt idx="208">
                  <c:v>6.3700000000000007E-2</c:v>
                </c:pt>
                <c:pt idx="209">
                  <c:v>6.2899999999999998E-2</c:v>
                </c:pt>
                <c:pt idx="210">
                  <c:v>6.2199999999999998E-2</c:v>
                </c:pt>
                <c:pt idx="211">
                  <c:v>6.4199999999999993E-2</c:v>
                </c:pt>
                <c:pt idx="212">
                  <c:v>6.5799999999999997E-2</c:v>
                </c:pt>
                <c:pt idx="213">
                  <c:v>6.3700000000000007E-2</c:v>
                </c:pt>
                <c:pt idx="214">
                  <c:v>6.3899999999999998E-2</c:v>
                </c:pt>
                <c:pt idx="215">
                  <c:v>0.06</c:v>
                </c:pt>
                <c:pt idx="216">
                  <c:v>6.08E-2</c:v>
                </c:pt>
                <c:pt idx="217">
                  <c:v>6.7199999999999996E-2</c:v>
                </c:pt>
                <c:pt idx="218">
                  <c:v>6.6600000000000006E-2</c:v>
                </c:pt>
                <c:pt idx="219">
                  <c:v>6.0199999999999997E-2</c:v>
                </c:pt>
                <c:pt idx="220">
                  <c:v>6.13E-2</c:v>
                </c:pt>
                <c:pt idx="221">
                  <c:v>8.4000000000000005E-2</c:v>
                </c:pt>
                <c:pt idx="222">
                  <c:v>8.6499999999999994E-2</c:v>
                </c:pt>
                <c:pt idx="223">
                  <c:v>8.1299999999999997E-2</c:v>
                </c:pt>
                <c:pt idx="224">
                  <c:v>8.6999999999999994E-2</c:v>
                </c:pt>
                <c:pt idx="225">
                  <c:v>8.9099999999999999E-2</c:v>
                </c:pt>
                <c:pt idx="226">
                  <c:v>9.5600000000000004E-2</c:v>
                </c:pt>
                <c:pt idx="227">
                  <c:v>9.9099999999999994E-2</c:v>
                </c:pt>
                <c:pt idx="228">
                  <c:v>9.7199999999999995E-2</c:v>
                </c:pt>
                <c:pt idx="229">
                  <c:v>8.5500000000000007E-2</c:v>
                </c:pt>
                <c:pt idx="230">
                  <c:v>8.6499999999999994E-2</c:v>
                </c:pt>
                <c:pt idx="231">
                  <c:v>9.2299999999999993E-2</c:v>
                </c:pt>
                <c:pt idx="232">
                  <c:v>0.1014</c:v>
                </c:pt>
                <c:pt idx="233">
                  <c:v>0.09</c:v>
                </c:pt>
                <c:pt idx="234">
                  <c:v>9.74E-2</c:v>
                </c:pt>
                <c:pt idx="235">
                  <c:v>0.1124</c:v>
                </c:pt>
                <c:pt idx="236">
                  <c:v>8.2000000000000003E-2</c:v>
                </c:pt>
                <c:pt idx="237">
                  <c:v>8.5199999999999998E-2</c:v>
                </c:pt>
                <c:pt idx="238">
                  <c:v>9.8400000000000001E-2</c:v>
                </c:pt>
                <c:pt idx="239">
                  <c:v>9.3799999999999994E-2</c:v>
                </c:pt>
                <c:pt idx="240">
                  <c:v>9.1399999999999995E-2</c:v>
                </c:pt>
                <c:pt idx="241">
                  <c:v>9.9400000000000002E-2</c:v>
                </c:pt>
                <c:pt idx="242">
                  <c:v>9.9500000000000005E-2</c:v>
                </c:pt>
                <c:pt idx="243">
                  <c:v>8.1699999999999995E-2</c:v>
                </c:pt>
                <c:pt idx="244">
                  <c:v>8.5199999999999998E-2</c:v>
                </c:pt>
                <c:pt idx="245">
                  <c:v>0.1024</c:v>
                </c:pt>
                <c:pt idx="246">
                  <c:v>0.1012</c:v>
                </c:pt>
                <c:pt idx="247">
                  <c:v>8.0799999999999997E-2</c:v>
                </c:pt>
                <c:pt idx="248">
                  <c:v>6.8699999999999997E-2</c:v>
                </c:pt>
                <c:pt idx="249">
                  <c:v>5.6000000000000001E-2</c:v>
                </c:pt>
                <c:pt idx="250">
                  <c:v>7.1400000000000005E-2</c:v>
                </c:pt>
                <c:pt idx="251">
                  <c:v>7.6700000000000004E-2</c:v>
                </c:pt>
                <c:pt idx="252">
                  <c:v>9.35E-2</c:v>
                </c:pt>
                <c:pt idx="253">
                  <c:v>8.3799999999999999E-2</c:v>
                </c:pt>
                <c:pt idx="254">
                  <c:v>0.13589999999999999</c:v>
                </c:pt>
                <c:pt idx="255">
                  <c:v>0.13700000000000001</c:v>
                </c:pt>
                <c:pt idx="256">
                  <c:v>0.1449</c:v>
                </c:pt>
                <c:pt idx="257">
                  <c:v>0.1404</c:v>
                </c:pt>
                <c:pt idx="258">
                  <c:v>0.158</c:v>
                </c:pt>
                <c:pt idx="259">
                  <c:v>0.14080000000000001</c:v>
                </c:pt>
                <c:pt idx="260">
                  <c:v>0.13500000000000001</c:v>
                </c:pt>
                <c:pt idx="261">
                  <c:v>0.1646</c:v>
                </c:pt>
                <c:pt idx="262">
                  <c:v>0.14860000000000001</c:v>
                </c:pt>
                <c:pt idx="263">
                  <c:v>0.15909999999999999</c:v>
                </c:pt>
                <c:pt idx="264">
                  <c:v>0.16550000000000001</c:v>
                </c:pt>
                <c:pt idx="265">
                  <c:v>0.16969999999999999</c:v>
                </c:pt>
                <c:pt idx="266">
                  <c:v>0.16769999999999999</c:v>
                </c:pt>
                <c:pt idx="267">
                  <c:v>0.18060000000000001</c:v>
                </c:pt>
                <c:pt idx="268">
                  <c:v>0.1769</c:v>
                </c:pt>
                <c:pt idx="269">
                  <c:v>0.20119999999999999</c:v>
                </c:pt>
                <c:pt idx="270">
                  <c:v>0.1993</c:v>
                </c:pt>
                <c:pt idx="271">
                  <c:v>0.20280000000000001</c:v>
                </c:pt>
                <c:pt idx="272">
                  <c:v>0.18440000000000001</c:v>
                </c:pt>
                <c:pt idx="273">
                  <c:v>0.17699999999999999</c:v>
                </c:pt>
                <c:pt idx="274">
                  <c:v>0.17</c:v>
                </c:pt>
                <c:pt idx="275">
                  <c:v>0.17910000000000001</c:v>
                </c:pt>
                <c:pt idx="276">
                  <c:v>0.14610000000000001</c:v>
                </c:pt>
                <c:pt idx="277">
                  <c:v>0.13089999999999999</c:v>
                </c:pt>
                <c:pt idx="278">
                  <c:v>0.12089999999999999</c:v>
                </c:pt>
                <c:pt idx="279">
                  <c:v>0.13400000000000001</c:v>
                </c:pt>
                <c:pt idx="280">
                  <c:v>0.13689999999999999</c:v>
                </c:pt>
                <c:pt idx="281">
                  <c:v>0.15390000000000001</c:v>
                </c:pt>
                <c:pt idx="282">
                  <c:v>0.1668</c:v>
                </c:pt>
                <c:pt idx="283">
                  <c:v>0.15820000000000001</c:v>
                </c:pt>
                <c:pt idx="284">
                  <c:v>0.1731</c:v>
                </c:pt>
                <c:pt idx="285">
                  <c:v>0.21790000000000001</c:v>
                </c:pt>
                <c:pt idx="286">
                  <c:v>0.20130000000000001</c:v>
                </c:pt>
                <c:pt idx="287">
                  <c:v>0.22159999999999999</c:v>
                </c:pt>
                <c:pt idx="288">
                  <c:v>0.20369999999999999</c:v>
                </c:pt>
                <c:pt idx="289">
                  <c:v>0.2059</c:v>
                </c:pt>
                <c:pt idx="290">
                  <c:v>0.2122</c:v>
                </c:pt>
                <c:pt idx="291">
                  <c:v>0.22700000000000001</c:v>
                </c:pt>
                <c:pt idx="292">
                  <c:v>0.21929999999999999</c:v>
                </c:pt>
                <c:pt idx="293">
                  <c:v>0.2467</c:v>
                </c:pt>
                <c:pt idx="294">
                  <c:v>0.24460000000000001</c:v>
                </c:pt>
                <c:pt idx="295">
                  <c:v>0.23430000000000001</c:v>
                </c:pt>
                <c:pt idx="296">
                  <c:v>0.246</c:v>
                </c:pt>
                <c:pt idx="297">
                  <c:v>0.26079999999999998</c:v>
                </c:pt>
                <c:pt idx="298">
                  <c:v>0.22239999999999999</c:v>
                </c:pt>
                <c:pt idx="299">
                  <c:v>0.1898</c:v>
                </c:pt>
                <c:pt idx="300">
                  <c:v>0.21060000000000001</c:v>
                </c:pt>
                <c:pt idx="301">
                  <c:v>0.23119999999999999</c:v>
                </c:pt>
                <c:pt idx="302">
                  <c:v>0.2082</c:v>
                </c:pt>
                <c:pt idx="303">
                  <c:v>0.2268</c:v>
                </c:pt>
                <c:pt idx="304">
                  <c:v>0.24970000000000001</c:v>
                </c:pt>
                <c:pt idx="305">
                  <c:v>0.18970000000000001</c:v>
                </c:pt>
                <c:pt idx="306">
                  <c:v>0.16289999999999999</c:v>
                </c:pt>
                <c:pt idx="307">
                  <c:v>0.152</c:v>
                </c:pt>
                <c:pt idx="308">
                  <c:v>0.13850000000000001</c:v>
                </c:pt>
                <c:pt idx="309">
                  <c:v>0.14910000000000001</c:v>
                </c:pt>
                <c:pt idx="310">
                  <c:v>0.16020000000000001</c:v>
                </c:pt>
                <c:pt idx="311">
                  <c:v>0.158</c:v>
                </c:pt>
                <c:pt idx="312">
                  <c:v>0.16350000000000001</c:v>
                </c:pt>
                <c:pt idx="313">
                  <c:v>0.16289999999999999</c:v>
                </c:pt>
                <c:pt idx="314">
                  <c:v>0.16650000000000001</c:v>
                </c:pt>
                <c:pt idx="315">
                  <c:v>0.1714</c:v>
                </c:pt>
                <c:pt idx="316">
                  <c:v>0.1726</c:v>
                </c:pt>
                <c:pt idx="317">
                  <c:v>0.16550000000000001</c:v>
                </c:pt>
                <c:pt idx="318">
                  <c:v>0.16880000000000001</c:v>
                </c:pt>
                <c:pt idx="319">
                  <c:v>0.18229999999999999</c:v>
                </c:pt>
                <c:pt idx="320">
                  <c:v>0.1474</c:v>
                </c:pt>
                <c:pt idx="321">
                  <c:v>0.1361</c:v>
                </c:pt>
                <c:pt idx="322">
                  <c:v>0.1477</c:v>
                </c:pt>
                <c:pt idx="323">
                  <c:v>0.1426</c:v>
                </c:pt>
                <c:pt idx="324">
                  <c:v>0.16520000000000001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8-40FF-BE79-43686BFE150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-133.17531773611572</c:v>
                </c:pt>
                <c:pt idx="1">
                  <c:v>-133.14094985122429</c:v>
                </c:pt>
                <c:pt idx="2">
                  <c:v>-132.01930451563001</c:v>
                </c:pt>
                <c:pt idx="3">
                  <c:v>-131.68313908222473</c:v>
                </c:pt>
                <c:pt idx="4">
                  <c:v>-131.98758396580445</c:v>
                </c:pt>
                <c:pt idx="5">
                  <c:v>-132.2481228356516</c:v>
                </c:pt>
                <c:pt idx="6">
                  <c:v>-130.69765451364515</c:v>
                </c:pt>
                <c:pt idx="7">
                  <c:v>-128.69817503288206</c:v>
                </c:pt>
                <c:pt idx="8">
                  <c:v>-126.83465590501895</c:v>
                </c:pt>
                <c:pt idx="9">
                  <c:v>-124.93206085522003</c:v>
                </c:pt>
                <c:pt idx="10">
                  <c:v>-124.38180439337683</c:v>
                </c:pt>
                <c:pt idx="11">
                  <c:v>-123.10989340547199</c:v>
                </c:pt>
                <c:pt idx="12">
                  <c:v>-120.97886789576295</c:v>
                </c:pt>
                <c:pt idx="13">
                  <c:v>-123.25408562232302</c:v>
                </c:pt>
                <c:pt idx="14">
                  <c:v>-123.08575814413038</c:v>
                </c:pt>
                <c:pt idx="15">
                  <c:v>-122.73378706430131</c:v>
                </c:pt>
                <c:pt idx="16">
                  <c:v>-123.27232250597298</c:v>
                </c:pt>
                <c:pt idx="17">
                  <c:v>-123.46428562574927</c:v>
                </c:pt>
                <c:pt idx="18">
                  <c:v>-123.38132764893649</c:v>
                </c:pt>
                <c:pt idx="19">
                  <c:v>-123.32239748984919</c:v>
                </c:pt>
                <c:pt idx="20">
                  <c:v>-123.02764643130034</c:v>
                </c:pt>
                <c:pt idx="21">
                  <c:v>-122.12111625509311</c:v>
                </c:pt>
                <c:pt idx="22">
                  <c:v>-121.70568872730937</c:v>
                </c:pt>
                <c:pt idx="23">
                  <c:v>-120.87881333408446</c:v>
                </c:pt>
                <c:pt idx="24">
                  <c:v>-120.29472078908447</c:v>
                </c:pt>
                <c:pt idx="25">
                  <c:v>-119.70978866855557</c:v>
                </c:pt>
                <c:pt idx="26">
                  <c:v>-119.29438007304211</c:v>
                </c:pt>
                <c:pt idx="27">
                  <c:v>-119.52828827052664</c:v>
                </c:pt>
                <c:pt idx="28">
                  <c:v>-119.147916140878</c:v>
                </c:pt>
                <c:pt idx="29">
                  <c:v>-118.58972002716155</c:v>
                </c:pt>
                <c:pt idx="30">
                  <c:v>-117.88211247851216</c:v>
                </c:pt>
                <c:pt idx="31">
                  <c:v>-116.84029619543843</c:v>
                </c:pt>
                <c:pt idx="32">
                  <c:v>-111.66731309475178</c:v>
                </c:pt>
                <c:pt idx="33">
                  <c:v>-112.19208334221035</c:v>
                </c:pt>
                <c:pt idx="34">
                  <c:v>-112.90611094553756</c:v>
                </c:pt>
                <c:pt idx="35">
                  <c:v>-112.22524960222815</c:v>
                </c:pt>
                <c:pt idx="36">
                  <c:v>-112.7458106219644</c:v>
                </c:pt>
                <c:pt idx="37">
                  <c:v>-112.04436073390974</c:v>
                </c:pt>
                <c:pt idx="38">
                  <c:v>-112.57658639840984</c:v>
                </c:pt>
                <c:pt idx="39">
                  <c:v>-112.51919998097253</c:v>
                </c:pt>
                <c:pt idx="40">
                  <c:v>-112.34515894850762</c:v>
                </c:pt>
                <c:pt idx="41">
                  <c:v>-112.30079090113962</c:v>
                </c:pt>
                <c:pt idx="42">
                  <c:v>-111.92203361410044</c:v>
                </c:pt>
                <c:pt idx="43">
                  <c:v>-111.06504367523307</c:v>
                </c:pt>
                <c:pt idx="44">
                  <c:v>-111.66043066794566</c:v>
                </c:pt>
                <c:pt idx="45">
                  <c:v>-112.01894160218509</c:v>
                </c:pt>
                <c:pt idx="46">
                  <c:v>-110.54134452064832</c:v>
                </c:pt>
                <c:pt idx="47">
                  <c:v>-111.31908161370919</c:v>
                </c:pt>
                <c:pt idx="48">
                  <c:v>-111.36807341353349</c:v>
                </c:pt>
                <c:pt idx="49">
                  <c:v>-109.80557944428449</c:v>
                </c:pt>
                <c:pt idx="50">
                  <c:v>-107.74892862049012</c:v>
                </c:pt>
                <c:pt idx="51">
                  <c:v>-108.14284401867103</c:v>
                </c:pt>
                <c:pt idx="52">
                  <c:v>-107.42458179936099</c:v>
                </c:pt>
                <c:pt idx="53">
                  <c:v>-107.87998632777662</c:v>
                </c:pt>
                <c:pt idx="54">
                  <c:v>-107.53556423589475</c:v>
                </c:pt>
                <c:pt idx="55">
                  <c:v>-106.92768605834614</c:v>
                </c:pt>
                <c:pt idx="56">
                  <c:v>-105.93650879809596</c:v>
                </c:pt>
                <c:pt idx="57">
                  <c:v>-104.65758727523051</c:v>
                </c:pt>
                <c:pt idx="58">
                  <c:v>-106.61005023035587</c:v>
                </c:pt>
                <c:pt idx="59">
                  <c:v>-105.58871190478155</c:v>
                </c:pt>
                <c:pt idx="60">
                  <c:v>-104.95880254490156</c:v>
                </c:pt>
                <c:pt idx="61">
                  <c:v>-104.30426335870581</c:v>
                </c:pt>
                <c:pt idx="62">
                  <c:v>-106.31115314272749</c:v>
                </c:pt>
                <c:pt idx="63">
                  <c:v>-105.11178894569632</c:v>
                </c:pt>
                <c:pt idx="64">
                  <c:v>-104.47592037232248</c:v>
                </c:pt>
                <c:pt idx="65">
                  <c:v>-104.09574604317083</c:v>
                </c:pt>
                <c:pt idx="66">
                  <c:v>-104.65067974644586</c:v>
                </c:pt>
                <c:pt idx="67">
                  <c:v>-102.79809635746464</c:v>
                </c:pt>
                <c:pt idx="68">
                  <c:v>-101.30895355200376</c:v>
                </c:pt>
                <c:pt idx="69">
                  <c:v>-103.08958902025026</c:v>
                </c:pt>
                <c:pt idx="70">
                  <c:v>-103.62376149023591</c:v>
                </c:pt>
                <c:pt idx="71">
                  <c:v>-102.93452342333956</c:v>
                </c:pt>
                <c:pt idx="72">
                  <c:v>-103.82582868929667</c:v>
                </c:pt>
                <c:pt idx="73">
                  <c:v>-102.91499909343682</c:v>
                </c:pt>
                <c:pt idx="74">
                  <c:v>-101.93835628710244</c:v>
                </c:pt>
                <c:pt idx="75">
                  <c:v>-101.02992576538455</c:v>
                </c:pt>
                <c:pt idx="76">
                  <c:v>-100.76915057939647</c:v>
                </c:pt>
                <c:pt idx="77">
                  <c:v>-100.1871002242125</c:v>
                </c:pt>
                <c:pt idx="78">
                  <c:v>-99.280183959851655</c:v>
                </c:pt>
                <c:pt idx="79">
                  <c:v>-98.456343203508581</c:v>
                </c:pt>
                <c:pt idx="80">
                  <c:v>-97.439687701366523</c:v>
                </c:pt>
                <c:pt idx="81">
                  <c:v>-93.559779707615817</c:v>
                </c:pt>
                <c:pt idx="82">
                  <c:v>-94.059086138502408</c:v>
                </c:pt>
                <c:pt idx="83">
                  <c:v>-94.046531217085914</c:v>
                </c:pt>
                <c:pt idx="84">
                  <c:v>-94.027060004849588</c:v>
                </c:pt>
                <c:pt idx="85">
                  <c:v>-93.597725677410182</c:v>
                </c:pt>
                <c:pt idx="86">
                  <c:v>-91.786202627914705</c:v>
                </c:pt>
                <c:pt idx="87">
                  <c:v>-91.853601594571742</c:v>
                </c:pt>
                <c:pt idx="88">
                  <c:v>-91.738092427572383</c:v>
                </c:pt>
                <c:pt idx="89">
                  <c:v>-90.977397534540344</c:v>
                </c:pt>
                <c:pt idx="90">
                  <c:v>-90.453410981289977</c:v>
                </c:pt>
                <c:pt idx="91">
                  <c:v>-90.826880952262954</c:v>
                </c:pt>
                <c:pt idx="92">
                  <c:v>-91.020093048746972</c:v>
                </c:pt>
                <c:pt idx="93">
                  <c:v>-90.325694307339717</c:v>
                </c:pt>
                <c:pt idx="94">
                  <c:v>-89.9060680400531</c:v>
                </c:pt>
                <c:pt idx="95">
                  <c:v>-90.085502542008399</c:v>
                </c:pt>
                <c:pt idx="96">
                  <c:v>-89.812142077573796</c:v>
                </c:pt>
                <c:pt idx="97">
                  <c:v>-89.544468062963702</c:v>
                </c:pt>
                <c:pt idx="98">
                  <c:v>-89.402650227735123</c:v>
                </c:pt>
                <c:pt idx="99">
                  <c:v>-89.332774941089284</c:v>
                </c:pt>
                <c:pt idx="100">
                  <c:v>-89.697777220357906</c:v>
                </c:pt>
                <c:pt idx="101">
                  <c:v>-89.404969786688966</c:v>
                </c:pt>
                <c:pt idx="102">
                  <c:v>-89.05696721728026</c:v>
                </c:pt>
                <c:pt idx="103">
                  <c:v>-88.110866088926727</c:v>
                </c:pt>
                <c:pt idx="104">
                  <c:v>-88.284231605653062</c:v>
                </c:pt>
                <c:pt idx="105">
                  <c:v>-84.680896279439722</c:v>
                </c:pt>
                <c:pt idx="106">
                  <c:v>-84.063754298950826</c:v>
                </c:pt>
                <c:pt idx="107">
                  <c:v>-84.110555451754067</c:v>
                </c:pt>
                <c:pt idx="108">
                  <c:v>-84.160368752166107</c:v>
                </c:pt>
                <c:pt idx="109">
                  <c:v>-83.43030323186612</c:v>
                </c:pt>
                <c:pt idx="110">
                  <c:v>-81.491160279179709</c:v>
                </c:pt>
                <c:pt idx="111">
                  <c:v>-80.465178500816066</c:v>
                </c:pt>
                <c:pt idx="112">
                  <c:v>-79.443215677780344</c:v>
                </c:pt>
                <c:pt idx="113">
                  <c:v>-77.639129128940766</c:v>
                </c:pt>
                <c:pt idx="114">
                  <c:v>-74.083235794533991</c:v>
                </c:pt>
                <c:pt idx="115">
                  <c:v>-73.246948266792927</c:v>
                </c:pt>
                <c:pt idx="116">
                  <c:v>-71.894998637070856</c:v>
                </c:pt>
                <c:pt idx="117">
                  <c:v>-68.217228116433617</c:v>
                </c:pt>
                <c:pt idx="118">
                  <c:v>-67.216059563943304</c:v>
                </c:pt>
                <c:pt idx="119">
                  <c:v>-67.778850870592308</c:v>
                </c:pt>
                <c:pt idx="120">
                  <c:v>-68.439322680754003</c:v>
                </c:pt>
                <c:pt idx="121">
                  <c:v>-68.33755586280941</c:v>
                </c:pt>
                <c:pt idx="122">
                  <c:v>-67.893765455877983</c:v>
                </c:pt>
                <c:pt idx="123">
                  <c:v>-66.515140076013367</c:v>
                </c:pt>
                <c:pt idx="124">
                  <c:v>-66.919392242518256</c:v>
                </c:pt>
                <c:pt idx="125">
                  <c:v>-66.369686531316873</c:v>
                </c:pt>
                <c:pt idx="126">
                  <c:v>-65.529106474190343</c:v>
                </c:pt>
                <c:pt idx="127">
                  <c:v>-66.749063377044479</c:v>
                </c:pt>
                <c:pt idx="128">
                  <c:v>-68.410571417752678</c:v>
                </c:pt>
                <c:pt idx="129">
                  <c:v>-66.531950280698297</c:v>
                </c:pt>
                <c:pt idx="130">
                  <c:v>-65.597465167018484</c:v>
                </c:pt>
                <c:pt idx="131">
                  <c:v>-64.924220564242404</c:v>
                </c:pt>
                <c:pt idx="132">
                  <c:v>-64.078138840310629</c:v>
                </c:pt>
                <c:pt idx="133">
                  <c:v>-63.242800436996077</c:v>
                </c:pt>
                <c:pt idx="134">
                  <c:v>-61.577698278750077</c:v>
                </c:pt>
                <c:pt idx="135">
                  <c:v>-59.992620737446259</c:v>
                </c:pt>
                <c:pt idx="136">
                  <c:v>-56.473830254255127</c:v>
                </c:pt>
                <c:pt idx="137">
                  <c:v>-54.03405092035625</c:v>
                </c:pt>
                <c:pt idx="138">
                  <c:v>-48.574571366825104</c:v>
                </c:pt>
                <c:pt idx="139">
                  <c:v>-31.493113726494762</c:v>
                </c:pt>
                <c:pt idx="140">
                  <c:v>-28.931161799811477</c:v>
                </c:pt>
                <c:pt idx="141">
                  <c:v>-29.401844247961129</c:v>
                </c:pt>
                <c:pt idx="142">
                  <c:v>-29.456047130541151</c:v>
                </c:pt>
                <c:pt idx="143">
                  <c:v>-28.220539918161201</c:v>
                </c:pt>
                <c:pt idx="144">
                  <c:v>-29.537839860346935</c:v>
                </c:pt>
                <c:pt idx="145">
                  <c:v>-28.868790083131543</c:v>
                </c:pt>
                <c:pt idx="146">
                  <c:v>-28.435338851671236</c:v>
                </c:pt>
                <c:pt idx="147">
                  <c:v>-28.625007176680558</c:v>
                </c:pt>
                <c:pt idx="148">
                  <c:v>-28.433708522593676</c:v>
                </c:pt>
                <c:pt idx="149">
                  <c:v>-28.916140411520598</c:v>
                </c:pt>
                <c:pt idx="150">
                  <c:v>-28.235283290308622</c:v>
                </c:pt>
                <c:pt idx="151">
                  <c:v>-26.809355984650022</c:v>
                </c:pt>
                <c:pt idx="152">
                  <c:v>-24.538300949467658</c:v>
                </c:pt>
                <c:pt idx="153">
                  <c:v>-24.838893667755162</c:v>
                </c:pt>
                <c:pt idx="154">
                  <c:v>-25.875228498630161</c:v>
                </c:pt>
                <c:pt idx="155">
                  <c:v>-20.736549008483987</c:v>
                </c:pt>
                <c:pt idx="156">
                  <c:v>-21.754275173488491</c:v>
                </c:pt>
                <c:pt idx="157">
                  <c:v>-20.929112496688496</c:v>
                </c:pt>
                <c:pt idx="158">
                  <c:v>-19.90789945133233</c:v>
                </c:pt>
                <c:pt idx="159">
                  <c:v>-20.070388486091304</c:v>
                </c:pt>
                <c:pt idx="160">
                  <c:v>-19.211550368620877</c:v>
                </c:pt>
                <c:pt idx="161">
                  <c:v>-18.234923581831403</c:v>
                </c:pt>
                <c:pt idx="162">
                  <c:v>-18.44344565843463</c:v>
                </c:pt>
                <c:pt idx="163">
                  <c:v>-18.540117310013759</c:v>
                </c:pt>
                <c:pt idx="164">
                  <c:v>-18.063455651839845</c:v>
                </c:pt>
                <c:pt idx="165">
                  <c:v>-17.673369206652193</c:v>
                </c:pt>
                <c:pt idx="166">
                  <c:v>-18.070850606172193</c:v>
                </c:pt>
                <c:pt idx="167">
                  <c:v>-17.807964387328376</c:v>
                </c:pt>
                <c:pt idx="168">
                  <c:v>-18.403325722376259</c:v>
                </c:pt>
                <c:pt idx="169">
                  <c:v>-17.445076956423321</c:v>
                </c:pt>
                <c:pt idx="170">
                  <c:v>-17.327188416531015</c:v>
                </c:pt>
                <c:pt idx="171">
                  <c:v>-17.716037392479855</c:v>
                </c:pt>
                <c:pt idx="172">
                  <c:v>-17.8269771235348</c:v>
                </c:pt>
                <c:pt idx="173">
                  <c:v>-17.383666831276468</c:v>
                </c:pt>
                <c:pt idx="174">
                  <c:v>-17.038472801203742</c:v>
                </c:pt>
                <c:pt idx="175">
                  <c:v>-17.182915716573305</c:v>
                </c:pt>
                <c:pt idx="176">
                  <c:v>-16.917008270257064</c:v>
                </c:pt>
                <c:pt idx="177">
                  <c:v>-17.121097163837391</c:v>
                </c:pt>
                <c:pt idx="178">
                  <c:v>-17.775824935357843</c:v>
                </c:pt>
                <c:pt idx="179">
                  <c:v>-18.017670082237846</c:v>
                </c:pt>
                <c:pt idx="180">
                  <c:v>-17.660212201534947</c:v>
                </c:pt>
                <c:pt idx="181">
                  <c:v>-17.856671786455454</c:v>
                </c:pt>
                <c:pt idx="182">
                  <c:v>-17.950675261526886</c:v>
                </c:pt>
                <c:pt idx="183">
                  <c:v>-18.327265642742439</c:v>
                </c:pt>
                <c:pt idx="184">
                  <c:v>-18.552399828297997</c:v>
                </c:pt>
                <c:pt idx="185">
                  <c:v>-18.777772199621399</c:v>
                </c:pt>
                <c:pt idx="186">
                  <c:v>-18.264705634041881</c:v>
                </c:pt>
                <c:pt idx="187">
                  <c:v>-18.521558586532173</c:v>
                </c:pt>
                <c:pt idx="188">
                  <c:v>-18.304050003956618</c:v>
                </c:pt>
                <c:pt idx="189">
                  <c:v>-18.318935632499478</c:v>
                </c:pt>
                <c:pt idx="190">
                  <c:v>-18.212076362143112</c:v>
                </c:pt>
                <c:pt idx="191">
                  <c:v>-18.34303184667311</c:v>
                </c:pt>
                <c:pt idx="192">
                  <c:v>-18.284271144407487</c:v>
                </c:pt>
                <c:pt idx="193">
                  <c:v>-18.014992999880214</c:v>
                </c:pt>
                <c:pt idx="194">
                  <c:v>-17.749521666330214</c:v>
                </c:pt>
                <c:pt idx="195">
                  <c:v>-17.489179273554701</c:v>
                </c:pt>
                <c:pt idx="196">
                  <c:v>-16.586051715281595</c:v>
                </c:pt>
                <c:pt idx="197">
                  <c:v>-17.679885189249482</c:v>
                </c:pt>
                <c:pt idx="198">
                  <c:v>-18.130953861540107</c:v>
                </c:pt>
                <c:pt idx="199">
                  <c:v>-18.377519069467798</c:v>
                </c:pt>
                <c:pt idx="200">
                  <c:v>-18.150858707867798</c:v>
                </c:pt>
                <c:pt idx="201">
                  <c:v>-18.277037800688849</c:v>
                </c:pt>
                <c:pt idx="202">
                  <c:v>-17.844425614493503</c:v>
                </c:pt>
                <c:pt idx="203">
                  <c:v>-18.105332757443502</c:v>
                </c:pt>
                <c:pt idx="204">
                  <c:v>-17.675142665483506</c:v>
                </c:pt>
                <c:pt idx="205">
                  <c:v>-17.544357891466483</c:v>
                </c:pt>
                <c:pt idx="206">
                  <c:v>-17.712641194787373</c:v>
                </c:pt>
                <c:pt idx="207">
                  <c:v>-17.497195854338656</c:v>
                </c:pt>
                <c:pt idx="208">
                  <c:v>-17.811008311797483</c:v>
                </c:pt>
                <c:pt idx="209">
                  <c:v>-17.845245158079305</c:v>
                </c:pt>
                <c:pt idx="210">
                  <c:v>-17.952603667131939</c:v>
                </c:pt>
                <c:pt idx="211">
                  <c:v>-17.957160754913755</c:v>
                </c:pt>
                <c:pt idx="212">
                  <c:v>-18.02696656322804</c:v>
                </c:pt>
                <c:pt idx="213">
                  <c:v>-17.932979491652365</c:v>
                </c:pt>
                <c:pt idx="214">
                  <c:v>-18.017007530657771</c:v>
                </c:pt>
                <c:pt idx="215">
                  <c:v>-18.289607565835951</c:v>
                </c:pt>
                <c:pt idx="216">
                  <c:v>-18.319075737624011</c:v>
                </c:pt>
                <c:pt idx="217">
                  <c:v>-18.029529488058316</c:v>
                </c:pt>
                <c:pt idx="218">
                  <c:v>-18.041909435490318</c:v>
                </c:pt>
                <c:pt idx="219">
                  <c:v>-18.086621563661371</c:v>
                </c:pt>
                <c:pt idx="220">
                  <c:v>-18.24707174066878</c:v>
                </c:pt>
                <c:pt idx="221">
                  <c:v>-17.603400245480493</c:v>
                </c:pt>
                <c:pt idx="222">
                  <c:v>-17.464374284412141</c:v>
                </c:pt>
                <c:pt idx="223">
                  <c:v>-17.374554610021601</c:v>
                </c:pt>
                <c:pt idx="224">
                  <c:v>-17.205594811277766</c:v>
                </c:pt>
                <c:pt idx="225">
                  <c:v>-17.108977753239735</c:v>
                </c:pt>
                <c:pt idx="226">
                  <c:v>-16.902498227973503</c:v>
                </c:pt>
                <c:pt idx="227">
                  <c:v>-16.665728615915015</c:v>
                </c:pt>
                <c:pt idx="228">
                  <c:v>-16.91194957016366</c:v>
                </c:pt>
                <c:pt idx="229">
                  <c:v>-17.142884162966688</c:v>
                </c:pt>
                <c:pt idx="230">
                  <c:v>-16.879876972807526</c:v>
                </c:pt>
                <c:pt idx="231">
                  <c:v>-16.610876035470181</c:v>
                </c:pt>
                <c:pt idx="232">
                  <c:v>-16.057902432497297</c:v>
                </c:pt>
                <c:pt idx="233">
                  <c:v>-16.72465573310355</c:v>
                </c:pt>
                <c:pt idx="234">
                  <c:v>-15.979773546523347</c:v>
                </c:pt>
                <c:pt idx="235">
                  <c:v>-13.101433850150384</c:v>
                </c:pt>
                <c:pt idx="236">
                  <c:v>-11.22568415180594</c:v>
                </c:pt>
                <c:pt idx="237">
                  <c:v>-11.058445366119786</c:v>
                </c:pt>
                <c:pt idx="238">
                  <c:v>-10.840705666515074</c:v>
                </c:pt>
                <c:pt idx="239">
                  <c:v>-10.98623149980723</c:v>
                </c:pt>
                <c:pt idx="240">
                  <c:v>-10.966681281865371</c:v>
                </c:pt>
                <c:pt idx="241">
                  <c:v>-10.346776988576481</c:v>
                </c:pt>
                <c:pt idx="242">
                  <c:v>-11.176186856601189</c:v>
                </c:pt>
                <c:pt idx="243">
                  <c:v>-11.666594097216574</c:v>
                </c:pt>
                <c:pt idx="244">
                  <c:v>-11.678211689896573</c:v>
                </c:pt>
                <c:pt idx="245">
                  <c:v>-10.666512395582901</c:v>
                </c:pt>
                <c:pt idx="246">
                  <c:v>-8.9435881702439239</c:v>
                </c:pt>
                <c:pt idx="247">
                  <c:v>-8.9830928598586226</c:v>
                </c:pt>
                <c:pt idx="248">
                  <c:v>-9.3822940177009055</c:v>
                </c:pt>
                <c:pt idx="249">
                  <c:v>-9.8084098093020966</c:v>
                </c:pt>
                <c:pt idx="250">
                  <c:v>-9.7028505414464679</c:v>
                </c:pt>
                <c:pt idx="251">
                  <c:v>-9.5956921009464669</c:v>
                </c:pt>
                <c:pt idx="252">
                  <c:v>-9.4532375143232521</c:v>
                </c:pt>
                <c:pt idx="253">
                  <c:v>-9.6621981312262211</c:v>
                </c:pt>
                <c:pt idx="254">
                  <c:v>-9.0549634300316999</c:v>
                </c:pt>
                <c:pt idx="255">
                  <c:v>-8.9912325214902697</c:v>
                </c:pt>
                <c:pt idx="256">
                  <c:v>-9.0055343615530958</c:v>
                </c:pt>
                <c:pt idx="257">
                  <c:v>-8.9065277203657818</c:v>
                </c:pt>
                <c:pt idx="258">
                  <c:v>-8.5432017554428583</c:v>
                </c:pt>
                <c:pt idx="259">
                  <c:v>-8.8200332080374526</c:v>
                </c:pt>
                <c:pt idx="260">
                  <c:v>-8.7692099453714789</c:v>
                </c:pt>
                <c:pt idx="261">
                  <c:v>-8.4035181259568432</c:v>
                </c:pt>
                <c:pt idx="262">
                  <c:v>-8.5777225409200017</c:v>
                </c:pt>
                <c:pt idx="263">
                  <c:v>-7.9908316296466699</c:v>
                </c:pt>
                <c:pt idx="264">
                  <c:v>-7.9423953408076446</c:v>
                </c:pt>
                <c:pt idx="265">
                  <c:v>-7.6587661010119934</c:v>
                </c:pt>
                <c:pt idx="266">
                  <c:v>-7.5320654372667963</c:v>
                </c:pt>
                <c:pt idx="267">
                  <c:v>-7.027375377431178</c:v>
                </c:pt>
                <c:pt idx="268">
                  <c:v>-6.9534976918603242</c:v>
                </c:pt>
                <c:pt idx="269">
                  <c:v>-6.4766702257330513</c:v>
                </c:pt>
                <c:pt idx="270">
                  <c:v>-6.0892498806478983</c:v>
                </c:pt>
                <c:pt idx="271">
                  <c:v>-6.0385473547232831</c:v>
                </c:pt>
                <c:pt idx="272">
                  <c:v>-6.215867544458578</c:v>
                </c:pt>
                <c:pt idx="273">
                  <c:v>-6.3381342614979967</c:v>
                </c:pt>
                <c:pt idx="274">
                  <c:v>-6.2250957212000371</c:v>
                </c:pt>
                <c:pt idx="275">
                  <c:v>-5.1666296518707693</c:v>
                </c:pt>
                <c:pt idx="276">
                  <c:v>-5.7649201426561358</c:v>
                </c:pt>
                <c:pt idx="277">
                  <c:v>-5.912025257582826</c:v>
                </c:pt>
                <c:pt idx="278">
                  <c:v>-5.7397179717560451</c:v>
                </c:pt>
                <c:pt idx="279">
                  <c:v>-5.4057931689805079</c:v>
                </c:pt>
                <c:pt idx="280">
                  <c:v>-5.6010460468065961</c:v>
                </c:pt>
                <c:pt idx="281">
                  <c:v>-5.3114570407295796</c:v>
                </c:pt>
                <c:pt idx="282">
                  <c:v>-4.9386582274008246</c:v>
                </c:pt>
                <c:pt idx="283">
                  <c:v>-5.1521785836619358</c:v>
                </c:pt>
                <c:pt idx="284">
                  <c:v>-4.612088633258602</c:v>
                </c:pt>
                <c:pt idx="285">
                  <c:v>-4.4068319306170149</c:v>
                </c:pt>
                <c:pt idx="286">
                  <c:v>-4.8032247621394033</c:v>
                </c:pt>
                <c:pt idx="287">
                  <c:v>-4.491395558645201</c:v>
                </c:pt>
                <c:pt idx="288">
                  <c:v>-4.6076964697452016</c:v>
                </c:pt>
                <c:pt idx="289">
                  <c:v>-4.6500072101484262</c:v>
                </c:pt>
                <c:pt idx="290">
                  <c:v>-4.5771490436280873</c:v>
                </c:pt>
                <c:pt idx="291">
                  <c:v>-4.3596046823791088</c:v>
                </c:pt>
                <c:pt idx="292">
                  <c:v>-4.454967052421213</c:v>
                </c:pt>
                <c:pt idx="293">
                  <c:v>-3.9679072489170117</c:v>
                </c:pt>
                <c:pt idx="294">
                  <c:v>-3.7958627375540055</c:v>
                </c:pt>
                <c:pt idx="295">
                  <c:v>-3.8464853010507274</c:v>
                </c:pt>
                <c:pt idx="296">
                  <c:v>-4.0723594579218299</c:v>
                </c:pt>
                <c:pt idx="297">
                  <c:v>-2.8093898857667936</c:v>
                </c:pt>
                <c:pt idx="298">
                  <c:v>-2.7582076594173812</c:v>
                </c:pt>
                <c:pt idx="299">
                  <c:v>-2.8513481882021954</c:v>
                </c:pt>
                <c:pt idx="300">
                  <c:v>-2.3179933739450522</c:v>
                </c:pt>
                <c:pt idx="301">
                  <c:v>-1.8712110608416048</c:v>
                </c:pt>
                <c:pt idx="302">
                  <c:v>-2.0808585443303</c:v>
                </c:pt>
                <c:pt idx="303">
                  <c:v>-1.3306875113724053</c:v>
                </c:pt>
                <c:pt idx="304">
                  <c:v>-0.52694055225963854</c:v>
                </c:pt>
                <c:pt idx="305">
                  <c:v>-2.0457602196644729</c:v>
                </c:pt>
                <c:pt idx="306">
                  <c:v>-2.5551153892230269</c:v>
                </c:pt>
                <c:pt idx="307">
                  <c:v>-2.8387119764772319</c:v>
                </c:pt>
                <c:pt idx="308">
                  <c:v>-2.9942884566928005</c:v>
                </c:pt>
                <c:pt idx="309">
                  <c:v>-2.8984396518547051</c:v>
                </c:pt>
                <c:pt idx="310">
                  <c:v>-2.6712704769034858</c:v>
                </c:pt>
                <c:pt idx="311">
                  <c:v>-2.8752494990799571</c:v>
                </c:pt>
                <c:pt idx="312">
                  <c:v>-2.5493401195435936</c:v>
                </c:pt>
                <c:pt idx="313">
                  <c:v>-2.6658103439492011</c:v>
                </c:pt>
                <c:pt idx="314">
                  <c:v>-2.432106348354981</c:v>
                </c:pt>
                <c:pt idx="315">
                  <c:v>-2.2452913509446675</c:v>
                </c:pt>
                <c:pt idx="316">
                  <c:v>-1.6276935271804025</c:v>
                </c:pt>
                <c:pt idx="317">
                  <c:v>-1.8077133111921933</c:v>
                </c:pt>
                <c:pt idx="318">
                  <c:v>-1.8395848810395623</c:v>
                </c:pt>
                <c:pt idx="319">
                  <c:v>-0.6354830526092442</c:v>
                </c:pt>
                <c:pt idx="320">
                  <c:v>-1.1218670366553973</c:v>
                </c:pt>
                <c:pt idx="321">
                  <c:v>-1.1804550952964232</c:v>
                </c:pt>
                <c:pt idx="322">
                  <c:v>-0.9705273231945537</c:v>
                </c:pt>
                <c:pt idx="323">
                  <c:v>-1.1884878603404554</c:v>
                </c:pt>
                <c:pt idx="324">
                  <c:v>-0.67446256727485587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8-40FF-BE79-43686BFE1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872176"/>
        <c:axId val="257868016"/>
      </c:lineChart>
      <c:dateAx>
        <c:axId val="257872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868016"/>
        <c:crosses val="autoZero"/>
        <c:auto val="1"/>
        <c:lblOffset val="100"/>
        <c:baseTimeUnit val="days"/>
      </c:dateAx>
      <c:valAx>
        <c:axId val="25786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87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084EBC5-71DF-49AB-8FDB-607335D8F72D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BB93D1-1F15-40FF-BC14-715112992B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0.318</v>
      </c>
      <c r="D2" s="4">
        <f>MIN(D3:D1912)</f>
        <v>3.7159999999999999E-2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4.2369999999999998E-2</v>
      </c>
      <c r="C5">
        <v>4.2900000000000001E-2</v>
      </c>
      <c r="D5">
        <v>4.1500000000000002E-2</v>
      </c>
      <c r="E5">
        <v>4.156E-2</v>
      </c>
      <c r="F5">
        <v>3758987.41</v>
      </c>
      <c r="G5">
        <v>4.156E-2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-0.9142857142857177</v>
      </c>
      <c r="Q5">
        <f t="shared" ref="Q5" si="1">F5*P5</f>
        <v>-3436788.4891428701</v>
      </c>
      <c r="R5">
        <f t="shared" ref="R5" si="2">R6+Q5</f>
        <v>-13317531773.611572</v>
      </c>
      <c r="S5">
        <f t="shared" ref="S5" si="3">R5/100000</f>
        <v>-133175.31773611571</v>
      </c>
      <c r="T5">
        <f t="shared" ref="T5" si="4">S5/1000</f>
        <v>-133.17531773611572</v>
      </c>
    </row>
    <row r="6" spans="1:20" x14ac:dyDescent="0.25">
      <c r="A6" s="5">
        <v>44587</v>
      </c>
      <c r="B6">
        <v>4.2099999999999999E-2</v>
      </c>
      <c r="C6">
        <v>4.759E-2</v>
      </c>
      <c r="D6">
        <v>4.1119999999999997E-2</v>
      </c>
      <c r="E6">
        <v>4.2430000000000002E-2</v>
      </c>
      <c r="F6">
        <v>188494683.66999999</v>
      </c>
      <c r="G6">
        <v>4.2430000000000002E-2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-0.59505409582689184</v>
      </c>
      <c r="Q6">
        <f t="shared" ref="Q6" si="6">F6*P6</f>
        <v>-112164533.55942784</v>
      </c>
      <c r="R6">
        <f t="shared" ref="R6" si="7">R7+Q6</f>
        <v>-13314094985.122429</v>
      </c>
      <c r="S6">
        <f t="shared" ref="S6" si="8">R6/100000</f>
        <v>-133140.94985122429</v>
      </c>
      <c r="T6">
        <f t="shared" ref="T6" si="9">S6/1000</f>
        <v>-133.14094985122429</v>
      </c>
    </row>
    <row r="7" spans="1:20" x14ac:dyDescent="0.25">
      <c r="A7" s="5">
        <v>44586</v>
      </c>
      <c r="B7">
        <v>4.2340000000000003E-2</v>
      </c>
      <c r="C7">
        <v>4.4999999999999998E-2</v>
      </c>
      <c r="D7">
        <v>4.0480000000000002E-2</v>
      </c>
      <c r="E7">
        <v>4.2029999999999998E-2</v>
      </c>
      <c r="F7">
        <v>107004771.76000001</v>
      </c>
      <c r="G7">
        <v>4.2029999999999998E-2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-0.3141592920353995</v>
      </c>
      <c r="Q7">
        <f t="shared" ref="Q7" si="11">F7*P7</f>
        <v>-33616543.340531111</v>
      </c>
      <c r="R7">
        <f t="shared" ref="R7" si="12">R8+Q7</f>
        <v>-13201930451.563002</v>
      </c>
      <c r="S7">
        <f t="shared" ref="S7" si="13">R7/100000</f>
        <v>-132019.30451563001</v>
      </c>
      <c r="T7">
        <f t="shared" ref="T7" si="14">S7/1000</f>
        <v>-132.01930451563001</v>
      </c>
    </row>
    <row r="8" spans="1:20" x14ac:dyDescent="0.25">
      <c r="A8" s="5">
        <v>44585</v>
      </c>
      <c r="B8">
        <v>4.6440000000000002E-2</v>
      </c>
      <c r="C8">
        <v>4.6440000000000002E-2</v>
      </c>
      <c r="D8">
        <v>3.7159999999999999E-2</v>
      </c>
      <c r="E8">
        <v>4.2340000000000003E-2</v>
      </c>
      <c r="F8">
        <v>261597085.15000001</v>
      </c>
      <c r="G8">
        <v>4.2340000000000003E-2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0.11637931034482804</v>
      </c>
      <c r="Q8">
        <f t="shared" ref="Q8" si="16">F8*P8</f>
        <v>30444488.357974257</v>
      </c>
      <c r="R8">
        <f t="shared" ref="R8" si="17">R9+Q8</f>
        <v>-13168313908.222471</v>
      </c>
      <c r="S8">
        <f t="shared" ref="S8" si="18">R8/100000</f>
        <v>-131683.13908222472</v>
      </c>
      <c r="T8">
        <f t="shared" ref="T8" si="19">S8/1000</f>
        <v>-131.68313908222473</v>
      </c>
    </row>
    <row r="9" spans="1:20" x14ac:dyDescent="0.25">
      <c r="A9" s="5">
        <v>44584</v>
      </c>
      <c r="B9">
        <v>4.3520000000000003E-2</v>
      </c>
      <c r="C9">
        <v>4.8770000000000001E-2</v>
      </c>
      <c r="D9">
        <v>4.2999999999999997E-2</v>
      </c>
      <c r="E9">
        <v>4.6440000000000002E-2</v>
      </c>
      <c r="F9">
        <v>135433268.38</v>
      </c>
      <c r="G9">
        <v>4.6440000000000002E-2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0.19237435008665615</v>
      </c>
      <c r="Q9">
        <f t="shared" ref="Q9" si="21">F9*P9</f>
        <v>26053886.984714177</v>
      </c>
      <c r="R9">
        <f t="shared" ref="R9" si="22">R10+Q9</f>
        <v>-13198758396.580446</v>
      </c>
      <c r="S9">
        <f t="shared" ref="S9" si="23">R9/100000</f>
        <v>-131987.58396580446</v>
      </c>
      <c r="T9">
        <f t="shared" ref="T9" si="24">S9/1000</f>
        <v>-131.98758396580445</v>
      </c>
    </row>
    <row r="10" spans="1:20" x14ac:dyDescent="0.25">
      <c r="A10" s="5">
        <v>44583</v>
      </c>
      <c r="B10">
        <v>4.8469999999999999E-2</v>
      </c>
      <c r="C10">
        <v>5.1069999999999997E-2</v>
      </c>
      <c r="D10">
        <v>4.2389999999999997E-2</v>
      </c>
      <c r="E10">
        <v>4.351E-2</v>
      </c>
      <c r="F10">
        <v>208976165.13999999</v>
      </c>
      <c r="G10">
        <v>4.351E-2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-0.74193548387096708</v>
      </c>
      <c r="Q10">
        <f t="shared" ref="Q10" si="26">F10*P10</f>
        <v>-155046832.200645</v>
      </c>
      <c r="R10">
        <f t="shared" ref="R10" si="27">R11+Q10</f>
        <v>-13224812283.565161</v>
      </c>
      <c r="S10">
        <f t="shared" ref="S10" si="28">R10/100000</f>
        <v>-132248.12283565159</v>
      </c>
      <c r="T10">
        <f t="shared" ref="T10" si="29">S10/1000</f>
        <v>-132.2481228356516</v>
      </c>
    </row>
    <row r="11" spans="1:20" x14ac:dyDescent="0.25">
      <c r="A11" s="5">
        <v>44582</v>
      </c>
      <c r="B11">
        <v>5.8250000000000003E-2</v>
      </c>
      <c r="C11">
        <v>5.9790000000000003E-2</v>
      </c>
      <c r="D11">
        <v>4.7210000000000002E-2</v>
      </c>
      <c r="E11">
        <v>4.8500000000000001E-2</v>
      </c>
      <c r="F11">
        <v>251534518.68000001</v>
      </c>
      <c r="G11">
        <v>4.8500000000000001E-2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-0.79491255961844209</v>
      </c>
      <c r="Q11">
        <f t="shared" ref="Q11" si="31">F11*P11</f>
        <v>-199947948.07631165</v>
      </c>
      <c r="R11">
        <f t="shared" ref="R11" si="32">R12+Q11</f>
        <v>-13069765451.364515</v>
      </c>
      <c r="S11">
        <f t="shared" ref="S11" si="33">R11/100000</f>
        <v>-130697.65451364515</v>
      </c>
      <c r="T11">
        <f t="shared" ref="T11" si="34">S11/1000</f>
        <v>-130.69765451364515</v>
      </c>
    </row>
    <row r="12" spans="1:20" x14ac:dyDescent="0.25">
      <c r="A12" s="5">
        <v>44581</v>
      </c>
      <c r="B12">
        <v>6.5530000000000005E-2</v>
      </c>
      <c r="C12">
        <v>6.898E-2</v>
      </c>
      <c r="D12">
        <v>5.8169999999999999E-2</v>
      </c>
      <c r="E12">
        <v>5.8349999999999999E-2</v>
      </c>
      <c r="F12">
        <v>192771691.59999999</v>
      </c>
      <c r="G12">
        <v>5.8349999999999999E-2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-0.96669750231267348</v>
      </c>
      <c r="Q12">
        <f t="shared" ref="Q12" si="36">F12*P12</f>
        <v>-186351912.78630897</v>
      </c>
      <c r="R12">
        <f t="shared" ref="R12" si="37">R13+Q12</f>
        <v>-12869817503.288204</v>
      </c>
      <c r="S12">
        <f t="shared" ref="S12" si="38">R12/100000</f>
        <v>-128698.17503288205</v>
      </c>
      <c r="T12">
        <f t="shared" ref="T12" si="39">S12/1000</f>
        <v>-128.69817503288206</v>
      </c>
    </row>
    <row r="13" spans="1:20" x14ac:dyDescent="0.25">
      <c r="A13" s="5">
        <v>44580</v>
      </c>
      <c r="B13">
        <v>6.7510000000000001E-2</v>
      </c>
      <c r="C13">
        <v>7.2760000000000005E-2</v>
      </c>
      <c r="D13">
        <v>6.5299999999999997E-2</v>
      </c>
      <c r="E13">
        <v>6.5530000000000005E-2</v>
      </c>
      <c r="F13">
        <v>202762272.44999999</v>
      </c>
      <c r="G13">
        <v>6.5530000000000005E-2</v>
      </c>
      <c r="L13" t="s">
        <v>7</v>
      </c>
      <c r="M13" t="s">
        <v>8</v>
      </c>
      <c r="N13" t="s">
        <v>8</v>
      </c>
      <c r="P13">
        <f t="shared" ref="P13" si="40">IF(C13=D13,0,((E13-D13)-(C13-E13))/(C13-D13))</f>
        <v>-0.93833780160857705</v>
      </c>
      <c r="Q13">
        <f t="shared" ref="Q13" si="41">F13*P13</f>
        <v>-190259504.97989234</v>
      </c>
      <c r="R13">
        <f t="shared" ref="R13" si="42">R14+Q13</f>
        <v>-12683465590.501896</v>
      </c>
      <c r="S13">
        <f t="shared" ref="S13" si="43">R13/100000</f>
        <v>-126834.65590501895</v>
      </c>
      <c r="T13">
        <f t="shared" ref="T13" si="44">S13/1000</f>
        <v>-126.83465590501895</v>
      </c>
    </row>
    <row r="14" spans="1:20" x14ac:dyDescent="0.25">
      <c r="A14" s="5">
        <v>44579</v>
      </c>
      <c r="B14">
        <v>6.2880000000000005E-2</v>
      </c>
      <c r="C14">
        <v>7.3999999999999996E-2</v>
      </c>
      <c r="D14">
        <v>6.2799999999999995E-2</v>
      </c>
      <c r="E14">
        <v>6.7510000000000001E-2</v>
      </c>
      <c r="F14">
        <v>346228784.98000002</v>
      </c>
      <c r="G14">
        <v>6.7510000000000001E-2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-0.1589285714285705</v>
      </c>
      <c r="Q14">
        <f t="shared" ref="Q14" si="46">F14*P14</f>
        <v>-55025646.184321113</v>
      </c>
      <c r="R14">
        <f t="shared" ref="R14" si="47">R15+Q14</f>
        <v>-12493206085.522003</v>
      </c>
      <c r="S14">
        <f t="shared" ref="S14" si="48">R14/100000</f>
        <v>-124932.06085522003</v>
      </c>
      <c r="T14">
        <f t="shared" ref="T14" si="49">S14/1000</f>
        <v>-124.93206085522003</v>
      </c>
    </row>
    <row r="15" spans="1:20" x14ac:dyDescent="0.25">
      <c r="A15" s="5">
        <v>44578</v>
      </c>
      <c r="B15">
        <v>6.9159999999999999E-2</v>
      </c>
      <c r="C15">
        <v>6.9900000000000004E-2</v>
      </c>
      <c r="D15">
        <v>6.0819999999999999E-2</v>
      </c>
      <c r="E15">
        <v>6.2880000000000005E-2</v>
      </c>
      <c r="F15">
        <v>232841769.56</v>
      </c>
      <c r="G15">
        <v>6.2880000000000005E-2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-0.54625550660792832</v>
      </c>
      <c r="Q15">
        <f t="shared" ref="Q15" si="51">F15*P15</f>
        <v>-127191098.79048431</v>
      </c>
      <c r="R15">
        <f t="shared" ref="R15" si="52">R16+Q15</f>
        <v>-12438180439.337683</v>
      </c>
      <c r="S15">
        <f t="shared" ref="S15" si="53">R15/100000</f>
        <v>-124381.80439337682</v>
      </c>
      <c r="T15">
        <f t="shared" ref="T15" si="54">S15/1000</f>
        <v>-124.38180439337683</v>
      </c>
    </row>
    <row r="16" spans="1:20" x14ac:dyDescent="0.25">
      <c r="A16" s="5">
        <v>44577</v>
      </c>
      <c r="B16">
        <v>6.5460000000000004E-2</v>
      </c>
      <c r="C16">
        <v>7.7700000000000005E-2</v>
      </c>
      <c r="D16">
        <v>6.4439999999999997E-2</v>
      </c>
      <c r="E16">
        <v>6.93E-2</v>
      </c>
      <c r="F16">
        <v>798231589.23000002</v>
      </c>
      <c r="G16">
        <v>6.93E-2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-0.26696832579185514</v>
      </c>
      <c r="Q16">
        <f t="shared" ref="Q16" si="56">F16*P16</f>
        <v>-213102550.97090495</v>
      </c>
      <c r="R16">
        <f t="shared" ref="R16" si="57">R17+Q16</f>
        <v>-12310989340.547199</v>
      </c>
      <c r="S16">
        <f t="shared" ref="S16" si="58">R16/100000</f>
        <v>-123109.89340547199</v>
      </c>
      <c r="T16">
        <f t="shared" ref="T16" si="59">S16/1000</f>
        <v>-123.10989340547199</v>
      </c>
    </row>
    <row r="17" spans="1:20" x14ac:dyDescent="0.25">
      <c r="A17" s="5">
        <v>44576</v>
      </c>
      <c r="B17">
        <v>5.28E-2</v>
      </c>
      <c r="C17">
        <v>7.2900000000000006E-2</v>
      </c>
      <c r="D17">
        <v>5.2159999999999998E-2</v>
      </c>
      <c r="E17">
        <v>6.5449999999999994E-2</v>
      </c>
      <c r="F17">
        <v>808013966.59000003</v>
      </c>
      <c r="G17">
        <v>6.5449999999999994E-2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0.28158148505303671</v>
      </c>
      <c r="Q17">
        <f t="shared" ref="Q17" si="61">F17*P17</f>
        <v>227521772.65600699</v>
      </c>
      <c r="R17">
        <f t="shared" ref="R17" si="62">R18+Q17</f>
        <v>-12097886789.576294</v>
      </c>
      <c r="S17">
        <f t="shared" ref="S17" si="63">R17/100000</f>
        <v>-120978.86789576295</v>
      </c>
      <c r="T17">
        <f t="shared" ref="T17" si="64">S17/1000</f>
        <v>-120.97886789576295</v>
      </c>
    </row>
    <row r="18" spans="1:20" x14ac:dyDescent="0.25">
      <c r="A18" s="5">
        <v>44575</v>
      </c>
      <c r="B18">
        <v>5.4440000000000002E-2</v>
      </c>
      <c r="C18">
        <v>5.6090000000000001E-2</v>
      </c>
      <c r="D18">
        <v>5.0380000000000001E-2</v>
      </c>
      <c r="E18">
        <v>5.2810000000000003E-2</v>
      </c>
      <c r="F18">
        <v>113076458.88</v>
      </c>
      <c r="G18">
        <v>5.2810000000000003E-2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-0.1488616462346754</v>
      </c>
      <c r="Q18">
        <f t="shared" ref="Q18" si="66">F18*P18</f>
        <v>-16832747.819264378</v>
      </c>
      <c r="R18">
        <f t="shared" ref="R18" si="67">R19+Q18</f>
        <v>-12325408562.232302</v>
      </c>
      <c r="S18">
        <f t="shared" ref="S18" si="68">R18/100000</f>
        <v>-123254.08562232302</v>
      </c>
      <c r="T18">
        <f t="shared" ref="T18" si="69">S18/1000</f>
        <v>-123.25408562232302</v>
      </c>
    </row>
    <row r="19" spans="1:20" x14ac:dyDescent="0.25">
      <c r="A19" s="5">
        <v>44574</v>
      </c>
      <c r="B19">
        <v>5.5489999999999998E-2</v>
      </c>
      <c r="C19">
        <v>5.7579999999999999E-2</v>
      </c>
      <c r="D19">
        <v>5.2900000000000003E-2</v>
      </c>
      <c r="E19">
        <v>5.4440000000000002E-2</v>
      </c>
      <c r="F19">
        <v>102951540.84999999</v>
      </c>
      <c r="G19">
        <v>5.4440000000000002E-2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-0.34188034188034155</v>
      </c>
      <c r="Q19">
        <f t="shared" ref="Q19" si="71">F19*P19</f>
        <v>-35197107.982905947</v>
      </c>
      <c r="R19">
        <f t="shared" ref="R19" si="72">R20+Q19</f>
        <v>-12308575814.413038</v>
      </c>
      <c r="S19">
        <f t="shared" ref="S19" si="73">R19/100000</f>
        <v>-123085.75814413038</v>
      </c>
      <c r="T19">
        <f t="shared" ref="T19" si="74">S19/1000</f>
        <v>-123.08575814413038</v>
      </c>
    </row>
    <row r="20" spans="1:20" x14ac:dyDescent="0.25">
      <c r="A20" s="5">
        <v>44573</v>
      </c>
      <c r="B20">
        <v>5.3030000000000001E-2</v>
      </c>
      <c r="C20">
        <v>5.6349999999999997E-2</v>
      </c>
      <c r="D20">
        <v>5.2540000000000003E-2</v>
      </c>
      <c r="E20">
        <v>5.5440000000000003E-2</v>
      </c>
      <c r="F20">
        <v>103106534.31</v>
      </c>
      <c r="G20">
        <v>5.5440000000000003E-2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0.5223097112860916</v>
      </c>
      <c r="Q20">
        <f t="shared" ref="Q20" si="76">F20*P20</f>
        <v>53853544.1671656</v>
      </c>
      <c r="R20">
        <f t="shared" ref="R20" si="77">R21+Q20</f>
        <v>-12273378706.430132</v>
      </c>
      <c r="S20">
        <f t="shared" ref="S20" si="78">R20/100000</f>
        <v>-122733.78706430132</v>
      </c>
      <c r="T20">
        <f t="shared" ref="T20" si="79">S20/1000</f>
        <v>-122.73378706430131</v>
      </c>
    </row>
    <row r="21" spans="1:20" x14ac:dyDescent="0.25">
      <c r="A21" s="5">
        <v>44572</v>
      </c>
      <c r="B21">
        <v>4.9599999999999998E-2</v>
      </c>
      <c r="C21">
        <v>5.5640000000000002E-2</v>
      </c>
      <c r="D21">
        <v>4.9059999999999999E-2</v>
      </c>
      <c r="E21">
        <v>5.2990000000000002E-2</v>
      </c>
      <c r="F21">
        <v>98681041.260000005</v>
      </c>
      <c r="G21">
        <v>5.2990000000000002E-2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0.19452887537993965</v>
      </c>
      <c r="Q21">
        <f t="shared" ref="Q21" si="81">F21*P21</f>
        <v>19196311.977629226</v>
      </c>
      <c r="R21">
        <f t="shared" ref="R21" si="82">R22+Q21</f>
        <v>-12327232250.597298</v>
      </c>
      <c r="S21">
        <f t="shared" ref="S21" si="83">R21/100000</f>
        <v>-123272.32250597297</v>
      </c>
      <c r="T21">
        <f t="shared" ref="T21" si="84">S21/1000</f>
        <v>-123.27232250597298</v>
      </c>
    </row>
    <row r="22" spans="1:20" x14ac:dyDescent="0.25">
      <c r="A22" s="5">
        <v>44571</v>
      </c>
      <c r="B22">
        <v>5.2159999999999998E-2</v>
      </c>
      <c r="C22">
        <v>5.3429999999999998E-2</v>
      </c>
      <c r="D22">
        <v>4.6530000000000002E-2</v>
      </c>
      <c r="E22">
        <v>4.9639999999999997E-2</v>
      </c>
      <c r="F22">
        <v>84177947.060000002</v>
      </c>
      <c r="G22">
        <v>4.9639999999999997E-2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-9.8550724637682219E-2</v>
      </c>
      <c r="Q22">
        <f t="shared" ref="Q22" si="86">F22*P22</f>
        <v>-8295797.6812754516</v>
      </c>
      <c r="R22">
        <f t="shared" ref="R22" si="87">R23+Q22</f>
        <v>-12346428562.574926</v>
      </c>
      <c r="S22">
        <f t="shared" ref="S22" si="88">R22/100000</f>
        <v>-123464.28562574927</v>
      </c>
      <c r="T22">
        <f t="shared" ref="T22" si="89">S22/1000</f>
        <v>-123.46428562574927</v>
      </c>
    </row>
    <row r="23" spans="1:20" x14ac:dyDescent="0.25">
      <c r="A23" s="5">
        <v>44570</v>
      </c>
      <c r="B23">
        <v>5.2260000000000001E-2</v>
      </c>
      <c r="C23">
        <v>5.459E-2</v>
      </c>
      <c r="D23">
        <v>5.0259999999999999E-2</v>
      </c>
      <c r="E23">
        <v>5.2220000000000003E-2</v>
      </c>
      <c r="F23">
        <v>62235997.280000001</v>
      </c>
      <c r="G23">
        <v>5.2220000000000003E-2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-9.4688221709005468E-2</v>
      </c>
      <c r="Q23">
        <f t="shared" ref="Q23" si="91">F23*P23</f>
        <v>-5893015.9087297013</v>
      </c>
      <c r="R23">
        <f t="shared" ref="R23" si="92">R24+Q23</f>
        <v>-12338132764.89365</v>
      </c>
      <c r="S23">
        <f t="shared" ref="S23" si="93">R23/100000</f>
        <v>-123381.32764893649</v>
      </c>
      <c r="T23">
        <f t="shared" ref="T23" si="94">S23/1000</f>
        <v>-123.38132764893649</v>
      </c>
    </row>
    <row r="24" spans="1:20" x14ac:dyDescent="0.25">
      <c r="A24" s="5">
        <v>44569</v>
      </c>
      <c r="B24">
        <v>5.3949999999999998E-2</v>
      </c>
      <c r="C24">
        <v>5.6649999999999999E-2</v>
      </c>
      <c r="D24">
        <v>0.05</v>
      </c>
      <c r="E24">
        <v>5.2200000000000003E-2</v>
      </c>
      <c r="F24">
        <v>87115312.859999999</v>
      </c>
      <c r="G24">
        <v>5.2200000000000003E-2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-0.33834586466165356</v>
      </c>
      <c r="Q24">
        <f t="shared" ref="Q24" si="96">F24*P24</f>
        <v>-29475105.854887169</v>
      </c>
      <c r="R24">
        <f t="shared" ref="R24" si="97">R25+Q24</f>
        <v>-12332239748.984921</v>
      </c>
      <c r="S24">
        <f t="shared" ref="S24" si="98">R24/100000</f>
        <v>-123322.3974898492</v>
      </c>
      <c r="T24">
        <f t="shared" ref="T24" si="99">S24/1000</f>
        <v>-123.32239748984919</v>
      </c>
    </row>
    <row r="25" spans="1:20" x14ac:dyDescent="0.25">
      <c r="A25" s="5">
        <v>44568</v>
      </c>
      <c r="B25">
        <v>6.0080000000000001E-2</v>
      </c>
      <c r="C25">
        <v>6.0100000000000001E-2</v>
      </c>
      <c r="D25">
        <v>5.3449999999999998E-2</v>
      </c>
      <c r="E25">
        <v>5.389E-2</v>
      </c>
      <c r="F25">
        <v>104478781.14</v>
      </c>
      <c r="G25">
        <v>5.389E-2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-0.86766917293233004</v>
      </c>
      <c r="Q25">
        <f t="shared" ref="Q25" si="101">F25*P25</f>
        <v>-90653017.620721728</v>
      </c>
      <c r="R25">
        <f t="shared" ref="R25" si="102">R26+Q25</f>
        <v>-12302764643.130033</v>
      </c>
      <c r="S25">
        <f t="shared" ref="S25" si="103">R25/100000</f>
        <v>-123027.64643130034</v>
      </c>
      <c r="T25">
        <f t="shared" ref="T25" si="104">S25/1000</f>
        <v>-123.02764643130034</v>
      </c>
    </row>
    <row r="26" spans="1:20" x14ac:dyDescent="0.25">
      <c r="A26" s="5">
        <v>44567</v>
      </c>
      <c r="B26">
        <v>6.2789999999999999E-2</v>
      </c>
      <c r="C26">
        <v>6.3210000000000002E-2</v>
      </c>
      <c r="D26">
        <v>5.8779999999999999E-2</v>
      </c>
      <c r="E26">
        <v>6.0089999999999998E-2</v>
      </c>
      <c r="F26">
        <v>101676461.22</v>
      </c>
      <c r="G26">
        <v>6.0089999999999998E-2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-0.4085778781038385</v>
      </c>
      <c r="Q26">
        <f t="shared" ref="Q26" si="106">F26*P26</f>
        <v>-41542752.778374821</v>
      </c>
      <c r="R26">
        <f t="shared" ref="R26" si="107">R27+Q26</f>
        <v>-12212111625.509312</v>
      </c>
      <c r="S26">
        <f t="shared" ref="S26" si="108">R26/100000</f>
        <v>-122121.11625509312</v>
      </c>
      <c r="T26">
        <f t="shared" ref="T26" si="109">S26/1000</f>
        <v>-122.12111625509311</v>
      </c>
    </row>
    <row r="27" spans="1:20" x14ac:dyDescent="0.25">
      <c r="A27" s="5">
        <v>44566</v>
      </c>
      <c r="B27">
        <v>6.6180000000000003E-2</v>
      </c>
      <c r="C27">
        <v>6.8989999999999996E-2</v>
      </c>
      <c r="D27">
        <v>6.1120000000000001E-2</v>
      </c>
      <c r="E27">
        <v>6.2729999999999994E-2</v>
      </c>
      <c r="F27">
        <v>139946437.52000001</v>
      </c>
      <c r="G27">
        <v>6.2729999999999994E-2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-0.59085133418043345</v>
      </c>
      <c r="Q27">
        <f t="shared" ref="Q27" si="111">F27*P27</f>
        <v>-82687539.322490677</v>
      </c>
      <c r="R27">
        <f t="shared" ref="R27" si="112">R28+Q27</f>
        <v>-12170568872.730936</v>
      </c>
      <c r="S27">
        <f t="shared" ref="S27" si="113">R27/100000</f>
        <v>-121705.68872730936</v>
      </c>
      <c r="T27">
        <f t="shared" ref="T27" si="114">S27/1000</f>
        <v>-121.70568872730937</v>
      </c>
    </row>
    <row r="28" spans="1:20" x14ac:dyDescent="0.25">
      <c r="A28" s="5">
        <v>44565</v>
      </c>
      <c r="B28">
        <v>6.7030000000000006E-2</v>
      </c>
      <c r="C28">
        <v>6.9500000000000006E-2</v>
      </c>
      <c r="D28">
        <v>6.5420000000000006E-2</v>
      </c>
      <c r="E28">
        <v>6.6259999999999999E-2</v>
      </c>
      <c r="F28">
        <v>99295732.650000006</v>
      </c>
      <c r="G28">
        <v>6.6259999999999999E-2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-0.5882352941176503</v>
      </c>
      <c r="Q28">
        <f t="shared" ref="Q28" si="116">F28*P28</f>
        <v>-58409254.500000328</v>
      </c>
      <c r="R28">
        <f t="shared" ref="R28" si="117">R29+Q28</f>
        <v>-12087881333.408445</v>
      </c>
      <c r="S28">
        <f t="shared" ref="S28" si="118">R28/100000</f>
        <v>-120878.81333408445</v>
      </c>
      <c r="T28">
        <f t="shared" ref="T28" si="119">S28/1000</f>
        <v>-120.87881333408446</v>
      </c>
    </row>
    <row r="29" spans="1:20" x14ac:dyDescent="0.25">
      <c r="A29" s="5">
        <v>44564</v>
      </c>
      <c r="B29">
        <v>6.8879999999999997E-2</v>
      </c>
      <c r="C29">
        <v>7.1879999999999999E-2</v>
      </c>
      <c r="D29">
        <v>6.5129999999999993E-2</v>
      </c>
      <c r="E29">
        <v>6.7030000000000006E-2</v>
      </c>
      <c r="F29">
        <v>133840400.45999999</v>
      </c>
      <c r="G29">
        <v>6.7030000000000006E-2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-0.43703703703703373</v>
      </c>
      <c r="Q29">
        <f t="shared" ref="Q29" si="121">F29*P29</f>
        <v>-58493212.052888446</v>
      </c>
      <c r="R29">
        <f t="shared" ref="R29" si="122">R30+Q29</f>
        <v>-12029472078.908445</v>
      </c>
      <c r="S29">
        <f t="shared" ref="S29" si="123">R29/100000</f>
        <v>-120294.72078908446</v>
      </c>
      <c r="T29">
        <f t="shared" ref="T29" si="124">S29/1000</f>
        <v>-120.29472078908447</v>
      </c>
    </row>
    <row r="30" spans="1:20" x14ac:dyDescent="0.25">
      <c r="A30" s="5">
        <v>44563</v>
      </c>
      <c r="B30">
        <v>6.5759999999999999E-2</v>
      </c>
      <c r="C30">
        <v>7.5840000000000005E-2</v>
      </c>
      <c r="D30">
        <v>6.3950000000000007E-2</v>
      </c>
      <c r="E30">
        <v>6.8930000000000005E-2</v>
      </c>
      <c r="F30">
        <v>255917523.34999999</v>
      </c>
      <c r="G30">
        <v>6.8930000000000005E-2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-0.16232127838519778</v>
      </c>
      <c r="Q30">
        <f t="shared" ref="Q30" si="126">F30*P30</f>
        <v>-41540859.551345699</v>
      </c>
      <c r="R30">
        <f t="shared" ref="R30" si="127">R31+Q30</f>
        <v>-11970978866.855556</v>
      </c>
      <c r="S30">
        <f t="shared" ref="S30" si="128">R30/100000</f>
        <v>-119709.78866855557</v>
      </c>
      <c r="T30">
        <f t="shared" ref="T30" si="129">S30/1000</f>
        <v>-119.70978866855557</v>
      </c>
    </row>
    <row r="31" spans="1:20" x14ac:dyDescent="0.25">
      <c r="A31" s="5">
        <v>44562</v>
      </c>
      <c r="B31">
        <v>6.336E-2</v>
      </c>
      <c r="C31">
        <v>6.6269999999999996E-2</v>
      </c>
      <c r="D31">
        <v>6.336E-2</v>
      </c>
      <c r="E31">
        <v>6.5740000000000007E-2</v>
      </c>
      <c r="F31">
        <v>36793127.280000001</v>
      </c>
      <c r="G31">
        <v>6.5740000000000007E-2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0.63573883161512745</v>
      </c>
      <c r="Q31">
        <f t="shared" ref="Q31" si="131">F31*P31</f>
        <v>23390819.748453874</v>
      </c>
      <c r="R31">
        <f t="shared" ref="R31" si="132">R32+Q31</f>
        <v>-11929438007.304211</v>
      </c>
      <c r="S31">
        <f t="shared" ref="S31" si="133">R31/100000</f>
        <v>-119294.38007304211</v>
      </c>
      <c r="T31">
        <f t="shared" ref="T31" si="134">S31/1000</f>
        <v>-119.29438007304211</v>
      </c>
    </row>
    <row r="32" spans="1:20" x14ac:dyDescent="0.25">
      <c r="A32" s="5">
        <v>44561</v>
      </c>
      <c r="B32">
        <v>6.361E-2</v>
      </c>
      <c r="C32">
        <v>6.6909999999999997E-2</v>
      </c>
      <c r="D32">
        <v>6.2469999999999998E-2</v>
      </c>
      <c r="E32">
        <v>6.3369999999999996E-2</v>
      </c>
      <c r="F32">
        <v>63971676.350000001</v>
      </c>
      <c r="G32">
        <v>6.3369999999999996E-2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-0.5945945945945954</v>
      </c>
      <c r="Q32">
        <f t="shared" ref="Q32" si="136">F32*P32</f>
        <v>-38037212.964864917</v>
      </c>
      <c r="R32">
        <f t="shared" ref="R32" si="137">R33+Q32</f>
        <v>-11952828827.052664</v>
      </c>
      <c r="S32">
        <f t="shared" ref="S32" si="138">R32/100000</f>
        <v>-119528.28827052664</v>
      </c>
      <c r="T32">
        <f t="shared" ref="T32" si="139">S32/1000</f>
        <v>-119.52828827052664</v>
      </c>
    </row>
    <row r="33" spans="1:20" x14ac:dyDescent="0.25">
      <c r="A33" s="5">
        <v>44560</v>
      </c>
      <c r="B33">
        <v>6.5579999999999999E-2</v>
      </c>
      <c r="C33">
        <v>6.6189999999999999E-2</v>
      </c>
      <c r="D33">
        <v>6.3030000000000003E-2</v>
      </c>
      <c r="E33">
        <v>6.3630000000000006E-2</v>
      </c>
      <c r="F33">
        <v>89994883.640000001</v>
      </c>
      <c r="G33">
        <v>6.3630000000000006E-2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-0.62025316455695945</v>
      </c>
      <c r="Q33">
        <f t="shared" ref="Q33" si="141">F33*P33</f>
        <v>-55819611.371645339</v>
      </c>
      <c r="R33">
        <f t="shared" ref="R33" si="142">R34+Q33</f>
        <v>-11914791614.087799</v>
      </c>
      <c r="S33">
        <f t="shared" ref="S33" si="143">R33/100000</f>
        <v>-119147.91614087799</v>
      </c>
      <c r="T33">
        <f t="shared" ref="T33" si="144">S33/1000</f>
        <v>-119.147916140878</v>
      </c>
    </row>
    <row r="34" spans="1:20" x14ac:dyDescent="0.25">
      <c r="A34" s="5">
        <v>44559</v>
      </c>
      <c r="B34">
        <v>6.8409999999999999E-2</v>
      </c>
      <c r="C34">
        <v>7.2450000000000001E-2</v>
      </c>
      <c r="D34">
        <v>6.5100000000000005E-2</v>
      </c>
      <c r="E34">
        <v>6.5610000000000002E-2</v>
      </c>
      <c r="F34">
        <v>82162961.810000002</v>
      </c>
      <c r="G34">
        <v>6.5610000000000002E-2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-0.86122448979591926</v>
      </c>
      <c r="Q34">
        <f t="shared" ref="Q34" si="146">F34*P34</f>
        <v>-70760754.864938855</v>
      </c>
      <c r="R34">
        <f t="shared" ref="R34" si="147">R35+Q34</f>
        <v>-11858972002.716154</v>
      </c>
      <c r="S34">
        <f t="shared" ref="S34" si="148">R34/100000</f>
        <v>-118589.72002716154</v>
      </c>
      <c r="T34">
        <f t="shared" ref="T34" si="149">S34/1000</f>
        <v>-118.58972002716155</v>
      </c>
    </row>
    <row r="35" spans="1:20" x14ac:dyDescent="0.25">
      <c r="A35" s="5">
        <v>44558</v>
      </c>
      <c r="B35">
        <v>7.4359999999999996E-2</v>
      </c>
      <c r="C35">
        <v>7.4649999999999994E-2</v>
      </c>
      <c r="D35">
        <v>6.7379999999999995E-2</v>
      </c>
      <c r="E35">
        <v>6.8409999999999999E-2</v>
      </c>
      <c r="F35">
        <v>145374364.25999999</v>
      </c>
      <c r="G35">
        <v>6.8409999999999999E-2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-0.71664374140302523</v>
      </c>
      <c r="Q35">
        <f t="shared" ref="Q35" si="151">F35*P35</f>
        <v>-104181628.30737263</v>
      </c>
      <c r="R35">
        <f t="shared" ref="R35" si="152">R36+Q35</f>
        <v>-11788211247.851215</v>
      </c>
      <c r="S35">
        <f t="shared" ref="S35" si="153">R35/100000</f>
        <v>-117882.11247851215</v>
      </c>
      <c r="T35">
        <f t="shared" ref="T35" si="154">S35/1000</f>
        <v>-117.88211247851216</v>
      </c>
    </row>
    <row r="36" spans="1:20" x14ac:dyDescent="0.25">
      <c r="A36" s="5">
        <v>44557</v>
      </c>
      <c r="B36">
        <v>7.1819999999999995E-2</v>
      </c>
      <c r="C36">
        <v>8.8830000000000006E-2</v>
      </c>
      <c r="D36">
        <v>7.1609999999999993E-2</v>
      </c>
      <c r="E36">
        <v>7.4359999999999996E-2</v>
      </c>
      <c r="F36">
        <v>760057755.91999996</v>
      </c>
      <c r="G36">
        <v>7.4359999999999996E-2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-0.68060394889663178</v>
      </c>
      <c r="Q36">
        <f t="shared" ref="Q36" si="156">F36*P36</f>
        <v>-517298310.06866431</v>
      </c>
      <c r="R36">
        <f t="shared" ref="R36" si="157">R37+Q36</f>
        <v>-11684029619.543842</v>
      </c>
      <c r="S36">
        <f t="shared" ref="S36" si="158">R36/100000</f>
        <v>-116840.29619543842</v>
      </c>
      <c r="T36">
        <f t="shared" ref="T36" si="159">S36/1000</f>
        <v>-116.84029619543843</v>
      </c>
    </row>
    <row r="37" spans="1:20" x14ac:dyDescent="0.25">
      <c r="A37" s="5">
        <v>44556</v>
      </c>
      <c r="B37">
        <v>6.8540000000000004E-2</v>
      </c>
      <c r="C37">
        <v>7.3999999999999996E-2</v>
      </c>
      <c r="D37">
        <v>6.6420000000000007E-2</v>
      </c>
      <c r="E37">
        <v>7.1800000000000003E-2</v>
      </c>
      <c r="F37">
        <v>125086744.52</v>
      </c>
      <c r="G37">
        <v>7.1800000000000003E-2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0.41952506596306155</v>
      </c>
      <c r="Q37">
        <f t="shared" ref="Q37" si="161">F37*P37</f>
        <v>52477024.745857626</v>
      </c>
      <c r="R37">
        <f t="shared" ref="R37" si="162">R38+Q37</f>
        <v>-11166731309.475178</v>
      </c>
      <c r="S37">
        <f t="shared" ref="S37" si="163">R37/100000</f>
        <v>-111667.31309475178</v>
      </c>
      <c r="T37">
        <f t="shared" ref="T37" si="164">S37/1000</f>
        <v>-111.66731309475178</v>
      </c>
    </row>
    <row r="38" spans="1:20" x14ac:dyDescent="0.25">
      <c r="A38" s="5">
        <v>44555</v>
      </c>
      <c r="B38">
        <v>6.4579999999999999E-2</v>
      </c>
      <c r="C38">
        <v>6.9669999999999996E-2</v>
      </c>
      <c r="D38">
        <v>6.3939999999999997E-2</v>
      </c>
      <c r="E38">
        <v>6.8589999999999998E-2</v>
      </c>
      <c r="F38">
        <v>114604430.45</v>
      </c>
      <c r="G38">
        <v>6.8589999999999998E-2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0.6230366492146604</v>
      </c>
      <c r="Q38">
        <f t="shared" ref="Q38" si="166">F38*P38</f>
        <v>71402760.332722589</v>
      </c>
      <c r="R38">
        <f t="shared" ref="R38" si="167">R39+Q38</f>
        <v>-11219208334.221035</v>
      </c>
      <c r="S38">
        <f t="shared" ref="S38" si="168">R38/100000</f>
        <v>-112192.08334221035</v>
      </c>
      <c r="T38">
        <f t="shared" ref="T38" si="169">S38/1000</f>
        <v>-112.19208334221035</v>
      </c>
    </row>
    <row r="39" spans="1:20" x14ac:dyDescent="0.25">
      <c r="A39" s="5">
        <v>44554</v>
      </c>
      <c r="B39">
        <v>6.7180000000000004E-2</v>
      </c>
      <c r="C39">
        <v>6.8709999999999993E-2</v>
      </c>
      <c r="D39">
        <v>6.4250000000000002E-2</v>
      </c>
      <c r="E39">
        <v>6.4579999999999999E-2</v>
      </c>
      <c r="F39">
        <v>79911620.819999993</v>
      </c>
      <c r="G39">
        <v>6.4579999999999999E-2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-0.85201793721973207</v>
      </c>
      <c r="Q39">
        <f t="shared" ref="Q39" si="171">F39*P39</f>
        <v>-68086134.330941781</v>
      </c>
      <c r="R39">
        <f t="shared" ref="R39" si="172">R40+Q39</f>
        <v>-11290611094.553757</v>
      </c>
      <c r="S39">
        <f t="shared" ref="S39" si="173">R39/100000</f>
        <v>-112906.11094553757</v>
      </c>
      <c r="T39">
        <f t="shared" ref="T39" si="174">S39/1000</f>
        <v>-112.90611094553756</v>
      </c>
    </row>
    <row r="40" spans="1:20" x14ac:dyDescent="0.25">
      <c r="A40" s="5">
        <v>44553</v>
      </c>
      <c r="B40">
        <v>6.4449999999999993E-2</v>
      </c>
      <c r="C40">
        <v>6.8229999999999999E-2</v>
      </c>
      <c r="D40">
        <v>6.3100000000000003E-2</v>
      </c>
      <c r="E40">
        <v>6.7180000000000004E-2</v>
      </c>
      <c r="F40">
        <v>88134588.489999995</v>
      </c>
      <c r="G40">
        <v>6.7180000000000004E-2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0.59064327485380264</v>
      </c>
      <c r="Q40">
        <f t="shared" ref="Q40" si="176">F40*P40</f>
        <v>52056101.973625854</v>
      </c>
      <c r="R40">
        <f t="shared" ref="R40" si="177">R41+Q40</f>
        <v>-11222524960.222815</v>
      </c>
      <c r="S40">
        <f t="shared" ref="S40" si="178">R40/100000</f>
        <v>-112225.24960222814</v>
      </c>
      <c r="T40">
        <f t="shared" ref="T40" si="179">S40/1000</f>
        <v>-112.22524960222815</v>
      </c>
    </row>
    <row r="41" spans="1:20" x14ac:dyDescent="0.25">
      <c r="A41" s="5">
        <v>44552</v>
      </c>
      <c r="B41">
        <v>6.5619999999999998E-2</v>
      </c>
      <c r="C41">
        <v>6.7570000000000005E-2</v>
      </c>
      <c r="D41">
        <v>6.4019999999999994E-2</v>
      </c>
      <c r="E41">
        <v>6.4449999999999993E-2</v>
      </c>
      <c r="F41">
        <v>92570524.260000005</v>
      </c>
      <c r="G41">
        <v>6.4449999999999993E-2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-0.75774647887324031</v>
      </c>
      <c r="Q41">
        <f t="shared" ref="Q41" si="181">F41*P41</f>
        <v>-70144988.805464879</v>
      </c>
      <c r="R41">
        <f t="shared" ref="R41" si="182">R42+Q41</f>
        <v>-11274581062.19644</v>
      </c>
      <c r="S41">
        <f t="shared" ref="S41" si="183">R41/100000</f>
        <v>-112745.8106219644</v>
      </c>
      <c r="T41">
        <f t="shared" ref="T41" si="184">S41/1000</f>
        <v>-112.7458106219644</v>
      </c>
    </row>
    <row r="42" spans="1:20" x14ac:dyDescent="0.25">
      <c r="A42" s="5">
        <v>44551</v>
      </c>
      <c r="B42">
        <v>6.0479999999999999E-2</v>
      </c>
      <c r="C42">
        <v>6.9000000000000006E-2</v>
      </c>
      <c r="D42">
        <v>5.9130000000000002E-2</v>
      </c>
      <c r="E42">
        <v>6.565E-2</v>
      </c>
      <c r="F42">
        <v>165711902.47999999</v>
      </c>
      <c r="G42">
        <v>6.565E-2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0.32117527862208622</v>
      </c>
      <c r="Q42">
        <f t="shared" ref="Q42" si="186">F42*P42</f>
        <v>53222566.450009979</v>
      </c>
      <c r="R42">
        <f t="shared" ref="R42" si="187">R43+Q42</f>
        <v>-11204436073.390974</v>
      </c>
      <c r="S42">
        <f t="shared" ref="S42" si="188">R42/100000</f>
        <v>-112044.36073390974</v>
      </c>
      <c r="T42">
        <f t="shared" ref="T42" si="189">S42/1000</f>
        <v>-112.04436073390974</v>
      </c>
    </row>
    <row r="43" spans="1:20" x14ac:dyDescent="0.25">
      <c r="A43" s="5">
        <v>44550</v>
      </c>
      <c r="B43">
        <v>6.3920000000000005E-2</v>
      </c>
      <c r="C43">
        <v>6.3930000000000001E-2</v>
      </c>
      <c r="D43">
        <v>5.7500000000000002E-2</v>
      </c>
      <c r="E43">
        <v>6.0449999999999997E-2</v>
      </c>
      <c r="F43">
        <v>69621634.739999995</v>
      </c>
      <c r="G43">
        <v>6.0449999999999997E-2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-8.2426127527217688E-2</v>
      </c>
      <c r="Q43">
        <f t="shared" ref="Q43" si="191">F43*P43</f>
        <v>-5738641.7437326089</v>
      </c>
      <c r="R43">
        <f t="shared" ref="R43" si="192">R44+Q43</f>
        <v>-11257658639.840984</v>
      </c>
      <c r="S43">
        <f t="shared" ref="S43" si="193">R43/100000</f>
        <v>-112576.58639840984</v>
      </c>
      <c r="T43">
        <f t="shared" ref="T43" si="194">S43/1000</f>
        <v>-112.57658639840984</v>
      </c>
    </row>
    <row r="44" spans="1:20" x14ac:dyDescent="0.25">
      <c r="A44" s="5">
        <v>44549</v>
      </c>
      <c r="B44">
        <v>6.4869999999999997E-2</v>
      </c>
      <c r="C44">
        <v>6.7100000000000007E-2</v>
      </c>
      <c r="D44">
        <v>6.1800000000000001E-2</v>
      </c>
      <c r="E44">
        <v>6.3969999999999999E-2</v>
      </c>
      <c r="F44">
        <v>96085153.340000004</v>
      </c>
      <c r="G44">
        <v>6.3969999999999999E-2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-0.18113207547169968</v>
      </c>
      <c r="Q44">
        <f t="shared" ref="Q44" si="196">F44*P44</f>
        <v>-17404103.246490717</v>
      </c>
      <c r="R44">
        <f t="shared" ref="R44" si="197">R45+Q44</f>
        <v>-11251919998.097252</v>
      </c>
      <c r="S44">
        <f t="shared" ref="S44" si="198">R44/100000</f>
        <v>-112519.19998097252</v>
      </c>
      <c r="T44">
        <f t="shared" ref="T44" si="199">S44/1000</f>
        <v>-112.51919998097253</v>
      </c>
    </row>
    <row r="45" spans="1:20" x14ac:dyDescent="0.25">
      <c r="A45" s="5">
        <v>44548</v>
      </c>
      <c r="B45">
        <v>6.0780000000000001E-2</v>
      </c>
      <c r="C45">
        <v>7.0999999999999994E-2</v>
      </c>
      <c r="D45">
        <v>5.8999999999999997E-2</v>
      </c>
      <c r="E45">
        <v>6.4839999999999995E-2</v>
      </c>
      <c r="F45">
        <v>166380177.63</v>
      </c>
      <c r="G45">
        <v>6.4839999999999995E-2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-2.6666666666666745E-2</v>
      </c>
      <c r="Q45">
        <f t="shared" ref="Q45" si="201">F45*P45</f>
        <v>-4436804.7368000131</v>
      </c>
      <c r="R45">
        <f t="shared" ref="R45" si="202">R46+Q45</f>
        <v>-11234515894.850761</v>
      </c>
      <c r="S45">
        <f t="shared" ref="S45" si="203">R45/100000</f>
        <v>-112345.15894850761</v>
      </c>
      <c r="T45">
        <f t="shared" ref="T45" si="204">S45/1000</f>
        <v>-112.34515894850762</v>
      </c>
    </row>
    <row r="46" spans="1:20" x14ac:dyDescent="0.25">
      <c r="A46" s="5">
        <v>44547</v>
      </c>
      <c r="B46">
        <v>6.1940000000000002E-2</v>
      </c>
      <c r="C46">
        <v>6.5329999999999999E-2</v>
      </c>
      <c r="D46">
        <v>5.8999999999999997E-2</v>
      </c>
      <c r="E46">
        <v>6.0780000000000001E-2</v>
      </c>
      <c r="F46">
        <v>86553560.540000007</v>
      </c>
      <c r="G46">
        <v>6.0780000000000001E-2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-0.43759873617693423</v>
      </c>
      <c r="Q46">
        <f t="shared" ref="Q46" si="206">F46*P46</f>
        <v>-37875728.703917772</v>
      </c>
      <c r="R46">
        <f t="shared" ref="R46" si="207">R47+Q46</f>
        <v>-11230079090.113962</v>
      </c>
      <c r="S46">
        <f t="shared" ref="S46" si="208">R46/100000</f>
        <v>-112300.79090113963</v>
      </c>
      <c r="T46">
        <f t="shared" ref="T46" si="209">S46/1000</f>
        <v>-112.30079090113962</v>
      </c>
    </row>
    <row r="47" spans="1:20" x14ac:dyDescent="0.25">
      <c r="A47" s="5">
        <v>44546</v>
      </c>
      <c r="B47">
        <v>6.3049999999999995E-2</v>
      </c>
      <c r="C47">
        <v>6.7000000000000004E-2</v>
      </c>
      <c r="D47">
        <v>6.173E-2</v>
      </c>
      <c r="E47">
        <v>6.1949999999999998E-2</v>
      </c>
      <c r="F47">
        <v>93505941.569999993</v>
      </c>
      <c r="G47">
        <v>6.1949999999999998E-2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-0.91650853889943162</v>
      </c>
      <c r="Q47">
        <f t="shared" ref="Q47" si="211">F47*P47</f>
        <v>-85698993.886736318</v>
      </c>
      <c r="R47">
        <f t="shared" ref="R47" si="212">R48+Q47</f>
        <v>-11192203361.410044</v>
      </c>
      <c r="S47">
        <f t="shared" ref="S47" si="213">R47/100000</f>
        <v>-111922.03361410044</v>
      </c>
      <c r="T47">
        <f t="shared" ref="T47" si="214">S47/1000</f>
        <v>-111.92203361410044</v>
      </c>
    </row>
    <row r="48" spans="1:20" x14ac:dyDescent="0.25">
      <c r="A48" s="5">
        <v>44545</v>
      </c>
      <c r="B48">
        <v>6.1879999999999998E-2</v>
      </c>
      <c r="C48">
        <v>6.4119999999999996E-2</v>
      </c>
      <c r="D48">
        <v>5.7209999999999997E-2</v>
      </c>
      <c r="E48">
        <v>6.3060000000000005E-2</v>
      </c>
      <c r="F48">
        <v>85889856.359999999</v>
      </c>
      <c r="G48">
        <v>6.3060000000000005E-2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0.69319826338639901</v>
      </c>
      <c r="Q48">
        <f t="shared" ref="Q48" si="216">F48*P48</f>
        <v>59538699.271259256</v>
      </c>
      <c r="R48">
        <f t="shared" ref="R48" si="217">R49+Q48</f>
        <v>-11106504367.523308</v>
      </c>
      <c r="S48">
        <f t="shared" ref="S48" si="218">R48/100000</f>
        <v>-111065.04367523307</v>
      </c>
      <c r="T48">
        <f t="shared" ref="T48" si="219">S48/1000</f>
        <v>-111.06504367523307</v>
      </c>
    </row>
    <row r="49" spans="1:20" x14ac:dyDescent="0.25">
      <c r="A49" s="5">
        <v>44544</v>
      </c>
      <c r="B49">
        <v>6.053E-2</v>
      </c>
      <c r="C49">
        <v>6.2899999999999998E-2</v>
      </c>
      <c r="D49">
        <v>5.9069999999999998E-2</v>
      </c>
      <c r="E49">
        <v>6.1870000000000001E-2</v>
      </c>
      <c r="F49">
        <v>77576094.810000002</v>
      </c>
      <c r="G49">
        <v>6.1870000000000001E-2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0.4621409921671038</v>
      </c>
      <c r="Q49">
        <f t="shared" ref="Q49" si="221">F49*P49</f>
        <v>35851093.423942715</v>
      </c>
      <c r="R49">
        <f t="shared" ref="R49" si="222">R50+Q49</f>
        <v>-11166043066.794567</v>
      </c>
      <c r="S49">
        <f t="shared" ref="S49" si="223">R49/100000</f>
        <v>-111660.43066794566</v>
      </c>
      <c r="T49">
        <f t="shared" ref="T49" si="224">S49/1000</f>
        <v>-111.66043066794566</v>
      </c>
    </row>
    <row r="50" spans="1:20" x14ac:dyDescent="0.25">
      <c r="A50" s="5">
        <v>44543</v>
      </c>
      <c r="B50">
        <v>7.1319999999999995E-2</v>
      </c>
      <c r="C50">
        <v>7.1749999999999994E-2</v>
      </c>
      <c r="D50">
        <v>5.9889999999999999E-2</v>
      </c>
      <c r="E50">
        <v>6.053E-2</v>
      </c>
      <c r="F50">
        <v>165636118.97</v>
      </c>
      <c r="G50">
        <v>6.053E-2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-0.89207419898819529</v>
      </c>
      <c r="Q50">
        <f t="shared" ref="Q50" si="226">F50*P50</f>
        <v>-147759708.15367618</v>
      </c>
      <c r="R50">
        <f t="shared" ref="R50" si="227">R51+Q50</f>
        <v>-11201894160.21851</v>
      </c>
      <c r="S50">
        <f t="shared" ref="S50" si="228">R50/100000</f>
        <v>-112018.94160218509</v>
      </c>
      <c r="T50">
        <f t="shared" ref="T50" si="229">S50/1000</f>
        <v>-112.01894160218509</v>
      </c>
    </row>
    <row r="51" spans="1:20" x14ac:dyDescent="0.25">
      <c r="A51" s="5">
        <v>44542</v>
      </c>
      <c r="B51">
        <v>7.0819999999999994E-2</v>
      </c>
      <c r="C51">
        <v>7.2940000000000005E-2</v>
      </c>
      <c r="D51">
        <v>6.8010000000000001E-2</v>
      </c>
      <c r="E51">
        <v>7.1400000000000005E-2</v>
      </c>
      <c r="F51">
        <v>207256425.34</v>
      </c>
      <c r="G51">
        <v>7.1400000000000005E-2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0.37525354969574098</v>
      </c>
      <c r="Q51">
        <f t="shared" ref="Q51" si="231">F51*P51</f>
        <v>77773709.306085318</v>
      </c>
      <c r="R51">
        <f t="shared" ref="R51" si="232">R52+Q51</f>
        <v>-11054134452.064833</v>
      </c>
      <c r="S51">
        <f t="shared" ref="S51" si="233">R51/100000</f>
        <v>-110541.34452064833</v>
      </c>
      <c r="T51">
        <f t="shared" ref="T51" si="234">S51/1000</f>
        <v>-110.54134452064832</v>
      </c>
    </row>
    <row r="52" spans="1:20" x14ac:dyDescent="0.25">
      <c r="A52" s="5">
        <v>44541</v>
      </c>
      <c r="B52">
        <v>6.7549999999999999E-2</v>
      </c>
      <c r="C52">
        <v>6.8930000000000005E-2</v>
      </c>
      <c r="D52">
        <v>6.6049999999999998E-2</v>
      </c>
      <c r="E52">
        <v>6.8699999999999997E-2</v>
      </c>
      <c r="F52">
        <v>5830429.0700000003</v>
      </c>
      <c r="G52">
        <v>6.8699999999999997E-2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0.84027777777777268</v>
      </c>
      <c r="Q52">
        <f t="shared" ref="Q52" si="236">F52*P52</f>
        <v>4899179.9824305261</v>
      </c>
      <c r="R52">
        <f t="shared" ref="R52" si="237">R53+Q52</f>
        <v>-11131908161.370918</v>
      </c>
      <c r="S52">
        <f t="shared" ref="S52" si="238">R52/100000</f>
        <v>-111319.08161370919</v>
      </c>
      <c r="T52">
        <f t="shared" ref="T52" si="239">S52/1000</f>
        <v>-111.31908161370919</v>
      </c>
    </row>
    <row r="53" spans="1:20" x14ac:dyDescent="0.25">
      <c r="A53" s="5">
        <v>44540</v>
      </c>
      <c r="B53">
        <v>7.1660000000000001E-2</v>
      </c>
      <c r="C53">
        <v>7.5649999999999995E-2</v>
      </c>
      <c r="D53">
        <v>6.7119999999999999E-2</v>
      </c>
      <c r="E53">
        <v>6.7500000000000004E-2</v>
      </c>
      <c r="F53">
        <v>171532478.22</v>
      </c>
      <c r="G53">
        <v>6.7500000000000004E-2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-0.9109026963657666</v>
      </c>
      <c r="Q53">
        <f t="shared" ref="Q53" si="241">F53*P53</f>
        <v>-156249396.92490014</v>
      </c>
      <c r="R53">
        <f t="shared" ref="R53" si="242">R54+Q53</f>
        <v>-11136807341.35335</v>
      </c>
      <c r="S53">
        <f t="shared" ref="S53" si="243">R53/100000</f>
        <v>-111368.07341353349</v>
      </c>
      <c r="T53">
        <f t="shared" ref="T53" si="244">S53/1000</f>
        <v>-111.36807341353349</v>
      </c>
    </row>
    <row r="54" spans="1:20" x14ac:dyDescent="0.25">
      <c r="A54" s="5">
        <v>44539</v>
      </c>
      <c r="B54">
        <v>8.1119999999999998E-2</v>
      </c>
      <c r="C54">
        <v>8.3299999999999999E-2</v>
      </c>
      <c r="D54">
        <v>7.1529999999999996E-2</v>
      </c>
      <c r="E54">
        <v>7.1639999999999995E-2</v>
      </c>
      <c r="F54">
        <v>209582512.52000001</v>
      </c>
      <c r="G54">
        <v>7.1639999999999995E-2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-0.98130841121495349</v>
      </c>
      <c r="Q54">
        <f t="shared" ref="Q54" si="246">F54*P54</f>
        <v>-205665082.37943929</v>
      </c>
      <c r="R54">
        <f t="shared" ref="R54" si="247">R55+Q54</f>
        <v>-10980557944.42845</v>
      </c>
      <c r="S54">
        <f t="shared" ref="S54" si="248">R54/100000</f>
        <v>-109805.57944428449</v>
      </c>
      <c r="T54">
        <f t="shared" ref="T54" si="249">S54/1000</f>
        <v>-109.80557944428449</v>
      </c>
    </row>
    <row r="55" spans="1:20" x14ac:dyDescent="0.25">
      <c r="A55" s="5">
        <v>44538</v>
      </c>
      <c r="B55">
        <v>7.8640000000000002E-2</v>
      </c>
      <c r="C55">
        <v>8.4909999999999999E-2</v>
      </c>
      <c r="D55">
        <v>7.5270000000000004E-2</v>
      </c>
      <c r="E55">
        <v>8.1049999999999997E-2</v>
      </c>
      <c r="F55">
        <v>197778356.16999999</v>
      </c>
      <c r="G55">
        <v>8.1049999999999997E-2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0.19917012448132698</v>
      </c>
      <c r="Q55">
        <f t="shared" ref="Q55" si="251">F55*P55</f>
        <v>39391539.818091124</v>
      </c>
      <c r="R55">
        <f t="shared" ref="R55" si="252">R56+Q55</f>
        <v>-10774892862.049011</v>
      </c>
      <c r="S55">
        <f t="shared" ref="S55" si="253">R55/100000</f>
        <v>-107748.92862049011</v>
      </c>
      <c r="T55">
        <f t="shared" ref="T55" si="254">S55/1000</f>
        <v>-107.74892862049012</v>
      </c>
    </row>
    <row r="56" spans="1:20" x14ac:dyDescent="0.25">
      <c r="A56" s="5">
        <v>44537</v>
      </c>
      <c r="B56">
        <v>7.9420000000000004E-2</v>
      </c>
      <c r="C56">
        <v>8.3229999999999998E-2</v>
      </c>
      <c r="D56">
        <v>7.6939999999999995E-2</v>
      </c>
      <c r="E56">
        <v>7.8609999999999999E-2</v>
      </c>
      <c r="F56">
        <v>153148113.88</v>
      </c>
      <c r="G56">
        <v>7.8609999999999999E-2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-0.46899841017487959</v>
      </c>
      <c r="Q56">
        <f t="shared" ref="Q56" si="256">F56*P56</f>
        <v>-71826221.93100141</v>
      </c>
      <c r="R56">
        <f t="shared" ref="R56" si="257">R57+Q56</f>
        <v>-10814284401.867102</v>
      </c>
      <c r="S56">
        <f t="shared" ref="S56" si="258">R56/100000</f>
        <v>-108142.84401867102</v>
      </c>
      <c r="T56">
        <f t="shared" ref="T56" si="259">S56/1000</f>
        <v>-108.14284401867103</v>
      </c>
    </row>
    <row r="57" spans="1:20" x14ac:dyDescent="0.25">
      <c r="A57" s="5">
        <v>44536</v>
      </c>
      <c r="B57">
        <v>8.0740000000000006E-2</v>
      </c>
      <c r="C57">
        <v>8.4709999999999994E-2</v>
      </c>
      <c r="D57">
        <v>7.1199999999999999E-2</v>
      </c>
      <c r="E57">
        <v>7.9409999999999994E-2</v>
      </c>
      <c r="F57">
        <v>211426638.44999999</v>
      </c>
      <c r="G57">
        <v>7.9409999999999994E-2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0.21539600296076958</v>
      </c>
      <c r="Q57">
        <f t="shared" ref="Q57" si="261">F57*P57</f>
        <v>45540452.841561757</v>
      </c>
      <c r="R57">
        <f t="shared" ref="R57" si="262">R58+Q57</f>
        <v>-10742458179.9361</v>
      </c>
      <c r="S57">
        <f t="shared" ref="S57" si="263">R57/100000</f>
        <v>-107424.581799361</v>
      </c>
      <c r="T57">
        <f t="shared" ref="T57" si="264">S57/1000</f>
        <v>-107.42458179936099</v>
      </c>
    </row>
    <row r="58" spans="1:20" x14ac:dyDescent="0.25">
      <c r="A58" s="5">
        <v>44535</v>
      </c>
      <c r="B58">
        <v>8.5860000000000006E-2</v>
      </c>
      <c r="C58">
        <v>8.7830000000000005E-2</v>
      </c>
      <c r="D58">
        <v>7.7020000000000005E-2</v>
      </c>
      <c r="E58">
        <v>8.0629999999999993E-2</v>
      </c>
      <c r="F58">
        <v>103710384.77</v>
      </c>
      <c r="G58">
        <v>8.0629999999999993E-2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-0.33209990749306417</v>
      </c>
      <c r="Q58">
        <f t="shared" ref="Q58" si="266">F58*P58</f>
        <v>-34442209.188187093</v>
      </c>
      <c r="R58">
        <f t="shared" ref="R58" si="267">R59+Q58</f>
        <v>-10787998632.777662</v>
      </c>
      <c r="S58">
        <f t="shared" ref="S58" si="268">R58/100000</f>
        <v>-107879.98632777663</v>
      </c>
      <c r="T58">
        <f t="shared" ref="T58" si="269">S58/1000</f>
        <v>-107.87998632777662</v>
      </c>
    </row>
    <row r="59" spans="1:20" x14ac:dyDescent="0.25">
      <c r="A59" s="5">
        <v>44534</v>
      </c>
      <c r="B59">
        <v>9.9030000000000007E-2</v>
      </c>
      <c r="C59">
        <v>0.10098</v>
      </c>
      <c r="D59">
        <v>7.6999999999999999E-2</v>
      </c>
      <c r="E59">
        <v>8.5860000000000006E-2</v>
      </c>
      <c r="F59">
        <v>232858126.16</v>
      </c>
      <c r="G59">
        <v>8.5860000000000006E-2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-0.26105087572977431</v>
      </c>
      <c r="Q59">
        <f t="shared" ref="Q59" si="271">F59*P59</f>
        <v>-60787817.754862271</v>
      </c>
      <c r="R59">
        <f t="shared" ref="R59" si="272">R60+Q59</f>
        <v>-10753556423.589476</v>
      </c>
      <c r="S59">
        <f t="shared" ref="S59" si="273">R59/100000</f>
        <v>-107535.56423589475</v>
      </c>
      <c r="T59">
        <f t="shared" ref="T59" si="274">S59/1000</f>
        <v>-107.53556423589475</v>
      </c>
    </row>
    <row r="60" spans="1:20" x14ac:dyDescent="0.25">
      <c r="A60" s="5">
        <v>44533</v>
      </c>
      <c r="B60">
        <v>9.912E-2</v>
      </c>
      <c r="C60">
        <v>0.10682</v>
      </c>
      <c r="D60">
        <v>9.5780000000000004E-2</v>
      </c>
      <c r="E60">
        <v>9.9070000000000005E-2</v>
      </c>
      <c r="F60">
        <v>245349707.47</v>
      </c>
      <c r="G60">
        <v>9.9070000000000005E-2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-0.40398550724637627</v>
      </c>
      <c r="Q60">
        <f t="shared" ref="Q60" si="276">F60*P60</f>
        <v>-99117726.025017977</v>
      </c>
      <c r="R60">
        <f t="shared" ref="R60" si="277">R61+Q60</f>
        <v>-10692768605.834614</v>
      </c>
      <c r="S60">
        <f t="shared" ref="S60" si="278">R60/100000</f>
        <v>-106927.68605834614</v>
      </c>
      <c r="T60">
        <f t="shared" ref="T60" si="279">S60/1000</f>
        <v>-106.92768605834614</v>
      </c>
    </row>
    <row r="61" spans="1:20" x14ac:dyDescent="0.25">
      <c r="A61" s="5">
        <v>44532</v>
      </c>
      <c r="B61">
        <v>0.10437</v>
      </c>
      <c r="C61">
        <v>0.1089</v>
      </c>
      <c r="D61">
        <v>9.7100000000000006E-2</v>
      </c>
      <c r="E61">
        <v>9.9210000000000007E-2</v>
      </c>
      <c r="F61">
        <v>199093324.13999999</v>
      </c>
      <c r="G61">
        <v>9.9210000000000007E-2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-0.64237288135593185</v>
      </c>
      <c r="Q61">
        <f t="shared" ref="Q61" si="281">F61*P61</f>
        <v>-127892152.2865423</v>
      </c>
      <c r="R61">
        <f t="shared" ref="R61" si="282">R62+Q61</f>
        <v>-10593650879.809595</v>
      </c>
      <c r="S61">
        <f t="shared" ref="S61" si="283">R61/100000</f>
        <v>-105936.50879809595</v>
      </c>
      <c r="T61">
        <f t="shared" ref="T61" si="284">S61/1000</f>
        <v>-105.93650879809596</v>
      </c>
    </row>
    <row r="62" spans="1:20" x14ac:dyDescent="0.25">
      <c r="A62" s="5">
        <v>44531</v>
      </c>
      <c r="B62">
        <v>9.5829999999999999E-2</v>
      </c>
      <c r="C62">
        <v>0.106</v>
      </c>
      <c r="D62">
        <v>9.5500000000000002E-2</v>
      </c>
      <c r="E62">
        <v>0.10451000000000001</v>
      </c>
      <c r="F62">
        <v>272617832.82999998</v>
      </c>
      <c r="G62">
        <v>0.10451000000000001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0.71619047619047771</v>
      </c>
      <c r="Q62">
        <f t="shared" ref="Q62" si="286">F62*P62</f>
        <v>195246295.51253372</v>
      </c>
      <c r="R62">
        <f t="shared" ref="R62" si="287">R63+Q62</f>
        <v>-10465758727.523052</v>
      </c>
      <c r="S62">
        <f t="shared" ref="S62" si="288">R62/100000</f>
        <v>-104657.58727523051</v>
      </c>
      <c r="T62">
        <f t="shared" ref="T62" si="289">S62/1000</f>
        <v>-104.65758727523051</v>
      </c>
    </row>
    <row r="63" spans="1:20" x14ac:dyDescent="0.25">
      <c r="A63" s="5">
        <v>44530</v>
      </c>
      <c r="B63">
        <v>9.8430000000000004E-2</v>
      </c>
      <c r="C63">
        <v>9.9940000000000001E-2</v>
      </c>
      <c r="D63">
        <v>9.5310000000000006E-2</v>
      </c>
      <c r="E63">
        <v>9.5829999999999999E-2</v>
      </c>
      <c r="F63">
        <v>131721349.51000001</v>
      </c>
      <c r="G63">
        <v>9.5829999999999999E-2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-0.7753779697624219</v>
      </c>
      <c r="Q63">
        <f t="shared" ref="Q63" si="291">F63*P63</f>
        <v>-102133832.55743019</v>
      </c>
      <c r="R63">
        <f t="shared" ref="R63" si="292">R64+Q63</f>
        <v>-10661005023.035585</v>
      </c>
      <c r="S63">
        <f t="shared" ref="S63" si="293">R63/100000</f>
        <v>-106610.05023035586</v>
      </c>
      <c r="T63">
        <f t="shared" ref="T63" si="294">S63/1000</f>
        <v>-106.61005023035587</v>
      </c>
    </row>
    <row r="64" spans="1:20" x14ac:dyDescent="0.25">
      <c r="A64" s="5">
        <v>44529</v>
      </c>
      <c r="B64">
        <v>0.10151</v>
      </c>
      <c r="C64">
        <v>0.10263</v>
      </c>
      <c r="D64">
        <v>9.6629999999999994E-2</v>
      </c>
      <c r="E64">
        <v>9.8430000000000004E-2</v>
      </c>
      <c r="F64">
        <v>157477339.97</v>
      </c>
      <c r="G64">
        <v>9.8430000000000004E-2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-0.39999999999999725</v>
      </c>
      <c r="Q64">
        <f t="shared" ref="Q64" si="296">F64*P64</f>
        <v>-62990935.987999566</v>
      </c>
      <c r="R64">
        <f t="shared" ref="R64" si="297">R65+Q64</f>
        <v>-10558871190.478155</v>
      </c>
      <c r="S64">
        <f t="shared" ref="S64" si="298">R64/100000</f>
        <v>-105588.71190478155</v>
      </c>
      <c r="T64">
        <f t="shared" ref="T64" si="299">S64/1000</f>
        <v>-105.58871190478155</v>
      </c>
    </row>
    <row r="65" spans="1:20" x14ac:dyDescent="0.25">
      <c r="A65" s="5">
        <v>44528</v>
      </c>
      <c r="B65">
        <v>0.1125</v>
      </c>
      <c r="C65">
        <v>0.11434999999999999</v>
      </c>
      <c r="D65">
        <v>9.3200000000000005E-2</v>
      </c>
      <c r="E65">
        <v>0.10138999999999999</v>
      </c>
      <c r="F65">
        <v>290220205.19999999</v>
      </c>
      <c r="G65">
        <v>0.10138999999999999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-0.22553191489361762</v>
      </c>
      <c r="Q65">
        <f t="shared" ref="Q65" si="301">F65*P65</f>
        <v>-65453918.619574644</v>
      </c>
      <c r="R65">
        <f t="shared" ref="R65" si="302">R66+Q65</f>
        <v>-10495880254.490156</v>
      </c>
      <c r="S65">
        <f t="shared" ref="S65" si="303">R65/100000</f>
        <v>-104958.80254490155</v>
      </c>
      <c r="T65">
        <f t="shared" ref="T65" si="304">S65/1000</f>
        <v>-104.95880254490156</v>
      </c>
    </row>
    <row r="66" spans="1:20" x14ac:dyDescent="0.25">
      <c r="A66" s="5">
        <v>44527</v>
      </c>
      <c r="B66">
        <v>9.3670000000000003E-2</v>
      </c>
      <c r="C66">
        <v>0.125</v>
      </c>
      <c r="D66">
        <v>9.3640000000000001E-2</v>
      </c>
      <c r="E66">
        <v>0.11262</v>
      </c>
      <c r="F66">
        <v>953576721.62</v>
      </c>
      <c r="G66">
        <v>0.11262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0.21045918367346922</v>
      </c>
      <c r="Q66">
        <f t="shared" ref="Q66" si="306">F66*P66</f>
        <v>200688978.40216821</v>
      </c>
      <c r="R66">
        <f t="shared" ref="R66" si="307">R67+Q66</f>
        <v>-10430426335.870581</v>
      </c>
      <c r="S66">
        <f t="shared" ref="S66" si="308">R66/100000</f>
        <v>-104304.26335870581</v>
      </c>
      <c r="T66">
        <f t="shared" ref="T66" si="309">S66/1000</f>
        <v>-104.30426335870581</v>
      </c>
    </row>
    <row r="67" spans="1:20" x14ac:dyDescent="0.25">
      <c r="A67" s="5">
        <v>44526</v>
      </c>
      <c r="B67">
        <v>9.6869999999999998E-2</v>
      </c>
      <c r="C67">
        <v>0.10648000000000001</v>
      </c>
      <c r="D67">
        <v>8.7999999999999995E-2</v>
      </c>
      <c r="E67">
        <v>9.3579999999999997E-2</v>
      </c>
      <c r="F67">
        <v>302790305.48000002</v>
      </c>
      <c r="G67">
        <v>9.3579999999999997E-2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-0.39610389610389629</v>
      </c>
      <c r="Q67">
        <f t="shared" ref="Q67" si="311">F67*P67</f>
        <v>-119936419.70311695</v>
      </c>
      <c r="R67">
        <f t="shared" ref="R67" si="312">R68+Q67</f>
        <v>-10631115314.272749</v>
      </c>
      <c r="S67">
        <f t="shared" ref="S67" si="313">R67/100000</f>
        <v>-106311.15314272749</v>
      </c>
      <c r="T67">
        <f t="shared" ref="T67" si="314">S67/1000</f>
        <v>-106.31115314272749</v>
      </c>
    </row>
    <row r="68" spans="1:20" x14ac:dyDescent="0.25">
      <c r="A68" s="5">
        <v>44525</v>
      </c>
      <c r="B68">
        <v>9.4769999999999993E-2</v>
      </c>
      <c r="C68">
        <v>0.10199999999999999</v>
      </c>
      <c r="D68">
        <v>9.4509999999999997E-2</v>
      </c>
      <c r="E68">
        <v>9.6930000000000002E-2</v>
      </c>
      <c r="F68">
        <v>179722853.38</v>
      </c>
      <c r="G68">
        <v>9.6930000000000002E-2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-0.3538050734312399</v>
      </c>
      <c r="Q68">
        <f t="shared" ref="Q68" si="316">F68*P68</f>
        <v>-63586857.33738286</v>
      </c>
      <c r="R68">
        <f t="shared" ref="R68" si="317">R69+Q68</f>
        <v>-10511178894.569632</v>
      </c>
      <c r="S68">
        <f t="shared" ref="S68" si="318">R68/100000</f>
        <v>-105111.78894569632</v>
      </c>
      <c r="T68">
        <f t="shared" ref="T68" si="319">S68/1000</f>
        <v>-105.11178894569632</v>
      </c>
    </row>
    <row r="69" spans="1:20" x14ac:dyDescent="0.25">
      <c r="A69" s="5">
        <v>44524</v>
      </c>
      <c r="B69">
        <v>9.9180000000000004E-2</v>
      </c>
      <c r="C69">
        <v>0.10027</v>
      </c>
      <c r="D69">
        <v>9.6049999999999996E-2</v>
      </c>
      <c r="E69">
        <v>9.6549999999999997E-2</v>
      </c>
      <c r="F69">
        <v>49824089.100000001</v>
      </c>
      <c r="G69">
        <v>9.6549999999999997E-2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-0.76303317535545012</v>
      </c>
      <c r="Q69">
        <f t="shared" ref="Q69" si="321">F69*P69</f>
        <v>-38017432.915165871</v>
      </c>
      <c r="R69">
        <f t="shared" ref="R69" si="322">R70+Q69</f>
        <v>-10447592037.232248</v>
      </c>
      <c r="S69">
        <f t="shared" ref="S69" si="323">R69/100000</f>
        <v>-104475.92037232248</v>
      </c>
      <c r="T69">
        <f t="shared" ref="T69" si="324">S69/1000</f>
        <v>-104.47592037232248</v>
      </c>
    </row>
    <row r="70" spans="1:20" x14ac:dyDescent="0.25">
      <c r="A70" s="5">
        <v>44523</v>
      </c>
      <c r="B70">
        <v>9.3090000000000006E-2</v>
      </c>
      <c r="C70">
        <v>0.10365000000000001</v>
      </c>
      <c r="D70">
        <v>9.2109999999999997E-2</v>
      </c>
      <c r="E70">
        <v>9.9089999999999998E-2</v>
      </c>
      <c r="F70">
        <v>264625410.56999999</v>
      </c>
      <c r="G70">
        <v>9.9089999999999998E-2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0.20970537261698352</v>
      </c>
      <c r="Q70">
        <f t="shared" ref="Q70" si="326">F70*P70</f>
        <v>55493370.327504098</v>
      </c>
      <c r="R70">
        <f t="shared" ref="R70" si="327">R71+Q70</f>
        <v>-10409574604.317083</v>
      </c>
      <c r="S70">
        <f t="shared" ref="S70" si="328">R70/100000</f>
        <v>-104095.74604317083</v>
      </c>
      <c r="T70">
        <f t="shared" ref="T70" si="329">S70/1000</f>
        <v>-104.09574604317083</v>
      </c>
    </row>
    <row r="71" spans="1:20" x14ac:dyDescent="0.25">
      <c r="A71" s="5">
        <v>44522</v>
      </c>
      <c r="B71">
        <v>9.5019999999999993E-2</v>
      </c>
      <c r="C71">
        <v>0.104</v>
      </c>
      <c r="D71">
        <v>9.0999999999999998E-2</v>
      </c>
      <c r="E71">
        <v>9.3090000000000006E-2</v>
      </c>
      <c r="F71">
        <v>273056508.57999998</v>
      </c>
      <c r="G71">
        <v>9.3090000000000006E-2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-0.67846153846153712</v>
      </c>
      <c r="Q71">
        <f t="shared" ref="Q71" si="331">F71*P71</f>
        <v>-185258338.8981227</v>
      </c>
      <c r="R71">
        <f t="shared" ref="R71" si="332">R72+Q71</f>
        <v>-10465067974.644587</v>
      </c>
      <c r="S71">
        <f t="shared" ref="S71" si="333">R71/100000</f>
        <v>-104650.67974644587</v>
      </c>
      <c r="T71">
        <f t="shared" ref="T71" si="334">S71/1000</f>
        <v>-104.65067974644586</v>
      </c>
    </row>
    <row r="72" spans="1:20" x14ac:dyDescent="0.25">
      <c r="A72" s="5">
        <v>44521</v>
      </c>
      <c r="B72">
        <v>9.3700000000000006E-2</v>
      </c>
      <c r="C72">
        <v>0.10593</v>
      </c>
      <c r="D72">
        <v>8.9829999999999993E-2</v>
      </c>
      <c r="E72">
        <v>9.5039999999999999E-2</v>
      </c>
      <c r="F72">
        <v>422098576.89999998</v>
      </c>
      <c r="G72">
        <v>9.5039999999999999E-2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-0.35279503105589999</v>
      </c>
      <c r="Q72">
        <f t="shared" ref="Q72" si="336">F72*P72</f>
        <v>-148914280.54608667</v>
      </c>
      <c r="R72">
        <f t="shared" ref="R72" si="337">R73+Q72</f>
        <v>-10279809635.746464</v>
      </c>
      <c r="S72">
        <f t="shared" ref="S72" si="338">R72/100000</f>
        <v>-102798.09635746464</v>
      </c>
      <c r="T72">
        <f t="shared" ref="T72" si="339">S72/1000</f>
        <v>-102.79809635746464</v>
      </c>
    </row>
    <row r="73" spans="1:20" x14ac:dyDescent="0.25">
      <c r="A73" s="5">
        <v>44520</v>
      </c>
      <c r="B73">
        <v>8.4390000000000007E-2</v>
      </c>
      <c r="C73">
        <v>9.5100000000000004E-2</v>
      </c>
      <c r="D73">
        <v>8.3659999999999998E-2</v>
      </c>
      <c r="E73">
        <v>9.3829999999999997E-2</v>
      </c>
      <c r="F73">
        <v>228881682.66</v>
      </c>
      <c r="G73">
        <v>9.3829999999999997E-2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0.7779720279720268</v>
      </c>
      <c r="Q73">
        <f t="shared" ref="Q73" si="341">F73*P73</f>
        <v>178063546.82465008</v>
      </c>
      <c r="R73">
        <f t="shared" ref="R73" si="342">R74+Q73</f>
        <v>-10130895355.200377</v>
      </c>
      <c r="S73">
        <f t="shared" ref="S73" si="343">R73/100000</f>
        <v>-101308.95355200376</v>
      </c>
      <c r="T73">
        <f t="shared" ref="T73" si="344">S73/1000</f>
        <v>-101.30895355200376</v>
      </c>
    </row>
    <row r="74" spans="1:20" x14ac:dyDescent="0.25">
      <c r="A74" s="5">
        <v>44519</v>
      </c>
      <c r="B74">
        <v>7.9689999999999997E-2</v>
      </c>
      <c r="C74">
        <v>8.5599999999999996E-2</v>
      </c>
      <c r="D74">
        <v>7.7240000000000003E-2</v>
      </c>
      <c r="E74">
        <v>8.4339999999999998E-2</v>
      </c>
      <c r="F74">
        <v>76467154.950000003</v>
      </c>
      <c r="G74">
        <v>8.4339999999999998E-2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0.69856459330143583</v>
      </c>
      <c r="Q74">
        <f t="shared" ref="Q74" si="346">F74*P74</f>
        <v>53417246.998564631</v>
      </c>
      <c r="R74">
        <f t="shared" ref="R74" si="347">R75+Q74</f>
        <v>-10308958902.025026</v>
      </c>
      <c r="S74">
        <f t="shared" ref="S74" si="348">R74/100000</f>
        <v>-103089.58902025026</v>
      </c>
      <c r="T74">
        <f t="shared" ref="T74" si="349">S74/1000</f>
        <v>-103.08958902025026</v>
      </c>
    </row>
    <row r="75" spans="1:20" x14ac:dyDescent="0.25">
      <c r="A75" s="5">
        <v>44518</v>
      </c>
      <c r="B75">
        <v>8.702E-2</v>
      </c>
      <c r="C75">
        <v>8.8679999999999995E-2</v>
      </c>
      <c r="D75">
        <v>7.7200000000000005E-2</v>
      </c>
      <c r="E75">
        <v>7.979E-2</v>
      </c>
      <c r="F75">
        <v>125594492.19</v>
      </c>
      <c r="G75">
        <v>7.979E-2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-0.54878048780487854</v>
      </c>
      <c r="Q75">
        <f t="shared" ref="Q75" si="351">F75*P75</f>
        <v>-68923806.689634204</v>
      </c>
      <c r="R75">
        <f t="shared" ref="R75" si="352">R76+Q75</f>
        <v>-10362376149.02359</v>
      </c>
      <c r="S75">
        <f t="shared" ref="S75" si="353">R75/100000</f>
        <v>-103623.76149023591</v>
      </c>
      <c r="T75">
        <f t="shared" ref="T75" si="354">S75/1000</f>
        <v>-103.62376149023591</v>
      </c>
    </row>
    <row r="76" spans="1:20" x14ac:dyDescent="0.25">
      <c r="A76" s="5">
        <v>44517</v>
      </c>
      <c r="B76">
        <v>8.4839999999999999E-2</v>
      </c>
      <c r="C76">
        <v>8.7499999999999994E-2</v>
      </c>
      <c r="D76">
        <v>8.251E-2</v>
      </c>
      <c r="E76">
        <v>8.7160000000000001E-2</v>
      </c>
      <c r="F76">
        <v>103192883.45999999</v>
      </c>
      <c r="G76">
        <v>8.7160000000000001E-2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0.86372745490982228</v>
      </c>
      <c r="Q76">
        <f t="shared" ref="Q76" si="356">F76*P76</f>
        <v>89130526.595711693</v>
      </c>
      <c r="R76">
        <f t="shared" ref="R76" si="357">R77+Q76</f>
        <v>-10293452342.333956</v>
      </c>
      <c r="S76">
        <f t="shared" ref="S76" si="358">R76/100000</f>
        <v>-102934.52342333956</v>
      </c>
      <c r="T76">
        <f t="shared" ref="T76" si="359">S76/1000</f>
        <v>-102.93452342333956</v>
      </c>
    </row>
    <row r="77" spans="1:20" x14ac:dyDescent="0.25">
      <c r="A77" s="5">
        <v>44516</v>
      </c>
      <c r="B77">
        <v>9.511E-2</v>
      </c>
      <c r="C77">
        <v>9.5189999999999997E-2</v>
      </c>
      <c r="D77">
        <v>8.2419999999999993E-2</v>
      </c>
      <c r="E77">
        <v>8.4830000000000003E-2</v>
      </c>
      <c r="F77">
        <v>146305584.13999999</v>
      </c>
      <c r="G77">
        <v>8.4830000000000003E-2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-0.62255285826154916</v>
      </c>
      <c r="Q77">
        <f t="shared" ref="Q77" si="361">F77*P77</f>
        <v>-91082959.585982561</v>
      </c>
      <c r="R77">
        <f t="shared" ref="R77" si="362">R78+Q77</f>
        <v>-10382582868.929667</v>
      </c>
      <c r="S77">
        <f t="shared" ref="S77" si="363">R77/100000</f>
        <v>-103825.82868929667</v>
      </c>
      <c r="T77">
        <f t="shared" ref="T77" si="364">S77/1000</f>
        <v>-103.82582868929667</v>
      </c>
    </row>
    <row r="78" spans="1:20" x14ac:dyDescent="0.25">
      <c r="A78" s="5">
        <v>44515</v>
      </c>
      <c r="B78">
        <v>9.9180000000000004E-2</v>
      </c>
      <c r="C78">
        <v>9.9709999999999993E-2</v>
      </c>
      <c r="D78">
        <v>9.5000000000000001E-2</v>
      </c>
      <c r="E78">
        <v>9.5170000000000005E-2</v>
      </c>
      <c r="F78">
        <v>105262874.55</v>
      </c>
      <c r="G78">
        <v>9.5170000000000005E-2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-0.92781316348195164</v>
      </c>
      <c r="Q78">
        <f t="shared" ref="Q78" si="366">F78*P78</f>
        <v>-97664280.633439317</v>
      </c>
      <c r="R78">
        <f t="shared" ref="R78" si="367">R79+Q78</f>
        <v>-10291499909.343683</v>
      </c>
      <c r="S78">
        <f t="shared" ref="S78" si="368">R78/100000</f>
        <v>-102914.99909343683</v>
      </c>
      <c r="T78">
        <f t="shared" ref="T78" si="369">S78/1000</f>
        <v>-102.91499909343682</v>
      </c>
    </row>
    <row r="79" spans="1:20" x14ac:dyDescent="0.25">
      <c r="A79" s="5">
        <v>44514</v>
      </c>
      <c r="B79">
        <v>9.887E-2</v>
      </c>
      <c r="C79">
        <v>0.1066</v>
      </c>
      <c r="D79">
        <v>9.7100000000000006E-2</v>
      </c>
      <c r="E79">
        <v>9.9049999999999999E-2</v>
      </c>
      <c r="F79">
        <v>154108749.22</v>
      </c>
      <c r="G79">
        <v>9.9049999999999999E-2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-0.58947368421052748</v>
      </c>
      <c r="Q79">
        <f t="shared" ref="Q79" si="371">F79*P79</f>
        <v>-90843052.171789646</v>
      </c>
      <c r="R79">
        <f t="shared" ref="R79" si="372">R80+Q79</f>
        <v>-10193835628.710243</v>
      </c>
      <c r="S79">
        <f t="shared" ref="S79" si="373">R79/100000</f>
        <v>-101938.35628710243</v>
      </c>
      <c r="T79">
        <f t="shared" ref="T79" si="374">S79/1000</f>
        <v>-101.93835628710244</v>
      </c>
    </row>
    <row r="80" spans="1:20" x14ac:dyDescent="0.25">
      <c r="A80" s="5">
        <v>44513</v>
      </c>
      <c r="B80">
        <v>9.74E-2</v>
      </c>
      <c r="C80">
        <v>0.10199999999999999</v>
      </c>
      <c r="D80">
        <v>9.6799999999999997E-2</v>
      </c>
      <c r="E80">
        <v>9.887E-2</v>
      </c>
      <c r="F80">
        <v>127927449.73</v>
      </c>
      <c r="G80">
        <v>9.887E-2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-0.20384615384615234</v>
      </c>
      <c r="Q80">
        <f t="shared" ref="Q80" si="376">F80*P80</f>
        <v>-26077518.598807503</v>
      </c>
      <c r="R80">
        <f t="shared" ref="R80" si="377">R81+Q80</f>
        <v>-10102992576.538454</v>
      </c>
      <c r="S80">
        <f t="shared" ref="S80" si="378">R80/100000</f>
        <v>-101029.92576538454</v>
      </c>
      <c r="T80">
        <f t="shared" ref="T80" si="379">S80/1000</f>
        <v>-101.02992576538455</v>
      </c>
    </row>
    <row r="81" spans="1:20" x14ac:dyDescent="0.25">
      <c r="A81" s="5">
        <v>44512</v>
      </c>
      <c r="B81">
        <v>9.8140000000000005E-2</v>
      </c>
      <c r="C81">
        <v>0.10199999999999999</v>
      </c>
      <c r="D81">
        <v>9.5449999999999993E-2</v>
      </c>
      <c r="E81">
        <v>9.74E-2</v>
      </c>
      <c r="F81">
        <v>143865276.47</v>
      </c>
      <c r="G81">
        <v>9.74E-2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-0.40458015267175351</v>
      </c>
      <c r="Q81">
        <f t="shared" ref="Q81" si="381">F81*P81</f>
        <v>-58205035.518396631</v>
      </c>
      <c r="R81">
        <f t="shared" ref="R81" si="382">R82+Q81</f>
        <v>-10076915057.939646</v>
      </c>
      <c r="S81">
        <f t="shared" ref="S81" si="383">R81/100000</f>
        <v>-100769.15057939646</v>
      </c>
      <c r="T81">
        <f t="shared" ref="T81" si="384">S81/1000</f>
        <v>-100.76915057939647</v>
      </c>
    </row>
    <row r="82" spans="1:20" x14ac:dyDescent="0.25">
      <c r="A82" s="5">
        <v>44511</v>
      </c>
      <c r="B82">
        <v>9.5589999999999994E-2</v>
      </c>
      <c r="C82">
        <v>0.1081</v>
      </c>
      <c r="D82">
        <v>9.4E-2</v>
      </c>
      <c r="E82">
        <v>9.8169999999999993E-2</v>
      </c>
      <c r="F82">
        <v>222005543.88</v>
      </c>
      <c r="G82">
        <v>9.8169999999999993E-2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-0.40851063829787337</v>
      </c>
      <c r="Q82">
        <f t="shared" ref="Q82" si="386">F82*P82</f>
        <v>-90691626.436085328</v>
      </c>
      <c r="R82">
        <f t="shared" ref="R82" si="387">R83+Q82</f>
        <v>-10018710022.421249</v>
      </c>
      <c r="S82">
        <f t="shared" ref="S82" si="388">R82/100000</f>
        <v>-100187.1002242125</v>
      </c>
      <c r="T82">
        <f t="shared" ref="T82" si="389">S82/1000</f>
        <v>-100.1871002242125</v>
      </c>
    </row>
    <row r="83" spans="1:20" x14ac:dyDescent="0.25">
      <c r="A83" s="5">
        <v>44510</v>
      </c>
      <c r="B83">
        <v>0.10011</v>
      </c>
      <c r="C83">
        <v>0.10302</v>
      </c>
      <c r="D83">
        <v>9.2200000000000004E-2</v>
      </c>
      <c r="E83">
        <v>9.5750000000000002E-2</v>
      </c>
      <c r="F83">
        <v>239622499.56</v>
      </c>
      <c r="G83">
        <v>9.5750000000000002E-2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-0.3438077634011093</v>
      </c>
      <c r="Q83">
        <f t="shared" ref="Q83" si="391">F83*P83</f>
        <v>-82384075.634306893</v>
      </c>
      <c r="R83">
        <f t="shared" ref="R83" si="392">R84+Q83</f>
        <v>-9928018395.9851646</v>
      </c>
      <c r="S83">
        <f t="shared" ref="S83" si="393">R83/100000</f>
        <v>-99280.183959851653</v>
      </c>
      <c r="T83">
        <f t="shared" ref="T83" si="394">S83/1000</f>
        <v>-99.280183959851655</v>
      </c>
    </row>
    <row r="84" spans="1:20" x14ac:dyDescent="0.25">
      <c r="A84" s="5">
        <v>44509</v>
      </c>
      <c r="B84">
        <v>0.10421999999999999</v>
      </c>
      <c r="C84">
        <v>0.10675999999999999</v>
      </c>
      <c r="D84">
        <v>9.6750000000000003E-2</v>
      </c>
      <c r="E84">
        <v>0.10002</v>
      </c>
      <c r="F84">
        <v>293277278.86000001</v>
      </c>
      <c r="G84">
        <v>0.10002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-0.34665334665334707</v>
      </c>
      <c r="Q84">
        <f t="shared" ref="Q84" si="396">F84*P84</f>
        <v>-101665550.21420592</v>
      </c>
      <c r="R84">
        <f t="shared" ref="R84" si="397">R85+Q84</f>
        <v>-9845634320.3508587</v>
      </c>
      <c r="S84">
        <f t="shared" ref="S84" si="398">R84/100000</f>
        <v>-98456.343203508586</v>
      </c>
      <c r="T84">
        <f t="shared" ref="T84" si="399">S84/1000</f>
        <v>-98.456343203508581</v>
      </c>
    </row>
    <row r="85" spans="1:20" x14ac:dyDescent="0.25">
      <c r="A85" s="5">
        <v>44508</v>
      </c>
      <c r="B85">
        <v>9.4799999999999995E-2</v>
      </c>
      <c r="C85">
        <v>0.12753999999999999</v>
      </c>
      <c r="D85">
        <v>9.1020000000000004E-2</v>
      </c>
      <c r="E85">
        <v>0.10424</v>
      </c>
      <c r="F85">
        <v>1405696824.72</v>
      </c>
      <c r="G85">
        <v>0.10424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-0.27601314348302292</v>
      </c>
      <c r="Q85">
        <f t="shared" ref="Q85" si="401">F85*P85</f>
        <v>-387990799.37507111</v>
      </c>
      <c r="R85">
        <f t="shared" ref="R85" si="402">R86+Q85</f>
        <v>-9743968770.136652</v>
      </c>
      <c r="S85">
        <f t="shared" ref="S85" si="403">R85/100000</f>
        <v>-97439.687701366522</v>
      </c>
      <c r="T85">
        <f t="shared" ref="T85" si="404">S85/1000</f>
        <v>-97.439687701366523</v>
      </c>
    </row>
    <row r="86" spans="1:20" x14ac:dyDescent="0.25">
      <c r="A86" s="5">
        <v>44507</v>
      </c>
      <c r="B86">
        <v>9.0999999999999998E-2</v>
      </c>
      <c r="C86">
        <v>9.6500000000000002E-2</v>
      </c>
      <c r="D86">
        <v>9.0679999999999997E-2</v>
      </c>
      <c r="E86">
        <v>9.4789999999999999E-2</v>
      </c>
      <c r="F86">
        <v>121081809.48999999</v>
      </c>
      <c r="G86">
        <v>9.4789999999999999E-2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0.41237113402061804</v>
      </c>
      <c r="Q86">
        <f t="shared" ref="Q86" si="406">F86*P86</f>
        <v>49930643.088659726</v>
      </c>
      <c r="R86">
        <f t="shared" ref="R86" si="407">R87+Q86</f>
        <v>-9355977970.7615814</v>
      </c>
      <c r="S86">
        <f t="shared" ref="S86" si="408">R86/100000</f>
        <v>-93559.779707615817</v>
      </c>
      <c r="T86">
        <f t="shared" ref="T86" si="409">S86/1000</f>
        <v>-93.559779707615817</v>
      </c>
    </row>
    <row r="87" spans="1:20" x14ac:dyDescent="0.25">
      <c r="A87" s="5">
        <v>44506</v>
      </c>
      <c r="B87">
        <v>9.2340000000000005E-2</v>
      </c>
      <c r="C87">
        <v>9.2999999999999999E-2</v>
      </c>
      <c r="D87">
        <v>8.9120000000000005E-2</v>
      </c>
      <c r="E87">
        <v>9.1020000000000004E-2</v>
      </c>
      <c r="F87">
        <v>60891368.869999997</v>
      </c>
      <c r="G87">
        <v>9.1020000000000004E-2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-2.0618556701030116E-2</v>
      </c>
      <c r="Q87">
        <f t="shared" ref="Q87" si="411">F87*P87</f>
        <v>-1255492.141649435</v>
      </c>
      <c r="R87">
        <f t="shared" ref="R87" si="412">R88+Q87</f>
        <v>-9405908613.8502407</v>
      </c>
      <c r="S87">
        <f t="shared" ref="S87" si="413">R87/100000</f>
        <v>-94059.086138502404</v>
      </c>
      <c r="T87">
        <f t="shared" ref="T87" si="414">S87/1000</f>
        <v>-94.059086138502408</v>
      </c>
    </row>
    <row r="88" spans="1:20" x14ac:dyDescent="0.25">
      <c r="A88" s="5">
        <v>44505</v>
      </c>
      <c r="B88">
        <v>9.3450000000000005E-2</v>
      </c>
      <c r="C88">
        <v>9.5000000000000001E-2</v>
      </c>
      <c r="D88">
        <v>8.9880000000000002E-2</v>
      </c>
      <c r="E88">
        <v>9.239E-2</v>
      </c>
      <c r="F88">
        <v>99692606.650000006</v>
      </c>
      <c r="G88">
        <v>9.239E-2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-1.9531250000000562E-2</v>
      </c>
      <c r="Q88">
        <f t="shared" ref="Q88" si="416">F88*P88</f>
        <v>-1947121.2236328686</v>
      </c>
      <c r="R88">
        <f t="shared" ref="R88" si="417">R89+Q88</f>
        <v>-9404653121.7085915</v>
      </c>
      <c r="S88">
        <f t="shared" ref="S88" si="418">R88/100000</f>
        <v>-94046.531217085911</v>
      </c>
      <c r="T88">
        <f t="shared" ref="T88" si="419">S88/1000</f>
        <v>-94.046531217085914</v>
      </c>
    </row>
    <row r="89" spans="1:20" x14ac:dyDescent="0.25">
      <c r="A89" s="5">
        <v>44504</v>
      </c>
      <c r="B89">
        <v>9.4750000000000001E-2</v>
      </c>
      <c r="C89">
        <v>9.6990000000000007E-2</v>
      </c>
      <c r="D89">
        <v>9.1050000000000006E-2</v>
      </c>
      <c r="E89">
        <v>9.3390000000000001E-2</v>
      </c>
      <c r="F89">
        <v>202400468.65000001</v>
      </c>
      <c r="G89">
        <v>9.3390000000000001E-2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-0.21212121212121396</v>
      </c>
      <c r="Q89">
        <f t="shared" ref="Q89" si="421">F89*P89</f>
        <v>-42933432.743939765</v>
      </c>
      <c r="R89">
        <f t="shared" ref="R89" si="422">R90+Q89</f>
        <v>-9402706000.4849586</v>
      </c>
      <c r="S89">
        <f t="shared" ref="S89" si="423">R89/100000</f>
        <v>-94027.060004849583</v>
      </c>
      <c r="T89">
        <f t="shared" ref="T89" si="424">S89/1000</f>
        <v>-94.027060004849588</v>
      </c>
    </row>
    <row r="90" spans="1:20" x14ac:dyDescent="0.25">
      <c r="A90" s="5">
        <v>44503</v>
      </c>
      <c r="B90">
        <v>8.967E-2</v>
      </c>
      <c r="C90">
        <v>0.10888</v>
      </c>
      <c r="D90">
        <v>8.9020000000000002E-2</v>
      </c>
      <c r="E90">
        <v>9.4850000000000004E-2</v>
      </c>
      <c r="F90">
        <v>438742045.88999999</v>
      </c>
      <c r="G90">
        <v>9.4850000000000004E-2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-0.41289023162134936</v>
      </c>
      <c r="Q90">
        <f t="shared" ref="Q90" si="426">F90*P90</f>
        <v>-181152304.94954678</v>
      </c>
      <c r="R90">
        <f t="shared" ref="R90" si="427">R91+Q90</f>
        <v>-9359772567.7410183</v>
      </c>
      <c r="S90">
        <f t="shared" ref="S90" si="428">R90/100000</f>
        <v>-93597.725677410184</v>
      </c>
      <c r="T90">
        <f t="shared" ref="T90" si="429">S90/1000</f>
        <v>-93.597725677410182</v>
      </c>
    </row>
    <row r="91" spans="1:20" x14ac:dyDescent="0.25">
      <c r="A91" s="5">
        <v>44502</v>
      </c>
      <c r="B91">
        <v>8.8690000000000005E-2</v>
      </c>
      <c r="C91">
        <v>9.1999999999999998E-2</v>
      </c>
      <c r="D91">
        <v>8.702E-2</v>
      </c>
      <c r="E91">
        <v>8.967E-2</v>
      </c>
      <c r="F91">
        <v>104889641.86</v>
      </c>
      <c r="G91">
        <v>8.967E-2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6.4257028112449988E-2</v>
      </c>
      <c r="Q91">
        <f t="shared" ref="Q91" si="431">F91*P91</f>
        <v>6739896.665702831</v>
      </c>
      <c r="R91">
        <f t="shared" ref="R91" si="432">R92+Q91</f>
        <v>-9178620262.7914715</v>
      </c>
      <c r="S91">
        <f t="shared" ref="S91" si="433">R91/100000</f>
        <v>-91786.20262791471</v>
      </c>
      <c r="T91">
        <f t="shared" ref="T91" si="434">S91/1000</f>
        <v>-91.786202627914705</v>
      </c>
    </row>
    <row r="92" spans="1:20" x14ac:dyDescent="0.25">
      <c r="A92" s="5">
        <v>44501</v>
      </c>
      <c r="B92">
        <v>8.9289999999999994E-2</v>
      </c>
      <c r="C92">
        <v>9.2280000000000001E-2</v>
      </c>
      <c r="D92">
        <v>8.6019999999999999E-2</v>
      </c>
      <c r="E92">
        <v>8.8789999999999994E-2</v>
      </c>
      <c r="F92">
        <v>100428803.53</v>
      </c>
      <c r="G92">
        <v>8.8789999999999994E-2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-0.11501597444089651</v>
      </c>
      <c r="Q92">
        <f t="shared" ref="Q92" si="436">F92*P92</f>
        <v>-11550916.699936297</v>
      </c>
      <c r="R92">
        <f t="shared" ref="R92" si="437">R93+Q92</f>
        <v>-9185360159.4571743</v>
      </c>
      <c r="S92">
        <f t="shared" ref="S92" si="438">R92/100000</f>
        <v>-91853.601594571737</v>
      </c>
      <c r="T92">
        <f t="shared" ref="T92" si="439">S92/1000</f>
        <v>-91.853601594571742</v>
      </c>
    </row>
    <row r="93" spans="1:20" x14ac:dyDescent="0.25">
      <c r="A93" s="5">
        <v>44500</v>
      </c>
      <c r="B93">
        <v>8.8529999999999998E-2</v>
      </c>
      <c r="C93">
        <v>9.5250000000000001E-2</v>
      </c>
      <c r="D93">
        <v>8.6980000000000002E-2</v>
      </c>
      <c r="E93">
        <v>8.924E-2</v>
      </c>
      <c r="F93">
        <v>167758580.41</v>
      </c>
      <c r="G93">
        <v>8.924E-2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-0.45344619105199557</v>
      </c>
      <c r="Q93">
        <f t="shared" ref="Q93" si="441">F93*P93</f>
        <v>-76069489.303204417</v>
      </c>
      <c r="R93">
        <f t="shared" ref="R93" si="442">R94+Q93</f>
        <v>-9173809242.7572384</v>
      </c>
      <c r="S93">
        <f t="shared" ref="S93" si="443">R93/100000</f>
        <v>-91738.092427572381</v>
      </c>
      <c r="T93">
        <f t="shared" ref="T93" si="444">S93/1000</f>
        <v>-91.738092427572383</v>
      </c>
    </row>
    <row r="94" spans="1:20" x14ac:dyDescent="0.25">
      <c r="A94" s="5">
        <v>44499</v>
      </c>
      <c r="B94">
        <v>8.9679999999999996E-2</v>
      </c>
      <c r="C94">
        <v>9.3359999999999999E-2</v>
      </c>
      <c r="D94">
        <v>8.6690000000000003E-2</v>
      </c>
      <c r="E94">
        <v>8.8569999999999996E-2</v>
      </c>
      <c r="F94">
        <v>120102759.8</v>
      </c>
      <c r="G94">
        <v>8.8569999999999996E-2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-0.43628185907046652</v>
      </c>
      <c r="Q94">
        <f t="shared" ref="Q94" si="446">F94*P94</f>
        <v>-52398655.325037688</v>
      </c>
      <c r="R94">
        <f t="shared" ref="R94" si="447">R95+Q94</f>
        <v>-9097739753.4540348</v>
      </c>
      <c r="S94">
        <f t="shared" ref="S94" si="448">R94/100000</f>
        <v>-90977.397534540345</v>
      </c>
      <c r="T94">
        <f t="shared" ref="T94" si="449">S94/1000</f>
        <v>-90.977397534540344</v>
      </c>
    </row>
    <row r="95" spans="1:20" x14ac:dyDescent="0.25">
      <c r="A95" s="5">
        <v>44498</v>
      </c>
      <c r="B95">
        <v>8.6139999999999994E-2</v>
      </c>
      <c r="C95">
        <v>9.0999999999999998E-2</v>
      </c>
      <c r="D95">
        <v>8.5819999999999994E-2</v>
      </c>
      <c r="E95">
        <v>8.9700000000000002E-2</v>
      </c>
      <c r="F95">
        <v>74983505.799999997</v>
      </c>
      <c r="G95">
        <v>8.9700000000000002E-2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0.49806949806950018</v>
      </c>
      <c r="Q95">
        <f t="shared" ref="Q95" si="451">F95*P95</f>
        <v>37346997.097297452</v>
      </c>
      <c r="R95">
        <f t="shared" ref="R95" si="452">R96+Q95</f>
        <v>-9045341098.1289978</v>
      </c>
      <c r="S95">
        <f t="shared" ref="S95" si="453">R95/100000</f>
        <v>-90453.410981289984</v>
      </c>
      <c r="T95">
        <f t="shared" ref="T95" si="454">S95/1000</f>
        <v>-90.453410981289977</v>
      </c>
    </row>
    <row r="96" spans="1:20" x14ac:dyDescent="0.25">
      <c r="A96" s="5">
        <v>44497</v>
      </c>
      <c r="B96">
        <v>8.6730000000000002E-2</v>
      </c>
      <c r="C96">
        <v>8.924E-2</v>
      </c>
      <c r="D96">
        <v>8.1479999999999997E-2</v>
      </c>
      <c r="E96">
        <v>8.6139999999999994E-2</v>
      </c>
      <c r="F96">
        <v>96110632.609999999</v>
      </c>
      <c r="G96">
        <v>8.6139999999999994E-2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0.20103092783505044</v>
      </c>
      <c r="Q96">
        <f t="shared" ref="Q96" si="456">F96*P96</f>
        <v>19321209.648401957</v>
      </c>
      <c r="R96">
        <f t="shared" ref="R96" si="457">R97+Q96</f>
        <v>-9082688095.2262955</v>
      </c>
      <c r="S96">
        <f t="shared" ref="S96" si="458">R96/100000</f>
        <v>-90826.88095226296</v>
      </c>
      <c r="T96">
        <f t="shared" ref="T96" si="459">S96/1000</f>
        <v>-90.826880952262954</v>
      </c>
    </row>
    <row r="97" spans="1:20" x14ac:dyDescent="0.25">
      <c r="A97" s="5">
        <v>44496</v>
      </c>
      <c r="B97">
        <v>9.4219999999999998E-2</v>
      </c>
      <c r="C97">
        <v>9.5000000000000001E-2</v>
      </c>
      <c r="D97">
        <v>8.3720000000000003E-2</v>
      </c>
      <c r="E97">
        <v>8.6730000000000002E-2</v>
      </c>
      <c r="F97">
        <v>148912885.99000001</v>
      </c>
      <c r="G97">
        <v>8.6730000000000002E-2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-0.4663120567375888</v>
      </c>
      <c r="Q97">
        <f t="shared" ref="Q97" si="461">F97*P97</f>
        <v>-69439874.140726984</v>
      </c>
      <c r="R97">
        <f t="shared" ref="R97" si="462">R98+Q97</f>
        <v>-9102009304.8746967</v>
      </c>
      <c r="S97">
        <f t="shared" ref="S97" si="463">R97/100000</f>
        <v>-91020.093048746974</v>
      </c>
      <c r="T97">
        <f t="shared" ref="T97" si="464">S97/1000</f>
        <v>-91.020093048746972</v>
      </c>
    </row>
    <row r="98" spans="1:20" x14ac:dyDescent="0.25">
      <c r="A98" s="5">
        <v>44495</v>
      </c>
      <c r="B98">
        <v>9.5640000000000003E-2</v>
      </c>
      <c r="C98">
        <v>9.6409999999999996E-2</v>
      </c>
      <c r="D98">
        <v>9.35E-2</v>
      </c>
      <c r="E98">
        <v>9.4219999999999998E-2</v>
      </c>
      <c r="F98">
        <v>83068873.319999993</v>
      </c>
      <c r="G98">
        <v>9.4219999999999998E-2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-0.50515463917525816</v>
      </c>
      <c r="Q98">
        <f t="shared" ref="Q98" si="466">F98*P98</f>
        <v>-41962626.728659824</v>
      </c>
      <c r="R98">
        <f t="shared" ref="R98" si="467">R99+Q98</f>
        <v>-9032569430.7339706</v>
      </c>
      <c r="S98">
        <f t="shared" ref="S98" si="468">R98/100000</f>
        <v>-90325.694307339712</v>
      </c>
      <c r="T98">
        <f t="shared" ref="T98" si="469">S98/1000</f>
        <v>-90.325694307339717</v>
      </c>
    </row>
    <row r="99" spans="1:20" x14ac:dyDescent="0.25">
      <c r="A99" s="5">
        <v>44494</v>
      </c>
      <c r="B99">
        <v>9.3850000000000003E-2</v>
      </c>
      <c r="C99">
        <v>9.7000000000000003E-2</v>
      </c>
      <c r="D99">
        <v>9.3509999999999996E-2</v>
      </c>
      <c r="E99">
        <v>9.5670000000000005E-2</v>
      </c>
      <c r="F99">
        <v>75448965.280000001</v>
      </c>
      <c r="G99">
        <v>9.5670000000000005E-2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0.23782234957020332</v>
      </c>
      <c r="Q99">
        <f t="shared" ref="Q99" si="471">F99*P99</f>
        <v>17943450.195530292</v>
      </c>
      <c r="R99">
        <f t="shared" ref="R99" si="472">R100+Q99</f>
        <v>-8990606804.0053101</v>
      </c>
      <c r="S99">
        <f t="shared" ref="S99" si="473">R99/100000</f>
        <v>-89906.068040053098</v>
      </c>
      <c r="T99">
        <f t="shared" ref="T99" si="474">S99/1000</f>
        <v>-89.9060680400531</v>
      </c>
    </row>
    <row r="100" spans="1:20" x14ac:dyDescent="0.25">
      <c r="A100" s="5">
        <v>44493</v>
      </c>
      <c r="B100">
        <v>9.4850000000000004E-2</v>
      </c>
      <c r="C100">
        <v>9.7570000000000004E-2</v>
      </c>
      <c r="D100">
        <v>9.1850000000000001E-2</v>
      </c>
      <c r="E100">
        <v>9.3840000000000007E-2</v>
      </c>
      <c r="F100">
        <v>89863325.090000004</v>
      </c>
      <c r="G100">
        <v>9.3840000000000007E-2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-0.30419580419580255</v>
      </c>
      <c r="Q100">
        <f t="shared" ref="Q100" si="476">F100*P100</f>
        <v>-27336046.443461392</v>
      </c>
      <c r="R100">
        <f t="shared" ref="R100" si="477">R101+Q100</f>
        <v>-9008550254.20084</v>
      </c>
      <c r="S100">
        <f t="shared" ref="S100" si="478">R100/100000</f>
        <v>-90085.502542008398</v>
      </c>
      <c r="T100">
        <f t="shared" ref="T100" si="479">S100/1000</f>
        <v>-90.085502542008399</v>
      </c>
    </row>
    <row r="101" spans="1:20" x14ac:dyDescent="0.25">
      <c r="A101" s="5">
        <v>44492</v>
      </c>
      <c r="B101">
        <v>9.5310000000000006E-2</v>
      </c>
      <c r="C101">
        <v>9.7390000000000004E-2</v>
      </c>
      <c r="D101">
        <v>9.4119999999999995E-2</v>
      </c>
      <c r="E101">
        <v>9.4899999999999998E-2</v>
      </c>
      <c r="F101">
        <v>51186785.25</v>
      </c>
      <c r="G101">
        <v>9.4899999999999998E-2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-0.52293577981651329</v>
      </c>
      <c r="Q101">
        <f t="shared" ref="Q101" si="481">F101*P101</f>
        <v>-26767401.461009149</v>
      </c>
      <c r="R101">
        <f t="shared" ref="R101" si="482">R102+Q101</f>
        <v>-8981214207.7573795</v>
      </c>
      <c r="S101">
        <f t="shared" ref="S101" si="483">R101/100000</f>
        <v>-89812.142077573793</v>
      </c>
      <c r="T101">
        <f t="shared" ref="T101" si="484">S101/1000</f>
        <v>-89.812142077573796</v>
      </c>
    </row>
    <row r="102" spans="1:20" x14ac:dyDescent="0.25">
      <c r="A102" s="5">
        <v>44491</v>
      </c>
      <c r="B102">
        <v>9.7220000000000001E-2</v>
      </c>
      <c r="C102">
        <v>9.8599999999999993E-2</v>
      </c>
      <c r="D102">
        <v>9.2999999999999999E-2</v>
      </c>
      <c r="E102">
        <v>9.5399999999999999E-2</v>
      </c>
      <c r="F102">
        <v>99272484.659999996</v>
      </c>
      <c r="G102">
        <v>9.5399999999999999E-2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-0.14285714285714216</v>
      </c>
      <c r="Q102">
        <f t="shared" ref="Q102" si="486">F102*P102</f>
        <v>-14181783.522857072</v>
      </c>
      <c r="R102">
        <f t="shared" ref="R102" si="487">R103+Q102</f>
        <v>-8954446806.2963696</v>
      </c>
      <c r="S102">
        <f t="shared" ref="S102" si="488">R102/100000</f>
        <v>-89544.468062963701</v>
      </c>
      <c r="T102">
        <f t="shared" ref="T102" si="489">S102/1000</f>
        <v>-89.544468062963702</v>
      </c>
    </row>
    <row r="103" spans="1:20" x14ac:dyDescent="0.25">
      <c r="A103" s="5">
        <v>44490</v>
      </c>
      <c r="B103">
        <v>9.8299999999999998E-2</v>
      </c>
      <c r="C103">
        <v>0.1</v>
      </c>
      <c r="D103">
        <v>9.4719999999999999E-2</v>
      </c>
      <c r="E103">
        <v>9.7189999999999999E-2</v>
      </c>
      <c r="F103">
        <v>108512209.84999999</v>
      </c>
      <c r="G103">
        <v>9.7189999999999999E-2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-6.4393939393940627E-2</v>
      </c>
      <c r="Q103">
        <f t="shared" ref="Q103" si="491">F103*P103</f>
        <v>-6987528.6645834669</v>
      </c>
      <c r="R103">
        <f t="shared" ref="R103" si="492">R104+Q103</f>
        <v>-8940265022.7735119</v>
      </c>
      <c r="S103">
        <f t="shared" ref="S103" si="493">R103/100000</f>
        <v>-89402.650227735125</v>
      </c>
      <c r="T103">
        <f t="shared" ref="T103" si="494">S103/1000</f>
        <v>-89.402650227735123</v>
      </c>
    </row>
    <row r="104" spans="1:20" x14ac:dyDescent="0.25">
      <c r="A104" s="5">
        <v>44489</v>
      </c>
      <c r="B104">
        <v>9.4310000000000005E-2</v>
      </c>
      <c r="C104">
        <v>0.10115</v>
      </c>
      <c r="D104">
        <v>9.3310000000000004E-2</v>
      </c>
      <c r="E104">
        <v>9.8299999999999998E-2</v>
      </c>
      <c r="F104">
        <v>133720461.19</v>
      </c>
      <c r="G104">
        <v>9.8299999999999998E-2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0.272959183673468</v>
      </c>
      <c r="Q104">
        <f t="shared" ref="Q104" si="496">F104*P104</f>
        <v>36500227.926862061</v>
      </c>
      <c r="R104">
        <f t="shared" ref="R104" si="497">R105+Q104</f>
        <v>-8933277494.1089287</v>
      </c>
      <c r="S104">
        <f t="shared" ref="S104" si="498">R104/100000</f>
        <v>-89332.774941089287</v>
      </c>
      <c r="T104">
        <f t="shared" ref="T104" si="499">S104/1000</f>
        <v>-89.332774941089284</v>
      </c>
    </row>
    <row r="105" spans="1:20" x14ac:dyDescent="0.25">
      <c r="A105" s="5">
        <v>44488</v>
      </c>
      <c r="B105">
        <v>9.4009999999999996E-2</v>
      </c>
      <c r="C105">
        <v>9.7799999999999998E-2</v>
      </c>
      <c r="D105">
        <v>9.1999999999999998E-2</v>
      </c>
      <c r="E105">
        <v>9.418E-2</v>
      </c>
      <c r="F105">
        <v>117936327.45</v>
      </c>
      <c r="G105">
        <v>9.418E-2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-0.24827586206896499</v>
      </c>
      <c r="Q105">
        <f t="shared" ref="Q105" si="501">F105*P105</f>
        <v>-29280743.366896491</v>
      </c>
      <c r="R105">
        <f t="shared" ref="R105" si="502">R106+Q105</f>
        <v>-8969777722.0357914</v>
      </c>
      <c r="S105">
        <f t="shared" ref="S105" si="503">R105/100000</f>
        <v>-89697.777220357908</v>
      </c>
      <c r="T105">
        <f t="shared" ref="T105" si="504">S105/1000</f>
        <v>-89.697777220357906</v>
      </c>
    </row>
    <row r="106" spans="1:20" x14ac:dyDescent="0.25">
      <c r="A106" s="5">
        <v>44487</v>
      </c>
      <c r="B106">
        <v>9.6379999999999993E-2</v>
      </c>
      <c r="C106">
        <v>9.7839999999999996E-2</v>
      </c>
      <c r="D106">
        <v>9.1859999999999997E-2</v>
      </c>
      <c r="E106">
        <v>9.4070000000000001E-2</v>
      </c>
      <c r="F106">
        <v>133400984.94</v>
      </c>
      <c r="G106">
        <v>9.4070000000000001E-2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-0.26086956521739002</v>
      </c>
      <c r="Q106">
        <f t="shared" ref="Q106" si="506">F106*P106</f>
        <v>-34800256.940869391</v>
      </c>
      <c r="R106">
        <f t="shared" ref="R106" si="507">R107+Q106</f>
        <v>-8940496978.6688957</v>
      </c>
      <c r="S106">
        <f t="shared" ref="S106" si="508">R106/100000</f>
        <v>-89404.969786688962</v>
      </c>
      <c r="T106">
        <f t="shared" ref="T106" si="509">S106/1000</f>
        <v>-89.404969786688966</v>
      </c>
    </row>
    <row r="107" spans="1:20" x14ac:dyDescent="0.25">
      <c r="A107" s="5">
        <v>44486</v>
      </c>
      <c r="B107">
        <v>9.7239999999999993E-2</v>
      </c>
      <c r="C107">
        <v>0.104</v>
      </c>
      <c r="D107">
        <v>9.3030000000000002E-2</v>
      </c>
      <c r="E107">
        <v>9.6379999999999993E-2</v>
      </c>
      <c r="F107">
        <v>243061577.94</v>
      </c>
      <c r="G107">
        <v>9.6379999999999993E-2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-0.38924339106654626</v>
      </c>
      <c r="Q107">
        <f t="shared" ref="Q107" si="511">F107*P107</f>
        <v>-94610112.835351229</v>
      </c>
      <c r="R107">
        <f t="shared" ref="R107" si="512">R108+Q107</f>
        <v>-8905696721.7280254</v>
      </c>
      <c r="S107">
        <f t="shared" ref="S107" si="513">R107/100000</f>
        <v>-89056.967217280253</v>
      </c>
      <c r="T107">
        <f t="shared" ref="T107" si="514">S107/1000</f>
        <v>-89.05696721728026</v>
      </c>
    </row>
    <row r="108" spans="1:20" x14ac:dyDescent="0.25">
      <c r="A108" s="5">
        <v>44485</v>
      </c>
      <c r="B108">
        <v>9.5060000000000006E-2</v>
      </c>
      <c r="C108">
        <v>0.10088999999999999</v>
      </c>
      <c r="D108">
        <v>9.2920000000000003E-2</v>
      </c>
      <c r="E108">
        <v>9.7199999999999995E-2</v>
      </c>
      <c r="F108">
        <v>234190367.50999999</v>
      </c>
      <c r="G108">
        <v>9.7199999999999995E-2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7.4027603513173654E-2</v>
      </c>
      <c r="Q108">
        <f t="shared" ref="Q108" si="516">F108*P108</f>
        <v>17336551.672634706</v>
      </c>
      <c r="R108">
        <f t="shared" ref="R108" si="517">R109+Q108</f>
        <v>-8811086608.8926735</v>
      </c>
      <c r="S108">
        <f t="shared" ref="S108" si="518">R108/100000</f>
        <v>-88110.866088926734</v>
      </c>
      <c r="T108">
        <f t="shared" ref="T108" si="519">S108/1000</f>
        <v>-88.110866088926727</v>
      </c>
    </row>
    <row r="109" spans="1:20" x14ac:dyDescent="0.25">
      <c r="A109" s="5">
        <v>44484</v>
      </c>
      <c r="B109">
        <v>9.1990000000000002E-2</v>
      </c>
      <c r="C109">
        <v>0.115</v>
      </c>
      <c r="D109">
        <v>9.0529999999999999E-2</v>
      </c>
      <c r="E109">
        <v>9.5009999999999997E-2</v>
      </c>
      <c r="F109">
        <v>568495263.90999997</v>
      </c>
      <c r="G109">
        <v>9.5009999999999997E-2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-0.63383735185941992</v>
      </c>
      <c r="Q109">
        <f t="shared" ref="Q109" si="521">F109*P109</f>
        <v>-360333532.62133646</v>
      </c>
      <c r="R109">
        <f t="shared" ref="R109" si="522">R110+Q109</f>
        <v>-8828423160.5653076</v>
      </c>
      <c r="S109">
        <f t="shared" ref="S109" si="523">R109/100000</f>
        <v>-88284.231605653069</v>
      </c>
      <c r="T109">
        <f t="shared" ref="T109" si="524">S109/1000</f>
        <v>-88.284231605653062</v>
      </c>
    </row>
    <row r="110" spans="1:20" x14ac:dyDescent="0.25">
      <c r="A110" s="5">
        <v>44483</v>
      </c>
      <c r="B110">
        <v>9.0679999999999997E-2</v>
      </c>
      <c r="C110">
        <v>9.6689999999999998E-2</v>
      </c>
      <c r="D110">
        <v>9.0389999999999998E-2</v>
      </c>
      <c r="E110">
        <v>9.1990000000000002E-2</v>
      </c>
      <c r="F110">
        <v>125419176.68000001</v>
      </c>
      <c r="G110">
        <v>9.1990000000000002E-2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-0.49206349206349076</v>
      </c>
      <c r="Q110">
        <f t="shared" ref="Q110" si="526">F110*P110</f>
        <v>-61714198.048888728</v>
      </c>
      <c r="R110">
        <f t="shared" ref="R110" si="527">R111+Q110</f>
        <v>-8468089627.9439716</v>
      </c>
      <c r="S110">
        <f t="shared" ref="S110" si="528">R110/100000</f>
        <v>-84680.896279439723</v>
      </c>
      <c r="T110">
        <f t="shared" ref="T110" si="529">S110/1000</f>
        <v>-84.680896279439722</v>
      </c>
    </row>
    <row r="111" spans="1:20" x14ac:dyDescent="0.25">
      <c r="A111" s="5">
        <v>44482</v>
      </c>
      <c r="B111">
        <v>8.9450000000000002E-2</v>
      </c>
      <c r="C111">
        <v>9.3899999999999997E-2</v>
      </c>
      <c r="D111">
        <v>8.7129999999999999E-2</v>
      </c>
      <c r="E111">
        <v>9.0630000000000002E-2</v>
      </c>
      <c r="F111">
        <v>137758175.86000001</v>
      </c>
      <c r="G111">
        <v>9.0630000000000002E-2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3.397341211226116E-2</v>
      </c>
      <c r="Q111">
        <f t="shared" ref="Q111" si="531">F111*P111</f>
        <v>4680115.2803251278</v>
      </c>
      <c r="R111">
        <f t="shared" ref="R111" si="532">R112+Q111</f>
        <v>-8406375429.8950825</v>
      </c>
      <c r="S111">
        <f t="shared" ref="S111" si="533">R111/100000</f>
        <v>-84063.754298950822</v>
      </c>
      <c r="T111">
        <f t="shared" ref="T111" si="534">S111/1000</f>
        <v>-84.063754298950826</v>
      </c>
    </row>
    <row r="112" spans="1:20" x14ac:dyDescent="0.25">
      <c r="A112" s="5">
        <v>44481</v>
      </c>
      <c r="B112">
        <v>9.1770000000000004E-2</v>
      </c>
      <c r="C112">
        <v>9.3329999999999996E-2</v>
      </c>
      <c r="D112">
        <v>8.5349999999999995E-2</v>
      </c>
      <c r="E112">
        <v>8.9520000000000002E-2</v>
      </c>
      <c r="F112">
        <v>110419482.58</v>
      </c>
      <c r="G112">
        <v>8.9520000000000002E-2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4.5112781954888853E-2</v>
      </c>
      <c r="Q112">
        <f t="shared" ref="Q112" si="536">F112*P112</f>
        <v>4981330.0412031878</v>
      </c>
      <c r="R112">
        <f t="shared" ref="R112" si="537">R113+Q112</f>
        <v>-8411055545.1754074</v>
      </c>
      <c r="S112">
        <f t="shared" ref="S112" si="538">R112/100000</f>
        <v>-84110.555451754073</v>
      </c>
      <c r="T112">
        <f t="shared" ref="T112" si="539">S112/1000</f>
        <v>-84.110555451754067</v>
      </c>
    </row>
    <row r="113" spans="1:20" x14ac:dyDescent="0.25">
      <c r="A113" s="5">
        <v>44480</v>
      </c>
      <c r="B113">
        <v>9.1189999999999993E-2</v>
      </c>
      <c r="C113">
        <v>9.6500000000000002E-2</v>
      </c>
      <c r="D113">
        <v>9.01E-2</v>
      </c>
      <c r="E113">
        <v>9.1719999999999996E-2</v>
      </c>
      <c r="F113">
        <v>147861371.19999999</v>
      </c>
      <c r="G113">
        <v>9.1719999999999996E-2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-0.49375000000000135</v>
      </c>
      <c r="Q113">
        <f t="shared" ref="Q113" si="541">F113*P113</f>
        <v>-73006552.030000195</v>
      </c>
      <c r="R113">
        <f t="shared" ref="R113" si="542">R114+Q113</f>
        <v>-8416036875.2166109</v>
      </c>
      <c r="S113">
        <f t="shared" ref="S113" si="543">R113/100000</f>
        <v>-84160.368752166105</v>
      </c>
      <c r="T113">
        <f t="shared" ref="T113" si="544">S113/1000</f>
        <v>-84.160368752166107</v>
      </c>
    </row>
    <row r="114" spans="1:20" x14ac:dyDescent="0.25">
      <c r="A114" s="5">
        <v>44479</v>
      </c>
      <c r="B114">
        <v>9.2380000000000004E-2</v>
      </c>
      <c r="C114">
        <v>0.1</v>
      </c>
      <c r="D114">
        <v>9.0730000000000005E-2</v>
      </c>
      <c r="E114">
        <v>9.1230000000000006E-2</v>
      </c>
      <c r="F114">
        <v>217362214.88999999</v>
      </c>
      <c r="G114">
        <v>9.1230000000000006E-2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-0.89212513484358136</v>
      </c>
      <c r="Q114">
        <f t="shared" ref="Q114" si="546">F114*P114</f>
        <v>-193914295.26864076</v>
      </c>
      <c r="R114">
        <f t="shared" ref="R114" si="547">R115+Q114</f>
        <v>-8343030323.1866112</v>
      </c>
      <c r="S114">
        <f t="shared" ref="S114" si="548">R114/100000</f>
        <v>-83430.303231866113</v>
      </c>
      <c r="T114">
        <f t="shared" ref="T114" si="549">S114/1000</f>
        <v>-83.43030323186612</v>
      </c>
    </row>
    <row r="115" spans="1:20" x14ac:dyDescent="0.25">
      <c r="A115" s="5">
        <v>44478</v>
      </c>
      <c r="B115">
        <v>8.8289999999999993E-2</v>
      </c>
      <c r="C115">
        <v>0.10100000000000001</v>
      </c>
      <c r="D115">
        <v>8.7800000000000003E-2</v>
      </c>
      <c r="E115">
        <v>9.2399999999999996E-2</v>
      </c>
      <c r="F115">
        <v>338573986.86000001</v>
      </c>
      <c r="G115">
        <v>9.2399999999999996E-2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-0.30303030303030426</v>
      </c>
      <c r="Q115">
        <f t="shared" ref="Q115" si="551">F115*P115</f>
        <v>-102598177.83636406</v>
      </c>
      <c r="R115">
        <f t="shared" ref="R115" si="552">R116+Q115</f>
        <v>-8149116027.9179707</v>
      </c>
      <c r="S115">
        <f t="shared" ref="S115" si="553">R115/100000</f>
        <v>-81491.160279179705</v>
      </c>
      <c r="T115">
        <f t="shared" ref="T115" si="554">S115/1000</f>
        <v>-81.491160279179709</v>
      </c>
    </row>
    <row r="116" spans="1:20" x14ac:dyDescent="0.25">
      <c r="A116" s="5">
        <v>44477</v>
      </c>
      <c r="B116">
        <v>8.7480000000000002E-2</v>
      </c>
      <c r="C116">
        <v>9.1990000000000002E-2</v>
      </c>
      <c r="D116">
        <v>8.7230000000000002E-2</v>
      </c>
      <c r="E116">
        <v>8.8120000000000004E-2</v>
      </c>
      <c r="F116">
        <v>163239699.25</v>
      </c>
      <c r="G116">
        <v>8.8120000000000004E-2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-0.62605042016806645</v>
      </c>
      <c r="Q116">
        <f t="shared" ref="Q116" si="556">F116*P116</f>
        <v>-102196282.3035713</v>
      </c>
      <c r="R116">
        <f t="shared" ref="R116" si="557">R117+Q116</f>
        <v>-8046517850.0816069</v>
      </c>
      <c r="S116">
        <f t="shared" ref="S116" si="558">R116/100000</f>
        <v>-80465.178500816066</v>
      </c>
      <c r="T116">
        <f t="shared" ref="T116" si="559">S116/1000</f>
        <v>-80.465178500816066</v>
      </c>
    </row>
    <row r="117" spans="1:20" x14ac:dyDescent="0.25">
      <c r="A117" s="5">
        <v>44476</v>
      </c>
      <c r="B117">
        <v>9.06E-2</v>
      </c>
      <c r="C117">
        <v>9.5000000000000001E-2</v>
      </c>
      <c r="D117">
        <v>8.6360000000000006E-2</v>
      </c>
      <c r="E117">
        <v>8.7349999999999997E-2</v>
      </c>
      <c r="F117">
        <v>234043660.38999999</v>
      </c>
      <c r="G117">
        <v>8.7349999999999997E-2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-0.77083333333333526</v>
      </c>
      <c r="Q117">
        <f t="shared" ref="Q117" si="561">F117*P117</f>
        <v>-180408654.88395879</v>
      </c>
      <c r="R117">
        <f t="shared" ref="R117" si="562">R118+Q117</f>
        <v>-7944321567.7780352</v>
      </c>
      <c r="S117">
        <f t="shared" ref="S117" si="563">R117/100000</f>
        <v>-79443.215677780347</v>
      </c>
      <c r="T117">
        <f t="shared" ref="T117" si="564">S117/1000</f>
        <v>-79.443215677780344</v>
      </c>
    </row>
    <row r="118" spans="1:20" x14ac:dyDescent="0.25">
      <c r="A118" s="5">
        <v>44475</v>
      </c>
      <c r="B118">
        <v>8.8289999999999993E-2</v>
      </c>
      <c r="C118">
        <v>0.10573</v>
      </c>
      <c r="D118">
        <v>8.5669999999999996E-2</v>
      </c>
      <c r="E118">
        <v>9.06E-2</v>
      </c>
      <c r="F118">
        <v>699325689.10000002</v>
      </c>
      <c r="G118">
        <v>9.06E-2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-0.50847457627118631</v>
      </c>
      <c r="Q118">
        <f t="shared" ref="Q118" si="566">F118*P118</f>
        <v>-355589333.44067788</v>
      </c>
      <c r="R118">
        <f t="shared" ref="R118" si="567">R119+Q118</f>
        <v>-7763912912.8940763</v>
      </c>
      <c r="S118">
        <f t="shared" ref="S118" si="568">R118/100000</f>
        <v>-77639.129128940767</v>
      </c>
      <c r="T118">
        <f t="shared" ref="T118" si="569">S118/1000</f>
        <v>-77.639129128940766</v>
      </c>
    </row>
    <row r="119" spans="1:20" x14ac:dyDescent="0.25">
      <c r="A119" s="5">
        <v>44474</v>
      </c>
      <c r="B119">
        <v>9.0639999999999998E-2</v>
      </c>
      <c r="C119">
        <v>9.2460000000000001E-2</v>
      </c>
      <c r="D119">
        <v>8.6419999999999997E-2</v>
      </c>
      <c r="E119">
        <v>8.8209999999999997E-2</v>
      </c>
      <c r="F119">
        <v>205332384.86000001</v>
      </c>
      <c r="G119">
        <v>8.8209999999999997E-2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-0.40728476821192094</v>
      </c>
      <c r="Q119">
        <f t="shared" ref="Q119" si="571">F119*P119</f>
        <v>-83628752.774106055</v>
      </c>
      <c r="R119">
        <f t="shared" ref="R119" si="572">R120+Q119</f>
        <v>-7408323579.4533987</v>
      </c>
      <c r="S119">
        <f t="shared" ref="S119" si="573">R119/100000</f>
        <v>-74083.23579453399</v>
      </c>
      <c r="T119">
        <f t="shared" ref="T119" si="574">S119/1000</f>
        <v>-74.083235794533991</v>
      </c>
    </row>
    <row r="120" spans="1:20" x14ac:dyDescent="0.25">
      <c r="A120" s="5">
        <v>44473</v>
      </c>
      <c r="B120">
        <v>9.5500000000000002E-2</v>
      </c>
      <c r="C120">
        <v>9.6829999999999999E-2</v>
      </c>
      <c r="D120">
        <v>8.8900000000000007E-2</v>
      </c>
      <c r="E120">
        <v>9.0899999999999995E-2</v>
      </c>
      <c r="F120">
        <v>272797978.72000003</v>
      </c>
      <c r="G120">
        <v>9.0899999999999995E-2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-0.49558638083228507</v>
      </c>
      <c r="Q120">
        <f t="shared" ref="Q120" si="576">F120*P120</f>
        <v>-135194962.97220755</v>
      </c>
      <c r="R120">
        <f t="shared" ref="R120" si="577">R121+Q120</f>
        <v>-7324694826.6792927</v>
      </c>
      <c r="S120">
        <f t="shared" ref="S120" si="578">R120/100000</f>
        <v>-73246.948266792926</v>
      </c>
      <c r="T120">
        <f t="shared" ref="T120" si="579">S120/1000</f>
        <v>-73.246948266792927</v>
      </c>
    </row>
    <row r="121" spans="1:20" x14ac:dyDescent="0.25">
      <c r="A121" s="5">
        <v>44472</v>
      </c>
      <c r="B121">
        <v>9.7180000000000002E-2</v>
      </c>
      <c r="C121">
        <v>0.1086</v>
      </c>
      <c r="D121">
        <v>9.2700000000000005E-2</v>
      </c>
      <c r="E121">
        <v>9.5030000000000003E-2</v>
      </c>
      <c r="F121">
        <v>520254014.93000001</v>
      </c>
      <c r="G121">
        <v>9.5030000000000003E-2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-0.70691823899371076</v>
      </c>
      <c r="Q121">
        <f t="shared" ref="Q121" si="581">F121*P121</f>
        <v>-367777052.06372333</v>
      </c>
      <c r="R121">
        <f t="shared" ref="R121" si="582">R122+Q121</f>
        <v>-7189499863.7070847</v>
      </c>
      <c r="S121">
        <f t="shared" ref="S121" si="583">R121/100000</f>
        <v>-71894.99863707085</v>
      </c>
      <c r="T121">
        <f t="shared" ref="T121" si="584">S121/1000</f>
        <v>-71.894998637070856</v>
      </c>
    </row>
    <row r="122" spans="1:20" x14ac:dyDescent="0.25">
      <c r="A122" s="5">
        <v>44471</v>
      </c>
      <c r="B122">
        <v>8.6569999999999994E-2</v>
      </c>
      <c r="C122">
        <v>0.11586</v>
      </c>
      <c r="D122">
        <v>8.4900000000000003E-2</v>
      </c>
      <c r="E122">
        <v>9.7280000000000005E-2</v>
      </c>
      <c r="F122">
        <v>499938361.05000001</v>
      </c>
      <c r="G122">
        <v>9.7280000000000005E-2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-0.20025839793281644</v>
      </c>
      <c r="Q122">
        <f t="shared" ref="Q122" si="586">F122*P122</f>
        <v>-100116855.24903096</v>
      </c>
      <c r="R122">
        <f t="shared" ref="R122" si="587">R123+Q122</f>
        <v>-6821722811.6433611</v>
      </c>
      <c r="S122">
        <f t="shared" ref="S122" si="588">R122/100000</f>
        <v>-68217.228116433616</v>
      </c>
      <c r="T122">
        <f t="shared" ref="T122" si="589">S122/1000</f>
        <v>-68.217228116433617</v>
      </c>
    </row>
    <row r="123" spans="1:20" x14ac:dyDescent="0.25">
      <c r="A123" s="5">
        <v>44470</v>
      </c>
      <c r="B123">
        <v>8.2379999999999995E-2</v>
      </c>
      <c r="C123">
        <v>0.09</v>
      </c>
      <c r="D123">
        <v>0.08</v>
      </c>
      <c r="E123">
        <v>8.6550000000000002E-2</v>
      </c>
      <c r="F123">
        <v>181545582.78999999</v>
      </c>
      <c r="G123">
        <v>8.6550000000000002E-2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0.31000000000000072</v>
      </c>
      <c r="Q123">
        <f t="shared" ref="Q123" si="591">F123*P123</f>
        <v>56279130.664900132</v>
      </c>
      <c r="R123">
        <f t="shared" ref="R123" si="592">R124+Q123</f>
        <v>-6721605956.39433</v>
      </c>
      <c r="S123">
        <f t="shared" ref="S123" si="593">R123/100000</f>
        <v>-67216.059563943301</v>
      </c>
      <c r="T123">
        <f t="shared" ref="T123" si="594">S123/1000</f>
        <v>-67.216059563943304</v>
      </c>
    </row>
    <row r="124" spans="1:20" x14ac:dyDescent="0.25">
      <c r="A124" s="5">
        <v>44469</v>
      </c>
      <c r="B124">
        <v>7.9699999999999993E-2</v>
      </c>
      <c r="C124">
        <v>8.2799999999999999E-2</v>
      </c>
      <c r="D124">
        <v>7.9039999999999999E-2</v>
      </c>
      <c r="E124">
        <v>8.2400000000000001E-2</v>
      </c>
      <c r="F124">
        <v>83897770.480000004</v>
      </c>
      <c r="G124">
        <v>8.2400000000000001E-2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0.78723404255319274</v>
      </c>
      <c r="Q124">
        <f t="shared" ref="Q124" si="596">F124*P124</f>
        <v>66047181.016170323</v>
      </c>
      <c r="R124">
        <f t="shared" ref="R124" si="597">R125+Q124</f>
        <v>-6777885087.0592299</v>
      </c>
      <c r="S124">
        <f t="shared" ref="S124" si="598">R124/100000</f>
        <v>-67778.850870592301</v>
      </c>
      <c r="T124">
        <f t="shared" ref="T124" si="599">S124/1000</f>
        <v>-67.778850870592308</v>
      </c>
    </row>
    <row r="125" spans="1:20" x14ac:dyDescent="0.25">
      <c r="A125" s="5">
        <v>44468</v>
      </c>
      <c r="B125">
        <v>7.7759999999999996E-2</v>
      </c>
      <c r="C125">
        <v>8.4000000000000005E-2</v>
      </c>
      <c r="D125">
        <v>7.6060000000000003E-2</v>
      </c>
      <c r="E125">
        <v>7.9630000000000006E-2</v>
      </c>
      <c r="F125">
        <v>101003566.81</v>
      </c>
      <c r="G125">
        <v>7.9630000000000006E-2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-0.10075566750629658</v>
      </c>
      <c r="Q125">
        <f t="shared" ref="Q125" si="601">F125*P125</f>
        <v>-10176681.794458373</v>
      </c>
      <c r="R125">
        <f t="shared" ref="R125" si="602">R126+Q125</f>
        <v>-6843932268.0754004</v>
      </c>
      <c r="S125">
        <f t="shared" ref="S125" si="603">R125/100000</f>
        <v>-68439.322680754005</v>
      </c>
      <c r="T125">
        <f t="shared" ref="T125" si="604">S125/1000</f>
        <v>-68.439322680754003</v>
      </c>
    </row>
    <row r="126" spans="1:20" x14ac:dyDescent="0.25">
      <c r="A126" s="5">
        <v>44467</v>
      </c>
      <c r="B126">
        <v>8.0070000000000002E-2</v>
      </c>
      <c r="C126">
        <v>8.3000000000000004E-2</v>
      </c>
      <c r="D126">
        <v>7.6509999999999995E-2</v>
      </c>
      <c r="E126">
        <v>7.7979999999999994E-2</v>
      </c>
      <c r="F126">
        <v>81132387.069999993</v>
      </c>
      <c r="G126">
        <v>7.7979999999999994E-2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-0.54699537750385308</v>
      </c>
      <c r="Q126">
        <f t="shared" ref="Q126" si="606">F126*P126</f>
        <v>-44379040.693143375</v>
      </c>
      <c r="R126">
        <f t="shared" ref="R126" si="607">R127+Q126</f>
        <v>-6833755586.280942</v>
      </c>
      <c r="S126">
        <f t="shared" ref="S126" si="608">R126/100000</f>
        <v>-68337.555862809415</v>
      </c>
      <c r="T126">
        <f t="shared" ref="T126" si="609">S126/1000</f>
        <v>-68.33755586280941</v>
      </c>
    </row>
    <row r="127" spans="1:20" x14ac:dyDescent="0.25">
      <c r="A127" s="5">
        <v>44466</v>
      </c>
      <c r="B127">
        <v>8.6300000000000002E-2</v>
      </c>
      <c r="C127">
        <v>9.0340000000000004E-2</v>
      </c>
      <c r="D127">
        <v>0.08</v>
      </c>
      <c r="E127">
        <v>8.0070000000000002E-2</v>
      </c>
      <c r="F127">
        <v>139754768.90000001</v>
      </c>
      <c r="G127">
        <v>8.0070000000000002E-2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-0.98646034816247574</v>
      </c>
      <c r="Q127">
        <f t="shared" ref="Q127" si="611">F127*P127</f>
        <v>-137862537.98646033</v>
      </c>
      <c r="R127">
        <f t="shared" ref="R127" si="612">R128+Q127</f>
        <v>-6789376545.5877981</v>
      </c>
      <c r="S127">
        <f t="shared" ref="S127" si="613">R127/100000</f>
        <v>-67893.765455877976</v>
      </c>
      <c r="T127">
        <f t="shared" ref="T127" si="614">S127/1000</f>
        <v>-67.893765455877983</v>
      </c>
    </row>
    <row r="128" spans="1:20" x14ac:dyDescent="0.25">
      <c r="A128" s="5">
        <v>44465</v>
      </c>
      <c r="B128">
        <v>8.2809999999999995E-2</v>
      </c>
      <c r="C128">
        <v>9.5390000000000003E-2</v>
      </c>
      <c r="D128">
        <v>7.4069999999999997E-2</v>
      </c>
      <c r="E128">
        <v>8.6309999999999998E-2</v>
      </c>
      <c r="F128">
        <v>272742284.49000001</v>
      </c>
      <c r="G128">
        <v>8.6309999999999998E-2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0.14821763602251384</v>
      </c>
      <c r="Q128">
        <f t="shared" ref="Q128" si="616">F128*P128</f>
        <v>40425216.650487743</v>
      </c>
      <c r="R128">
        <f t="shared" ref="R128" si="617">R129+Q128</f>
        <v>-6651514007.6013374</v>
      </c>
      <c r="S128">
        <f t="shared" ref="S128" si="618">R128/100000</f>
        <v>-66515.140076013369</v>
      </c>
      <c r="T128">
        <f t="shared" ref="T128" si="619">S128/1000</f>
        <v>-66.515140076013367</v>
      </c>
    </row>
    <row r="129" spans="1:20" x14ac:dyDescent="0.25">
      <c r="A129" s="5">
        <v>44464</v>
      </c>
      <c r="B129">
        <v>8.5949999999999999E-2</v>
      </c>
      <c r="C129">
        <v>8.813E-2</v>
      </c>
      <c r="D129">
        <v>8.0879999999999994E-2</v>
      </c>
      <c r="E129">
        <v>8.2650000000000001E-2</v>
      </c>
      <c r="F129">
        <v>107422275.09999999</v>
      </c>
      <c r="G129">
        <v>8.2650000000000001E-2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-0.51172413793103277</v>
      </c>
      <c r="Q129">
        <f t="shared" ref="Q129" si="621">F129*P129</f>
        <v>-54970571.120137744</v>
      </c>
      <c r="R129">
        <f t="shared" ref="R129" si="622">R130+Q129</f>
        <v>-6691939224.2518253</v>
      </c>
      <c r="S129">
        <f t="shared" ref="S129" si="623">R129/100000</f>
        <v>-66919.392242518254</v>
      </c>
      <c r="T129">
        <f t="shared" ref="T129" si="624">S129/1000</f>
        <v>-66.919392242518256</v>
      </c>
    </row>
    <row r="130" spans="1:20" x14ac:dyDescent="0.25">
      <c r="A130" s="5">
        <v>44463</v>
      </c>
      <c r="B130">
        <v>9.819E-2</v>
      </c>
      <c r="C130">
        <v>9.9210000000000007E-2</v>
      </c>
      <c r="D130">
        <v>7.9909999999999995E-2</v>
      </c>
      <c r="E130">
        <v>8.5949999999999999E-2</v>
      </c>
      <c r="F130">
        <v>224697993.11000001</v>
      </c>
      <c r="G130">
        <v>8.5949999999999999E-2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-0.37409326424870465</v>
      </c>
      <c r="Q130">
        <f t="shared" ref="Q130" si="626">F130*P130</f>
        <v>-84058005.712652847</v>
      </c>
      <c r="R130">
        <f t="shared" ref="R130" si="627">R131+Q130</f>
        <v>-6636968653.1316872</v>
      </c>
      <c r="S130">
        <f t="shared" ref="S130" si="628">R130/100000</f>
        <v>-66369.686531316867</v>
      </c>
      <c r="T130">
        <f t="shared" ref="T130" si="629">S130/1000</f>
        <v>-66.369686531316873</v>
      </c>
    </row>
    <row r="131" spans="1:20" x14ac:dyDescent="0.25">
      <c r="A131" s="5">
        <v>44462</v>
      </c>
      <c r="B131">
        <v>9.5019999999999993E-2</v>
      </c>
      <c r="C131">
        <v>0.10234</v>
      </c>
      <c r="D131">
        <v>0.09</v>
      </c>
      <c r="E131">
        <v>9.8100000000000007E-2</v>
      </c>
      <c r="F131">
        <v>390006947.69999999</v>
      </c>
      <c r="G131">
        <v>9.8100000000000007E-2</v>
      </c>
      <c r="L131" t="s">
        <v>7</v>
      </c>
      <c r="M131" t="s">
        <v>7</v>
      </c>
      <c r="N131" t="s">
        <v>8</v>
      </c>
      <c r="P131">
        <f t="shared" ref="P131" si="630">IF(C131=D131,0,((E131-D131)-(C131-E131))/(C131-D131))</f>
        <v>0.31280388978930429</v>
      </c>
      <c r="Q131">
        <f t="shared" ref="Q131" si="631">F131*P131</f>
        <v>121995690.28541376</v>
      </c>
      <c r="R131">
        <f t="shared" ref="R131" si="632">R132+Q131</f>
        <v>-6552910647.419034</v>
      </c>
      <c r="S131">
        <f t="shared" ref="S131" si="633">R131/100000</f>
        <v>-65529.106474190339</v>
      </c>
      <c r="T131">
        <f t="shared" ref="T131" si="634">S131/1000</f>
        <v>-65.529106474190343</v>
      </c>
    </row>
    <row r="132" spans="1:20" x14ac:dyDescent="0.25">
      <c r="A132" s="5">
        <v>44461</v>
      </c>
      <c r="B132">
        <v>7.4469999999999995E-2</v>
      </c>
      <c r="C132">
        <v>0.108</v>
      </c>
      <c r="D132">
        <v>7.2620000000000004E-2</v>
      </c>
      <c r="E132">
        <v>9.4950000000000007E-2</v>
      </c>
      <c r="F132">
        <v>633449940.51999998</v>
      </c>
      <c r="G132">
        <v>9.4950000000000007E-2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0.26229508196721346</v>
      </c>
      <c r="Q132">
        <f t="shared" ref="Q132" si="636">F132*P132</f>
        <v>166150804.07081988</v>
      </c>
      <c r="R132">
        <f t="shared" ref="R132" si="637">R133+Q132</f>
        <v>-6674906337.7044477</v>
      </c>
      <c r="S132">
        <f t="shared" ref="S132" si="638">R132/100000</f>
        <v>-66749.063377044484</v>
      </c>
      <c r="T132">
        <f t="shared" ref="T132" si="639">S132/1000</f>
        <v>-66.749063377044479</v>
      </c>
    </row>
    <row r="133" spans="1:20" x14ac:dyDescent="0.25">
      <c r="A133" s="5">
        <v>44460</v>
      </c>
      <c r="B133">
        <v>8.412E-2</v>
      </c>
      <c r="C133">
        <v>8.9410000000000003E-2</v>
      </c>
      <c r="D133">
        <v>7.3010000000000005E-2</v>
      </c>
      <c r="E133">
        <v>7.4440000000000006E-2</v>
      </c>
      <c r="F133">
        <v>227543475.97999999</v>
      </c>
      <c r="G133">
        <v>7.4440000000000006E-2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-0.82560975609756082</v>
      </c>
      <c r="Q133">
        <f t="shared" ref="Q133" si="641">F133*P133</f>
        <v>-187862113.70543897</v>
      </c>
      <c r="R133">
        <f t="shared" ref="R133" si="642">R134+Q133</f>
        <v>-6841057141.7752676</v>
      </c>
      <c r="S133">
        <f t="shared" ref="S133" si="643">R133/100000</f>
        <v>-68410.571417752682</v>
      </c>
      <c r="T133">
        <f t="shared" ref="T133" si="644">S133/1000</f>
        <v>-68.410571417752678</v>
      </c>
    </row>
    <row r="134" spans="1:20" x14ac:dyDescent="0.25">
      <c r="A134" s="5">
        <v>44459</v>
      </c>
      <c r="B134">
        <v>0.10657999999999999</v>
      </c>
      <c r="C134">
        <v>0.10829</v>
      </c>
      <c r="D134">
        <v>8.6940000000000003E-2</v>
      </c>
      <c r="E134">
        <v>9.1380000000000003E-2</v>
      </c>
      <c r="F134">
        <v>159994043.12</v>
      </c>
      <c r="G134">
        <v>9.1380000000000003E-2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-0.58407494145199057</v>
      </c>
      <c r="Q134">
        <f t="shared" ref="Q134" si="646">F134*P134</f>
        <v>-93448511.367981255</v>
      </c>
      <c r="R134">
        <f t="shared" ref="R134" si="647">R135+Q134</f>
        <v>-6653195028.069829</v>
      </c>
      <c r="S134">
        <f t="shared" ref="S134" si="648">R134/100000</f>
        <v>-66531.950280698293</v>
      </c>
      <c r="T134">
        <f t="shared" ref="T134" si="649">S134/1000</f>
        <v>-66.531950280698297</v>
      </c>
    </row>
    <row r="135" spans="1:20" x14ac:dyDescent="0.25">
      <c r="A135" s="5">
        <v>44458</v>
      </c>
      <c r="B135">
        <v>0.1084</v>
      </c>
      <c r="C135">
        <v>0.11222</v>
      </c>
      <c r="D135">
        <v>0.10478</v>
      </c>
      <c r="E135">
        <v>0.10653</v>
      </c>
      <c r="F135">
        <v>127130452.91</v>
      </c>
      <c r="G135">
        <v>0.10653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-0.52956989247311803</v>
      </c>
      <c r="Q135">
        <f t="shared" ref="Q135" si="651">F135*P135</f>
        <v>-67324460.277607501</v>
      </c>
      <c r="R135">
        <f t="shared" ref="R135" si="652">R136+Q135</f>
        <v>-6559746516.701848</v>
      </c>
      <c r="S135">
        <f t="shared" ref="S135" si="653">R135/100000</f>
        <v>-65597.465167018483</v>
      </c>
      <c r="T135">
        <f t="shared" ref="T135" si="654">S135/1000</f>
        <v>-65.597465167018484</v>
      </c>
    </row>
    <row r="136" spans="1:20" x14ac:dyDescent="0.25">
      <c r="A136" s="5">
        <v>44457</v>
      </c>
      <c r="B136">
        <v>0.10885</v>
      </c>
      <c r="C136">
        <v>0.115</v>
      </c>
      <c r="D136">
        <v>0.1065</v>
      </c>
      <c r="E136">
        <v>0.1084</v>
      </c>
      <c r="F136">
        <v>153014779.86000001</v>
      </c>
      <c r="G136">
        <v>0.1084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-0.55294117647058894</v>
      </c>
      <c r="Q136">
        <f t="shared" ref="Q136" si="656">F136*P136</f>
        <v>-84608172.393176585</v>
      </c>
      <c r="R136">
        <f t="shared" ref="R136" si="657">R137+Q136</f>
        <v>-6492422056.4242401</v>
      </c>
      <c r="S136">
        <f t="shared" ref="S136" si="658">R136/100000</f>
        <v>-64924.220564242401</v>
      </c>
      <c r="T136">
        <f t="shared" ref="T136" si="659">S136/1000</f>
        <v>-64.924220564242404</v>
      </c>
    </row>
    <row r="137" spans="1:20" x14ac:dyDescent="0.25">
      <c r="A137" s="5">
        <v>44456</v>
      </c>
      <c r="B137">
        <v>0.11133</v>
      </c>
      <c r="C137">
        <v>0.11742</v>
      </c>
      <c r="D137">
        <v>0.10471</v>
      </c>
      <c r="E137">
        <v>0.10882</v>
      </c>
      <c r="F137">
        <v>236462162.72</v>
      </c>
      <c r="G137">
        <v>0.10882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-0.35326514555468091</v>
      </c>
      <c r="Q137">
        <f t="shared" ref="Q137" si="661">F137*P137</f>
        <v>-83533840.331455439</v>
      </c>
      <c r="R137">
        <f t="shared" ref="R137" si="662">R138+Q137</f>
        <v>-6407813884.0310631</v>
      </c>
      <c r="S137">
        <f t="shared" ref="S137" si="663">R137/100000</f>
        <v>-64078.138840310632</v>
      </c>
      <c r="T137">
        <f t="shared" ref="T137" si="664">S137/1000</f>
        <v>-64.078138840310629</v>
      </c>
    </row>
    <row r="138" spans="1:20" x14ac:dyDescent="0.25">
      <c r="A138" s="5">
        <v>44455</v>
      </c>
      <c r="B138">
        <v>0.10935</v>
      </c>
      <c r="C138">
        <v>0.12</v>
      </c>
      <c r="D138">
        <v>0.108</v>
      </c>
      <c r="E138">
        <v>0.11133</v>
      </c>
      <c r="F138">
        <v>374180260.27999997</v>
      </c>
      <c r="G138">
        <v>0.11133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-0.4449999999999999</v>
      </c>
      <c r="Q138">
        <f t="shared" ref="Q138" si="666">F138*P138</f>
        <v>-166510215.82459995</v>
      </c>
      <c r="R138">
        <f t="shared" ref="R138" si="667">R139+Q138</f>
        <v>-6324280043.6996078</v>
      </c>
      <c r="S138">
        <f t="shared" ref="S138" si="668">R138/100000</f>
        <v>-63242.800436996076</v>
      </c>
      <c r="T138">
        <f t="shared" ref="T138" si="669">S138/1000</f>
        <v>-63.242800436996077</v>
      </c>
    </row>
    <row r="139" spans="1:20" x14ac:dyDescent="0.25">
      <c r="A139" s="5">
        <v>44454</v>
      </c>
      <c r="B139">
        <v>0.11117</v>
      </c>
      <c r="C139">
        <v>0.11694</v>
      </c>
      <c r="D139">
        <v>0.10777</v>
      </c>
      <c r="E139">
        <v>0.10935</v>
      </c>
      <c r="F139">
        <v>241849601.56</v>
      </c>
      <c r="G139">
        <v>0.10935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-0.65539803707742672</v>
      </c>
      <c r="Q139">
        <f t="shared" ref="Q139" si="671">F139*P139</f>
        <v>-158507754.13038176</v>
      </c>
      <c r="R139">
        <f t="shared" ref="R139" si="672">R140+Q139</f>
        <v>-6157769827.8750076</v>
      </c>
      <c r="S139">
        <f t="shared" ref="S139" si="673">R139/100000</f>
        <v>-61577.698278750075</v>
      </c>
      <c r="T139">
        <f t="shared" ref="T139" si="674">S139/1000</f>
        <v>-61.577698278750077</v>
      </c>
    </row>
    <row r="140" spans="1:20" x14ac:dyDescent="0.25">
      <c r="A140" s="5">
        <v>44453</v>
      </c>
      <c r="B140">
        <v>0.10241</v>
      </c>
      <c r="C140">
        <v>0.13658000000000001</v>
      </c>
      <c r="D140">
        <v>0.10113</v>
      </c>
      <c r="E140">
        <v>0.11117</v>
      </c>
      <c r="F140">
        <v>811588305.98000002</v>
      </c>
      <c r="G140">
        <v>0.11117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-0.43356840620592357</v>
      </c>
      <c r="Q140">
        <f t="shared" ref="Q140" si="676">F140*P140</f>
        <v>-351879048.31911403</v>
      </c>
      <c r="R140">
        <f t="shared" ref="R140" si="677">R141+Q140</f>
        <v>-5999262073.744626</v>
      </c>
      <c r="S140">
        <f t="shared" ref="S140" si="678">R140/100000</f>
        <v>-59992.620737446261</v>
      </c>
      <c r="T140">
        <f t="shared" ref="T140" si="679">S140/1000</f>
        <v>-59.992620737446259</v>
      </c>
    </row>
    <row r="141" spans="1:20" x14ac:dyDescent="0.25">
      <c r="A141" s="5">
        <v>44452</v>
      </c>
      <c r="B141">
        <v>0.11902</v>
      </c>
      <c r="C141">
        <v>0.12776999999999999</v>
      </c>
      <c r="D141">
        <v>9.5670000000000005E-2</v>
      </c>
      <c r="E141">
        <v>0.10242999999999999</v>
      </c>
      <c r="F141">
        <v>421511930.13</v>
      </c>
      <c r="G141">
        <v>0.10242999999999999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-0.57881619937694762</v>
      </c>
      <c r="Q141">
        <f t="shared" ref="Q141" si="681">F141*P141</f>
        <v>-243977933.38988808</v>
      </c>
      <c r="R141">
        <f t="shared" ref="R141" si="682">R142+Q141</f>
        <v>-5647383025.4255123</v>
      </c>
      <c r="S141">
        <f t="shared" ref="S141" si="683">R141/100000</f>
        <v>-56473.830254255125</v>
      </c>
      <c r="T141">
        <f t="shared" ref="T141" si="684">S141/1000</f>
        <v>-56.473830254255127</v>
      </c>
    </row>
    <row r="142" spans="1:20" x14ac:dyDescent="0.25">
      <c r="A142" s="5">
        <v>44451</v>
      </c>
      <c r="B142">
        <v>0.11627999999999999</v>
      </c>
      <c r="C142">
        <v>0.1399</v>
      </c>
      <c r="D142">
        <v>0.11453000000000001</v>
      </c>
      <c r="E142">
        <v>0.11889</v>
      </c>
      <c r="F142">
        <v>831873851.49000001</v>
      </c>
      <c r="G142">
        <v>0.11889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-0.65628695309420648</v>
      </c>
      <c r="Q142">
        <f t="shared" ref="Q142" si="686">F142*P142</f>
        <v>-545947955.35311449</v>
      </c>
      <c r="R142">
        <f t="shared" ref="R142" si="687">R143+Q142</f>
        <v>-5403405092.0356245</v>
      </c>
      <c r="S142">
        <f t="shared" ref="S142" si="688">R142/100000</f>
        <v>-54034.050920356247</v>
      </c>
      <c r="T142">
        <f t="shared" ref="T142" si="689">S142/1000</f>
        <v>-54.03405092035625</v>
      </c>
    </row>
    <row r="143" spans="1:20" x14ac:dyDescent="0.25">
      <c r="A143" s="5">
        <v>44450</v>
      </c>
      <c r="B143">
        <v>0.13378999999999999</v>
      </c>
      <c r="C143">
        <v>0.16899</v>
      </c>
      <c r="D143">
        <v>0.115</v>
      </c>
      <c r="E143">
        <v>0.11617</v>
      </c>
      <c r="F143">
        <v>1785533200.3900001</v>
      </c>
      <c r="G143">
        <v>0.11617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-0.95665864048897975</v>
      </c>
      <c r="Q143">
        <f t="shared" ref="Q143" si="691">F143*P143</f>
        <v>-1708145764.0330346</v>
      </c>
      <c r="R143">
        <f t="shared" ref="R143" si="692">R144+Q143</f>
        <v>-4857457136.6825104</v>
      </c>
      <c r="S143">
        <f t="shared" ref="S143" si="693">R143/100000</f>
        <v>-48574.571366825105</v>
      </c>
      <c r="T143">
        <f t="shared" ref="T143" si="694">S143/1000</f>
        <v>-48.574571366825104</v>
      </c>
    </row>
    <row r="144" spans="1:20" x14ac:dyDescent="0.25">
      <c r="A144" s="5">
        <v>44449</v>
      </c>
      <c r="B144">
        <v>9.5640000000000003E-2</v>
      </c>
      <c r="C144">
        <v>0.186</v>
      </c>
      <c r="D144">
        <v>8.8789999999999994E-2</v>
      </c>
      <c r="E144">
        <v>0.1336</v>
      </c>
      <c r="F144">
        <v>3281256215.98</v>
      </c>
      <c r="G144">
        <v>0.1336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-7.8078386997222499E-2</v>
      </c>
      <c r="Q144">
        <f t="shared" ref="Q144" si="696">F144*P144</f>
        <v>-256195192.66832834</v>
      </c>
      <c r="R144">
        <f t="shared" ref="R144" si="697">R145+Q144</f>
        <v>-3149311372.6494761</v>
      </c>
      <c r="S144">
        <f t="shared" ref="S144" si="698">R144/100000</f>
        <v>-31493.113726494761</v>
      </c>
      <c r="T144">
        <f t="shared" ref="T144" si="699">S144/1000</f>
        <v>-31.493113726494762</v>
      </c>
    </row>
    <row r="145" spans="1:20" x14ac:dyDescent="0.25">
      <c r="A145" s="5">
        <v>44448</v>
      </c>
      <c r="B145">
        <v>7.2760000000000005E-2</v>
      </c>
      <c r="C145">
        <v>0.11899999999999999</v>
      </c>
      <c r="D145">
        <v>6.9819999999999993E-2</v>
      </c>
      <c r="E145">
        <v>9.5659999999999995E-2</v>
      </c>
      <c r="F145">
        <v>925926512</v>
      </c>
      <c r="G145">
        <v>9.5659999999999995E-2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5.0833672224481541E-2</v>
      </c>
      <c r="Q145">
        <f t="shared" ref="Q145" si="701">F145*P145</f>
        <v>47068244.814965472</v>
      </c>
      <c r="R145">
        <f t="shared" ref="R145" si="702">R146+Q145</f>
        <v>-2893116179.9811478</v>
      </c>
      <c r="S145">
        <f t="shared" ref="S145" si="703">R145/100000</f>
        <v>-28931.161799811478</v>
      </c>
      <c r="T145">
        <f t="shared" ref="T145" si="704">S145/1000</f>
        <v>-28.931161799811477</v>
      </c>
    </row>
    <row r="146" spans="1:20" x14ac:dyDescent="0.25">
      <c r="A146" s="5">
        <v>44447</v>
      </c>
      <c r="B146">
        <v>7.5939999999999994E-2</v>
      </c>
      <c r="C146">
        <v>7.7460000000000001E-2</v>
      </c>
      <c r="D146">
        <v>6.7449999999999996E-2</v>
      </c>
      <c r="E146">
        <v>7.2590000000000002E-2</v>
      </c>
      <c r="F146">
        <v>200952168.38</v>
      </c>
      <c r="G146">
        <v>7.2590000000000002E-2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2.6973026973027593E-2</v>
      </c>
      <c r="Q146">
        <f t="shared" ref="Q146" si="706">F146*P146</f>
        <v>5420288.2580021229</v>
      </c>
      <c r="R146">
        <f t="shared" ref="R146" si="707">R147+Q146</f>
        <v>-2940184424.796113</v>
      </c>
      <c r="S146">
        <f t="shared" ref="S146" si="708">R146/100000</f>
        <v>-29401.844247961129</v>
      </c>
      <c r="T146">
        <f t="shared" ref="T146" si="709">S146/1000</f>
        <v>-29.401844247961129</v>
      </c>
    </row>
    <row r="147" spans="1:20" x14ac:dyDescent="0.25">
      <c r="A147" s="5">
        <v>44446</v>
      </c>
      <c r="B147">
        <v>0.10133</v>
      </c>
      <c r="C147">
        <v>0.10489999999999999</v>
      </c>
      <c r="D147">
        <v>6.6000000000000003E-2</v>
      </c>
      <c r="E147">
        <v>7.5899999999999995E-2</v>
      </c>
      <c r="F147">
        <v>251629479.38</v>
      </c>
      <c r="G147">
        <v>7.5899999999999995E-2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-0.4910025706940877</v>
      </c>
      <c r="Q147">
        <f t="shared" ref="Q147" si="711">F147*P147</f>
        <v>-123550721.23799494</v>
      </c>
      <c r="R147">
        <f t="shared" ref="R147" si="712">R148+Q147</f>
        <v>-2945604713.0541153</v>
      </c>
      <c r="S147">
        <f t="shared" ref="S147" si="713">R147/100000</f>
        <v>-29456.047130541152</v>
      </c>
      <c r="T147">
        <f t="shared" ref="T147" si="714">S147/1000</f>
        <v>-29.456047130541151</v>
      </c>
    </row>
    <row r="148" spans="1:20" x14ac:dyDescent="0.25">
      <c r="A148" s="5">
        <v>44445</v>
      </c>
      <c r="B148">
        <v>9.4880000000000006E-2</v>
      </c>
      <c r="C148">
        <v>0.105</v>
      </c>
      <c r="D148">
        <v>9.0700000000000003E-2</v>
      </c>
      <c r="E148">
        <v>0.10134</v>
      </c>
      <c r="F148">
        <v>269876635.72000003</v>
      </c>
      <c r="G148">
        <v>0.10134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0.48811188811188833</v>
      </c>
      <c r="Q148">
        <f t="shared" ref="Q148" si="716">F148*P148</f>
        <v>131729994.2185735</v>
      </c>
      <c r="R148">
        <f t="shared" ref="R148" si="717">R149+Q148</f>
        <v>-2822053991.8161201</v>
      </c>
      <c r="S148">
        <f t="shared" ref="S148" si="718">R148/100000</f>
        <v>-28220.539918161201</v>
      </c>
      <c r="T148">
        <f t="shared" ref="T148" si="719">S148/1000</f>
        <v>-28.220539918161201</v>
      </c>
    </row>
    <row r="149" spans="1:20" x14ac:dyDescent="0.25">
      <c r="A149" s="5">
        <v>44444</v>
      </c>
      <c r="B149">
        <v>8.8870000000000005E-2</v>
      </c>
      <c r="C149">
        <v>0.105</v>
      </c>
      <c r="D149">
        <v>8.8109999999999994E-2</v>
      </c>
      <c r="E149">
        <v>9.4759999999999997E-2</v>
      </c>
      <c r="F149">
        <v>314770215.51999998</v>
      </c>
      <c r="G149">
        <v>9.4759999999999997E-2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-0.21255180580224958</v>
      </c>
      <c r="Q149">
        <f t="shared" ref="Q149" si="721">F149*P149</f>
        <v>-66904977.721539281</v>
      </c>
      <c r="R149">
        <f t="shared" ref="R149" si="722">R150+Q149</f>
        <v>-2953783986.0346937</v>
      </c>
      <c r="S149">
        <f t="shared" ref="S149" si="723">R149/100000</f>
        <v>-29537.839860346936</v>
      </c>
      <c r="T149">
        <f t="shared" ref="T149" si="724">S149/1000</f>
        <v>-29.537839860346935</v>
      </c>
    </row>
    <row r="150" spans="1:20" x14ac:dyDescent="0.25">
      <c r="A150" s="5">
        <v>44443</v>
      </c>
      <c r="B150">
        <v>8.8260000000000005E-2</v>
      </c>
      <c r="C150">
        <v>9.2910000000000006E-2</v>
      </c>
      <c r="D150">
        <v>8.7620000000000003E-2</v>
      </c>
      <c r="E150">
        <v>8.8889999999999997E-2</v>
      </c>
      <c r="F150">
        <v>83380255.069999993</v>
      </c>
      <c r="G150">
        <v>8.8889999999999997E-2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-0.51984877126654339</v>
      </c>
      <c r="Q150">
        <f t="shared" ref="Q150" si="726">F150*P150</f>
        <v>-43345123.146030471</v>
      </c>
      <c r="R150">
        <f t="shared" ref="R150" si="727">R151+Q150</f>
        <v>-2886879008.3131542</v>
      </c>
      <c r="S150">
        <f t="shared" ref="S150" si="728">R150/100000</f>
        <v>-28868.790083131542</v>
      </c>
      <c r="T150">
        <f t="shared" ref="T150" si="729">S150/1000</f>
        <v>-28.868790083131543</v>
      </c>
    </row>
    <row r="151" spans="1:20" x14ac:dyDescent="0.25">
      <c r="A151" s="5">
        <v>44442</v>
      </c>
      <c r="B151">
        <v>8.6040000000000005E-2</v>
      </c>
      <c r="C151">
        <v>9.1999999999999998E-2</v>
      </c>
      <c r="D151">
        <v>8.3309999999999995E-2</v>
      </c>
      <c r="E151">
        <v>8.8300000000000003E-2</v>
      </c>
      <c r="F151">
        <v>127768817.39</v>
      </c>
      <c r="G151">
        <v>8.8300000000000003E-2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0.14844649021864359</v>
      </c>
      <c r="Q151">
        <f t="shared" ref="Q151" si="731">F151*P151</f>
        <v>18966832.500932295</v>
      </c>
      <c r="R151">
        <f t="shared" ref="R151" si="732">R152+Q151</f>
        <v>-2843533885.1671238</v>
      </c>
      <c r="S151">
        <f t="shared" ref="S151" si="733">R151/100000</f>
        <v>-28435.338851671237</v>
      </c>
      <c r="T151">
        <f t="shared" ref="T151" si="734">S151/1000</f>
        <v>-28.435338851671236</v>
      </c>
    </row>
    <row r="152" spans="1:20" x14ac:dyDescent="0.25">
      <c r="A152" s="5">
        <v>44441</v>
      </c>
      <c r="B152">
        <v>8.6699999999999999E-2</v>
      </c>
      <c r="C152">
        <v>8.949E-2</v>
      </c>
      <c r="D152">
        <v>8.4000000000000005E-2</v>
      </c>
      <c r="E152">
        <v>8.6040000000000005E-2</v>
      </c>
      <c r="F152">
        <v>74484369.569999993</v>
      </c>
      <c r="G152">
        <v>8.6040000000000005E-2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-0.25683060109289541</v>
      </c>
      <c r="Q152">
        <f t="shared" ref="Q152" si="736">F152*P152</f>
        <v>-19129865.408688467</v>
      </c>
      <c r="R152">
        <f t="shared" ref="R152" si="737">R153+Q152</f>
        <v>-2862500717.668056</v>
      </c>
      <c r="S152">
        <f t="shared" ref="S152" si="738">R152/100000</f>
        <v>-28625.007176680559</v>
      </c>
      <c r="T152">
        <f t="shared" ref="T152" si="739">S152/1000</f>
        <v>-28.625007176680558</v>
      </c>
    </row>
    <row r="153" spans="1:20" x14ac:dyDescent="0.25">
      <c r="A153" s="5">
        <v>44440</v>
      </c>
      <c r="B153">
        <v>8.4309999999999996E-2</v>
      </c>
      <c r="C153">
        <v>8.7709999999999996E-2</v>
      </c>
      <c r="D153">
        <v>8.1470000000000001E-2</v>
      </c>
      <c r="E153">
        <v>8.6730000000000002E-2</v>
      </c>
      <c r="F153">
        <v>70335864.180000007</v>
      </c>
      <c r="G153">
        <v>8.6730000000000002E-2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0.68589743589743735</v>
      </c>
      <c r="Q153">
        <f t="shared" ref="Q153" si="741">F153*P153</f>
        <v>48243188.892692417</v>
      </c>
      <c r="R153">
        <f t="shared" ref="R153" si="742">R154+Q153</f>
        <v>-2843370852.2593675</v>
      </c>
      <c r="S153">
        <f t="shared" ref="S153" si="743">R153/100000</f>
        <v>-28433.708522593675</v>
      </c>
      <c r="T153">
        <f t="shared" ref="T153" si="744">S153/1000</f>
        <v>-28.433708522593676</v>
      </c>
    </row>
    <row r="154" spans="1:20" x14ac:dyDescent="0.25">
      <c r="A154" s="5">
        <v>44439</v>
      </c>
      <c r="B154">
        <v>8.6029999999999995E-2</v>
      </c>
      <c r="C154">
        <v>9.1999999999999998E-2</v>
      </c>
      <c r="D154">
        <v>8.2650000000000001E-2</v>
      </c>
      <c r="E154">
        <v>8.4580000000000002E-2</v>
      </c>
      <c r="F154">
        <v>115956540.68000001</v>
      </c>
      <c r="G154">
        <v>8.4580000000000002E-2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-0.58716577540106918</v>
      </c>
      <c r="Q154">
        <f t="shared" ref="Q154" si="746">F154*P154</f>
        <v>-68085712.12119782</v>
      </c>
      <c r="R154">
        <f t="shared" ref="R154" si="747">R155+Q154</f>
        <v>-2891614041.15206</v>
      </c>
      <c r="S154">
        <f t="shared" ref="S154" si="748">R154/100000</f>
        <v>-28916.140411520599</v>
      </c>
      <c r="T154">
        <f t="shared" ref="T154" si="749">S154/1000</f>
        <v>-28.916140411520598</v>
      </c>
    </row>
    <row r="155" spans="1:20" x14ac:dyDescent="0.25">
      <c r="A155" s="5">
        <v>44438</v>
      </c>
      <c r="B155">
        <v>8.7410000000000002E-2</v>
      </c>
      <c r="C155">
        <v>9.3100000000000002E-2</v>
      </c>
      <c r="D155">
        <v>8.566E-2</v>
      </c>
      <c r="E155">
        <v>8.6129999999999998E-2</v>
      </c>
      <c r="F155">
        <v>163213833.13999999</v>
      </c>
      <c r="G155">
        <v>8.6129999999999998E-2</v>
      </c>
      <c r="L155" t="s">
        <v>7</v>
      </c>
      <c r="M155" t="s">
        <v>8</v>
      </c>
      <c r="N155" t="s">
        <v>7</v>
      </c>
      <c r="P155">
        <f t="shared" ref="P155" si="750">IF(C155=D155,0,((E155-D155)-(C155-E155))/(C155-D155))</f>
        <v>-0.87365591397849518</v>
      </c>
      <c r="Q155">
        <f t="shared" ref="Q155" si="751">F155*P155</f>
        <v>-142592730.5658603</v>
      </c>
      <c r="R155">
        <f t="shared" ref="R155" si="752">R156+Q155</f>
        <v>-2823528329.0308623</v>
      </c>
      <c r="S155">
        <f t="shared" ref="S155" si="753">R155/100000</f>
        <v>-28235.283290308624</v>
      </c>
      <c r="T155">
        <f t="shared" ref="T155" si="754">S155/1000</f>
        <v>-28.235283290308622</v>
      </c>
    </row>
    <row r="156" spans="1:20" x14ac:dyDescent="0.25">
      <c r="A156" s="5">
        <v>44437</v>
      </c>
      <c r="B156">
        <v>8.9410000000000003E-2</v>
      </c>
      <c r="C156">
        <v>0.1</v>
      </c>
      <c r="D156">
        <v>8.7300000000000003E-2</v>
      </c>
      <c r="E156">
        <v>8.7410000000000002E-2</v>
      </c>
      <c r="F156">
        <v>231108965.91999999</v>
      </c>
      <c r="G156">
        <v>8.7410000000000002E-2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-0.98267716535433092</v>
      </c>
      <c r="Q156">
        <f t="shared" ref="Q156" si="756">F156*P156</f>
        <v>-227105503.51823625</v>
      </c>
      <c r="R156">
        <f t="shared" ref="R156" si="757">R157+Q156</f>
        <v>-2680935598.4650021</v>
      </c>
      <c r="S156">
        <f t="shared" ref="S156" si="758">R156/100000</f>
        <v>-26809.355984650021</v>
      </c>
      <c r="T156">
        <f t="shared" ref="T156" si="759">S156/1000</f>
        <v>-26.809355984650022</v>
      </c>
    </row>
    <row r="157" spans="1:20" x14ac:dyDescent="0.25">
      <c r="A157" s="5">
        <v>44436</v>
      </c>
      <c r="B157">
        <v>8.813E-2</v>
      </c>
      <c r="C157">
        <v>9.2979999999999993E-2</v>
      </c>
      <c r="D157">
        <v>8.4019999999999997E-2</v>
      </c>
      <c r="E157">
        <v>8.9340000000000003E-2</v>
      </c>
      <c r="F157">
        <v>160316116.41999999</v>
      </c>
      <c r="G157">
        <v>8.9340000000000003E-2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0.18750000000000175</v>
      </c>
      <c r="Q157">
        <f t="shared" ref="Q157" si="761">F157*P157</f>
        <v>30059271.828750279</v>
      </c>
      <c r="R157">
        <f t="shared" ref="R157" si="762">R158+Q157</f>
        <v>-2453830094.9467659</v>
      </c>
      <c r="S157">
        <f t="shared" ref="S157" si="763">R157/100000</f>
        <v>-24538.300949467659</v>
      </c>
      <c r="T157">
        <f t="shared" ref="T157" si="764">S157/1000</f>
        <v>-24.538300949467658</v>
      </c>
    </row>
    <row r="158" spans="1:20" x14ac:dyDescent="0.25">
      <c r="A158" s="5">
        <v>44435</v>
      </c>
      <c r="B158">
        <v>8.5300000000000001E-2</v>
      </c>
      <c r="C158">
        <v>9.0289999999999995E-2</v>
      </c>
      <c r="D158">
        <v>7.8770000000000007E-2</v>
      </c>
      <c r="E158">
        <v>8.813E-2</v>
      </c>
      <c r="F158">
        <v>165813572.94</v>
      </c>
      <c r="G158">
        <v>8.813E-2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0.62500000000000044</v>
      </c>
      <c r="Q158">
        <f t="shared" ref="Q158" si="766">F158*P158</f>
        <v>103633483.08750007</v>
      </c>
      <c r="R158">
        <f t="shared" ref="R158" si="767">R159+Q158</f>
        <v>-2483889366.775516</v>
      </c>
      <c r="S158">
        <f t="shared" ref="S158" si="768">R158/100000</f>
        <v>-24838.893667755161</v>
      </c>
      <c r="T158">
        <f t="shared" ref="T158" si="769">S158/1000</f>
        <v>-24.838893667755162</v>
      </c>
    </row>
    <row r="159" spans="1:20" x14ac:dyDescent="0.25">
      <c r="A159" s="5">
        <v>44434</v>
      </c>
      <c r="B159">
        <v>9.2299999999999993E-2</v>
      </c>
      <c r="C159">
        <v>0.11378000000000001</v>
      </c>
      <c r="D159">
        <v>8.201E-2</v>
      </c>
      <c r="E159">
        <v>8.5290000000000005E-2</v>
      </c>
      <c r="F159">
        <v>647583686.63999999</v>
      </c>
      <c r="G159">
        <v>8.5290000000000005E-2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-0.79351589549889801</v>
      </c>
      <c r="Q159">
        <f t="shared" ref="Q159" si="771">F159*P159</f>
        <v>-513867949.01461732</v>
      </c>
      <c r="R159">
        <f t="shared" ref="R159" si="772">R160+Q159</f>
        <v>-2587522849.8630161</v>
      </c>
      <c r="S159">
        <f t="shared" ref="S159" si="773">R159/100000</f>
        <v>-25875.22849863016</v>
      </c>
      <c r="T159">
        <f t="shared" ref="T159" si="774">S159/1000</f>
        <v>-25.875228498630161</v>
      </c>
    </row>
    <row r="160" spans="1:20" x14ac:dyDescent="0.25">
      <c r="A160" s="5">
        <v>44433</v>
      </c>
      <c r="B160">
        <v>8.0100000000000005E-2</v>
      </c>
      <c r="C160">
        <v>9.8000000000000004E-2</v>
      </c>
      <c r="D160">
        <v>7.5800000000000006E-2</v>
      </c>
      <c r="E160">
        <v>9.2399999999999996E-2</v>
      </c>
      <c r="F160">
        <v>205395644.21000001</v>
      </c>
      <c r="G160">
        <v>9.2399999999999996E-2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0.49549549549549476</v>
      </c>
      <c r="Q160">
        <f t="shared" ref="Q160" si="776">F160*P160</f>
        <v>101772616.5004503</v>
      </c>
      <c r="R160">
        <f t="shared" ref="R160" si="777">R161+Q160</f>
        <v>-2073654900.8483989</v>
      </c>
      <c r="S160">
        <f t="shared" ref="S160" si="778">R160/100000</f>
        <v>-20736.549008483988</v>
      </c>
      <c r="T160">
        <f t="shared" ref="T160" si="779">S160/1000</f>
        <v>-20.736549008483987</v>
      </c>
    </row>
    <row r="161" spans="1:20" x14ac:dyDescent="0.25">
      <c r="A161" s="5">
        <v>44432</v>
      </c>
      <c r="B161">
        <v>8.9300000000000004E-2</v>
      </c>
      <c r="C161">
        <v>9.0499999999999997E-2</v>
      </c>
      <c r="D161">
        <v>7.9299999999999995E-2</v>
      </c>
      <c r="E161">
        <v>8.0100000000000005E-2</v>
      </c>
      <c r="F161">
        <v>96268978.959999993</v>
      </c>
      <c r="G161">
        <v>8.0100000000000005E-2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-0.85714285714285554</v>
      </c>
      <c r="Q161">
        <f t="shared" ref="Q161" si="781">F161*P161</f>
        <v>-82516267.679999843</v>
      </c>
      <c r="R161">
        <f t="shared" ref="R161" si="782">R162+Q161</f>
        <v>-2175427517.3488493</v>
      </c>
      <c r="S161">
        <f t="shared" ref="S161" si="783">R161/100000</f>
        <v>-21754.275173488491</v>
      </c>
      <c r="T161">
        <f t="shared" ref="T161" si="784">S161/1000</f>
        <v>-21.754275173488491</v>
      </c>
    </row>
    <row r="162" spans="1:20" x14ac:dyDescent="0.25">
      <c r="A162" s="5">
        <v>44431</v>
      </c>
      <c r="B162">
        <v>9.1399999999999995E-2</v>
      </c>
      <c r="C162">
        <v>9.5000000000000001E-2</v>
      </c>
      <c r="D162">
        <v>8.77E-2</v>
      </c>
      <c r="E162">
        <v>8.9099999999999999E-2</v>
      </c>
      <c r="F162">
        <v>165663449.58000001</v>
      </c>
      <c r="G162">
        <v>8.9099999999999999E-2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-0.61643835616438403</v>
      </c>
      <c r="Q162">
        <f t="shared" ref="Q162" si="786">F162*P162</f>
        <v>-102121304.53561652</v>
      </c>
      <c r="R162">
        <f t="shared" ref="R162" si="787">R163+Q162</f>
        <v>-2092911249.6688495</v>
      </c>
      <c r="S162">
        <f t="shared" ref="S162" si="788">R162/100000</f>
        <v>-20929.112496688496</v>
      </c>
      <c r="T162">
        <f t="shared" ref="T162" si="789">S162/1000</f>
        <v>-20.929112496688496</v>
      </c>
    </row>
    <row r="163" spans="1:20" x14ac:dyDescent="0.25">
      <c r="A163" s="5">
        <v>44430</v>
      </c>
      <c r="B163">
        <v>8.3299999999999999E-2</v>
      </c>
      <c r="C163">
        <v>8.6499999999999994E-2</v>
      </c>
      <c r="D163">
        <v>8.2600000000000007E-2</v>
      </c>
      <c r="E163">
        <v>8.5999999999999993E-2</v>
      </c>
      <c r="F163">
        <v>21851973.640000001</v>
      </c>
      <c r="G163">
        <v>8.5999999999999993E-2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0.7435897435897425</v>
      </c>
      <c r="Q163">
        <f t="shared" ref="Q163" si="791">F163*P163</f>
        <v>16248903.475897413</v>
      </c>
      <c r="R163">
        <f t="shared" ref="R163" si="792">R164+Q163</f>
        <v>-1990789945.1332331</v>
      </c>
      <c r="S163">
        <f t="shared" ref="S163" si="793">R163/100000</f>
        <v>-19907.899451332331</v>
      </c>
      <c r="T163">
        <f t="shared" ref="T163" si="794">S163/1000</f>
        <v>-19.90789945133233</v>
      </c>
    </row>
    <row r="164" spans="1:20" x14ac:dyDescent="0.25">
      <c r="A164" s="5">
        <v>44429</v>
      </c>
      <c r="B164">
        <v>8.3699999999999997E-2</v>
      </c>
      <c r="C164">
        <v>8.8700000000000001E-2</v>
      </c>
      <c r="D164">
        <v>8.1600000000000006E-2</v>
      </c>
      <c r="E164">
        <v>8.3199999999999996E-2</v>
      </c>
      <c r="F164">
        <v>156352580.36000001</v>
      </c>
      <c r="G164">
        <v>8.3199999999999996E-2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-0.5492957746478897</v>
      </c>
      <c r="Q164">
        <f t="shared" ref="Q164" si="796">F164*P164</f>
        <v>-85883811.747042626</v>
      </c>
      <c r="R164">
        <f t="shared" ref="R164" si="797">R165+Q164</f>
        <v>-2007038848.6091304</v>
      </c>
      <c r="S164">
        <f t="shared" ref="S164" si="798">R164/100000</f>
        <v>-20070.388486091302</v>
      </c>
      <c r="T164">
        <f t="shared" ref="T164" si="799">S164/1000</f>
        <v>-20.070388486091304</v>
      </c>
    </row>
    <row r="165" spans="1:20" x14ac:dyDescent="0.25">
      <c r="A165" s="5">
        <v>44428</v>
      </c>
      <c r="B165">
        <v>8.5199999999999998E-2</v>
      </c>
      <c r="C165">
        <v>9.0399999999999994E-2</v>
      </c>
      <c r="D165">
        <v>8.2799999999999999E-2</v>
      </c>
      <c r="E165">
        <v>8.3900000000000002E-2</v>
      </c>
      <c r="F165">
        <v>137451177.40000001</v>
      </c>
      <c r="G165">
        <v>8.3900000000000002E-2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-0.71052631578947256</v>
      </c>
      <c r="Q165">
        <f t="shared" ref="Q165" si="801">F165*P165</f>
        <v>-97662678.678947225</v>
      </c>
      <c r="R165">
        <f t="shared" ref="R165" si="802">R166+Q165</f>
        <v>-1921155036.8620877</v>
      </c>
      <c r="S165">
        <f t="shared" ref="S165" si="803">R165/100000</f>
        <v>-19211.550368620876</v>
      </c>
      <c r="T165">
        <f t="shared" ref="T165" si="804">S165/1000</f>
        <v>-19.211550368620877</v>
      </c>
    </row>
    <row r="166" spans="1:20" x14ac:dyDescent="0.25">
      <c r="A166" s="5">
        <v>44427</v>
      </c>
      <c r="B166">
        <v>8.43E-2</v>
      </c>
      <c r="C166">
        <v>8.7300000000000003E-2</v>
      </c>
      <c r="D166">
        <v>8.1100000000000005E-2</v>
      </c>
      <c r="E166">
        <v>8.5099999999999995E-2</v>
      </c>
      <c r="F166">
        <v>71824270.829999998</v>
      </c>
      <c r="G166">
        <v>8.5099999999999995E-2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0.29032258064515853</v>
      </c>
      <c r="Q166">
        <f t="shared" ref="Q166" si="806">F166*P166</f>
        <v>20852207.660322383</v>
      </c>
      <c r="R166">
        <f t="shared" ref="R166" si="807">R167+Q166</f>
        <v>-1823492358.1831405</v>
      </c>
      <c r="S166">
        <f t="shared" ref="S166" si="808">R166/100000</f>
        <v>-18234.923581831405</v>
      </c>
      <c r="T166">
        <f t="shared" ref="T166" si="809">S166/1000</f>
        <v>-18.234923581831403</v>
      </c>
    </row>
    <row r="167" spans="1:20" x14ac:dyDescent="0.25">
      <c r="A167" s="5">
        <v>44426</v>
      </c>
      <c r="B167">
        <v>8.2299999999999998E-2</v>
      </c>
      <c r="C167">
        <v>8.9599999999999999E-2</v>
      </c>
      <c r="D167">
        <v>7.8100000000000003E-2</v>
      </c>
      <c r="E167">
        <v>8.4400000000000003E-2</v>
      </c>
      <c r="F167">
        <v>101065817.56</v>
      </c>
      <c r="G167">
        <v>8.4400000000000003E-2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9.5652173913043842E-2</v>
      </c>
      <c r="Q167">
        <f t="shared" ref="Q167" si="811">F167*P167</f>
        <v>9667165.1579130813</v>
      </c>
      <c r="R167">
        <f t="shared" ref="R167" si="812">R168+Q167</f>
        <v>-1844344565.8434629</v>
      </c>
      <c r="S167">
        <f t="shared" ref="S167" si="813">R167/100000</f>
        <v>-18443.44565843463</v>
      </c>
      <c r="T167">
        <f t="shared" ref="T167" si="814">S167/1000</f>
        <v>-18.44344565843463</v>
      </c>
    </row>
    <row r="168" spans="1:20" x14ac:dyDescent="0.25">
      <c r="A168" s="5">
        <v>44425</v>
      </c>
      <c r="B168">
        <v>8.5199999999999998E-2</v>
      </c>
      <c r="C168">
        <v>9.0999999999999998E-2</v>
      </c>
      <c r="D168">
        <v>8.1799999999999998E-2</v>
      </c>
      <c r="E168">
        <v>8.2400000000000001E-2</v>
      </c>
      <c r="F168">
        <v>54816090.689999998</v>
      </c>
      <c r="G168">
        <v>8.2400000000000001E-2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-0.86956521739130366</v>
      </c>
      <c r="Q168">
        <f t="shared" ref="Q168" si="816">F168*P168</f>
        <v>-47666165.817391261</v>
      </c>
      <c r="R168">
        <f t="shared" ref="R168" si="817">R169+Q168</f>
        <v>-1854011731.0013759</v>
      </c>
      <c r="S168">
        <f t="shared" ref="S168" si="818">R168/100000</f>
        <v>-18540.11731001376</v>
      </c>
      <c r="T168">
        <f t="shared" ref="T168" si="819">S168/1000</f>
        <v>-18.540117310013759</v>
      </c>
    </row>
    <row r="169" spans="1:20" x14ac:dyDescent="0.25">
      <c r="A169" s="5">
        <v>44424</v>
      </c>
      <c r="B169">
        <v>8.7900000000000006E-2</v>
      </c>
      <c r="C169">
        <v>9.2700000000000005E-2</v>
      </c>
      <c r="D169">
        <v>8.4599999999999995E-2</v>
      </c>
      <c r="E169">
        <v>8.5699999999999998E-2</v>
      </c>
      <c r="F169">
        <v>53554240.780000001</v>
      </c>
      <c r="G169">
        <v>8.5699999999999998E-2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-0.72839506172839452</v>
      </c>
      <c r="Q169">
        <f t="shared" ref="Q169" si="821">F169*P169</f>
        <v>-39008644.518765405</v>
      </c>
      <c r="R169">
        <f t="shared" ref="R169" si="822">R170+Q169</f>
        <v>-1806345565.1839848</v>
      </c>
      <c r="S169">
        <f t="shared" ref="S169" si="823">R169/100000</f>
        <v>-18063.455651839846</v>
      </c>
      <c r="T169">
        <f t="shared" ref="T169" si="824">S169/1000</f>
        <v>-18.063455651839845</v>
      </c>
    </row>
    <row r="170" spans="1:20" x14ac:dyDescent="0.25">
      <c r="A170" s="5">
        <v>44423</v>
      </c>
      <c r="B170">
        <v>8.7999999999999995E-2</v>
      </c>
      <c r="C170">
        <v>8.8999999999999996E-2</v>
      </c>
      <c r="D170">
        <v>8.2000000000000003E-2</v>
      </c>
      <c r="E170">
        <v>8.7900000000000006E-2</v>
      </c>
      <c r="F170">
        <v>57966037.43</v>
      </c>
      <c r="G170">
        <v>8.7900000000000006E-2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0.68571428571428827</v>
      </c>
      <c r="Q170">
        <f t="shared" ref="Q170" si="826">F170*P170</f>
        <v>39748139.952000149</v>
      </c>
      <c r="R170">
        <f t="shared" ref="R170" si="827">R171+Q170</f>
        <v>-1767336920.6652193</v>
      </c>
      <c r="S170">
        <f t="shared" ref="S170" si="828">R170/100000</f>
        <v>-17673.369206652194</v>
      </c>
      <c r="T170">
        <f t="shared" ref="T170" si="829">S170/1000</f>
        <v>-17.673369206652193</v>
      </c>
    </row>
    <row r="171" spans="1:20" x14ac:dyDescent="0.25">
      <c r="A171" s="5">
        <v>44422</v>
      </c>
      <c r="B171">
        <v>9.4100000000000003E-2</v>
      </c>
      <c r="C171">
        <v>9.4100000000000003E-2</v>
      </c>
      <c r="D171">
        <v>8.5199999999999998E-2</v>
      </c>
      <c r="E171">
        <v>8.8099999999999998E-2</v>
      </c>
      <c r="F171">
        <v>75473785.409999996</v>
      </c>
      <c r="G171">
        <v>8.8099999999999998E-2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-0.34831460674157344</v>
      </c>
      <c r="Q171">
        <f t="shared" ref="Q171" si="831">F171*P171</f>
        <v>-26288621.88438205</v>
      </c>
      <c r="R171">
        <f t="shared" ref="R171" si="832">R172+Q171</f>
        <v>-1807085060.6172194</v>
      </c>
      <c r="S171">
        <f t="shared" ref="S171" si="833">R171/100000</f>
        <v>-18070.850606172193</v>
      </c>
      <c r="T171">
        <f t="shared" ref="T171" si="834">S171/1000</f>
        <v>-18.070850606172193</v>
      </c>
    </row>
    <row r="172" spans="1:20" x14ac:dyDescent="0.25">
      <c r="A172" s="5">
        <v>44421</v>
      </c>
      <c r="B172">
        <v>8.2000000000000003E-2</v>
      </c>
      <c r="C172">
        <v>9.5899999999999999E-2</v>
      </c>
      <c r="D172">
        <v>8.1699999999999995E-2</v>
      </c>
      <c r="E172">
        <v>9.3899999999999997E-2</v>
      </c>
      <c r="F172">
        <v>82883636.840000004</v>
      </c>
      <c r="G172">
        <v>9.3899999999999997E-2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0.7183098591549294</v>
      </c>
      <c r="Q172">
        <f t="shared" ref="Q172" si="836">F172*P172</f>
        <v>59536133.504788719</v>
      </c>
      <c r="R172">
        <f t="shared" ref="R172" si="837">R173+Q172</f>
        <v>-1780796438.7328374</v>
      </c>
      <c r="S172">
        <f t="shared" ref="S172" si="838">R172/100000</f>
        <v>-17807.964387328375</v>
      </c>
      <c r="T172">
        <f t="shared" ref="T172" si="839">S172/1000</f>
        <v>-17.807964387328376</v>
      </c>
    </row>
    <row r="173" spans="1:20" x14ac:dyDescent="0.25">
      <c r="A173" s="5">
        <v>44420</v>
      </c>
      <c r="B173">
        <v>8.3599999999999994E-2</v>
      </c>
      <c r="C173">
        <v>9.5000000000000001E-2</v>
      </c>
      <c r="D173">
        <v>7.8E-2</v>
      </c>
      <c r="E173">
        <v>8.2000000000000003E-2</v>
      </c>
      <c r="F173">
        <v>181002544.68000001</v>
      </c>
      <c r="G173">
        <v>8.2000000000000003E-2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-0.52941176470588192</v>
      </c>
      <c r="Q173">
        <f t="shared" ref="Q173" si="841">F173*P173</f>
        <v>-95824876.595294043</v>
      </c>
      <c r="R173">
        <f t="shared" ref="R173" si="842">R174+Q173</f>
        <v>-1840332572.2376261</v>
      </c>
      <c r="S173">
        <f t="shared" ref="S173" si="843">R173/100000</f>
        <v>-18403.325722376259</v>
      </c>
      <c r="T173">
        <f t="shared" ref="T173" si="844">S173/1000</f>
        <v>-18.403325722376259</v>
      </c>
    </row>
    <row r="174" spans="1:20" x14ac:dyDescent="0.25">
      <c r="A174" s="5">
        <v>44419</v>
      </c>
      <c r="B174">
        <v>8.0600000000000005E-2</v>
      </c>
      <c r="C174">
        <v>8.7999999999999995E-2</v>
      </c>
      <c r="D174">
        <v>8.0199999999999994E-2</v>
      </c>
      <c r="E174">
        <v>8.3500000000000005E-2</v>
      </c>
      <c r="F174">
        <v>76627550.930000007</v>
      </c>
      <c r="G174">
        <v>8.3500000000000005E-2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-0.15384615384615111</v>
      </c>
      <c r="Q174">
        <f t="shared" ref="Q174" si="846">F174*P174</f>
        <v>-11788853.98923056</v>
      </c>
      <c r="R174">
        <f t="shared" ref="R174" si="847">R175+Q174</f>
        <v>-1744507695.6423321</v>
      </c>
      <c r="S174">
        <f t="shared" ref="S174" si="848">R174/100000</f>
        <v>-17445.07695642332</v>
      </c>
      <c r="T174">
        <f t="shared" ref="T174" si="849">S174/1000</f>
        <v>-17.445076956423321</v>
      </c>
    </row>
    <row r="175" spans="1:20" x14ac:dyDescent="0.25">
      <c r="A175" s="5">
        <v>44418</v>
      </c>
      <c r="B175">
        <v>7.5499999999999998E-2</v>
      </c>
      <c r="C175">
        <v>8.3099999999999993E-2</v>
      </c>
      <c r="D175">
        <v>7.4499999999999997E-2</v>
      </c>
      <c r="E175">
        <v>8.0600000000000005E-2</v>
      </c>
      <c r="F175">
        <v>92891699.810000002</v>
      </c>
      <c r="G175">
        <v>8.0600000000000005E-2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0.41860465116279316</v>
      </c>
      <c r="Q175">
        <f t="shared" ref="Q175" si="851">F175*P175</f>
        <v>38884897.594883949</v>
      </c>
      <c r="R175">
        <f t="shared" ref="R175" si="852">R176+Q175</f>
        <v>-1732718841.6531014</v>
      </c>
      <c r="S175">
        <f t="shared" ref="S175" si="853">R175/100000</f>
        <v>-17327.188416531015</v>
      </c>
      <c r="T175">
        <f t="shared" ref="T175" si="854">S175/1000</f>
        <v>-17.327188416531015</v>
      </c>
    </row>
    <row r="176" spans="1:20" x14ac:dyDescent="0.25">
      <c r="A176" s="5">
        <v>44417</v>
      </c>
      <c r="B176">
        <v>7.2900000000000006E-2</v>
      </c>
      <c r="C176">
        <v>7.9200000000000007E-2</v>
      </c>
      <c r="D176">
        <v>7.0099999999999996E-2</v>
      </c>
      <c r="E176">
        <v>7.5399999999999995E-2</v>
      </c>
      <c r="F176">
        <v>67303436.840000004</v>
      </c>
      <c r="G176">
        <v>7.5399999999999995E-2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0.16483516483516325</v>
      </c>
      <c r="Q176">
        <f t="shared" ref="Q176" si="856">F176*P176</f>
        <v>11093973.105494399</v>
      </c>
      <c r="R176">
        <f t="shared" ref="R176" si="857">R177+Q176</f>
        <v>-1771603739.2479854</v>
      </c>
      <c r="S176">
        <f t="shared" ref="S176" si="858">R176/100000</f>
        <v>-17716.037392479855</v>
      </c>
      <c r="T176">
        <f t="shared" ref="T176" si="859">S176/1000</f>
        <v>-17.716037392479855</v>
      </c>
    </row>
    <row r="177" spans="1:20" x14ac:dyDescent="0.25">
      <c r="A177" s="5">
        <v>44416</v>
      </c>
      <c r="B177">
        <v>0.08</v>
      </c>
      <c r="C177">
        <v>8.0699999999999994E-2</v>
      </c>
      <c r="D177">
        <v>7.1099999999999997E-2</v>
      </c>
      <c r="E177">
        <v>7.2800000000000004E-2</v>
      </c>
      <c r="F177">
        <v>68641593.640000001</v>
      </c>
      <c r="G177">
        <v>7.2800000000000004E-2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-0.64583333333333182</v>
      </c>
      <c r="Q177">
        <f t="shared" ref="Q177" si="861">F177*P177</f>
        <v>-44331029.22583323</v>
      </c>
      <c r="R177">
        <f t="shared" ref="R177" si="862">R178+Q177</f>
        <v>-1782697712.3534799</v>
      </c>
      <c r="S177">
        <f t="shared" ref="S177" si="863">R177/100000</f>
        <v>-17826.977123534798</v>
      </c>
      <c r="T177">
        <f t="shared" ref="T177" si="864">S177/1000</f>
        <v>-17.8269771235348</v>
      </c>
    </row>
    <row r="178" spans="1:20" x14ac:dyDescent="0.25">
      <c r="A178" s="5">
        <v>44415</v>
      </c>
      <c r="B178">
        <v>7.8399999999999997E-2</v>
      </c>
      <c r="C178">
        <v>8.5999999999999993E-2</v>
      </c>
      <c r="D178">
        <v>7.7200000000000005E-2</v>
      </c>
      <c r="E178">
        <v>0.08</v>
      </c>
      <c r="F178">
        <v>94928358.269999996</v>
      </c>
      <c r="G178">
        <v>0.08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-0.36363636363636348</v>
      </c>
      <c r="Q178">
        <f t="shared" ref="Q178" si="866">F178*P178</f>
        <v>-34519403.007272713</v>
      </c>
      <c r="R178">
        <f t="shared" ref="R178" si="867">R179+Q178</f>
        <v>-1738366683.1276467</v>
      </c>
      <c r="S178">
        <f t="shared" ref="S178" si="868">R178/100000</f>
        <v>-17383.666831276467</v>
      </c>
      <c r="T178">
        <f t="shared" ref="T178" si="869">S178/1000</f>
        <v>-17.383666831276468</v>
      </c>
    </row>
    <row r="179" spans="1:20" x14ac:dyDescent="0.25">
      <c r="A179" s="5">
        <v>44414</v>
      </c>
      <c r="B179">
        <v>7.8299999999999995E-2</v>
      </c>
      <c r="C179">
        <v>8.2400000000000001E-2</v>
      </c>
      <c r="D179">
        <v>7.3200000000000001E-2</v>
      </c>
      <c r="E179">
        <v>7.8399999999999997E-2</v>
      </c>
      <c r="F179">
        <v>110739568.45</v>
      </c>
      <c r="G179">
        <v>7.8399999999999997E-2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0.13043478260869487</v>
      </c>
      <c r="Q179">
        <f t="shared" ref="Q179" si="871">F179*P179</f>
        <v>14444291.536956435</v>
      </c>
      <c r="R179">
        <f t="shared" ref="R179" si="872">R180+Q179</f>
        <v>-1703847280.120374</v>
      </c>
      <c r="S179">
        <f t="shared" ref="S179" si="873">R179/100000</f>
        <v>-17038.472801203741</v>
      </c>
      <c r="T179">
        <f t="shared" ref="T179" si="874">S179/1000</f>
        <v>-17.038472801203742</v>
      </c>
    </row>
    <row r="180" spans="1:20" x14ac:dyDescent="0.25">
      <c r="A180" s="5">
        <v>44413</v>
      </c>
      <c r="B180">
        <v>6.8099999999999994E-2</v>
      </c>
      <c r="C180">
        <v>9.0999999999999998E-2</v>
      </c>
      <c r="D180">
        <v>6.7599999999999993E-2</v>
      </c>
      <c r="E180">
        <v>7.8299999999999995E-2</v>
      </c>
      <c r="F180">
        <v>311111712.19</v>
      </c>
      <c r="G180">
        <v>7.8299999999999995E-2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-8.5470085470085527E-2</v>
      </c>
      <c r="Q180">
        <f t="shared" ref="Q180" si="876">F180*P180</f>
        <v>-26590744.63162395</v>
      </c>
      <c r="R180">
        <f t="shared" ref="R180" si="877">R181+Q180</f>
        <v>-1718291571.6573305</v>
      </c>
      <c r="S180">
        <f t="shared" ref="S180" si="878">R180/100000</f>
        <v>-17182.915716573305</v>
      </c>
      <c r="T180">
        <f t="shared" ref="T180" si="879">S180/1000</f>
        <v>-17.182915716573305</v>
      </c>
    </row>
    <row r="181" spans="1:20" x14ac:dyDescent="0.25">
      <c r="A181" s="5">
        <v>44412</v>
      </c>
      <c r="B181">
        <v>6.8699999999999997E-2</v>
      </c>
      <c r="C181">
        <v>7.0199999999999999E-2</v>
      </c>
      <c r="D181">
        <v>6.4100000000000004E-2</v>
      </c>
      <c r="E181">
        <v>6.8099999999999994E-2</v>
      </c>
      <c r="F181">
        <v>65523276.359999999</v>
      </c>
      <c r="G181">
        <v>6.8099999999999994E-2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0.31147540983606342</v>
      </c>
      <c r="Q181">
        <f t="shared" ref="Q181" si="881">F181*P181</f>
        <v>20408889.358032648</v>
      </c>
      <c r="R181">
        <f t="shared" ref="R181" si="882">R182+Q181</f>
        <v>-1691700827.0257065</v>
      </c>
      <c r="S181">
        <f t="shared" ref="S181" si="883">R181/100000</f>
        <v>-16917.008270257065</v>
      </c>
      <c r="T181">
        <f t="shared" ref="T181" si="884">S181/1000</f>
        <v>-16.917008270257064</v>
      </c>
    </row>
    <row r="182" spans="1:20" x14ac:dyDescent="0.25">
      <c r="A182" s="5">
        <v>44411</v>
      </c>
      <c r="B182">
        <v>6.5100000000000005E-2</v>
      </c>
      <c r="C182">
        <v>7.0900000000000005E-2</v>
      </c>
      <c r="D182">
        <v>6.2100000000000002E-2</v>
      </c>
      <c r="E182">
        <v>6.8599999999999994E-2</v>
      </c>
      <c r="F182">
        <v>137181056.88999999</v>
      </c>
      <c r="G182">
        <v>6.8599999999999994E-2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0.47727272727272507</v>
      </c>
      <c r="Q182">
        <f t="shared" ref="Q182" si="886">F182*P182</f>
        <v>65472777.152045146</v>
      </c>
      <c r="R182">
        <f t="shared" ref="R182" si="887">R183+Q182</f>
        <v>-1712109716.3837392</v>
      </c>
      <c r="S182">
        <f t="shared" ref="S182" si="888">R182/100000</f>
        <v>-17121.097163837392</v>
      </c>
      <c r="T182">
        <f t="shared" ref="T182" si="889">S182/1000</f>
        <v>-17.121097163837391</v>
      </c>
    </row>
    <row r="183" spans="1:20" x14ac:dyDescent="0.25">
      <c r="A183" s="5">
        <v>44410</v>
      </c>
      <c r="B183">
        <v>6.1100000000000002E-2</v>
      </c>
      <c r="C183">
        <v>6.7000000000000004E-2</v>
      </c>
      <c r="D183">
        <v>0.06</v>
      </c>
      <c r="E183">
        <v>6.5100000000000005E-2</v>
      </c>
      <c r="F183">
        <v>52903625.880000003</v>
      </c>
      <c r="G183">
        <v>6.5100000000000005E-2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0.45714285714285796</v>
      </c>
      <c r="Q183">
        <f t="shared" ref="Q183" si="891">F183*P183</f>
        <v>24184514.688000046</v>
      </c>
      <c r="R183">
        <f t="shared" ref="R183" si="892">R184+Q183</f>
        <v>-1777582493.5357845</v>
      </c>
      <c r="S183">
        <f t="shared" ref="S183" si="893">R183/100000</f>
        <v>-17775.824935357843</v>
      </c>
      <c r="T183">
        <f t="shared" ref="T183" si="894">S183/1000</f>
        <v>-17.775824935357843</v>
      </c>
    </row>
    <row r="184" spans="1:20" x14ac:dyDescent="0.25">
      <c r="A184" s="5">
        <v>44409</v>
      </c>
      <c r="B184">
        <v>6.2899999999999998E-2</v>
      </c>
      <c r="C184">
        <v>6.7299999999999999E-2</v>
      </c>
      <c r="D184">
        <v>6.0400000000000002E-2</v>
      </c>
      <c r="E184">
        <v>6.1400000000000003E-2</v>
      </c>
      <c r="F184">
        <v>50335905.649999999</v>
      </c>
      <c r="G184">
        <v>6.1400000000000003E-2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-0.71014492753623149</v>
      </c>
      <c r="Q184">
        <f t="shared" ref="Q184" si="896">F184*P184</f>
        <v>-35745788.070289835</v>
      </c>
      <c r="R184">
        <f t="shared" ref="R184" si="897">R185+Q184</f>
        <v>-1801767008.2237844</v>
      </c>
      <c r="S184">
        <f t="shared" ref="S184" si="898">R184/100000</f>
        <v>-18017.670082237844</v>
      </c>
      <c r="T184">
        <f t="shared" ref="T184" si="899">S184/1000</f>
        <v>-18.017670082237846</v>
      </c>
    </row>
    <row r="185" spans="1:20" x14ac:dyDescent="0.25">
      <c r="A185" s="5">
        <v>44408</v>
      </c>
      <c r="B185">
        <v>6.1600000000000002E-2</v>
      </c>
      <c r="C185">
        <v>6.4000000000000001E-2</v>
      </c>
      <c r="D185">
        <v>6.0100000000000001E-2</v>
      </c>
      <c r="E185">
        <v>6.2899999999999998E-2</v>
      </c>
      <c r="F185">
        <v>45070140.07</v>
      </c>
      <c r="G185">
        <v>6.2899999999999998E-2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0.43589743589743407</v>
      </c>
      <c r="Q185">
        <f t="shared" ref="Q185" si="901">F185*P185</f>
        <v>19645958.492051199</v>
      </c>
      <c r="R185">
        <f t="shared" ref="R185" si="902">R186+Q185</f>
        <v>-1766021220.1534946</v>
      </c>
      <c r="S185">
        <f t="shared" ref="S185" si="903">R185/100000</f>
        <v>-17660.212201534945</v>
      </c>
      <c r="T185">
        <f t="shared" ref="T185" si="904">S185/1000</f>
        <v>-17.660212201534947</v>
      </c>
    </row>
    <row r="186" spans="1:20" x14ac:dyDescent="0.25">
      <c r="A186" s="5">
        <v>44407</v>
      </c>
      <c r="B186">
        <v>6.25E-2</v>
      </c>
      <c r="C186">
        <v>6.4000000000000001E-2</v>
      </c>
      <c r="D186">
        <v>5.7700000000000001E-2</v>
      </c>
      <c r="E186">
        <v>6.1600000000000002E-2</v>
      </c>
      <c r="F186">
        <v>39481459.530000001</v>
      </c>
      <c r="G186">
        <v>6.1600000000000002E-2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0.2380952380952383</v>
      </c>
      <c r="Q186">
        <f t="shared" ref="Q186" si="906">F186*P186</f>
        <v>9400347.507142866</v>
      </c>
      <c r="R186">
        <f t="shared" ref="R186" si="907">R187+Q186</f>
        <v>-1785667178.6455457</v>
      </c>
      <c r="S186">
        <f t="shared" ref="S186" si="908">R186/100000</f>
        <v>-17856.671786455456</v>
      </c>
      <c r="T186">
        <f t="shared" ref="T186" si="909">S186/1000</f>
        <v>-17.856671786455454</v>
      </c>
    </row>
    <row r="187" spans="1:20" x14ac:dyDescent="0.25">
      <c r="A187" s="5">
        <v>44406</v>
      </c>
      <c r="B187">
        <v>6.0100000000000001E-2</v>
      </c>
      <c r="C187">
        <v>6.2600000000000003E-2</v>
      </c>
      <c r="D187">
        <v>5.8099999999999999E-2</v>
      </c>
      <c r="E187">
        <v>6.25E-2</v>
      </c>
      <c r="F187">
        <v>39410621.289999999</v>
      </c>
      <c r="G187">
        <v>6.25E-2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0.95555555555555427</v>
      </c>
      <c r="Q187">
        <f t="shared" ref="Q187" si="911">F187*P187</f>
        <v>37659038.121555507</v>
      </c>
      <c r="R187">
        <f t="shared" ref="R187" si="912">R188+Q187</f>
        <v>-1795067526.1526885</v>
      </c>
      <c r="S187">
        <f t="shared" ref="S187" si="913">R187/100000</f>
        <v>-17950.675261526885</v>
      </c>
      <c r="T187">
        <f t="shared" ref="T187" si="914">S187/1000</f>
        <v>-17.950675261526886</v>
      </c>
    </row>
    <row r="188" spans="1:20" x14ac:dyDescent="0.25">
      <c r="A188" s="5">
        <v>44405</v>
      </c>
      <c r="B188">
        <v>5.7299999999999997E-2</v>
      </c>
      <c r="C188">
        <v>6.0900000000000003E-2</v>
      </c>
      <c r="D188">
        <v>5.6399999999999999E-2</v>
      </c>
      <c r="E188">
        <v>6.0100000000000001E-2</v>
      </c>
      <c r="F188">
        <v>34934615</v>
      </c>
      <c r="G188">
        <v>6.0100000000000001E-2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0.64444444444444382</v>
      </c>
      <c r="Q188">
        <f t="shared" ref="Q188" si="916">F188*P188</f>
        <v>22513418.555555534</v>
      </c>
      <c r="R188">
        <f t="shared" ref="R188" si="917">R189+Q188</f>
        <v>-1832726564.2742441</v>
      </c>
      <c r="S188">
        <f t="shared" ref="S188" si="918">R188/100000</f>
        <v>-18327.265642742441</v>
      </c>
      <c r="T188">
        <f t="shared" ref="T188" si="919">S188/1000</f>
        <v>-18.327265642742439</v>
      </c>
    </row>
    <row r="189" spans="1:20" x14ac:dyDescent="0.25">
      <c r="A189" s="5">
        <v>44404</v>
      </c>
      <c r="B189">
        <v>5.7099999999999998E-2</v>
      </c>
      <c r="C189">
        <v>5.8500000000000003E-2</v>
      </c>
      <c r="D189">
        <v>5.3800000000000001E-2</v>
      </c>
      <c r="E189">
        <v>5.7299999999999997E-2</v>
      </c>
      <c r="F189">
        <v>46054354.140000001</v>
      </c>
      <c r="G189">
        <v>5.7299999999999997E-2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0.48936170212765706</v>
      </c>
      <c r="Q189">
        <f t="shared" ref="Q189" si="921">F189*P189</f>
        <v>22537237.132340308</v>
      </c>
      <c r="R189">
        <f t="shared" ref="R189" si="922">R190+Q189</f>
        <v>-1855239982.8297997</v>
      </c>
      <c r="S189">
        <f t="shared" ref="S189" si="923">R189/100000</f>
        <v>-18552.399828297996</v>
      </c>
      <c r="T189">
        <f t="shared" ref="T189" si="924">S189/1000</f>
        <v>-18.552399828297997</v>
      </c>
    </row>
    <row r="190" spans="1:20" x14ac:dyDescent="0.25">
      <c r="A190" s="5">
        <v>44403</v>
      </c>
      <c r="B190">
        <v>5.9900000000000002E-2</v>
      </c>
      <c r="C190">
        <v>6.4000000000000001E-2</v>
      </c>
      <c r="D190">
        <v>5.57E-2</v>
      </c>
      <c r="E190">
        <v>5.7200000000000001E-2</v>
      </c>
      <c r="F190">
        <v>80348160.269999996</v>
      </c>
      <c r="G190">
        <v>5.7200000000000001E-2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-0.6385542168674696</v>
      </c>
      <c r="Q190">
        <f t="shared" ref="Q190" si="926">F190*P190</f>
        <v>-51306656.557951786</v>
      </c>
      <c r="R190">
        <f t="shared" ref="R190" si="927">R191+Q190</f>
        <v>-1877777219.9621398</v>
      </c>
      <c r="S190">
        <f t="shared" ref="S190" si="928">R190/100000</f>
        <v>-18777.772199621399</v>
      </c>
      <c r="T190">
        <f t="shared" ref="T190" si="929">S190/1000</f>
        <v>-18.777772199621399</v>
      </c>
    </row>
    <row r="191" spans="1:20" x14ac:dyDescent="0.25">
      <c r="A191" s="5">
        <v>44402</v>
      </c>
      <c r="B191">
        <v>5.4600000000000003E-2</v>
      </c>
      <c r="C191">
        <v>6.3299999999999995E-2</v>
      </c>
      <c r="D191">
        <v>5.2999999999999999E-2</v>
      </c>
      <c r="E191">
        <v>5.9900000000000002E-2</v>
      </c>
      <c r="F191">
        <v>75588154.590000004</v>
      </c>
      <c r="G191">
        <v>5.9900000000000002E-2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0.33980582524271952</v>
      </c>
      <c r="Q191">
        <f t="shared" ref="Q191" si="931">F191*P191</f>
        <v>25685295.249029208</v>
      </c>
      <c r="R191">
        <f t="shared" ref="R191" si="932">R192+Q191</f>
        <v>-1826470563.4041882</v>
      </c>
      <c r="S191">
        <f t="shared" ref="S191" si="933">R191/100000</f>
        <v>-18264.705634041882</v>
      </c>
      <c r="T191">
        <f t="shared" ref="T191:T197" si="934">S191/1000</f>
        <v>-18.264705634041881</v>
      </c>
    </row>
    <row r="192" spans="1:20" x14ac:dyDescent="0.25">
      <c r="A192" s="5">
        <v>44401</v>
      </c>
      <c r="B192">
        <v>5.3800000000000001E-2</v>
      </c>
      <c r="C192">
        <v>5.7700000000000001E-2</v>
      </c>
      <c r="D192">
        <v>5.3199999999999997E-2</v>
      </c>
      <c r="E192">
        <v>5.45E-2</v>
      </c>
      <c r="F192">
        <v>51515190.609999999</v>
      </c>
      <c r="G192">
        <v>5.45E-2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-0.42222222222222161</v>
      </c>
      <c r="Q192">
        <f t="shared" ref="Q192" si="936">F192*P192</f>
        <v>-21750858.257555522</v>
      </c>
      <c r="R192">
        <f t="shared" ref="R192" si="937">R193+Q192</f>
        <v>-1852155858.6532173</v>
      </c>
      <c r="S192">
        <f t="shared" ref="S192" si="938">R192/100000</f>
        <v>-18521.558586532174</v>
      </c>
      <c r="T192">
        <f t="shared" si="934"/>
        <v>-18.521558586532173</v>
      </c>
    </row>
    <row r="193" spans="1:20" x14ac:dyDescent="0.25">
      <c r="A193" s="5">
        <v>44400</v>
      </c>
      <c r="B193">
        <v>5.3699999999999998E-2</v>
      </c>
      <c r="C193">
        <v>5.6399999999999999E-2</v>
      </c>
      <c r="D193">
        <v>5.0799999999999998E-2</v>
      </c>
      <c r="E193">
        <v>5.3699999999999998E-2</v>
      </c>
      <c r="F193">
        <v>41679759.920000002</v>
      </c>
      <c r="G193">
        <v>5.3699999999999998E-2</v>
      </c>
      <c r="L193" t="s">
        <v>7</v>
      </c>
      <c r="M193" t="s">
        <v>7</v>
      </c>
      <c r="N193" t="s">
        <v>7</v>
      </c>
      <c r="P193">
        <f t="shared" ref="P193" si="939">IF(C193=D193,0,((E193-D193)-(C193-E193))/(C193-D193))</f>
        <v>3.571428571428549E-2</v>
      </c>
      <c r="Q193">
        <f t="shared" ref="Q193" si="940">F193*P193</f>
        <v>1488562.8542857049</v>
      </c>
      <c r="R193">
        <f t="shared" ref="R193" si="941">R194+Q193</f>
        <v>-1830405000.3956618</v>
      </c>
      <c r="S193">
        <f t="shared" ref="S193" si="942">R193/100000</f>
        <v>-18304.050003956618</v>
      </c>
      <c r="T193">
        <f t="shared" si="934"/>
        <v>-18.304050003956618</v>
      </c>
    </row>
    <row r="194" spans="1:20" x14ac:dyDescent="0.25">
      <c r="A194" s="5">
        <v>44399</v>
      </c>
      <c r="B194">
        <v>0.05</v>
      </c>
      <c r="C194">
        <v>5.9900000000000002E-2</v>
      </c>
      <c r="D194">
        <v>4.8899999999999999E-2</v>
      </c>
      <c r="E194">
        <v>5.3600000000000002E-2</v>
      </c>
      <c r="F194">
        <v>73465748.370000005</v>
      </c>
      <c r="G194">
        <v>5.3600000000000002E-2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-0.14545454545454517</v>
      </c>
      <c r="Q194">
        <f t="shared" ref="Q194" si="944">F194*P194</f>
        <v>-10685927.035636343</v>
      </c>
      <c r="R194">
        <f t="shared" ref="R194" si="945">R195+Q194</f>
        <v>-1831893563.2499475</v>
      </c>
      <c r="S194">
        <f t="shared" ref="S194" si="946">R194/100000</f>
        <v>-18318.935632499477</v>
      </c>
      <c r="T194">
        <f t="shared" si="934"/>
        <v>-18.318935632499478</v>
      </c>
    </row>
    <row r="195" spans="1:20" x14ac:dyDescent="0.25">
      <c r="A195" s="5">
        <v>44398</v>
      </c>
      <c r="B195">
        <v>4.7199999999999999E-2</v>
      </c>
      <c r="C195">
        <v>5.1700000000000003E-2</v>
      </c>
      <c r="D195">
        <v>4.5699999999999998E-2</v>
      </c>
      <c r="E195">
        <v>0.05</v>
      </c>
      <c r="F195">
        <v>30220496.43</v>
      </c>
      <c r="G195">
        <v>0.05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0.43333333333333379</v>
      </c>
      <c r="Q195">
        <f t="shared" ref="Q195" si="948">F195*P195</f>
        <v>13095548.453000015</v>
      </c>
      <c r="R195">
        <f t="shared" ref="R195" si="949">R196+Q195</f>
        <v>-1821207636.2143111</v>
      </c>
      <c r="S195">
        <f t="shared" ref="S195" si="950">R195/100000</f>
        <v>-18212.076362143111</v>
      </c>
      <c r="T195">
        <f t="shared" si="934"/>
        <v>-18.212076362143112</v>
      </c>
    </row>
    <row r="196" spans="1:20" x14ac:dyDescent="0.25">
      <c r="A196" s="5">
        <v>44397</v>
      </c>
      <c r="B196">
        <v>0.05</v>
      </c>
      <c r="C196">
        <v>5.0700000000000002E-2</v>
      </c>
      <c r="D196">
        <v>4.4299999999999999E-2</v>
      </c>
      <c r="E196">
        <v>4.7E-2</v>
      </c>
      <c r="F196">
        <v>37606849.450000003</v>
      </c>
      <c r="G196">
        <v>4.7E-2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-0.15625000000000006</v>
      </c>
      <c r="Q196">
        <f t="shared" ref="Q196" si="952">F196*P196</f>
        <v>-5876070.2265625028</v>
      </c>
      <c r="R196">
        <f t="shared" ref="R196" si="953">R197+Q196</f>
        <v>-1834303184.6673112</v>
      </c>
      <c r="S196">
        <f t="shared" ref="S196" si="954">R196/100000</f>
        <v>-18343.031846673111</v>
      </c>
      <c r="T196">
        <f t="shared" si="934"/>
        <v>-18.34303184667311</v>
      </c>
    </row>
    <row r="197" spans="1:20" x14ac:dyDescent="0.25">
      <c r="A197" s="5">
        <v>44396</v>
      </c>
      <c r="B197">
        <v>5.5199999999999999E-2</v>
      </c>
      <c r="C197">
        <v>5.5399999999999998E-2</v>
      </c>
      <c r="D197">
        <v>4.99E-2</v>
      </c>
      <c r="E197">
        <v>5.0099999999999999E-2</v>
      </c>
      <c r="F197">
        <v>29039799.899999999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-0.92727272727272769</v>
      </c>
      <c r="Q197">
        <f t="shared" ref="Q197" si="956">F197*P197</f>
        <v>-26927814.452727284</v>
      </c>
      <c r="R197">
        <f t="shared" ref="R197" si="957">R198+Q197</f>
        <v>-1828427114.4407487</v>
      </c>
      <c r="S197">
        <f t="shared" ref="S197" si="958">R197/100000</f>
        <v>-18284.271144407488</v>
      </c>
      <c r="T197">
        <f t="shared" si="934"/>
        <v>-18.284271144407487</v>
      </c>
    </row>
    <row r="198" spans="1:20" x14ac:dyDescent="0.25">
      <c r="A198" s="5">
        <v>44395</v>
      </c>
      <c r="B198">
        <v>5.6800000000000003E-2</v>
      </c>
      <c r="C198">
        <v>5.9400000000000001E-2</v>
      </c>
      <c r="D198">
        <v>5.4600000000000003E-2</v>
      </c>
      <c r="E198">
        <v>5.5100000000000003E-2</v>
      </c>
      <c r="F198">
        <v>33533221.079999998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-0.79166666666666641</v>
      </c>
      <c r="Q198">
        <f t="shared" ref="Q198:Q261" si="960">F198*P198</f>
        <v>-26547133.354999989</v>
      </c>
      <c r="R198">
        <f t="shared" ref="R198:R261" si="961">R199+Q198</f>
        <v>-1801499299.9880214</v>
      </c>
      <c r="S198">
        <f t="shared" ref="S198:S261" si="962">R198/100000</f>
        <v>-18014.992999880214</v>
      </c>
      <c r="T198">
        <f t="shared" ref="T198:T261" si="963">S198/1000</f>
        <v>-18.014992999880214</v>
      </c>
    </row>
    <row r="199" spans="1:20" x14ac:dyDescent="0.25">
      <c r="A199" s="5">
        <v>44394</v>
      </c>
      <c r="B199">
        <v>6.0999999999999999E-2</v>
      </c>
      <c r="C199">
        <v>6.1600000000000002E-2</v>
      </c>
      <c r="D199">
        <v>5.67E-2</v>
      </c>
      <c r="E199">
        <v>5.6899999999999999E-2</v>
      </c>
      <c r="F199">
        <v>28348393.879999999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-0.91836734693877609</v>
      </c>
      <c r="Q199">
        <f t="shared" si="960"/>
        <v>-26034239.277551036</v>
      </c>
      <c r="R199">
        <f t="shared" si="961"/>
        <v>-1774952166.6330214</v>
      </c>
      <c r="S199">
        <f t="shared" si="962"/>
        <v>-17749.521666330213</v>
      </c>
      <c r="T199">
        <f t="shared" si="963"/>
        <v>-17.749521666330214</v>
      </c>
    </row>
    <row r="200" spans="1:20" x14ac:dyDescent="0.25">
      <c r="A200" s="5">
        <v>44393</v>
      </c>
      <c r="B200">
        <v>7.0199999999999999E-2</v>
      </c>
      <c r="C200">
        <v>7.1999999999999995E-2</v>
      </c>
      <c r="D200">
        <v>6.0100000000000001E-2</v>
      </c>
      <c r="E200">
        <v>6.0999999999999999E-2</v>
      </c>
      <c r="F200">
        <v>106408098.45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-0.84873949579831953</v>
      </c>
      <c r="Q200">
        <f t="shared" si="960"/>
        <v>-90312755.82731095</v>
      </c>
      <c r="R200">
        <f t="shared" si="961"/>
        <v>-1748917927.3554704</v>
      </c>
      <c r="S200">
        <f t="shared" si="962"/>
        <v>-17489.179273554702</v>
      </c>
      <c r="T200">
        <f t="shared" si="963"/>
        <v>-17.489179273554701</v>
      </c>
    </row>
    <row r="201" spans="1:20" x14ac:dyDescent="0.25">
      <c r="A201" s="5">
        <v>44392</v>
      </c>
      <c r="B201">
        <v>6.3399999999999998E-2</v>
      </c>
      <c r="C201">
        <v>7.1400000000000005E-2</v>
      </c>
      <c r="D201">
        <v>6.0499999999999998E-2</v>
      </c>
      <c r="E201">
        <v>7.0199999999999999E-2</v>
      </c>
      <c r="F201">
        <v>140268057.25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0.77981651376146677</v>
      </c>
      <c r="Q201">
        <f t="shared" si="960"/>
        <v>109383347.39678884</v>
      </c>
      <c r="R201">
        <f t="shared" si="961"/>
        <v>-1658605171.5281594</v>
      </c>
      <c r="S201">
        <f t="shared" si="962"/>
        <v>-16586.051715281596</v>
      </c>
      <c r="T201">
        <f t="shared" si="963"/>
        <v>-16.586051715281595</v>
      </c>
    </row>
    <row r="202" spans="1:20" x14ac:dyDescent="0.25">
      <c r="A202" s="5">
        <v>44391</v>
      </c>
      <c r="B202">
        <v>6.3399999999999998E-2</v>
      </c>
      <c r="C202">
        <v>6.3899999999999998E-2</v>
      </c>
      <c r="D202">
        <v>5.7500000000000002E-2</v>
      </c>
      <c r="E202">
        <v>6.3399999999999998E-2</v>
      </c>
      <c r="F202">
        <v>53459990.789999999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0.84374999999999978</v>
      </c>
      <c r="Q202">
        <f t="shared" si="960"/>
        <v>45106867.22906249</v>
      </c>
      <c r="R202">
        <f t="shared" si="961"/>
        <v>-1767988518.9249482</v>
      </c>
      <c r="S202">
        <f t="shared" si="962"/>
        <v>-17679.885189249482</v>
      </c>
      <c r="T202">
        <f t="shared" si="963"/>
        <v>-17.679885189249482</v>
      </c>
    </row>
    <row r="203" spans="1:20" x14ac:dyDescent="0.25">
      <c r="A203" s="5">
        <v>44390</v>
      </c>
      <c r="B203">
        <v>6.1199999999999997E-2</v>
      </c>
      <c r="C203">
        <v>6.5199999999999994E-2</v>
      </c>
      <c r="D203">
        <v>5.8700000000000002E-2</v>
      </c>
      <c r="E203">
        <v>6.3399999999999998E-2</v>
      </c>
      <c r="F203">
        <v>55264615.57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0.44615384615384668</v>
      </c>
      <c r="Q203">
        <f t="shared" si="960"/>
        <v>24656520.792769261</v>
      </c>
      <c r="R203">
        <f t="shared" si="961"/>
        <v>-1813095386.1540108</v>
      </c>
      <c r="S203">
        <f t="shared" si="962"/>
        <v>-18130.953861540107</v>
      </c>
      <c r="T203">
        <f t="shared" si="963"/>
        <v>-18.130953861540107</v>
      </c>
    </row>
    <row r="204" spans="1:20" x14ac:dyDescent="0.25">
      <c r="A204" s="5">
        <v>44389</v>
      </c>
      <c r="B204">
        <v>6.4399999999999999E-2</v>
      </c>
      <c r="C204">
        <v>6.54E-2</v>
      </c>
      <c r="D204">
        <v>5.9799999999999999E-2</v>
      </c>
      <c r="E204">
        <v>6.1199999999999997E-2</v>
      </c>
      <c r="F204">
        <v>45332072.32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-0.50000000000000067</v>
      </c>
      <c r="Q204">
        <f t="shared" si="960"/>
        <v>-22666036.16000003</v>
      </c>
      <c r="R204">
        <f t="shared" si="961"/>
        <v>-1837751906.94678</v>
      </c>
      <c r="S204">
        <f t="shared" si="962"/>
        <v>-18377.519069467799</v>
      </c>
      <c r="T204">
        <f t="shared" si="963"/>
        <v>-18.377519069467798</v>
      </c>
    </row>
    <row r="205" spans="1:20" x14ac:dyDescent="0.25">
      <c r="A205" s="5">
        <v>44388</v>
      </c>
      <c r="B205">
        <v>6.3100000000000003E-2</v>
      </c>
      <c r="C205">
        <v>6.59E-2</v>
      </c>
      <c r="D205">
        <v>6.2100000000000002E-2</v>
      </c>
      <c r="E205">
        <v>6.4399999999999999E-2</v>
      </c>
      <c r="F205">
        <v>59935069.090000004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0.21052631578947253</v>
      </c>
      <c r="Q205">
        <f t="shared" si="960"/>
        <v>12617909.282105194</v>
      </c>
      <c r="R205">
        <f t="shared" si="961"/>
        <v>-1815085870.7867799</v>
      </c>
      <c r="S205">
        <f t="shared" si="962"/>
        <v>-18150.858707867799</v>
      </c>
      <c r="T205">
        <f t="shared" si="963"/>
        <v>-18.150858707867798</v>
      </c>
    </row>
    <row r="206" spans="1:20" x14ac:dyDescent="0.25">
      <c r="A206" s="5">
        <v>44387</v>
      </c>
      <c r="B206">
        <v>6.6100000000000006E-2</v>
      </c>
      <c r="C206">
        <v>6.6600000000000006E-2</v>
      </c>
      <c r="D206">
        <v>6.2300000000000001E-2</v>
      </c>
      <c r="E206">
        <v>6.3100000000000003E-2</v>
      </c>
      <c r="F206">
        <v>68897496.319999993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-0.6279069767441855</v>
      </c>
      <c r="Q206">
        <f t="shared" si="960"/>
        <v>-43261218.619534843</v>
      </c>
      <c r="R206">
        <f t="shared" si="961"/>
        <v>-1827703780.0688851</v>
      </c>
      <c r="S206">
        <f t="shared" si="962"/>
        <v>-18277.03780068885</v>
      </c>
      <c r="T206">
        <f t="shared" si="963"/>
        <v>-18.277037800688849</v>
      </c>
    </row>
    <row r="207" spans="1:20" x14ac:dyDescent="0.25">
      <c r="A207" s="5">
        <v>44386</v>
      </c>
      <c r="B207">
        <v>6.4600000000000005E-2</v>
      </c>
      <c r="C207">
        <v>6.6799999999999998E-2</v>
      </c>
      <c r="D207">
        <v>6.2E-2</v>
      </c>
      <c r="E207">
        <v>6.6199999999999995E-2</v>
      </c>
      <c r="F207">
        <v>34787619.060000002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0.74999999999999856</v>
      </c>
      <c r="Q207">
        <f t="shared" si="960"/>
        <v>26090714.294999953</v>
      </c>
      <c r="R207">
        <f t="shared" si="961"/>
        <v>-1784442561.4493504</v>
      </c>
      <c r="S207">
        <f t="shared" si="962"/>
        <v>-17844.425614493503</v>
      </c>
      <c r="T207">
        <f t="shared" si="963"/>
        <v>-17.844425614493503</v>
      </c>
    </row>
    <row r="208" spans="1:20" x14ac:dyDescent="0.25">
      <c r="A208" s="5">
        <v>44385</v>
      </c>
      <c r="B208">
        <v>7.2400000000000006E-2</v>
      </c>
      <c r="C208">
        <v>7.5300000000000006E-2</v>
      </c>
      <c r="D208">
        <v>6.3299999999999995E-2</v>
      </c>
      <c r="E208">
        <v>6.4600000000000005E-2</v>
      </c>
      <c r="F208">
        <v>54917884.079999998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-0.78333333333333199</v>
      </c>
      <c r="Q208">
        <f t="shared" si="960"/>
        <v>-43019009.195999928</v>
      </c>
      <c r="R208">
        <f t="shared" si="961"/>
        <v>-1810533275.7443502</v>
      </c>
      <c r="S208">
        <f t="shared" si="962"/>
        <v>-18105.332757443502</v>
      </c>
      <c r="T208">
        <f t="shared" si="963"/>
        <v>-18.105332757443502</v>
      </c>
    </row>
    <row r="209" spans="1:20" x14ac:dyDescent="0.25">
      <c r="A209" s="5">
        <v>44384</v>
      </c>
      <c r="B209">
        <v>6.9800000000000001E-2</v>
      </c>
      <c r="C209">
        <v>7.7799999999999994E-2</v>
      </c>
      <c r="D209">
        <v>6.8400000000000002E-2</v>
      </c>
      <c r="E209">
        <v>7.22E-2</v>
      </c>
      <c r="F209">
        <v>68298715.319999993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-0.19148936170212741</v>
      </c>
      <c r="Q209">
        <f t="shared" si="960"/>
        <v>-13078477.40170211</v>
      </c>
      <c r="R209">
        <f t="shared" si="961"/>
        <v>-1767514266.5483503</v>
      </c>
      <c r="S209">
        <f t="shared" si="962"/>
        <v>-17675.142665483505</v>
      </c>
      <c r="T209">
        <f t="shared" si="963"/>
        <v>-17.675142665483506</v>
      </c>
    </row>
    <row r="210" spans="1:20" x14ac:dyDescent="0.25">
      <c r="A210" s="5">
        <v>44383</v>
      </c>
      <c r="B210">
        <v>6.5500000000000003E-2</v>
      </c>
      <c r="C210">
        <v>7.1900000000000006E-2</v>
      </c>
      <c r="D210">
        <v>6.5199999999999994E-2</v>
      </c>
      <c r="E210">
        <v>6.9800000000000001E-2</v>
      </c>
      <c r="F210">
        <v>45099925.289999999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0.37313432835820864</v>
      </c>
      <c r="Q210">
        <f t="shared" si="960"/>
        <v>16828330.33208954</v>
      </c>
      <c r="R210">
        <f t="shared" si="961"/>
        <v>-1754435789.1466482</v>
      </c>
      <c r="S210">
        <f t="shared" si="962"/>
        <v>-17544.357891466483</v>
      </c>
      <c r="T210">
        <f t="shared" si="963"/>
        <v>-17.544357891466483</v>
      </c>
    </row>
    <row r="211" spans="1:20" x14ac:dyDescent="0.25">
      <c r="A211" s="5">
        <v>44382</v>
      </c>
      <c r="B211">
        <v>6.9800000000000001E-2</v>
      </c>
      <c r="C211">
        <v>7.0999999999999994E-2</v>
      </c>
      <c r="D211">
        <v>6.3200000000000006E-2</v>
      </c>
      <c r="E211">
        <v>6.54E-2</v>
      </c>
      <c r="F211">
        <v>49425695.75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-0.43589743589743662</v>
      </c>
      <c r="Q211">
        <f t="shared" si="960"/>
        <v>-21544534.044871829</v>
      </c>
      <c r="R211">
        <f t="shared" si="961"/>
        <v>-1771264119.4787376</v>
      </c>
      <c r="S211">
        <f t="shared" si="962"/>
        <v>-17712.641194787375</v>
      </c>
      <c r="T211">
        <f t="shared" si="963"/>
        <v>-17.712641194787373</v>
      </c>
    </row>
    <row r="212" spans="1:20" x14ac:dyDescent="0.25">
      <c r="A212" s="5">
        <v>44381</v>
      </c>
      <c r="B212">
        <v>6.3700000000000007E-2</v>
      </c>
      <c r="C212">
        <v>7.2499999999999995E-2</v>
      </c>
      <c r="D212">
        <v>6.2300000000000001E-2</v>
      </c>
      <c r="E212">
        <v>6.9800000000000001E-2</v>
      </c>
      <c r="F212">
        <v>66685147.210000001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0.47058823529411847</v>
      </c>
      <c r="Q212">
        <f t="shared" si="960"/>
        <v>31381245.745882407</v>
      </c>
      <c r="R212">
        <f t="shared" si="961"/>
        <v>-1749719585.4338658</v>
      </c>
      <c r="S212">
        <f t="shared" si="962"/>
        <v>-17497.195854338657</v>
      </c>
      <c r="T212">
        <f t="shared" si="963"/>
        <v>-17.497195854338656</v>
      </c>
    </row>
    <row r="213" spans="1:20" x14ac:dyDescent="0.25">
      <c r="A213" s="5">
        <v>44380</v>
      </c>
      <c r="B213">
        <v>6.2799999999999995E-2</v>
      </c>
      <c r="C213">
        <v>6.5199999999999994E-2</v>
      </c>
      <c r="D213">
        <v>6.1899999999999997E-2</v>
      </c>
      <c r="E213">
        <v>6.3700000000000007E-2</v>
      </c>
      <c r="F213">
        <v>37660530.909999996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9.0909090909097795E-2</v>
      </c>
      <c r="Q213">
        <f t="shared" si="960"/>
        <v>3423684.6281820773</v>
      </c>
      <c r="R213">
        <f t="shared" si="961"/>
        <v>-1781100831.1797483</v>
      </c>
      <c r="S213">
        <f t="shared" si="962"/>
        <v>-17811.008311797483</v>
      </c>
      <c r="T213">
        <f t="shared" si="963"/>
        <v>-17.811008311797483</v>
      </c>
    </row>
    <row r="214" spans="1:20" x14ac:dyDescent="0.25">
      <c r="A214" s="5">
        <v>44379</v>
      </c>
      <c r="B214">
        <v>6.2199999999999998E-2</v>
      </c>
      <c r="C214">
        <v>6.3799999999999996E-2</v>
      </c>
      <c r="D214">
        <v>0.06</v>
      </c>
      <c r="E214">
        <v>6.2899999999999998E-2</v>
      </c>
      <c r="F214">
        <v>20398116.719999999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0.52631578947368496</v>
      </c>
      <c r="Q214">
        <f t="shared" si="960"/>
        <v>10735850.905263172</v>
      </c>
      <c r="R214">
        <f t="shared" si="961"/>
        <v>-1784524515.8079305</v>
      </c>
      <c r="S214">
        <f t="shared" si="962"/>
        <v>-17845.245158079306</v>
      </c>
      <c r="T214">
        <f t="shared" si="963"/>
        <v>-17.845245158079305</v>
      </c>
    </row>
    <row r="215" spans="1:20" x14ac:dyDescent="0.25">
      <c r="A215" s="5">
        <v>44378</v>
      </c>
      <c r="B215">
        <v>6.4199999999999993E-2</v>
      </c>
      <c r="C215">
        <v>6.4899999999999999E-2</v>
      </c>
      <c r="D215">
        <v>5.9400000000000001E-2</v>
      </c>
      <c r="E215">
        <v>6.2199999999999998E-2</v>
      </c>
      <c r="F215">
        <v>25063982.800000001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1.8181818181817449E-2</v>
      </c>
      <c r="Q215">
        <f t="shared" si="960"/>
        <v>455708.7781817998</v>
      </c>
      <c r="R215">
        <f t="shared" si="961"/>
        <v>-1795260366.7131937</v>
      </c>
      <c r="S215">
        <f t="shared" si="962"/>
        <v>-17952.603667131938</v>
      </c>
      <c r="T215">
        <f t="shared" si="963"/>
        <v>-17.952603667131939</v>
      </c>
    </row>
    <row r="216" spans="1:20" x14ac:dyDescent="0.25">
      <c r="A216" s="5">
        <v>44377</v>
      </c>
      <c r="B216">
        <v>6.5799999999999997E-2</v>
      </c>
      <c r="C216">
        <v>6.6400000000000001E-2</v>
      </c>
      <c r="D216">
        <v>6.08E-2</v>
      </c>
      <c r="E216">
        <v>6.4199999999999993E-2</v>
      </c>
      <c r="F216">
        <v>32576043.879999999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0.21428571428571172</v>
      </c>
      <c r="Q216">
        <f t="shared" si="960"/>
        <v>6980580.8314284878</v>
      </c>
      <c r="R216">
        <f t="shared" si="961"/>
        <v>-1795716075.4913754</v>
      </c>
      <c r="S216">
        <f t="shared" si="962"/>
        <v>-17957.160754913755</v>
      </c>
      <c r="T216">
        <f t="shared" si="963"/>
        <v>-17.957160754913755</v>
      </c>
    </row>
    <row r="217" spans="1:20" x14ac:dyDescent="0.25">
      <c r="A217" s="5">
        <v>44376</v>
      </c>
      <c r="B217">
        <v>6.3700000000000007E-2</v>
      </c>
      <c r="C217">
        <v>7.0199999999999999E-2</v>
      </c>
      <c r="D217">
        <v>6.2799999999999995E-2</v>
      </c>
      <c r="E217">
        <v>6.5799999999999997E-2</v>
      </c>
      <c r="F217">
        <v>49678880.689999998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-0.18918918918918889</v>
      </c>
      <c r="Q217">
        <f t="shared" si="960"/>
        <v>-9398707.1575675532</v>
      </c>
      <c r="R217">
        <f t="shared" si="961"/>
        <v>-1802696656.322804</v>
      </c>
      <c r="S217">
        <f t="shared" si="962"/>
        <v>-18026.966563228041</v>
      </c>
      <c r="T217">
        <f t="shared" si="963"/>
        <v>-18.02696656322804</v>
      </c>
    </row>
    <row r="218" spans="1:20" x14ac:dyDescent="0.25">
      <c r="A218" s="5">
        <v>44375</v>
      </c>
      <c r="B218">
        <v>6.4000000000000001E-2</v>
      </c>
      <c r="C218">
        <v>6.4899999999999999E-2</v>
      </c>
      <c r="D218">
        <v>6.1199999999999997E-2</v>
      </c>
      <c r="E218">
        <v>6.3700000000000007E-2</v>
      </c>
      <c r="F218">
        <v>23915672.640000001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0.35135135135135559</v>
      </c>
      <c r="Q218">
        <f t="shared" si="960"/>
        <v>8402803.9005406424</v>
      </c>
      <c r="R218">
        <f t="shared" si="961"/>
        <v>-1793297949.1652365</v>
      </c>
      <c r="S218">
        <f t="shared" si="962"/>
        <v>-17932.979491652364</v>
      </c>
      <c r="T218">
        <f t="shared" si="963"/>
        <v>-17.932979491652365</v>
      </c>
    </row>
    <row r="219" spans="1:20" x14ac:dyDescent="0.25">
      <c r="A219" s="5">
        <v>44374</v>
      </c>
      <c r="B219">
        <v>0.06</v>
      </c>
      <c r="C219">
        <v>6.4500000000000002E-2</v>
      </c>
      <c r="D219">
        <v>5.8999999999999997E-2</v>
      </c>
      <c r="E219">
        <v>6.3899999999999998E-2</v>
      </c>
      <c r="F219">
        <v>34867446.359999999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0.78181818181818086</v>
      </c>
      <c r="Q219">
        <f t="shared" si="960"/>
        <v>27260003.517818149</v>
      </c>
      <c r="R219">
        <f t="shared" si="961"/>
        <v>-1801700753.0657771</v>
      </c>
      <c r="S219">
        <f t="shared" si="962"/>
        <v>-18017.007530657771</v>
      </c>
      <c r="T219">
        <f t="shared" si="963"/>
        <v>-18.017007530657771</v>
      </c>
    </row>
    <row r="220" spans="1:20" x14ac:dyDescent="0.25">
      <c r="A220" s="5">
        <v>44373</v>
      </c>
      <c r="B220">
        <v>6.0699999999999997E-2</v>
      </c>
      <c r="C220">
        <v>6.3E-2</v>
      </c>
      <c r="D220">
        <v>5.6300000000000003E-2</v>
      </c>
      <c r="E220">
        <v>0.06</v>
      </c>
      <c r="F220">
        <v>28205250.140000001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0.10447761194029739</v>
      </c>
      <c r="Q220">
        <f t="shared" si="960"/>
        <v>2946817.1788059389</v>
      </c>
      <c r="R220">
        <f t="shared" si="961"/>
        <v>-1828960756.5835953</v>
      </c>
      <c r="S220">
        <f t="shared" si="962"/>
        <v>-18289.607565835951</v>
      </c>
      <c r="T220">
        <f t="shared" si="963"/>
        <v>-18.289607565835951</v>
      </c>
    </row>
    <row r="221" spans="1:20" x14ac:dyDescent="0.25">
      <c r="A221" s="5">
        <v>44372</v>
      </c>
      <c r="B221">
        <v>6.7199999999999996E-2</v>
      </c>
      <c r="C221">
        <v>7.2900000000000006E-2</v>
      </c>
      <c r="D221">
        <v>5.9200000000000003E-2</v>
      </c>
      <c r="E221">
        <v>6.08E-2</v>
      </c>
      <c r="F221">
        <v>37778891.609999999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-0.76642335766423408</v>
      </c>
      <c r="Q221">
        <f t="shared" si="960"/>
        <v>-28954624.956569362</v>
      </c>
      <c r="R221">
        <f t="shared" si="961"/>
        <v>-1831907573.7624011</v>
      </c>
      <c r="S221">
        <f t="shared" si="962"/>
        <v>-18319.075737624011</v>
      </c>
      <c r="T221">
        <f t="shared" si="963"/>
        <v>-18.319075737624011</v>
      </c>
    </row>
    <row r="222" spans="1:20" x14ac:dyDescent="0.25">
      <c r="A222" s="5">
        <v>44371</v>
      </c>
      <c r="B222">
        <v>6.6600000000000006E-2</v>
      </c>
      <c r="C222">
        <v>7.0800000000000002E-2</v>
      </c>
      <c r="D222">
        <v>6.3299999999999995E-2</v>
      </c>
      <c r="E222">
        <v>6.7199999999999996E-2</v>
      </c>
      <c r="F222">
        <v>30949868.579999998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3.9999999999999258E-2</v>
      </c>
      <c r="Q222">
        <f t="shared" si="960"/>
        <v>1237994.7431999769</v>
      </c>
      <c r="R222">
        <f t="shared" si="961"/>
        <v>-1802952948.8058317</v>
      </c>
      <c r="S222">
        <f t="shared" si="962"/>
        <v>-18029.529488058317</v>
      </c>
      <c r="T222">
        <f t="shared" si="963"/>
        <v>-18.029529488058316</v>
      </c>
    </row>
    <row r="223" spans="1:20" x14ac:dyDescent="0.25">
      <c r="A223" s="5">
        <v>44370</v>
      </c>
      <c r="B223">
        <v>6.0100000000000001E-2</v>
      </c>
      <c r="C223">
        <v>7.3599999999999999E-2</v>
      </c>
      <c r="D223">
        <v>5.8400000000000001E-2</v>
      </c>
      <c r="E223">
        <v>6.6600000000000006E-2</v>
      </c>
      <c r="F223">
        <v>56635362.350000001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7.8947368421053529E-2</v>
      </c>
      <c r="Q223">
        <f t="shared" si="960"/>
        <v>4471212.8171053138</v>
      </c>
      <c r="R223">
        <f t="shared" si="961"/>
        <v>-1804190943.5490317</v>
      </c>
      <c r="S223">
        <f t="shared" si="962"/>
        <v>-18041.909435490317</v>
      </c>
      <c r="T223">
        <f t="shared" si="963"/>
        <v>-18.041909435490318</v>
      </c>
    </row>
    <row r="224" spans="1:20" x14ac:dyDescent="0.25">
      <c r="A224" s="5">
        <v>44369</v>
      </c>
      <c r="B224">
        <v>6.1199999999999997E-2</v>
      </c>
      <c r="C224">
        <v>6.6699999999999995E-2</v>
      </c>
      <c r="D224">
        <v>5.0500000000000003E-2</v>
      </c>
      <c r="E224">
        <v>6.0199999999999997E-2</v>
      </c>
      <c r="F224">
        <v>81227902.109999999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0.19753086419753063</v>
      </c>
      <c r="Q224">
        <f t="shared" si="960"/>
        <v>16045017.700740721</v>
      </c>
      <c r="R224">
        <f t="shared" si="961"/>
        <v>-1808662156.366137</v>
      </c>
      <c r="S224">
        <f t="shared" si="962"/>
        <v>-18086.621563661371</v>
      </c>
      <c r="T224">
        <f t="shared" si="963"/>
        <v>-18.086621563661371</v>
      </c>
    </row>
    <row r="225" spans="1:20" x14ac:dyDescent="0.25">
      <c r="A225" s="5">
        <v>44368</v>
      </c>
      <c r="B225">
        <v>8.4099999999999994E-2</v>
      </c>
      <c r="C225">
        <v>8.4500000000000006E-2</v>
      </c>
      <c r="D225">
        <v>6.0600000000000001E-2</v>
      </c>
      <c r="E225">
        <v>6.13E-2</v>
      </c>
      <c r="F225">
        <v>68372216.599999994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-0.94142259414225948</v>
      </c>
      <c r="Q225">
        <f t="shared" si="960"/>
        <v>-64367149.518828452</v>
      </c>
      <c r="R225">
        <f t="shared" si="961"/>
        <v>-1824707174.0668778</v>
      </c>
      <c r="S225">
        <f t="shared" si="962"/>
        <v>-18247.07174066878</v>
      </c>
      <c r="T225">
        <f t="shared" si="963"/>
        <v>-18.24707174066878</v>
      </c>
    </row>
    <row r="226" spans="1:20" x14ac:dyDescent="0.25">
      <c r="A226" s="5">
        <v>44367</v>
      </c>
      <c r="B226">
        <v>8.6400000000000005E-2</v>
      </c>
      <c r="C226">
        <v>9.3100000000000002E-2</v>
      </c>
      <c r="D226">
        <v>7.7299999999999994E-2</v>
      </c>
      <c r="E226">
        <v>8.4000000000000005E-2</v>
      </c>
      <c r="F226">
        <v>91525424.370000005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-0.1518987341772142</v>
      </c>
      <c r="Q226">
        <f t="shared" si="960"/>
        <v>-13902596.106835352</v>
      </c>
      <c r="R226">
        <f t="shared" si="961"/>
        <v>-1760340024.5480494</v>
      </c>
      <c r="S226">
        <f t="shared" si="962"/>
        <v>-17603.400245480494</v>
      </c>
      <c r="T226">
        <f t="shared" si="963"/>
        <v>-17.603400245480493</v>
      </c>
    </row>
    <row r="227" spans="1:20" x14ac:dyDescent="0.25">
      <c r="A227" s="5">
        <v>44366</v>
      </c>
      <c r="B227">
        <v>8.1199999999999994E-2</v>
      </c>
      <c r="C227">
        <v>9.5000000000000001E-2</v>
      </c>
      <c r="D227">
        <v>8.0199999999999994E-2</v>
      </c>
      <c r="E227">
        <v>8.6499999999999994E-2</v>
      </c>
      <c r="F227">
        <v>60424144.590000004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-0.14864864864864907</v>
      </c>
      <c r="Q227">
        <f t="shared" si="960"/>
        <v>-8981967.4390540794</v>
      </c>
      <c r="R227">
        <f t="shared" si="961"/>
        <v>-1746437428.4412141</v>
      </c>
      <c r="S227">
        <f t="shared" si="962"/>
        <v>-17464.374284412141</v>
      </c>
      <c r="T227">
        <f t="shared" si="963"/>
        <v>-17.464374284412141</v>
      </c>
    </row>
    <row r="228" spans="1:20" x14ac:dyDescent="0.25">
      <c r="A228" s="5">
        <v>44365</v>
      </c>
      <c r="B228">
        <v>8.6999999999999994E-2</v>
      </c>
      <c r="C228">
        <v>8.7099999999999997E-2</v>
      </c>
      <c r="D228">
        <v>7.9799999999999996E-2</v>
      </c>
      <c r="E228">
        <v>8.1299999999999997E-2</v>
      </c>
      <c r="F228">
        <v>28683872.809999999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-0.58904109589041065</v>
      </c>
      <c r="Q228">
        <f t="shared" si="960"/>
        <v>-16895979.87438355</v>
      </c>
      <c r="R228">
        <f t="shared" si="961"/>
        <v>-1737455461.0021601</v>
      </c>
      <c r="S228">
        <f t="shared" si="962"/>
        <v>-17374.554610021602</v>
      </c>
      <c r="T228">
        <f t="shared" si="963"/>
        <v>-17.374554610021601</v>
      </c>
    </row>
    <row r="229" spans="1:20" x14ac:dyDescent="0.25">
      <c r="A229" s="5">
        <v>44364</v>
      </c>
      <c r="B229">
        <v>8.8900000000000007E-2</v>
      </c>
      <c r="C229">
        <v>9.2100000000000001E-2</v>
      </c>
      <c r="D229">
        <v>8.5000000000000006E-2</v>
      </c>
      <c r="E229">
        <v>8.6999999999999994E-2</v>
      </c>
      <c r="F229">
        <v>22128422.969999999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-0.43661971830986218</v>
      </c>
      <c r="Q229">
        <f t="shared" si="960"/>
        <v>-9661705.8038028833</v>
      </c>
      <c r="R229">
        <f t="shared" si="961"/>
        <v>-1720559481.1277766</v>
      </c>
      <c r="S229">
        <f t="shared" si="962"/>
        <v>-17205.594811277766</v>
      </c>
      <c r="T229">
        <f t="shared" si="963"/>
        <v>-17.205594811277766</v>
      </c>
    </row>
    <row r="230" spans="1:20" x14ac:dyDescent="0.25">
      <c r="A230" s="5">
        <v>44363</v>
      </c>
      <c r="B230">
        <v>9.5500000000000002E-2</v>
      </c>
      <c r="C230">
        <v>9.5799999999999996E-2</v>
      </c>
      <c r="D230">
        <v>8.8099999999999998E-2</v>
      </c>
      <c r="E230">
        <v>8.9099999999999999E-2</v>
      </c>
      <c r="F230">
        <v>27892848.149999999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-0.74025974025973995</v>
      </c>
      <c r="Q230">
        <f t="shared" si="960"/>
        <v>-20647952.526623368</v>
      </c>
      <c r="R230">
        <f t="shared" si="961"/>
        <v>-1710897775.3239737</v>
      </c>
      <c r="S230">
        <f t="shared" si="962"/>
        <v>-17108.977753239735</v>
      </c>
      <c r="T230">
        <f t="shared" si="963"/>
        <v>-17.108977753239735</v>
      </c>
    </row>
    <row r="231" spans="1:20" x14ac:dyDescent="0.25">
      <c r="A231" s="5">
        <v>44362</v>
      </c>
      <c r="B231">
        <v>9.9000000000000005E-2</v>
      </c>
      <c r="C231">
        <v>0.1003</v>
      </c>
      <c r="D231">
        <v>9.5000000000000001E-2</v>
      </c>
      <c r="E231">
        <v>9.5600000000000004E-2</v>
      </c>
      <c r="F231">
        <v>30606803.510000002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-0.77358490566037608</v>
      </c>
      <c r="Q231">
        <f t="shared" si="960"/>
        <v>-23676961.205849018</v>
      </c>
      <c r="R231">
        <f t="shared" si="961"/>
        <v>-1690249822.7973502</v>
      </c>
      <c r="S231">
        <f t="shared" si="962"/>
        <v>-16902.498227973501</v>
      </c>
      <c r="T231">
        <f t="shared" si="963"/>
        <v>-16.902498227973503</v>
      </c>
    </row>
    <row r="232" spans="1:20" x14ac:dyDescent="0.25">
      <c r="A232" s="5">
        <v>44361</v>
      </c>
      <c r="B232">
        <v>9.7100000000000006E-2</v>
      </c>
      <c r="C232">
        <v>0.10100000000000001</v>
      </c>
      <c r="D232">
        <v>9.3600000000000003E-2</v>
      </c>
      <c r="E232">
        <v>9.9099999999999994E-2</v>
      </c>
      <c r="F232">
        <v>50612085.039999999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0.48648648648648329</v>
      </c>
      <c r="Q232">
        <f t="shared" si="960"/>
        <v>24622095.424864702</v>
      </c>
      <c r="R232">
        <f t="shared" si="961"/>
        <v>-1666572861.5915012</v>
      </c>
      <c r="S232">
        <f t="shared" si="962"/>
        <v>-16665.728615915014</v>
      </c>
      <c r="T232">
        <f t="shared" si="963"/>
        <v>-16.665728615915015</v>
      </c>
    </row>
    <row r="233" spans="1:20" x14ac:dyDescent="0.25">
      <c r="A233" s="5">
        <v>44360</v>
      </c>
      <c r="B233">
        <v>8.5500000000000007E-2</v>
      </c>
      <c r="C233">
        <v>0.107</v>
      </c>
      <c r="D233">
        <v>8.3900000000000002E-2</v>
      </c>
      <c r="E233">
        <v>9.7199999999999995E-2</v>
      </c>
      <c r="F233">
        <v>152416831.25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0.15151515151515108</v>
      </c>
      <c r="Q233">
        <f t="shared" si="960"/>
        <v>23093459.280302964</v>
      </c>
      <c r="R233">
        <f t="shared" si="961"/>
        <v>-1691194957.016366</v>
      </c>
      <c r="S233">
        <f t="shared" si="962"/>
        <v>-16911.949570163659</v>
      </c>
      <c r="T233">
        <f t="shared" si="963"/>
        <v>-16.91194957016366</v>
      </c>
    </row>
    <row r="234" spans="1:20" x14ac:dyDescent="0.25">
      <c r="A234" s="5">
        <v>44359</v>
      </c>
      <c r="B234">
        <v>8.6499999999999994E-2</v>
      </c>
      <c r="C234">
        <v>9.9099999999999994E-2</v>
      </c>
      <c r="D234">
        <v>0.08</v>
      </c>
      <c r="E234">
        <v>8.5500000000000007E-2</v>
      </c>
      <c r="F234">
        <v>62017744.840000004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-0.42408376963350708</v>
      </c>
      <c r="Q234">
        <f t="shared" si="960"/>
        <v>-26300719.015916184</v>
      </c>
      <c r="R234">
        <f t="shared" si="961"/>
        <v>-1714288416.296669</v>
      </c>
      <c r="S234">
        <f t="shared" si="962"/>
        <v>-17142.884162966689</v>
      </c>
      <c r="T234">
        <f t="shared" si="963"/>
        <v>-17.142884162966688</v>
      </c>
    </row>
    <row r="235" spans="1:20" x14ac:dyDescent="0.25">
      <c r="A235" s="5">
        <v>44358</v>
      </c>
      <c r="B235">
        <v>9.2399999999999996E-2</v>
      </c>
      <c r="C235">
        <v>9.3899999999999997E-2</v>
      </c>
      <c r="D235">
        <v>8.5599999999999996E-2</v>
      </c>
      <c r="E235">
        <v>8.6499999999999994E-2</v>
      </c>
      <c r="F235">
        <v>34349350.460000001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-0.78313253012048245</v>
      </c>
      <c r="Q235">
        <f t="shared" si="960"/>
        <v>-26900093.733734958</v>
      </c>
      <c r="R235">
        <f t="shared" si="961"/>
        <v>-1687987697.2807529</v>
      </c>
      <c r="S235">
        <f t="shared" si="962"/>
        <v>-16879.876972807528</v>
      </c>
      <c r="T235">
        <f t="shared" si="963"/>
        <v>-16.879876972807526</v>
      </c>
    </row>
    <row r="236" spans="1:20" x14ac:dyDescent="0.25">
      <c r="A236" s="5">
        <v>44357</v>
      </c>
      <c r="B236">
        <v>0.1014</v>
      </c>
      <c r="C236">
        <v>0.10199999999999999</v>
      </c>
      <c r="D236">
        <v>9.0200000000000002E-2</v>
      </c>
      <c r="E236">
        <v>9.2299999999999993E-2</v>
      </c>
      <c r="F236">
        <v>85856427.829999998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-0.64406779661017077</v>
      </c>
      <c r="Q236">
        <f t="shared" si="960"/>
        <v>-55297360.297288246</v>
      </c>
      <c r="R236">
        <f t="shared" si="961"/>
        <v>-1661087603.5470181</v>
      </c>
      <c r="S236">
        <f t="shared" si="962"/>
        <v>-16610.876035470181</v>
      </c>
      <c r="T236">
        <f t="shared" si="963"/>
        <v>-16.610876035470181</v>
      </c>
    </row>
    <row r="237" spans="1:20" x14ac:dyDescent="0.25">
      <c r="A237" s="5">
        <v>44356</v>
      </c>
      <c r="B237">
        <v>8.9800000000000005E-2</v>
      </c>
      <c r="C237">
        <v>0.109</v>
      </c>
      <c r="D237">
        <v>8.3400000000000002E-2</v>
      </c>
      <c r="E237">
        <v>0.1014</v>
      </c>
      <c r="F237">
        <v>164123889.38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0.40625000000000028</v>
      </c>
      <c r="Q237">
        <f t="shared" si="960"/>
        <v>66675330.060625046</v>
      </c>
      <c r="R237">
        <f t="shared" si="961"/>
        <v>-1605790243.2497299</v>
      </c>
      <c r="S237">
        <f t="shared" si="962"/>
        <v>-16057.902432497298</v>
      </c>
      <c r="T237">
        <f t="shared" si="963"/>
        <v>-16.057902432497297</v>
      </c>
    </row>
    <row r="238" spans="1:20" x14ac:dyDescent="0.25">
      <c r="A238" s="5">
        <v>44355</v>
      </c>
      <c r="B238">
        <v>9.7199999999999995E-2</v>
      </c>
      <c r="C238">
        <v>0.10340000000000001</v>
      </c>
      <c r="D238">
        <v>8.3699999999999997E-2</v>
      </c>
      <c r="E238">
        <v>0.09</v>
      </c>
      <c r="F238">
        <v>206678578.53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-0.36040609137055868</v>
      </c>
      <c r="Q238">
        <f t="shared" si="960"/>
        <v>-74488218.658020362</v>
      </c>
      <c r="R238">
        <f t="shared" si="961"/>
        <v>-1672465573.3103549</v>
      </c>
      <c r="S238">
        <f t="shared" si="962"/>
        <v>-16724.655733103551</v>
      </c>
      <c r="T238">
        <f t="shared" si="963"/>
        <v>-16.72465573310355</v>
      </c>
    </row>
    <row r="239" spans="1:20" x14ac:dyDescent="0.25">
      <c r="A239" s="5">
        <v>44354</v>
      </c>
      <c r="B239">
        <v>0.1128</v>
      </c>
      <c r="C239">
        <v>0.126</v>
      </c>
      <c r="D239">
        <v>9.5299999999999996E-2</v>
      </c>
      <c r="E239">
        <v>9.74E-2</v>
      </c>
      <c r="F239">
        <v>333452938.41000003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-0.86319218241042317</v>
      </c>
      <c r="Q239">
        <f t="shared" si="960"/>
        <v>-287833969.63729632</v>
      </c>
      <c r="R239">
        <f t="shared" si="961"/>
        <v>-1597977354.6523347</v>
      </c>
      <c r="S239">
        <f t="shared" si="962"/>
        <v>-15979.773546523347</v>
      </c>
      <c r="T239">
        <f t="shared" si="963"/>
        <v>-15.979773546523347</v>
      </c>
    </row>
    <row r="240" spans="1:20" x14ac:dyDescent="0.25">
      <c r="A240" s="5">
        <v>44353</v>
      </c>
      <c r="B240">
        <v>8.2000000000000003E-2</v>
      </c>
      <c r="C240">
        <v>0.18</v>
      </c>
      <c r="D240">
        <v>8.0100000000000005E-2</v>
      </c>
      <c r="E240">
        <v>0.1124</v>
      </c>
      <c r="F240">
        <v>530842478.37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-0.35335335335335338</v>
      </c>
      <c r="Q240">
        <f t="shared" si="960"/>
        <v>-187574969.83444446</v>
      </c>
      <c r="R240">
        <f t="shared" si="961"/>
        <v>-1310143385.0150385</v>
      </c>
      <c r="S240">
        <f t="shared" si="962"/>
        <v>-13101.433850150384</v>
      </c>
      <c r="T240">
        <f t="shared" si="963"/>
        <v>-13.101433850150384</v>
      </c>
    </row>
    <row r="241" spans="1:20" x14ac:dyDescent="0.25">
      <c r="A241" s="5">
        <v>44352</v>
      </c>
      <c r="B241">
        <v>8.5099999999999995E-2</v>
      </c>
      <c r="C241">
        <v>9.2100000000000001E-2</v>
      </c>
      <c r="D241">
        <v>7.9100000000000004E-2</v>
      </c>
      <c r="E241">
        <v>8.2000000000000003E-2</v>
      </c>
      <c r="F241">
        <v>30195891.859999999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-0.55384615384615377</v>
      </c>
      <c r="Q241">
        <f t="shared" si="960"/>
        <v>-16723878.568615383</v>
      </c>
      <c r="R241">
        <f t="shared" si="961"/>
        <v>-1122568415.180594</v>
      </c>
      <c r="S241">
        <f t="shared" si="962"/>
        <v>-11225.684151805939</v>
      </c>
      <c r="T241">
        <f t="shared" si="963"/>
        <v>-11.22568415180594</v>
      </c>
    </row>
    <row r="242" spans="1:20" x14ac:dyDescent="0.25">
      <c r="A242" s="5">
        <v>44351</v>
      </c>
      <c r="B242">
        <v>9.8299999999999998E-2</v>
      </c>
      <c r="C242">
        <v>9.8299999999999998E-2</v>
      </c>
      <c r="D242">
        <v>7.9200000000000007E-2</v>
      </c>
      <c r="E242">
        <v>8.5199999999999998E-2</v>
      </c>
      <c r="F242">
        <v>58575045.950000003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-0.37172774869110009</v>
      </c>
      <c r="Q242">
        <f t="shared" si="960"/>
        <v>-21773969.960471243</v>
      </c>
      <c r="R242">
        <f t="shared" si="961"/>
        <v>-1105844536.6119785</v>
      </c>
      <c r="S242">
        <f t="shared" si="962"/>
        <v>-11058.445366119786</v>
      </c>
      <c r="T242">
        <f t="shared" si="963"/>
        <v>-11.058445366119786</v>
      </c>
    </row>
    <row r="243" spans="1:20" x14ac:dyDescent="0.25">
      <c r="A243" s="5">
        <v>44350</v>
      </c>
      <c r="B243">
        <v>9.3700000000000006E-2</v>
      </c>
      <c r="C243">
        <v>0.1022</v>
      </c>
      <c r="D243">
        <v>9.1999999999999998E-2</v>
      </c>
      <c r="E243">
        <v>9.8400000000000001E-2</v>
      </c>
      <c r="F243">
        <v>57090903.829999998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0.25490196078431421</v>
      </c>
      <c r="Q243">
        <f t="shared" si="960"/>
        <v>14552583.329215713</v>
      </c>
      <c r="R243">
        <f t="shared" si="961"/>
        <v>-1084070566.6515074</v>
      </c>
      <c r="S243">
        <f t="shared" si="962"/>
        <v>-10840.705666515074</v>
      </c>
      <c r="T243">
        <f t="shared" si="963"/>
        <v>-10.840705666515074</v>
      </c>
    </row>
    <row r="244" spans="1:20" x14ac:dyDescent="0.25">
      <c r="A244" s="5">
        <v>44349</v>
      </c>
      <c r="B244">
        <v>9.1200000000000003E-2</v>
      </c>
      <c r="C244">
        <v>0.1004</v>
      </c>
      <c r="D244">
        <v>8.7499999999999994E-2</v>
      </c>
      <c r="E244">
        <v>9.3799999999999994E-2</v>
      </c>
      <c r="F244">
        <v>84065937.150000006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-2.3255813953489024E-2</v>
      </c>
      <c r="Q244">
        <f t="shared" si="960"/>
        <v>-1955021.7941861015</v>
      </c>
      <c r="R244">
        <f t="shared" si="961"/>
        <v>-1098623149.9807231</v>
      </c>
      <c r="S244">
        <f t="shared" si="962"/>
        <v>-10986.231499807231</v>
      </c>
      <c r="T244">
        <f t="shared" si="963"/>
        <v>-10.98623149980723</v>
      </c>
    </row>
    <row r="245" spans="1:20" x14ac:dyDescent="0.25">
      <c r="A245" s="5">
        <v>44348</v>
      </c>
      <c r="B245">
        <v>9.9400000000000002E-2</v>
      </c>
      <c r="C245">
        <v>0.1023</v>
      </c>
      <c r="D245">
        <v>8.9700000000000002E-2</v>
      </c>
      <c r="E245">
        <v>9.1399999999999995E-2</v>
      </c>
      <c r="F245">
        <v>84899935.819999993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-0.73015873015873123</v>
      </c>
      <c r="Q245">
        <f t="shared" si="960"/>
        <v>-61990429.328888975</v>
      </c>
      <c r="R245">
        <f t="shared" si="961"/>
        <v>-1096668128.186537</v>
      </c>
      <c r="S245">
        <f t="shared" si="962"/>
        <v>-10966.681281865371</v>
      </c>
      <c r="T245">
        <f t="shared" si="963"/>
        <v>-10.966681281865371</v>
      </c>
    </row>
    <row r="246" spans="1:20" x14ac:dyDescent="0.25">
      <c r="A246" s="5">
        <v>44347</v>
      </c>
      <c r="B246">
        <v>9.98E-2</v>
      </c>
      <c r="C246">
        <v>0.104</v>
      </c>
      <c r="D246">
        <v>8.6999999999999994E-2</v>
      </c>
      <c r="E246">
        <v>9.9400000000000002E-2</v>
      </c>
      <c r="F246">
        <v>180768817.38999999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0.45882352941176557</v>
      </c>
      <c r="Q246">
        <f t="shared" si="960"/>
        <v>82940986.802470744</v>
      </c>
      <c r="R246">
        <f t="shared" si="961"/>
        <v>-1034677698.8576481</v>
      </c>
      <c r="S246">
        <f t="shared" si="962"/>
        <v>-10346.776988576481</v>
      </c>
      <c r="T246">
        <f t="shared" si="963"/>
        <v>-10.346776988576481</v>
      </c>
    </row>
    <row r="247" spans="1:20" x14ac:dyDescent="0.25">
      <c r="A247" s="5">
        <v>44346</v>
      </c>
      <c r="B247">
        <v>8.1600000000000006E-2</v>
      </c>
      <c r="C247">
        <v>0.113</v>
      </c>
      <c r="D247">
        <v>7.3999999999999996E-2</v>
      </c>
      <c r="E247">
        <v>9.9500000000000005E-2</v>
      </c>
      <c r="F247">
        <v>159382353.19999999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0.30769230769230793</v>
      </c>
      <c r="Q247">
        <f t="shared" si="960"/>
        <v>49040724.061538495</v>
      </c>
      <c r="R247">
        <f t="shared" si="961"/>
        <v>-1117618685.6601188</v>
      </c>
      <c r="S247">
        <f t="shared" si="962"/>
        <v>-11176.186856601189</v>
      </c>
      <c r="T247">
        <f t="shared" si="963"/>
        <v>-11.176186856601189</v>
      </c>
    </row>
    <row r="248" spans="1:20" x14ac:dyDescent="0.25">
      <c r="A248" s="5">
        <v>44345</v>
      </c>
      <c r="B248">
        <v>8.5199999999999998E-2</v>
      </c>
      <c r="C248">
        <v>9.01E-2</v>
      </c>
      <c r="D248">
        <v>7.3099999999999998E-2</v>
      </c>
      <c r="E248">
        <v>8.1699999999999995E-2</v>
      </c>
      <c r="F248">
        <v>98749537.780000001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1.176470588235246E-2</v>
      </c>
      <c r="Q248">
        <f t="shared" si="960"/>
        <v>1161759.2679999527</v>
      </c>
      <c r="R248">
        <f t="shared" si="961"/>
        <v>-1166659409.7216573</v>
      </c>
      <c r="S248">
        <f t="shared" si="962"/>
        <v>-11666.594097216574</v>
      </c>
      <c r="T248">
        <f t="shared" si="963"/>
        <v>-11.666594097216574</v>
      </c>
    </row>
    <row r="249" spans="1:20" x14ac:dyDescent="0.25">
      <c r="A249" s="5">
        <v>44344</v>
      </c>
      <c r="B249">
        <v>0.10249999999999999</v>
      </c>
      <c r="C249">
        <v>0.1079</v>
      </c>
      <c r="D249">
        <v>8.0100000000000005E-2</v>
      </c>
      <c r="E249">
        <v>8.5199999999999998E-2</v>
      </c>
      <c r="F249">
        <v>159802502.16999999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-0.63309352517985651</v>
      </c>
      <c r="Q249">
        <f t="shared" si="960"/>
        <v>-101169929.43136697</v>
      </c>
      <c r="R249">
        <f t="shared" si="961"/>
        <v>-1167821168.9896572</v>
      </c>
      <c r="S249">
        <f t="shared" si="962"/>
        <v>-11678.211689896572</v>
      </c>
      <c r="T249">
        <f t="shared" si="963"/>
        <v>-11.678211689896573</v>
      </c>
    </row>
    <row r="250" spans="1:20" x14ac:dyDescent="0.25">
      <c r="A250" s="5">
        <v>44343</v>
      </c>
      <c r="B250">
        <v>0.1008</v>
      </c>
      <c r="C250">
        <v>0.1331</v>
      </c>
      <c r="D250">
        <v>0.09</v>
      </c>
      <c r="E250">
        <v>0.1024</v>
      </c>
      <c r="F250">
        <v>405781607.17000002</v>
      </c>
      <c r="G250">
        <v>0</v>
      </c>
      <c r="L250" t="s">
        <v>8</v>
      </c>
      <c r="M250" t="s">
        <v>8</v>
      </c>
      <c r="N250" t="s">
        <v>7</v>
      </c>
      <c r="P250">
        <f t="shared" si="959"/>
        <v>-0.42459396751740103</v>
      </c>
      <c r="Q250">
        <f t="shared" si="960"/>
        <v>-172292422.53389776</v>
      </c>
      <c r="R250">
        <f t="shared" si="961"/>
        <v>-1066651239.5582901</v>
      </c>
      <c r="S250">
        <f t="shared" si="962"/>
        <v>-10666.5123955829</v>
      </c>
      <c r="T250">
        <f t="shared" si="963"/>
        <v>-10.666512395582901</v>
      </c>
    </row>
    <row r="251" spans="1:20" x14ac:dyDescent="0.25">
      <c r="A251" s="5">
        <v>44342</v>
      </c>
      <c r="B251">
        <v>8.1100000000000005E-2</v>
      </c>
      <c r="C251">
        <v>0.126</v>
      </c>
      <c r="D251">
        <v>7.4300000000000005E-2</v>
      </c>
      <c r="E251">
        <v>0.1012</v>
      </c>
      <c r="F251">
        <v>97256783.480000004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4.0618955512572358E-2</v>
      </c>
      <c r="Q251">
        <f t="shared" si="960"/>
        <v>3950468.9614700023</v>
      </c>
      <c r="R251">
        <f t="shared" si="961"/>
        <v>-894358817.02439237</v>
      </c>
      <c r="S251">
        <f t="shared" si="962"/>
        <v>-8943.5881702439237</v>
      </c>
      <c r="T251">
        <f t="shared" si="963"/>
        <v>-8.9435881702439239</v>
      </c>
    </row>
    <row r="252" spans="1:20" x14ac:dyDescent="0.25">
      <c r="A252" s="5">
        <v>44341</v>
      </c>
      <c r="B252">
        <v>6.8699999999999997E-2</v>
      </c>
      <c r="C252">
        <v>8.9200000000000002E-2</v>
      </c>
      <c r="D252">
        <v>5.9400000000000001E-2</v>
      </c>
      <c r="E252">
        <v>8.0799999999999997E-2</v>
      </c>
      <c r="F252">
        <v>91509188.489999995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0.43624161073825474</v>
      </c>
      <c r="Q252">
        <f t="shared" si="960"/>
        <v>39920115.784228161</v>
      </c>
      <c r="R252">
        <f t="shared" si="961"/>
        <v>-898309285.98586237</v>
      </c>
      <c r="S252">
        <f t="shared" si="962"/>
        <v>-8983.0928598586233</v>
      </c>
      <c r="T252">
        <f t="shared" si="963"/>
        <v>-8.9830928598586226</v>
      </c>
    </row>
    <row r="253" spans="1:20" x14ac:dyDescent="0.25">
      <c r="A253" s="5">
        <v>44340</v>
      </c>
      <c r="B253">
        <v>5.6000000000000001E-2</v>
      </c>
      <c r="C253">
        <v>6.9199999999999998E-2</v>
      </c>
      <c r="D253">
        <v>5.2400000000000002E-2</v>
      </c>
      <c r="E253">
        <v>6.8699999999999997E-2</v>
      </c>
      <c r="F253">
        <v>45308514.549999997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0.94047619047619035</v>
      </c>
      <c r="Q253">
        <f t="shared" si="960"/>
        <v>42611579.160119042</v>
      </c>
      <c r="R253">
        <f t="shared" si="961"/>
        <v>-938229401.77009058</v>
      </c>
      <c r="S253">
        <f t="shared" si="962"/>
        <v>-9382.2940177009059</v>
      </c>
      <c r="T253">
        <f t="shared" si="963"/>
        <v>-9.3822940177009055</v>
      </c>
    </row>
    <row r="254" spans="1:20" x14ac:dyDescent="0.25">
      <c r="A254" s="5">
        <v>44339</v>
      </c>
      <c r="B254">
        <v>7.1400000000000005E-2</v>
      </c>
      <c r="C254">
        <v>7.3999999999999996E-2</v>
      </c>
      <c r="D254">
        <v>4.3799999999999999E-2</v>
      </c>
      <c r="E254">
        <v>5.6000000000000001E-2</v>
      </c>
      <c r="F254">
        <v>54963618.780000001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-0.19205298013245009</v>
      </c>
      <c r="Q254">
        <f t="shared" si="960"/>
        <v>-10555926.785562901</v>
      </c>
      <c r="R254">
        <f t="shared" si="961"/>
        <v>-980840980.93020964</v>
      </c>
      <c r="S254">
        <f t="shared" si="962"/>
        <v>-9808.4098093020966</v>
      </c>
      <c r="T254">
        <f t="shared" si="963"/>
        <v>-9.8084098093020966</v>
      </c>
    </row>
    <row r="255" spans="1:20" x14ac:dyDescent="0.25">
      <c r="A255" s="5">
        <v>44338</v>
      </c>
      <c r="B255">
        <v>7.6700000000000004E-2</v>
      </c>
      <c r="C255">
        <v>7.9899999999999999E-2</v>
      </c>
      <c r="D255">
        <v>6.7000000000000004E-2</v>
      </c>
      <c r="E255">
        <v>7.1400000000000005E-2</v>
      </c>
      <c r="F255">
        <v>33715704.450000003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-0.31782945736434065</v>
      </c>
      <c r="Q255">
        <f t="shared" si="960"/>
        <v>-10715844.049999986</v>
      </c>
      <c r="R255">
        <f t="shared" si="961"/>
        <v>-970285054.14464676</v>
      </c>
      <c r="S255">
        <f t="shared" si="962"/>
        <v>-9702.8505414464671</v>
      </c>
      <c r="T255">
        <f t="shared" si="963"/>
        <v>-9.7028505414464679</v>
      </c>
    </row>
    <row r="256" spans="1:20" x14ac:dyDescent="0.25">
      <c r="A256" s="5">
        <v>44337</v>
      </c>
      <c r="B256">
        <v>9.3799999999999994E-2</v>
      </c>
      <c r="C256">
        <v>9.8599999999999993E-2</v>
      </c>
      <c r="D256">
        <v>6.5000000000000002E-2</v>
      </c>
      <c r="E256">
        <v>7.6700000000000004E-2</v>
      </c>
      <c r="F256">
        <v>46926216.770000003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-0.30357142857142827</v>
      </c>
      <c r="Q256">
        <f t="shared" si="960"/>
        <v>-14245458.662321415</v>
      </c>
      <c r="R256">
        <f t="shared" si="961"/>
        <v>-959569210.09464681</v>
      </c>
      <c r="S256">
        <f t="shared" si="962"/>
        <v>-9595.6921009464677</v>
      </c>
      <c r="T256">
        <f t="shared" si="963"/>
        <v>-9.5956921009464669</v>
      </c>
    </row>
    <row r="257" spans="1:20" x14ac:dyDescent="0.25">
      <c r="A257" s="5">
        <v>44336</v>
      </c>
      <c r="B257">
        <v>8.3799999999999999E-2</v>
      </c>
      <c r="C257">
        <v>0.1033</v>
      </c>
      <c r="D257">
        <v>6.9599999999999995E-2</v>
      </c>
      <c r="E257">
        <v>9.35E-2</v>
      </c>
      <c r="F257">
        <v>49943069.43</v>
      </c>
      <c r="G257">
        <v>0</v>
      </c>
      <c r="L257" t="s">
        <v>7</v>
      </c>
      <c r="M257" t="s">
        <v>7</v>
      </c>
      <c r="N257" t="s">
        <v>8</v>
      </c>
      <c r="P257">
        <f t="shared" si="959"/>
        <v>0.4183976261127596</v>
      </c>
      <c r="Q257">
        <f t="shared" si="960"/>
        <v>20896061.690296732</v>
      </c>
      <c r="R257">
        <f t="shared" si="961"/>
        <v>-945323751.43232536</v>
      </c>
      <c r="S257">
        <f t="shared" si="962"/>
        <v>-9453.237514323253</v>
      </c>
      <c r="T257">
        <f t="shared" si="963"/>
        <v>-9.4532375143232521</v>
      </c>
    </row>
    <row r="258" spans="1:20" x14ac:dyDescent="0.25">
      <c r="A258" s="5">
        <v>44335</v>
      </c>
      <c r="B258">
        <v>0.13589999999999999</v>
      </c>
      <c r="C258">
        <v>0.13880000000000001</v>
      </c>
      <c r="D258">
        <v>7.4899999999999994E-2</v>
      </c>
      <c r="E258">
        <v>8.3799999999999999E-2</v>
      </c>
      <c r="F258">
        <v>84169842.530000001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-0.72143974960876356</v>
      </c>
      <c r="Q258">
        <f t="shared" si="960"/>
        <v>-60723470.11945226</v>
      </c>
      <c r="R258">
        <f t="shared" si="961"/>
        <v>-966219813.12262213</v>
      </c>
      <c r="S258">
        <f t="shared" si="962"/>
        <v>-9662.1981312262214</v>
      </c>
      <c r="T258">
        <f t="shared" si="963"/>
        <v>-9.6621981312262211</v>
      </c>
    </row>
    <row r="259" spans="1:20" x14ac:dyDescent="0.25">
      <c r="A259" s="5">
        <v>44334</v>
      </c>
      <c r="B259">
        <v>0.13689999999999999</v>
      </c>
      <c r="C259">
        <v>0.14480000000000001</v>
      </c>
      <c r="D259">
        <v>0.1308</v>
      </c>
      <c r="E259">
        <v>0.13589999999999999</v>
      </c>
      <c r="F259">
        <v>23479808.41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-0.27142857142857302</v>
      </c>
      <c r="Q259">
        <f t="shared" si="960"/>
        <v>-6373090.854142894</v>
      </c>
      <c r="R259">
        <f t="shared" si="961"/>
        <v>-905496343.00316989</v>
      </c>
      <c r="S259">
        <f t="shared" si="962"/>
        <v>-9054.9634300316993</v>
      </c>
      <c r="T259">
        <f t="shared" si="963"/>
        <v>-9.0549634300316999</v>
      </c>
    </row>
    <row r="260" spans="1:20" x14ac:dyDescent="0.25">
      <c r="A260" s="5">
        <v>44333</v>
      </c>
      <c r="B260">
        <v>0.1444</v>
      </c>
      <c r="C260">
        <v>0.14990000000000001</v>
      </c>
      <c r="D260">
        <v>0.123</v>
      </c>
      <c r="E260">
        <v>0.13700000000000001</v>
      </c>
      <c r="F260">
        <v>34974499.789999999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4.0892193308550831E-2</v>
      </c>
      <c r="Q260">
        <f t="shared" si="960"/>
        <v>1430184.0062825505</v>
      </c>
      <c r="R260">
        <f t="shared" si="961"/>
        <v>-899123252.14902699</v>
      </c>
      <c r="S260">
        <f t="shared" si="962"/>
        <v>-8991.2325214902703</v>
      </c>
      <c r="T260">
        <f t="shared" si="963"/>
        <v>-8.9912325214902697</v>
      </c>
    </row>
    <row r="261" spans="1:20" x14ac:dyDescent="0.25">
      <c r="A261" s="5">
        <v>44332</v>
      </c>
      <c r="B261">
        <v>0.1409</v>
      </c>
      <c r="C261">
        <v>0.161</v>
      </c>
      <c r="D261">
        <v>0.13420000000000001</v>
      </c>
      <c r="E261">
        <v>0.1449</v>
      </c>
      <c r="F261">
        <v>49136629.329999998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-0.2014925373134335</v>
      </c>
      <c r="Q261">
        <f t="shared" si="960"/>
        <v>-9900664.1187313758</v>
      </c>
      <c r="R261">
        <f t="shared" si="961"/>
        <v>-900553436.15530956</v>
      </c>
      <c r="S261">
        <f t="shared" si="962"/>
        <v>-9005.5343615530965</v>
      </c>
      <c r="T261">
        <f t="shared" si="963"/>
        <v>-9.0055343615530958</v>
      </c>
    </row>
    <row r="262" spans="1:20" x14ac:dyDescent="0.25">
      <c r="A262" s="5">
        <v>44331</v>
      </c>
      <c r="B262">
        <v>0.158</v>
      </c>
      <c r="C262">
        <v>0.16250000000000001</v>
      </c>
      <c r="D262">
        <v>0.13719999999999999</v>
      </c>
      <c r="E262">
        <v>0.1404</v>
      </c>
      <c r="F262">
        <v>48635697.950000003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-0.74703557312252911</v>
      </c>
      <c r="Q262">
        <f t="shared" ref="Q262:Q325" si="965">F262*P262</f>
        <v>-36332596.492292464</v>
      </c>
      <c r="R262">
        <f t="shared" ref="R262:R325" si="966">R263+Q262</f>
        <v>-890652772.03657818</v>
      </c>
      <c r="S262">
        <f t="shared" ref="S262:S325" si="967">R262/100000</f>
        <v>-8906.5277203657824</v>
      </c>
      <c r="T262">
        <f t="shared" ref="T262:T325" si="968">S262/1000</f>
        <v>-8.9065277203657818</v>
      </c>
    </row>
    <row r="263" spans="1:20" x14ac:dyDescent="0.25">
      <c r="A263" s="5">
        <v>44330</v>
      </c>
      <c r="B263">
        <v>0.14099999999999999</v>
      </c>
      <c r="C263">
        <v>0.1668</v>
      </c>
      <c r="D263">
        <v>0.13719999999999999</v>
      </c>
      <c r="E263">
        <v>0.158</v>
      </c>
      <c r="F263">
        <v>68285091.640000001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0.40540540540540554</v>
      </c>
      <c r="Q263">
        <f t="shared" si="965"/>
        <v>27683145.259459469</v>
      </c>
      <c r="R263">
        <f t="shared" si="966"/>
        <v>-854320175.54428577</v>
      </c>
      <c r="S263">
        <f t="shared" si="967"/>
        <v>-8543.2017554428585</v>
      </c>
      <c r="T263">
        <f t="shared" si="968"/>
        <v>-8.5432017554428583</v>
      </c>
    </row>
    <row r="264" spans="1:20" x14ac:dyDescent="0.25">
      <c r="A264" s="5">
        <v>44329</v>
      </c>
      <c r="B264">
        <v>0.1351</v>
      </c>
      <c r="C264">
        <v>0.15409999999999999</v>
      </c>
      <c r="D264">
        <v>0.13</v>
      </c>
      <c r="E264">
        <v>0.14080000000000001</v>
      </c>
      <c r="F264">
        <v>48993625.210000001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-0.10373443983402392</v>
      </c>
      <c r="Q264">
        <f t="shared" si="965"/>
        <v>-5082326.2665974628</v>
      </c>
      <c r="R264">
        <f t="shared" si="966"/>
        <v>-882003320.80374527</v>
      </c>
      <c r="S264">
        <f t="shared" si="967"/>
        <v>-8820.0332080374519</v>
      </c>
      <c r="T264">
        <f t="shared" si="968"/>
        <v>-8.8200332080374526</v>
      </c>
    </row>
    <row r="265" spans="1:20" x14ac:dyDescent="0.25">
      <c r="A265" s="5">
        <v>44328</v>
      </c>
      <c r="B265">
        <v>0.16439999999999999</v>
      </c>
      <c r="C265">
        <v>0.16739999999999999</v>
      </c>
      <c r="D265">
        <v>0.1346</v>
      </c>
      <c r="E265">
        <v>0.13500000000000001</v>
      </c>
      <c r="F265">
        <v>37483411.490000002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-0.97560975609756029</v>
      </c>
      <c r="Q265">
        <f t="shared" si="965"/>
        <v>-36569181.941463389</v>
      </c>
      <c r="R265">
        <f t="shared" si="966"/>
        <v>-876920994.53714776</v>
      </c>
      <c r="S265">
        <f t="shared" si="967"/>
        <v>-8769.2099453714782</v>
      </c>
      <c r="T265">
        <f t="shared" si="968"/>
        <v>-8.7692099453714789</v>
      </c>
    </row>
    <row r="266" spans="1:20" x14ac:dyDescent="0.25">
      <c r="A266" s="5">
        <v>44327</v>
      </c>
      <c r="B266">
        <v>0.14860000000000001</v>
      </c>
      <c r="C266">
        <v>0.1749</v>
      </c>
      <c r="D266">
        <v>0.14449999999999999</v>
      </c>
      <c r="E266">
        <v>0.1646</v>
      </c>
      <c r="F266">
        <v>54038920.560000002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0.32236842105263158</v>
      </c>
      <c r="Q266">
        <f t="shared" si="965"/>
        <v>17420441.496315792</v>
      </c>
      <c r="R266">
        <f t="shared" si="966"/>
        <v>-840351812.59568441</v>
      </c>
      <c r="S266">
        <f t="shared" si="967"/>
        <v>-8403.5181259568435</v>
      </c>
      <c r="T266">
        <f t="shared" si="968"/>
        <v>-8.4035181259568432</v>
      </c>
    </row>
    <row r="267" spans="1:20" x14ac:dyDescent="0.25">
      <c r="A267" s="5">
        <v>44326</v>
      </c>
      <c r="B267">
        <v>0.15920000000000001</v>
      </c>
      <c r="C267">
        <v>0.185</v>
      </c>
      <c r="D267">
        <v>0.14299999999999999</v>
      </c>
      <c r="E267">
        <v>0.14860000000000001</v>
      </c>
      <c r="F267">
        <v>80030578.810000002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-0.73333333333333239</v>
      </c>
      <c r="Q267">
        <f t="shared" si="965"/>
        <v>-58689091.127333261</v>
      </c>
      <c r="R267">
        <f t="shared" si="966"/>
        <v>-857772254.09200025</v>
      </c>
      <c r="S267">
        <f t="shared" si="967"/>
        <v>-8577.7225409200018</v>
      </c>
      <c r="T267">
        <f t="shared" si="968"/>
        <v>-8.5777225409200017</v>
      </c>
    </row>
    <row r="268" spans="1:20" x14ac:dyDescent="0.25">
      <c r="A268" s="5">
        <v>44325</v>
      </c>
      <c r="B268">
        <v>0.16550000000000001</v>
      </c>
      <c r="C268">
        <v>0.16839999999999999</v>
      </c>
      <c r="D268">
        <v>0.152</v>
      </c>
      <c r="E268">
        <v>0.15909999999999999</v>
      </c>
      <c r="F268">
        <v>36107051.68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-0.13414634146341511</v>
      </c>
      <c r="Q268">
        <f t="shared" si="965"/>
        <v>-4843628.8839024566</v>
      </c>
      <c r="R268">
        <f t="shared" si="966"/>
        <v>-799083162.96466696</v>
      </c>
      <c r="S268">
        <f t="shared" si="967"/>
        <v>-7990.8316296466701</v>
      </c>
      <c r="T268">
        <f t="shared" si="968"/>
        <v>-7.9908316296466699</v>
      </c>
    </row>
    <row r="269" spans="1:20" x14ac:dyDescent="0.25">
      <c r="A269" s="5">
        <v>44324</v>
      </c>
      <c r="B269">
        <v>0.1696</v>
      </c>
      <c r="C269">
        <v>0.17599999999999999</v>
      </c>
      <c r="D269">
        <v>0.16450000000000001</v>
      </c>
      <c r="E269">
        <v>0.16550000000000001</v>
      </c>
      <c r="F269">
        <v>34334065.869999997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-0.82608695652173869</v>
      </c>
      <c r="Q269">
        <f t="shared" si="965"/>
        <v>-28362923.979565199</v>
      </c>
      <c r="R269">
        <f t="shared" si="966"/>
        <v>-794239534.08076453</v>
      </c>
      <c r="S269">
        <f t="shared" si="967"/>
        <v>-7942.395340807645</v>
      </c>
      <c r="T269">
        <f t="shared" si="968"/>
        <v>-7.9423953408076446</v>
      </c>
    </row>
    <row r="270" spans="1:20" x14ac:dyDescent="0.25">
      <c r="A270" s="5">
        <v>44323</v>
      </c>
      <c r="B270">
        <v>0.16800000000000001</v>
      </c>
      <c r="C270">
        <v>0.1807</v>
      </c>
      <c r="D270">
        <v>0.16300000000000001</v>
      </c>
      <c r="E270">
        <v>0.16969999999999999</v>
      </c>
      <c r="F270">
        <v>52153529.030000001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-0.2429378531073462</v>
      </c>
      <c r="Q270">
        <f t="shared" si="965"/>
        <v>-12670066.374519857</v>
      </c>
      <c r="R270">
        <f t="shared" si="966"/>
        <v>-765876610.10119939</v>
      </c>
      <c r="S270">
        <f t="shared" si="967"/>
        <v>-7658.7661010119937</v>
      </c>
      <c r="T270">
        <f t="shared" si="968"/>
        <v>-7.6587661010119934</v>
      </c>
    </row>
    <row r="271" spans="1:20" x14ac:dyDescent="0.25">
      <c r="A271" s="5">
        <v>44322</v>
      </c>
      <c r="B271">
        <v>0.18060000000000001</v>
      </c>
      <c r="C271">
        <v>0.18140000000000001</v>
      </c>
      <c r="D271">
        <v>0.1668</v>
      </c>
      <c r="E271">
        <v>0.16769999999999999</v>
      </c>
      <c r="F271">
        <v>57566209.950000003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-0.87671232876712546</v>
      </c>
      <c r="Q271">
        <f t="shared" si="965"/>
        <v>-50469005.983561769</v>
      </c>
      <c r="R271">
        <f t="shared" si="966"/>
        <v>-753206543.72667956</v>
      </c>
      <c r="S271">
        <f t="shared" si="967"/>
        <v>-7532.0654372667959</v>
      </c>
      <c r="T271">
        <f t="shared" si="968"/>
        <v>-7.5320654372667963</v>
      </c>
    </row>
    <row r="272" spans="1:20" x14ac:dyDescent="0.25">
      <c r="A272" s="5">
        <v>44321</v>
      </c>
      <c r="B272">
        <v>0.17680000000000001</v>
      </c>
      <c r="C272">
        <v>0.192</v>
      </c>
      <c r="D272">
        <v>0.1721</v>
      </c>
      <c r="E272">
        <v>0.18060000000000001</v>
      </c>
      <c r="F272">
        <v>50695377.340000004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-0.1457286432160797</v>
      </c>
      <c r="Q272">
        <f t="shared" si="965"/>
        <v>-7387768.5570853921</v>
      </c>
      <c r="R272">
        <f t="shared" si="966"/>
        <v>-702737537.74311781</v>
      </c>
      <c r="S272">
        <f t="shared" si="967"/>
        <v>-7027.3753774311781</v>
      </c>
      <c r="T272">
        <f t="shared" si="968"/>
        <v>-7.027375377431178</v>
      </c>
    </row>
    <row r="273" spans="1:20" x14ac:dyDescent="0.25">
      <c r="A273" s="5">
        <v>44320</v>
      </c>
      <c r="B273">
        <v>0.20100000000000001</v>
      </c>
      <c r="C273">
        <v>0.20100000000000001</v>
      </c>
      <c r="D273">
        <v>0.17019999999999999</v>
      </c>
      <c r="E273">
        <v>0.1769</v>
      </c>
      <c r="F273">
        <v>84403942.280000001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-0.56493506493506451</v>
      </c>
      <c r="Q273">
        <f t="shared" si="965"/>
        <v>-47682746.61272724</v>
      </c>
      <c r="R273">
        <f t="shared" si="966"/>
        <v>-695349769.18603241</v>
      </c>
      <c r="S273">
        <f t="shared" si="967"/>
        <v>-6953.4976918603243</v>
      </c>
      <c r="T273">
        <f t="shared" si="968"/>
        <v>-6.9534976918603242</v>
      </c>
    </row>
    <row r="274" spans="1:20" x14ac:dyDescent="0.25">
      <c r="A274" s="5">
        <v>44319</v>
      </c>
      <c r="B274">
        <v>0.1993</v>
      </c>
      <c r="C274">
        <v>0.218</v>
      </c>
      <c r="D274">
        <v>0.1951</v>
      </c>
      <c r="E274">
        <v>0.20119999999999999</v>
      </c>
      <c r="F274">
        <v>82915195.349999994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-0.46724890829694382</v>
      </c>
      <c r="Q274">
        <f t="shared" si="965"/>
        <v>-38742034.508515328</v>
      </c>
      <c r="R274">
        <f t="shared" si="966"/>
        <v>-647667022.57330513</v>
      </c>
      <c r="S274">
        <f t="shared" si="967"/>
        <v>-6476.6702257330517</v>
      </c>
      <c r="T274">
        <f t="shared" si="968"/>
        <v>-6.4766702257330513</v>
      </c>
    </row>
    <row r="275" spans="1:20" x14ac:dyDescent="0.25">
      <c r="A275" s="5">
        <v>44318</v>
      </c>
      <c r="B275">
        <v>0.20349999999999999</v>
      </c>
      <c r="C275">
        <v>0.21299999999999999</v>
      </c>
      <c r="D275">
        <v>0.187</v>
      </c>
      <c r="E275">
        <v>0.1993</v>
      </c>
      <c r="F275">
        <v>94161833.859999999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-5.3846153846153266E-2</v>
      </c>
      <c r="Q275">
        <f t="shared" si="965"/>
        <v>-5070252.5924614836</v>
      </c>
      <c r="R275">
        <f t="shared" si="966"/>
        <v>-608924988.06478977</v>
      </c>
      <c r="S275">
        <f t="shared" si="967"/>
        <v>-6089.249880647898</v>
      </c>
      <c r="T275">
        <f t="shared" si="968"/>
        <v>-6.0892498806478983</v>
      </c>
    </row>
    <row r="276" spans="1:20" x14ac:dyDescent="0.25">
      <c r="A276" s="5">
        <v>44317</v>
      </c>
      <c r="B276">
        <v>0.18440000000000001</v>
      </c>
      <c r="C276">
        <v>0.21820000000000001</v>
      </c>
      <c r="D276">
        <v>0.1825</v>
      </c>
      <c r="E276">
        <v>0.20280000000000001</v>
      </c>
      <c r="F276">
        <v>129190423.95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0.13725490196078471</v>
      </c>
      <c r="Q276">
        <f t="shared" si="965"/>
        <v>17732018.973529465</v>
      </c>
      <c r="R276">
        <f t="shared" si="966"/>
        <v>-603854735.47232831</v>
      </c>
      <c r="S276">
        <f t="shared" si="967"/>
        <v>-6038.5473547232832</v>
      </c>
      <c r="T276">
        <f t="shared" si="968"/>
        <v>-6.0385473547232831</v>
      </c>
    </row>
    <row r="277" spans="1:20" x14ac:dyDescent="0.25">
      <c r="A277" s="5">
        <v>44316</v>
      </c>
      <c r="B277">
        <v>0.1767</v>
      </c>
      <c r="C277">
        <v>0.19420000000000001</v>
      </c>
      <c r="D277">
        <v>0.1701</v>
      </c>
      <c r="E277">
        <v>0.18440000000000001</v>
      </c>
      <c r="F277">
        <v>65480619.57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0.1867219917012449</v>
      </c>
      <c r="Q277">
        <f t="shared" si="965"/>
        <v>12226671.703941915</v>
      </c>
      <c r="R277">
        <f t="shared" si="966"/>
        <v>-621586754.44585776</v>
      </c>
      <c r="S277">
        <f t="shared" si="967"/>
        <v>-6215.8675444585779</v>
      </c>
      <c r="T277">
        <f t="shared" si="968"/>
        <v>-6.215867544458578</v>
      </c>
    </row>
    <row r="278" spans="1:20" x14ac:dyDescent="0.25">
      <c r="A278" s="5">
        <v>44315</v>
      </c>
      <c r="B278">
        <v>0.17</v>
      </c>
      <c r="C278">
        <v>0.19350000000000001</v>
      </c>
      <c r="D278">
        <v>0.1641</v>
      </c>
      <c r="E278">
        <v>0.17699999999999999</v>
      </c>
      <c r="F278">
        <v>92314807.909999996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-0.12244897959183737</v>
      </c>
      <c r="Q278">
        <f t="shared" si="965"/>
        <v>-11303854.029795976</v>
      </c>
      <c r="R278">
        <f t="shared" si="966"/>
        <v>-633813426.1497997</v>
      </c>
      <c r="S278">
        <f t="shared" si="967"/>
        <v>-6338.1342614979967</v>
      </c>
      <c r="T278">
        <f t="shared" si="968"/>
        <v>-6.3381342614979967</v>
      </c>
    </row>
    <row r="279" spans="1:20" x14ac:dyDescent="0.25">
      <c r="A279" s="5">
        <v>44314</v>
      </c>
      <c r="B279">
        <v>0.17960000000000001</v>
      </c>
      <c r="C279">
        <v>0.20399999999999999</v>
      </c>
      <c r="D279">
        <v>0.16300000000000001</v>
      </c>
      <c r="E279">
        <v>0.17</v>
      </c>
      <c r="F279">
        <v>160730032.75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-0.65853658536585324</v>
      </c>
      <c r="Q279">
        <f t="shared" si="965"/>
        <v>-105846606.93292676</v>
      </c>
      <c r="R279">
        <f t="shared" si="966"/>
        <v>-622509572.1200037</v>
      </c>
      <c r="S279">
        <f t="shared" si="967"/>
        <v>-6225.0957212000367</v>
      </c>
      <c r="T279">
        <f t="shared" si="968"/>
        <v>-6.2250957212000371</v>
      </c>
    </row>
    <row r="280" spans="1:20" x14ac:dyDescent="0.25">
      <c r="A280" s="5">
        <v>44313</v>
      </c>
      <c r="B280">
        <v>0.14610000000000001</v>
      </c>
      <c r="C280">
        <v>0.19800000000000001</v>
      </c>
      <c r="D280">
        <v>0.1406</v>
      </c>
      <c r="E280">
        <v>0.17910000000000001</v>
      </c>
      <c r="F280">
        <v>175213643.72999999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0.34146341463414642</v>
      </c>
      <c r="Q280">
        <f t="shared" si="965"/>
        <v>59829049.078536592</v>
      </c>
      <c r="R280">
        <f t="shared" si="966"/>
        <v>-516662965.18707699</v>
      </c>
      <c r="S280">
        <f t="shared" si="967"/>
        <v>-5166.6296518707695</v>
      </c>
      <c r="T280">
        <f t="shared" si="968"/>
        <v>-5.1666296518707693</v>
      </c>
    </row>
    <row r="281" spans="1:20" x14ac:dyDescent="0.25">
      <c r="A281" s="5">
        <v>44312</v>
      </c>
      <c r="B281">
        <v>0.13070000000000001</v>
      </c>
      <c r="C281">
        <v>0.15679999999999999</v>
      </c>
      <c r="D281">
        <v>0.12870000000000001</v>
      </c>
      <c r="E281">
        <v>0.14610000000000001</v>
      </c>
      <c r="F281">
        <v>61696324.32</v>
      </c>
      <c r="G281">
        <v>0</v>
      </c>
      <c r="L281" t="s">
        <v>7</v>
      </c>
      <c r="M281" t="s">
        <v>8</v>
      </c>
      <c r="N281" t="s">
        <v>7</v>
      </c>
      <c r="P281">
        <f t="shared" si="964"/>
        <v>0.23843416370106815</v>
      </c>
      <c r="Q281">
        <f t="shared" si="965"/>
        <v>14710511.492669072</v>
      </c>
      <c r="R281">
        <f t="shared" si="966"/>
        <v>-576492014.26561356</v>
      </c>
      <c r="S281">
        <f t="shared" si="967"/>
        <v>-5764.9201426561358</v>
      </c>
      <c r="T281">
        <f t="shared" si="968"/>
        <v>-5.7649201426561358</v>
      </c>
    </row>
    <row r="282" spans="1:20" x14ac:dyDescent="0.25">
      <c r="A282" s="5">
        <v>44311</v>
      </c>
      <c r="B282">
        <v>0.121</v>
      </c>
      <c r="C282">
        <v>0.15629999999999999</v>
      </c>
      <c r="D282">
        <v>0.11559999999999999</v>
      </c>
      <c r="E282">
        <v>0.13089999999999999</v>
      </c>
      <c r="F282">
        <v>69434718.150000006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-0.24815724815724843</v>
      </c>
      <c r="Q282">
        <f t="shared" si="965"/>
        <v>-17230728.582678154</v>
      </c>
      <c r="R282">
        <f t="shared" si="966"/>
        <v>-591202525.75828266</v>
      </c>
      <c r="S282">
        <f t="shared" si="967"/>
        <v>-5912.0252575828263</v>
      </c>
      <c r="T282">
        <f t="shared" si="968"/>
        <v>-5.912025257582826</v>
      </c>
    </row>
    <row r="283" spans="1:20" x14ac:dyDescent="0.25">
      <c r="A283" s="5">
        <v>44310</v>
      </c>
      <c r="B283">
        <v>0.1341</v>
      </c>
      <c r="C283">
        <v>0.14199999999999999</v>
      </c>
      <c r="D283">
        <v>0.1187</v>
      </c>
      <c r="E283">
        <v>0.12089999999999999</v>
      </c>
      <c r="F283">
        <v>41166391.030000001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-0.81115879828326221</v>
      </c>
      <c r="Q283">
        <f t="shared" si="965"/>
        <v>-33392480.277553666</v>
      </c>
      <c r="R283">
        <f t="shared" si="966"/>
        <v>-573971797.17560446</v>
      </c>
      <c r="S283">
        <f t="shared" si="967"/>
        <v>-5739.7179717560448</v>
      </c>
      <c r="T283">
        <f t="shared" si="968"/>
        <v>-5.7397179717560451</v>
      </c>
    </row>
    <row r="284" spans="1:20" x14ac:dyDescent="0.25">
      <c r="A284" s="5">
        <v>44309</v>
      </c>
      <c r="B284">
        <v>0.13669999999999999</v>
      </c>
      <c r="C284">
        <v>0.1429</v>
      </c>
      <c r="D284">
        <v>0.1176</v>
      </c>
      <c r="E284">
        <v>0.13400000000000001</v>
      </c>
      <c r="F284">
        <v>65865304.119999997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0.29644268774703636</v>
      </c>
      <c r="Q284">
        <f t="shared" si="965"/>
        <v>19525287.782608747</v>
      </c>
      <c r="R284">
        <f t="shared" si="966"/>
        <v>-540579316.89805079</v>
      </c>
      <c r="S284">
        <f t="shared" si="967"/>
        <v>-5405.7931689805082</v>
      </c>
      <c r="T284">
        <f t="shared" si="968"/>
        <v>-5.4057931689805079</v>
      </c>
    </row>
    <row r="285" spans="1:20" x14ac:dyDescent="0.25">
      <c r="A285" s="5">
        <v>44308</v>
      </c>
      <c r="B285">
        <v>0.15329999999999999</v>
      </c>
      <c r="C285">
        <v>0.16500000000000001</v>
      </c>
      <c r="D285">
        <v>0.13150000000000001</v>
      </c>
      <c r="E285">
        <v>0.13689999999999999</v>
      </c>
      <c r="F285">
        <v>42736703.539999999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-0.67761194029850824</v>
      </c>
      <c r="Q285">
        <f t="shared" si="965"/>
        <v>-28958900.607701525</v>
      </c>
      <c r="R285">
        <f t="shared" si="966"/>
        <v>-560104604.68065953</v>
      </c>
      <c r="S285">
        <f t="shared" si="967"/>
        <v>-5601.0460468065958</v>
      </c>
      <c r="T285">
        <f t="shared" si="968"/>
        <v>-5.6010460468065961</v>
      </c>
    </row>
    <row r="286" spans="1:20" x14ac:dyDescent="0.25">
      <c r="A286" s="5">
        <v>44307</v>
      </c>
      <c r="B286">
        <v>0.1668</v>
      </c>
      <c r="C286">
        <v>0.1754</v>
      </c>
      <c r="D286">
        <v>0.15210000000000001</v>
      </c>
      <c r="E286">
        <v>0.15390000000000001</v>
      </c>
      <c r="F286">
        <v>44092448.479999997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-0.84549356223175987</v>
      </c>
      <c r="Q286">
        <f t="shared" si="965"/>
        <v>-37279881.332875542</v>
      </c>
      <c r="R286">
        <f t="shared" si="966"/>
        <v>-531145704.07295799</v>
      </c>
      <c r="S286">
        <f t="shared" si="967"/>
        <v>-5311.4570407295796</v>
      </c>
      <c r="T286">
        <f t="shared" si="968"/>
        <v>-5.3114570407295796</v>
      </c>
    </row>
    <row r="287" spans="1:20" x14ac:dyDescent="0.25">
      <c r="A287" s="5">
        <v>44306</v>
      </c>
      <c r="B287">
        <v>0.15820000000000001</v>
      </c>
      <c r="C287">
        <v>0.1797</v>
      </c>
      <c r="D287">
        <v>0.13650000000000001</v>
      </c>
      <c r="E287">
        <v>0.1668</v>
      </c>
      <c r="F287">
        <v>53011950.520000003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0.40277777777777785</v>
      </c>
      <c r="Q287">
        <f t="shared" si="965"/>
        <v>21352035.626111116</v>
      </c>
      <c r="R287">
        <f t="shared" si="966"/>
        <v>-493865822.74008244</v>
      </c>
      <c r="S287">
        <f t="shared" si="967"/>
        <v>-4938.6582274008242</v>
      </c>
      <c r="T287">
        <f t="shared" si="968"/>
        <v>-4.9386582274008246</v>
      </c>
    </row>
    <row r="288" spans="1:20" x14ac:dyDescent="0.25">
      <c r="A288" s="5">
        <v>44305</v>
      </c>
      <c r="B288">
        <v>0.17319999999999999</v>
      </c>
      <c r="C288">
        <v>0.19</v>
      </c>
      <c r="D288">
        <v>0.154</v>
      </c>
      <c r="E288">
        <v>0.15820000000000001</v>
      </c>
      <c r="F288">
        <v>70446515.269999996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-0.76666666666666616</v>
      </c>
      <c r="Q288">
        <f t="shared" si="965"/>
        <v>-54008995.040333293</v>
      </c>
      <c r="R288">
        <f t="shared" si="966"/>
        <v>-515217858.36619353</v>
      </c>
      <c r="S288">
        <f t="shared" si="967"/>
        <v>-5152.1785836619356</v>
      </c>
      <c r="T288">
        <f t="shared" si="968"/>
        <v>-5.1521785836619358</v>
      </c>
    </row>
    <row r="289" spans="1:20" x14ac:dyDescent="0.25">
      <c r="A289" s="5">
        <v>44304</v>
      </c>
      <c r="B289">
        <v>0.218</v>
      </c>
      <c r="C289">
        <v>0.2198</v>
      </c>
      <c r="D289">
        <v>0.14549999999999999</v>
      </c>
      <c r="E289">
        <v>0.1731</v>
      </c>
      <c r="F289">
        <v>79845931.969999999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-0.25706594885598893</v>
      </c>
      <c r="Q289">
        <f t="shared" si="965"/>
        <v>-20525670.264158793</v>
      </c>
      <c r="R289">
        <f t="shared" si="966"/>
        <v>-461208863.32586026</v>
      </c>
      <c r="S289">
        <f t="shared" si="967"/>
        <v>-4612.0886332586024</v>
      </c>
      <c r="T289">
        <f t="shared" si="968"/>
        <v>-4.612088633258602</v>
      </c>
    </row>
    <row r="290" spans="1:20" x14ac:dyDescent="0.25">
      <c r="A290" s="5">
        <v>44303</v>
      </c>
      <c r="B290">
        <v>0.20130000000000001</v>
      </c>
      <c r="C290">
        <v>0.22489999999999999</v>
      </c>
      <c r="D290">
        <v>0.1981</v>
      </c>
      <c r="E290">
        <v>0.21790000000000001</v>
      </c>
      <c r="F290">
        <v>82994749.099999994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0.4776119402985089</v>
      </c>
      <c r="Q290">
        <f t="shared" si="965"/>
        <v>39639283.15223892</v>
      </c>
      <c r="R290">
        <f t="shared" si="966"/>
        <v>-440683193.06170148</v>
      </c>
      <c r="S290">
        <f t="shared" si="967"/>
        <v>-4406.8319306170151</v>
      </c>
      <c r="T290">
        <f t="shared" si="968"/>
        <v>-4.4068319306170149</v>
      </c>
    </row>
    <row r="291" spans="1:20" x14ac:dyDescent="0.25">
      <c r="A291" s="5">
        <v>44302</v>
      </c>
      <c r="B291">
        <v>0.2218</v>
      </c>
      <c r="C291">
        <v>0.22700000000000001</v>
      </c>
      <c r="D291">
        <v>0.1925</v>
      </c>
      <c r="E291">
        <v>0.20130000000000001</v>
      </c>
      <c r="F291">
        <v>63657440.950000003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-0.48985507246376803</v>
      </c>
      <c r="Q291">
        <f t="shared" si="965"/>
        <v>-31182920.349420287</v>
      </c>
      <c r="R291">
        <f t="shared" si="966"/>
        <v>-480322476.21394038</v>
      </c>
      <c r="S291">
        <f t="shared" si="967"/>
        <v>-4803.2247621394035</v>
      </c>
      <c r="T291">
        <f t="shared" si="968"/>
        <v>-4.8032247621394033</v>
      </c>
    </row>
    <row r="292" spans="1:20" x14ac:dyDescent="0.25">
      <c r="A292" s="5">
        <v>44301</v>
      </c>
      <c r="B292">
        <v>0.20399999999999999</v>
      </c>
      <c r="C292">
        <v>0.23899999999999999</v>
      </c>
      <c r="D292">
        <v>0.1976</v>
      </c>
      <c r="E292">
        <v>0.22159999999999999</v>
      </c>
      <c r="F292">
        <v>72952389.689999998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0.15942028985507237</v>
      </c>
      <c r="Q292">
        <f t="shared" si="965"/>
        <v>11630091.109999992</v>
      </c>
      <c r="R292">
        <f t="shared" si="966"/>
        <v>-449139555.86452007</v>
      </c>
      <c r="S292">
        <f t="shared" si="967"/>
        <v>-4491.3955586452012</v>
      </c>
      <c r="T292">
        <f t="shared" si="968"/>
        <v>-4.491395558645201</v>
      </c>
    </row>
    <row r="293" spans="1:20" x14ac:dyDescent="0.25">
      <c r="A293" s="5">
        <v>44300</v>
      </c>
      <c r="B293">
        <v>0.2059</v>
      </c>
      <c r="C293">
        <v>0.21479999999999999</v>
      </c>
      <c r="D293">
        <v>0.19</v>
      </c>
      <c r="E293">
        <v>0.20369999999999999</v>
      </c>
      <c r="F293">
        <v>40357937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0.10483870967741905</v>
      </c>
      <c r="Q293">
        <f t="shared" si="965"/>
        <v>4231074.0403225683</v>
      </c>
      <c r="R293">
        <f t="shared" si="966"/>
        <v>-460769646.97452009</v>
      </c>
      <c r="S293">
        <f t="shared" si="967"/>
        <v>-4607.6964697452013</v>
      </c>
      <c r="T293">
        <f t="shared" si="968"/>
        <v>-4.6076964697452016</v>
      </c>
    </row>
    <row r="294" spans="1:20" x14ac:dyDescent="0.25">
      <c r="A294" s="5">
        <v>44299</v>
      </c>
      <c r="B294">
        <v>0.21199999999999999</v>
      </c>
      <c r="C294">
        <v>0.2195</v>
      </c>
      <c r="D294">
        <v>0.19589999999999999</v>
      </c>
      <c r="E294">
        <v>0.2059</v>
      </c>
      <c r="F294">
        <v>47762575.829999998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-0.15254237288135553</v>
      </c>
      <c r="Q294">
        <f t="shared" si="965"/>
        <v>-7285816.6520338785</v>
      </c>
      <c r="R294">
        <f t="shared" si="966"/>
        <v>-465000721.01484263</v>
      </c>
      <c r="S294">
        <f t="shared" si="967"/>
        <v>-4650.0072101484266</v>
      </c>
      <c r="T294">
        <f t="shared" si="968"/>
        <v>-4.6500072101484262</v>
      </c>
    </row>
    <row r="295" spans="1:20" x14ac:dyDescent="0.25">
      <c r="A295" s="5">
        <v>44298</v>
      </c>
      <c r="B295">
        <v>0.22700000000000001</v>
      </c>
      <c r="C295">
        <v>0.23300000000000001</v>
      </c>
      <c r="D295">
        <v>0.2036</v>
      </c>
      <c r="E295">
        <v>0.2122</v>
      </c>
      <c r="F295">
        <v>52424624.759999998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-0.41496598639455823</v>
      </c>
      <c r="Q295">
        <f t="shared" si="965"/>
        <v>-21754436.124897979</v>
      </c>
      <c r="R295">
        <f t="shared" si="966"/>
        <v>-457714904.36280876</v>
      </c>
      <c r="S295">
        <f t="shared" si="967"/>
        <v>-4577.1490436280874</v>
      </c>
      <c r="T295">
        <f t="shared" si="968"/>
        <v>-4.5771490436280873</v>
      </c>
    </row>
    <row r="296" spans="1:20" x14ac:dyDescent="0.25">
      <c r="A296" s="5">
        <v>44297</v>
      </c>
      <c r="B296">
        <v>0.21929999999999999</v>
      </c>
      <c r="C296">
        <v>0.2336</v>
      </c>
      <c r="D296">
        <v>0.2165</v>
      </c>
      <c r="E296">
        <v>0.22700000000000001</v>
      </c>
      <c r="F296">
        <v>41812731.479999997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0.22807017543859728</v>
      </c>
      <c r="Q296">
        <f t="shared" si="965"/>
        <v>9536237.0042105578</v>
      </c>
      <c r="R296">
        <f t="shared" si="966"/>
        <v>-435960468.23791081</v>
      </c>
      <c r="S296">
        <f t="shared" si="967"/>
        <v>-4359.6046823791085</v>
      </c>
      <c r="T296">
        <f t="shared" si="968"/>
        <v>-4.3596046823791088</v>
      </c>
    </row>
    <row r="297" spans="1:20" x14ac:dyDescent="0.25">
      <c r="A297" s="5">
        <v>44296</v>
      </c>
      <c r="B297">
        <v>0.24690000000000001</v>
      </c>
      <c r="C297">
        <v>0.24690000000000001</v>
      </c>
      <c r="D297">
        <v>0.2112</v>
      </c>
      <c r="E297">
        <v>0.21929999999999999</v>
      </c>
      <c r="F297">
        <v>89169410.180000007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-0.54621848739495837</v>
      </c>
      <c r="Q297">
        <f t="shared" si="965"/>
        <v>-48705980.350420207</v>
      </c>
      <c r="R297">
        <f t="shared" si="966"/>
        <v>-445496705.24212134</v>
      </c>
      <c r="S297">
        <f t="shared" si="967"/>
        <v>-4454.9670524212133</v>
      </c>
      <c r="T297">
        <f t="shared" si="968"/>
        <v>-4.454967052421213</v>
      </c>
    </row>
    <row r="298" spans="1:20" x14ac:dyDescent="0.25">
      <c r="A298" s="5">
        <v>44295</v>
      </c>
      <c r="B298">
        <v>0.24410000000000001</v>
      </c>
      <c r="C298">
        <v>0.2681</v>
      </c>
      <c r="D298">
        <v>0.23350000000000001</v>
      </c>
      <c r="E298">
        <v>0.2467</v>
      </c>
      <c r="F298">
        <v>72594391.379999995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-0.23699421965317963</v>
      </c>
      <c r="Q298">
        <f t="shared" si="965"/>
        <v>-17204451.136300609</v>
      </c>
      <c r="R298">
        <f t="shared" si="966"/>
        <v>-396790724.89170116</v>
      </c>
      <c r="S298">
        <f t="shared" si="967"/>
        <v>-3967.9072489170117</v>
      </c>
      <c r="T298">
        <f t="shared" si="968"/>
        <v>-3.9679072489170117</v>
      </c>
    </row>
    <row r="299" spans="1:20" x14ac:dyDescent="0.25">
      <c r="A299" s="5">
        <v>44294</v>
      </c>
      <c r="B299">
        <v>0.23480000000000001</v>
      </c>
      <c r="C299">
        <v>0.2616</v>
      </c>
      <c r="D299">
        <v>0.22500000000000001</v>
      </c>
      <c r="E299">
        <v>0.24460000000000001</v>
      </c>
      <c r="F299">
        <v>71260993.230000004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7.1038251366120755E-2</v>
      </c>
      <c r="Q299">
        <f t="shared" si="965"/>
        <v>5062256.3496721694</v>
      </c>
      <c r="R299">
        <f t="shared" si="966"/>
        <v>-379586273.75540054</v>
      </c>
      <c r="S299">
        <f t="shared" si="967"/>
        <v>-3795.8627375540054</v>
      </c>
      <c r="T299">
        <f t="shared" si="968"/>
        <v>-3.7958627375540055</v>
      </c>
    </row>
    <row r="300" spans="1:20" x14ac:dyDescent="0.25">
      <c r="A300" s="5">
        <v>44293</v>
      </c>
      <c r="B300">
        <v>0.2455</v>
      </c>
      <c r="C300">
        <v>0.25459999999999999</v>
      </c>
      <c r="D300">
        <v>0.20649999999999999</v>
      </c>
      <c r="E300">
        <v>0.23430000000000001</v>
      </c>
      <c r="F300">
        <v>144860625.94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0.15592515592515663</v>
      </c>
      <c r="Q300">
        <f t="shared" si="965"/>
        <v>22587415.68711029</v>
      </c>
      <c r="R300">
        <f t="shared" si="966"/>
        <v>-384648530.10507274</v>
      </c>
      <c r="S300">
        <f t="shared" si="967"/>
        <v>-3846.4853010507272</v>
      </c>
      <c r="T300">
        <f t="shared" si="968"/>
        <v>-3.8464853010507274</v>
      </c>
    </row>
    <row r="301" spans="1:20" x14ac:dyDescent="0.25">
      <c r="A301" s="5">
        <v>44292</v>
      </c>
      <c r="B301">
        <v>0.26190000000000002</v>
      </c>
      <c r="C301">
        <v>0.308</v>
      </c>
      <c r="D301">
        <v>0.2266</v>
      </c>
      <c r="E301">
        <v>0.246</v>
      </c>
      <c r="F301">
        <v>241327988.66999999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-0.52334152334152328</v>
      </c>
      <c r="Q301">
        <f t="shared" si="965"/>
        <v>-126296957.21550366</v>
      </c>
      <c r="R301">
        <f t="shared" si="966"/>
        <v>-407235945.79218304</v>
      </c>
      <c r="S301">
        <f t="shared" si="967"/>
        <v>-4072.3594579218302</v>
      </c>
      <c r="T301">
        <f t="shared" si="968"/>
        <v>-4.0723594579218299</v>
      </c>
    </row>
    <row r="302" spans="1:20" x14ac:dyDescent="0.25">
      <c r="A302" s="5">
        <v>44291</v>
      </c>
      <c r="B302">
        <v>0.22270000000000001</v>
      </c>
      <c r="C302">
        <v>0.318</v>
      </c>
      <c r="D302">
        <v>0.20749999999999999</v>
      </c>
      <c r="E302">
        <v>0.26079999999999998</v>
      </c>
      <c r="F302">
        <v>145016307.99000001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-3.5294117647059205E-2</v>
      </c>
      <c r="Q302">
        <f t="shared" si="965"/>
        <v>-5118222.6349412324</v>
      </c>
      <c r="R302">
        <f t="shared" si="966"/>
        <v>-280938988.57667935</v>
      </c>
      <c r="S302">
        <f t="shared" si="967"/>
        <v>-2809.3898857667937</v>
      </c>
      <c r="T302">
        <f t="shared" si="968"/>
        <v>-2.8093898857667936</v>
      </c>
    </row>
    <row r="303" spans="1:20" x14ac:dyDescent="0.25">
      <c r="A303" s="5">
        <v>44290</v>
      </c>
      <c r="B303">
        <v>0.18990000000000001</v>
      </c>
      <c r="C303">
        <v>0.25</v>
      </c>
      <c r="D303">
        <v>0.18809999999999999</v>
      </c>
      <c r="E303">
        <v>0.22239999999999999</v>
      </c>
      <c r="F303">
        <v>86050727.340000004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0.10823909531502394</v>
      </c>
      <c r="Q303">
        <f t="shared" si="965"/>
        <v>9314052.8784813974</v>
      </c>
      <c r="R303">
        <f t="shared" si="966"/>
        <v>-275820765.94173813</v>
      </c>
      <c r="S303">
        <f t="shared" si="967"/>
        <v>-2758.2076594173814</v>
      </c>
      <c r="T303">
        <f t="shared" si="968"/>
        <v>-2.7582076594173812</v>
      </c>
    </row>
    <row r="304" spans="1:20" x14ac:dyDescent="0.25">
      <c r="A304" s="5">
        <v>44289</v>
      </c>
      <c r="B304">
        <v>0.21060000000000001</v>
      </c>
      <c r="C304">
        <v>0.21190000000000001</v>
      </c>
      <c r="D304">
        <v>0.18809999999999999</v>
      </c>
      <c r="E304">
        <v>0.1898</v>
      </c>
      <c r="F304">
        <v>62224728.329999998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-0.85714285714285665</v>
      </c>
      <c r="Q304">
        <f t="shared" si="965"/>
        <v>-53335481.425714254</v>
      </c>
      <c r="R304">
        <f t="shared" si="966"/>
        <v>-285134818.82021952</v>
      </c>
      <c r="S304">
        <f t="shared" si="967"/>
        <v>-2851.3481882021952</v>
      </c>
      <c r="T304">
        <f t="shared" si="968"/>
        <v>-2.8513481882021954</v>
      </c>
    </row>
    <row r="305" spans="1:20" x14ac:dyDescent="0.25">
      <c r="A305" s="5">
        <v>44288</v>
      </c>
      <c r="B305">
        <v>0.23150000000000001</v>
      </c>
      <c r="C305">
        <v>0.24</v>
      </c>
      <c r="D305">
        <v>0.20519999999999999</v>
      </c>
      <c r="E305">
        <v>0.21060000000000001</v>
      </c>
      <c r="F305">
        <v>64783435.399999999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-0.68965517241379215</v>
      </c>
      <c r="Q305">
        <f t="shared" si="965"/>
        <v>-44678231.310344763</v>
      </c>
      <c r="R305">
        <f t="shared" si="966"/>
        <v>-231799337.39450523</v>
      </c>
      <c r="S305">
        <f t="shared" si="967"/>
        <v>-2317.9933739450521</v>
      </c>
      <c r="T305">
        <f t="shared" si="968"/>
        <v>-2.3179933739450522</v>
      </c>
    </row>
    <row r="306" spans="1:20" x14ac:dyDescent="0.25">
      <c r="A306" s="5">
        <v>44287</v>
      </c>
      <c r="B306">
        <v>0.2082</v>
      </c>
      <c r="C306">
        <v>0.249</v>
      </c>
      <c r="D306">
        <v>0.20300000000000001</v>
      </c>
      <c r="E306">
        <v>0.23119999999999999</v>
      </c>
      <c r="F306">
        <v>92728694.620000005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0.22608695652173844</v>
      </c>
      <c r="Q306">
        <f t="shared" si="965"/>
        <v>20964748.348869503</v>
      </c>
      <c r="R306">
        <f t="shared" si="966"/>
        <v>-187121106.08416048</v>
      </c>
      <c r="S306">
        <f t="shared" si="967"/>
        <v>-1871.2110608416049</v>
      </c>
      <c r="T306">
        <f t="shared" si="968"/>
        <v>-1.8712110608416048</v>
      </c>
    </row>
    <row r="307" spans="1:20" x14ac:dyDescent="0.25">
      <c r="A307" s="5">
        <v>44286</v>
      </c>
      <c r="B307">
        <v>0.22650000000000001</v>
      </c>
      <c r="C307">
        <v>0.26579999999999998</v>
      </c>
      <c r="D307">
        <v>0.20499999999999999</v>
      </c>
      <c r="E307">
        <v>0.2082</v>
      </c>
      <c r="F307">
        <v>83842644.859999999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-0.89473684210526283</v>
      </c>
      <c r="Q307">
        <f t="shared" si="965"/>
        <v>-75017103.29578945</v>
      </c>
      <c r="R307">
        <f t="shared" si="966"/>
        <v>-208085854.43302998</v>
      </c>
      <c r="S307">
        <f t="shared" si="967"/>
        <v>-2080.8585443303</v>
      </c>
      <c r="T307">
        <f t="shared" si="968"/>
        <v>-2.0808585443303</v>
      </c>
    </row>
    <row r="308" spans="1:20" x14ac:dyDescent="0.25">
      <c r="A308" s="5">
        <v>44285</v>
      </c>
      <c r="B308">
        <v>0.2487</v>
      </c>
      <c r="C308">
        <v>0.25800000000000001</v>
      </c>
      <c r="D308">
        <v>0.22040000000000001</v>
      </c>
      <c r="E308">
        <v>0.2268</v>
      </c>
      <c r="F308">
        <v>121858409.93000001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-0.65957446808510689</v>
      </c>
      <c r="Q308">
        <f t="shared" si="965"/>
        <v>-80374695.911276668</v>
      </c>
      <c r="R308">
        <f t="shared" si="966"/>
        <v>-133068751.13724053</v>
      </c>
      <c r="S308">
        <f t="shared" si="967"/>
        <v>-1330.6875113724052</v>
      </c>
      <c r="T308">
        <f t="shared" si="968"/>
        <v>-1.3306875113724053</v>
      </c>
    </row>
    <row r="309" spans="1:20" x14ac:dyDescent="0.25">
      <c r="A309" s="5">
        <v>44284</v>
      </c>
      <c r="B309">
        <v>0.18970000000000001</v>
      </c>
      <c r="C309">
        <v>0.27800000000000002</v>
      </c>
      <c r="D309">
        <v>0.187</v>
      </c>
      <c r="E309">
        <v>0.24970000000000001</v>
      </c>
      <c r="F309">
        <v>401780784.11000001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0.37802197802197779</v>
      </c>
      <c r="Q309">
        <f t="shared" si="965"/>
        <v>151881966.74048343</v>
      </c>
      <c r="R309">
        <f t="shared" si="966"/>
        <v>-52694055.225963861</v>
      </c>
      <c r="S309">
        <f t="shared" si="967"/>
        <v>-526.94055225963859</v>
      </c>
      <c r="T309">
        <f t="shared" si="968"/>
        <v>-0.52694055225963854</v>
      </c>
    </row>
    <row r="310" spans="1:20" x14ac:dyDescent="0.25">
      <c r="A310" s="5">
        <v>44283</v>
      </c>
      <c r="B310">
        <v>0.16270000000000001</v>
      </c>
      <c r="C310">
        <v>0.19950000000000001</v>
      </c>
      <c r="D310">
        <v>0.158</v>
      </c>
      <c r="E310">
        <v>0.18970000000000001</v>
      </c>
      <c r="F310">
        <v>96521641.719999999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0.52771084337349394</v>
      </c>
      <c r="Q310">
        <f t="shared" si="965"/>
        <v>50935516.955855414</v>
      </c>
      <c r="R310">
        <f t="shared" si="966"/>
        <v>-204576021.96644729</v>
      </c>
      <c r="S310">
        <f t="shared" si="967"/>
        <v>-2045.760219664473</v>
      </c>
      <c r="T310">
        <f t="shared" si="968"/>
        <v>-2.0457602196644729</v>
      </c>
    </row>
    <row r="311" spans="1:20" x14ac:dyDescent="0.25">
      <c r="A311" s="5">
        <v>44282</v>
      </c>
      <c r="B311">
        <v>0.15210000000000001</v>
      </c>
      <c r="C311">
        <v>0.16500000000000001</v>
      </c>
      <c r="D311">
        <v>0.14360000000000001</v>
      </c>
      <c r="E311">
        <v>0.16289999999999999</v>
      </c>
      <c r="F311">
        <v>35284691.670000002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0.80373831775700766</v>
      </c>
      <c r="Q311">
        <f t="shared" si="965"/>
        <v>28359658.725420501</v>
      </c>
      <c r="R311">
        <f t="shared" si="966"/>
        <v>-255511538.92230269</v>
      </c>
      <c r="S311">
        <f t="shared" si="967"/>
        <v>-2555.1153892230268</v>
      </c>
      <c r="T311">
        <f t="shared" si="968"/>
        <v>-2.5551153892230269</v>
      </c>
    </row>
    <row r="312" spans="1:20" x14ac:dyDescent="0.25">
      <c r="A312" s="5">
        <v>44281</v>
      </c>
      <c r="B312">
        <v>0.13850000000000001</v>
      </c>
      <c r="C312">
        <v>0.155</v>
      </c>
      <c r="D312">
        <v>0.13830000000000001</v>
      </c>
      <c r="E312">
        <v>0.152</v>
      </c>
      <c r="F312">
        <v>24281562.800000001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0.640718562874251</v>
      </c>
      <c r="Q312">
        <f t="shared" si="965"/>
        <v>15557648.021556875</v>
      </c>
      <c r="R312">
        <f t="shared" si="966"/>
        <v>-283871197.6477232</v>
      </c>
      <c r="S312">
        <f t="shared" si="967"/>
        <v>-2838.7119764772319</v>
      </c>
      <c r="T312">
        <f t="shared" si="968"/>
        <v>-2.8387119764772319</v>
      </c>
    </row>
    <row r="313" spans="1:20" x14ac:dyDescent="0.25">
      <c r="A313" s="5">
        <v>44280</v>
      </c>
      <c r="B313">
        <v>0.1489</v>
      </c>
      <c r="C313">
        <v>0.15010000000000001</v>
      </c>
      <c r="D313">
        <v>0.1333</v>
      </c>
      <c r="E313">
        <v>0.13850000000000001</v>
      </c>
      <c r="F313">
        <v>25160311.27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-0.3809523809523801</v>
      </c>
      <c r="Q313">
        <f t="shared" si="965"/>
        <v>-9584880.4838095028</v>
      </c>
      <c r="R313">
        <f t="shared" si="966"/>
        <v>-299428845.66928005</v>
      </c>
      <c r="S313">
        <f t="shared" si="967"/>
        <v>-2994.2884566928005</v>
      </c>
      <c r="T313">
        <f t="shared" si="968"/>
        <v>-2.9942884566928005</v>
      </c>
    </row>
    <row r="314" spans="1:20" x14ac:dyDescent="0.25">
      <c r="A314" s="5">
        <v>44279</v>
      </c>
      <c r="B314">
        <v>0.16039999999999999</v>
      </c>
      <c r="C314">
        <v>0.16950000000000001</v>
      </c>
      <c r="D314">
        <v>0.1449</v>
      </c>
      <c r="E314">
        <v>0.14910000000000001</v>
      </c>
      <c r="F314">
        <v>34496059.899999999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-0.65853658536585302</v>
      </c>
      <c r="Q314">
        <f t="shared" si="965"/>
        <v>-22716917.49512193</v>
      </c>
      <c r="R314">
        <f t="shared" si="966"/>
        <v>-289843965.18547052</v>
      </c>
      <c r="S314">
        <f t="shared" si="967"/>
        <v>-2898.4396518547051</v>
      </c>
      <c r="T314">
        <f t="shared" si="968"/>
        <v>-2.8984396518547051</v>
      </c>
    </row>
    <row r="315" spans="1:20" x14ac:dyDescent="0.25">
      <c r="A315" s="5">
        <v>44278</v>
      </c>
      <c r="B315">
        <v>0.158</v>
      </c>
      <c r="C315">
        <v>0.16439999999999999</v>
      </c>
      <c r="D315">
        <v>0.14399999999999999</v>
      </c>
      <c r="E315">
        <v>0.16020000000000001</v>
      </c>
      <c r="F315">
        <v>34676433.770000003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0.58823529411764885</v>
      </c>
      <c r="Q315">
        <f t="shared" si="965"/>
        <v>20397902.217647124</v>
      </c>
      <c r="R315">
        <f t="shared" si="966"/>
        <v>-267127047.69034857</v>
      </c>
      <c r="S315">
        <f t="shared" si="967"/>
        <v>-2671.2704769034858</v>
      </c>
      <c r="T315">
        <f t="shared" si="968"/>
        <v>-2.6712704769034858</v>
      </c>
    </row>
    <row r="316" spans="1:20" x14ac:dyDescent="0.25">
      <c r="A316" s="5">
        <v>44277</v>
      </c>
      <c r="B316">
        <v>0.1636</v>
      </c>
      <c r="C316">
        <v>0.17499999999999999</v>
      </c>
      <c r="D316">
        <v>0.15629999999999999</v>
      </c>
      <c r="E316">
        <v>0.158</v>
      </c>
      <c r="F316">
        <v>39833368.609999999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-0.81818181818181734</v>
      </c>
      <c r="Q316">
        <f t="shared" si="965"/>
        <v>-32590937.95363633</v>
      </c>
      <c r="R316">
        <f t="shared" si="966"/>
        <v>-287524949.9079957</v>
      </c>
      <c r="S316">
        <f t="shared" si="967"/>
        <v>-2875.2494990799569</v>
      </c>
      <c r="T316">
        <f t="shared" si="968"/>
        <v>-2.8752494990799571</v>
      </c>
    </row>
    <row r="317" spans="1:20" x14ac:dyDescent="0.25">
      <c r="A317" s="5">
        <v>44276</v>
      </c>
      <c r="B317">
        <v>0.16289999999999999</v>
      </c>
      <c r="C317">
        <v>0.1711</v>
      </c>
      <c r="D317">
        <v>0.1497</v>
      </c>
      <c r="E317">
        <v>0.16350000000000001</v>
      </c>
      <c r="F317">
        <v>40201012.939999998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0.28971962616822478</v>
      </c>
      <c r="Q317">
        <f t="shared" si="965"/>
        <v>11647022.440560766</v>
      </c>
      <c r="R317">
        <f t="shared" si="966"/>
        <v>-254934011.95435935</v>
      </c>
      <c r="S317">
        <f t="shared" si="967"/>
        <v>-2549.3401195435936</v>
      </c>
      <c r="T317">
        <f t="shared" si="968"/>
        <v>-2.5493401195435936</v>
      </c>
    </row>
    <row r="318" spans="1:20" x14ac:dyDescent="0.25">
      <c r="A318" s="5">
        <v>44275</v>
      </c>
      <c r="B318">
        <v>0.16650000000000001</v>
      </c>
      <c r="C318">
        <v>0.17899999999999999</v>
      </c>
      <c r="D318">
        <v>0.16170000000000001</v>
      </c>
      <c r="E318">
        <v>0.16289999999999999</v>
      </c>
      <c r="F318">
        <v>27134759.219999999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-0.86127167630058032</v>
      </c>
      <c r="Q318">
        <f t="shared" si="965"/>
        <v>-23370399.559422027</v>
      </c>
      <c r="R318">
        <f t="shared" si="966"/>
        <v>-266581034.39492011</v>
      </c>
      <c r="S318">
        <f t="shared" si="967"/>
        <v>-2665.8103439492011</v>
      </c>
      <c r="T318">
        <f t="shared" si="968"/>
        <v>-2.6658103439492011</v>
      </c>
    </row>
    <row r="319" spans="1:20" x14ac:dyDescent="0.25">
      <c r="A319" s="5">
        <v>44274</v>
      </c>
      <c r="B319">
        <v>0.1714</v>
      </c>
      <c r="C319">
        <v>0.18240000000000001</v>
      </c>
      <c r="D319">
        <v>0.16009999999999999</v>
      </c>
      <c r="E319">
        <v>0.16650000000000001</v>
      </c>
      <c r="F319">
        <v>43852362.549999997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-0.42600896860986431</v>
      </c>
      <c r="Q319">
        <f t="shared" si="965"/>
        <v>-18681499.741031338</v>
      </c>
      <c r="R319">
        <f t="shared" si="966"/>
        <v>-243210634.83549809</v>
      </c>
      <c r="S319">
        <f t="shared" si="967"/>
        <v>-2432.106348354981</v>
      </c>
      <c r="T319">
        <f t="shared" si="968"/>
        <v>-2.432106348354981</v>
      </c>
    </row>
    <row r="320" spans="1:20" x14ac:dyDescent="0.25">
      <c r="A320" s="5">
        <v>44273</v>
      </c>
      <c r="B320">
        <v>0.17219999999999999</v>
      </c>
      <c r="C320">
        <v>0.20130000000000001</v>
      </c>
      <c r="D320">
        <v>0.16800000000000001</v>
      </c>
      <c r="E320">
        <v>0.1714</v>
      </c>
      <c r="F320">
        <v>77607575.590000004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-0.79579579579579662</v>
      </c>
      <c r="Q320">
        <f t="shared" si="965"/>
        <v>-61759782.376426496</v>
      </c>
      <c r="R320">
        <f t="shared" si="966"/>
        <v>-224529135.09446675</v>
      </c>
      <c r="S320">
        <f t="shared" si="967"/>
        <v>-2245.2913509446676</v>
      </c>
      <c r="T320">
        <f t="shared" si="968"/>
        <v>-2.2452913509446675</v>
      </c>
    </row>
    <row r="321" spans="1:20" x14ac:dyDescent="0.25">
      <c r="A321" s="5">
        <v>44272</v>
      </c>
      <c r="B321">
        <v>0.16550000000000001</v>
      </c>
      <c r="C321">
        <v>0.17899999999999999</v>
      </c>
      <c r="D321">
        <v>0.15609999999999999</v>
      </c>
      <c r="E321">
        <v>0.1726</v>
      </c>
      <c r="F321">
        <v>40816366.869999997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0.44104803493449884</v>
      </c>
      <c r="Q321">
        <f t="shared" si="965"/>
        <v>18001978.401179079</v>
      </c>
      <c r="R321">
        <f t="shared" si="966"/>
        <v>-162769352.71804026</v>
      </c>
      <c r="S321">
        <f t="shared" si="967"/>
        <v>-1627.6935271804025</v>
      </c>
      <c r="T321">
        <f t="shared" si="968"/>
        <v>-1.6276935271804025</v>
      </c>
    </row>
    <row r="322" spans="1:20" x14ac:dyDescent="0.25">
      <c r="A322" s="5">
        <v>44271</v>
      </c>
      <c r="B322">
        <v>0.16930000000000001</v>
      </c>
      <c r="C322">
        <v>0.1799</v>
      </c>
      <c r="D322">
        <v>0.14949999999999999</v>
      </c>
      <c r="E322">
        <v>0.16550000000000001</v>
      </c>
      <c r="F322">
        <v>60555982.710000001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5.2631578947369001E-2</v>
      </c>
      <c r="Q322">
        <f t="shared" si="965"/>
        <v>3187156.9847368775</v>
      </c>
      <c r="R322">
        <f t="shared" si="966"/>
        <v>-180771331.11921933</v>
      </c>
      <c r="S322">
        <f t="shared" si="967"/>
        <v>-1807.7133111921933</v>
      </c>
      <c r="T322">
        <f t="shared" si="968"/>
        <v>-1.8077133111921933</v>
      </c>
    </row>
    <row r="323" spans="1:20" x14ac:dyDescent="0.25">
      <c r="A323" s="5">
        <v>44270</v>
      </c>
      <c r="B323">
        <v>0.182</v>
      </c>
      <c r="C323">
        <v>0.21970000000000001</v>
      </c>
      <c r="D323">
        <v>0.16</v>
      </c>
      <c r="E323">
        <v>0.16880000000000001</v>
      </c>
      <c r="F323">
        <v>170747931.49000001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-0.70519262981574538</v>
      </c>
      <c r="Q323">
        <f t="shared" si="965"/>
        <v>-120410182.84303182</v>
      </c>
      <c r="R323">
        <f t="shared" si="966"/>
        <v>-183958488.10395622</v>
      </c>
      <c r="S323">
        <f t="shared" si="967"/>
        <v>-1839.5848810395623</v>
      </c>
      <c r="T323">
        <f t="shared" si="968"/>
        <v>-1.8395848810395623</v>
      </c>
    </row>
    <row r="324" spans="1:20" x14ac:dyDescent="0.25">
      <c r="A324" s="5">
        <v>44269</v>
      </c>
      <c r="B324">
        <v>0.14760000000000001</v>
      </c>
      <c r="C324">
        <v>0.19980000000000001</v>
      </c>
      <c r="D324">
        <v>0.1452</v>
      </c>
      <c r="E324">
        <v>0.18229999999999999</v>
      </c>
      <c r="F324">
        <v>135492681.27000001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0.35897435897435853</v>
      </c>
      <c r="Q324">
        <f t="shared" si="965"/>
        <v>48638398.404615328</v>
      </c>
      <c r="R324">
        <f t="shared" si="966"/>
        <v>-63548305.260924414</v>
      </c>
      <c r="S324">
        <f t="shared" si="967"/>
        <v>-635.48305260924417</v>
      </c>
      <c r="T324">
        <f t="shared" si="968"/>
        <v>-0.6354830526092442</v>
      </c>
    </row>
    <row r="325" spans="1:20" x14ac:dyDescent="0.25">
      <c r="A325" s="5">
        <v>44268</v>
      </c>
      <c r="B325">
        <v>0.13600000000000001</v>
      </c>
      <c r="C325">
        <v>0.1593</v>
      </c>
      <c r="D325">
        <v>0.13200000000000001</v>
      </c>
      <c r="E325">
        <v>0.1474</v>
      </c>
      <c r="F325">
        <v>45698685.740000002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0.12820512820512836</v>
      </c>
      <c r="Q325">
        <f t="shared" si="965"/>
        <v>5858805.8641025713</v>
      </c>
      <c r="R325">
        <f t="shared" si="966"/>
        <v>-112186703.66553974</v>
      </c>
      <c r="S325">
        <f t="shared" si="967"/>
        <v>-1121.8670366553974</v>
      </c>
      <c r="T325">
        <f t="shared" si="968"/>
        <v>-1.1218670366553973</v>
      </c>
    </row>
    <row r="326" spans="1:20" x14ac:dyDescent="0.25">
      <c r="A326" s="5">
        <v>44267</v>
      </c>
      <c r="B326">
        <v>0.14760000000000001</v>
      </c>
      <c r="C326">
        <v>0.15290000000000001</v>
      </c>
      <c r="D326">
        <v>0.13150000000000001</v>
      </c>
      <c r="E326">
        <v>0.1361</v>
      </c>
      <c r="F326">
        <v>36823396.090000004</v>
      </c>
      <c r="G326">
        <v>0</v>
      </c>
      <c r="L326" t="s">
        <v>8</v>
      </c>
      <c r="M326" t="s">
        <v>7</v>
      </c>
      <c r="N326" t="s">
        <v>7</v>
      </c>
      <c r="P326">
        <f t="shared" ref="P326:P389" si="969">IF(C326=D326,0,((E326-D326)-(C326-E326))/(C326-D326))</f>
        <v>-0.57009345794392596</v>
      </c>
      <c r="Q326">
        <f t="shared" ref="Q326:Q389" si="970">F326*P326</f>
        <v>-20992777.210186943</v>
      </c>
      <c r="R326">
        <f t="shared" ref="R326:R389" si="971">R327+Q326</f>
        <v>-118045509.52964231</v>
      </c>
      <c r="S326">
        <f t="shared" ref="S326:S389" si="972">R326/100000</f>
        <v>-1180.4550952964232</v>
      </c>
      <c r="T326">
        <f t="shared" ref="T326:T389" si="973">S326/1000</f>
        <v>-1.1804550952964232</v>
      </c>
    </row>
    <row r="327" spans="1:20" x14ac:dyDescent="0.25">
      <c r="A327" s="5">
        <v>44266</v>
      </c>
      <c r="B327">
        <v>0.1429</v>
      </c>
      <c r="C327">
        <v>0.1545</v>
      </c>
      <c r="D327">
        <v>0.13009999999999999</v>
      </c>
      <c r="E327">
        <v>0.1477</v>
      </c>
      <c r="F327">
        <v>49242936.170000002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0.44262295081967218</v>
      </c>
      <c r="Q327">
        <f t="shared" si="970"/>
        <v>21796053.714590166</v>
      </c>
      <c r="R327">
        <f t="shared" si="971"/>
        <v>-97052732.31945537</v>
      </c>
      <c r="S327">
        <f t="shared" si="972"/>
        <v>-970.52732319455367</v>
      </c>
      <c r="T327">
        <f t="shared" si="973"/>
        <v>-0.9705273231945537</v>
      </c>
    </row>
    <row r="328" spans="1:20" x14ac:dyDescent="0.25">
      <c r="A328" s="5">
        <v>44265</v>
      </c>
      <c r="B328">
        <v>0.16539999999999999</v>
      </c>
      <c r="C328">
        <v>0.16569999999999999</v>
      </c>
      <c r="D328">
        <v>0.14069999999999999</v>
      </c>
      <c r="E328">
        <v>0.1426</v>
      </c>
      <c r="F328">
        <v>60616190.219999999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-0.84799999999999898</v>
      </c>
      <c r="Q328">
        <f t="shared" si="970"/>
        <v>-51402529.306559935</v>
      </c>
      <c r="R328">
        <f t="shared" si="971"/>
        <v>-118848786.03404553</v>
      </c>
      <c r="S328">
        <f t="shared" si="972"/>
        <v>-1188.4878603404554</v>
      </c>
      <c r="T328">
        <f t="shared" si="973"/>
        <v>-1.1884878603404554</v>
      </c>
    </row>
    <row r="329" spans="1:20" x14ac:dyDescent="0.25">
      <c r="A329" s="5">
        <v>44264</v>
      </c>
      <c r="B329">
        <v>0.1598</v>
      </c>
      <c r="C329">
        <v>0.2</v>
      </c>
      <c r="D329">
        <v>0.14749999999999999</v>
      </c>
      <c r="E329">
        <v>0.16520000000000001</v>
      </c>
      <c r="F329">
        <v>207071840.83000001</v>
      </c>
      <c r="G329">
        <v>0</v>
      </c>
      <c r="P329">
        <f t="shared" si="969"/>
        <v>-0.32571428571428512</v>
      </c>
      <c r="Q329">
        <f t="shared" si="970"/>
        <v>-67446256.727485597</v>
      </c>
      <c r="R329">
        <f t="shared" si="971"/>
        <v>-67446256.727485597</v>
      </c>
      <c r="S329">
        <f t="shared" si="972"/>
        <v>-674.46256727485593</v>
      </c>
      <c r="T329">
        <f t="shared" si="973"/>
        <v>-0.67446256727485587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B747" sqref="GB74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$A$746</v>
      </c>
      <c r="D111" s="1" t="str">
        <f>ADDRESS(C121-1,D121,1,1)</f>
        <v>$GB$746</v>
      </c>
      <c r="E111"/>
    </row>
    <row r="112" spans="1:5" x14ac:dyDescent="0.25">
      <c r="A112" s="7">
        <v>12164.144957890772</v>
      </c>
      <c r="C112" s="1" t="str">
        <f>ADDRESS(C121,1,1,1)</f>
        <v>$A$747</v>
      </c>
      <c r="D112" s="1" t="str">
        <f>ADDRESS(C121,D121-1,1,1)</f>
        <v>$GA$747</v>
      </c>
      <c r="E112"/>
    </row>
    <row r="113" spans="1:5" x14ac:dyDescent="0.25">
      <c r="A113" s="7">
        <v>11925.63231165762</v>
      </c>
      <c r="C113" s="1" t="str">
        <f>ADDRESS(C121+1,1,1,1)</f>
        <v>$A$748</v>
      </c>
      <c r="D113" s="1" t="str">
        <f>ADDRESS(C121-1,D121+1,1,1)</f>
        <v>$GC$746</v>
      </c>
    </row>
    <row r="114" spans="1:5" x14ac:dyDescent="0.25">
      <c r="A114" s="7">
        <v>11691.796383978059</v>
      </c>
      <c r="C114" s="1" t="str">
        <f>ADDRESS(C121,D121,1,1)</f>
        <v>$GB$747</v>
      </c>
      <c r="D114" s="1" t="str">
        <f>ADDRESS(C121+1,D121+1,1,1)</f>
        <v>$GC$748</v>
      </c>
    </row>
    <row r="115" spans="1:5" x14ac:dyDescent="0.25">
      <c r="A115" s="7">
        <v>11462.545474488292</v>
      </c>
      <c r="C115" s="1" t="str">
        <f>ADDRESS(C121+1,D121,1,1)</f>
        <v>$GB$748</v>
      </c>
    </row>
    <row r="116" spans="1:5" x14ac:dyDescent="0.25">
      <c r="A116" s="7">
        <v>11237.789680870874</v>
      </c>
      <c r="C116" s="1">
        <f>C117-1</f>
        <v>746</v>
      </c>
    </row>
    <row r="117" spans="1:5" x14ac:dyDescent="0.25">
      <c r="A117" s="7">
        <v>11017.440863598895</v>
      </c>
      <c r="C117" s="1">
        <f>C121</f>
        <v>747</v>
      </c>
      <c r="D117" s="1">
        <f>D121</f>
        <v>184</v>
      </c>
    </row>
    <row r="118" spans="1:5" x14ac:dyDescent="0.25">
      <c r="A118" s="7">
        <v>10801.412611371465</v>
      </c>
      <c r="C118" s="1">
        <f>C117+1</f>
        <v>748</v>
      </c>
      <c r="D118" s="1">
        <f>D117+1</f>
        <v>185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747</v>
      </c>
      <c r="D121" s="19">
        <v>184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R747</v>
      </c>
      <c r="D123" s="1" t="str">
        <f>"C"&amp;D121</f>
        <v>C184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4.2070000588599457E-2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24" x14ac:dyDescent="0.25">
      <c r="A641" s="7">
        <v>0.34323433454431179</v>
      </c>
      <c r="B641"/>
      <c r="C641"/>
      <c r="D641"/>
      <c r="E641"/>
      <c r="F641" s="27" t="s">
        <v>7</v>
      </c>
    </row>
    <row r="642" spans="1:24" x14ac:dyDescent="0.25">
      <c r="A642" s="7">
        <v>0.33650424955324681</v>
      </c>
      <c r="B642"/>
      <c r="C642"/>
      <c r="D642"/>
      <c r="E642"/>
      <c r="F642" s="27" t="s">
        <v>7</v>
      </c>
    </row>
    <row r="643" spans="1:24" x14ac:dyDescent="0.25">
      <c r="A643" s="7">
        <v>0.3299061270129871</v>
      </c>
      <c r="B643"/>
      <c r="C643"/>
      <c r="D643"/>
      <c r="E643"/>
      <c r="F643" s="27" t="s">
        <v>7</v>
      </c>
    </row>
    <row r="644" spans="1:24" x14ac:dyDescent="0.25">
      <c r="A644" s="7">
        <v>0.32343737942449713</v>
      </c>
      <c r="B644"/>
      <c r="C644"/>
      <c r="D644"/>
      <c r="E644"/>
      <c r="F644" s="27" t="s">
        <v>7</v>
      </c>
    </row>
    <row r="645" spans="1:24" x14ac:dyDescent="0.25">
      <c r="A645" s="7">
        <v>0.31709547002401678</v>
      </c>
      <c r="B645"/>
      <c r="C645"/>
      <c r="D645"/>
      <c r="E645"/>
      <c r="F645" s="27" t="s">
        <v>7</v>
      </c>
      <c r="U645" s="27" t="s">
        <v>8</v>
      </c>
    </row>
    <row r="646" spans="1:24" x14ac:dyDescent="0.25">
      <c r="A646" s="7">
        <v>0.31087791178825175</v>
      </c>
      <c r="B646"/>
      <c r="C646"/>
      <c r="D646"/>
      <c r="E646"/>
      <c r="F646" s="27" t="s">
        <v>7</v>
      </c>
      <c r="U646" s="27" t="s">
        <v>8</v>
      </c>
      <c r="V646" s="27" t="s">
        <v>7</v>
      </c>
    </row>
    <row r="647" spans="1:24" x14ac:dyDescent="0.25">
      <c r="A647" s="7">
        <v>0.30478226645907036</v>
      </c>
      <c r="B647"/>
      <c r="C647"/>
      <c r="D647"/>
      <c r="E647"/>
      <c r="F647" s="27" t="s">
        <v>7</v>
      </c>
      <c r="U647" s="27" t="s">
        <v>8</v>
      </c>
      <c r="V647" s="27" t="s">
        <v>7</v>
      </c>
    </row>
    <row r="648" spans="1:24" x14ac:dyDescent="0.25">
      <c r="A648" s="7">
        <v>0.29880614358732388</v>
      </c>
      <c r="B648"/>
      <c r="C648"/>
      <c r="D648"/>
      <c r="E648"/>
      <c r="F648" s="27" t="s">
        <v>7</v>
      </c>
      <c r="U648" s="27" t="s">
        <v>8</v>
      </c>
      <c r="V648" s="27" t="s">
        <v>7</v>
      </c>
    </row>
    <row r="649" spans="1:24" x14ac:dyDescent="0.25">
      <c r="A649" s="7">
        <v>0.2929471995954156</v>
      </c>
      <c r="B649"/>
      <c r="C649"/>
      <c r="D649"/>
      <c r="E649"/>
      <c r="F649" s="27" t="s">
        <v>7</v>
      </c>
      <c r="U649" s="27" t="s">
        <v>8</v>
      </c>
      <c r="V649" s="27" t="s">
        <v>7</v>
      </c>
    </row>
    <row r="650" spans="1:24" x14ac:dyDescent="0.25">
      <c r="A650" s="7">
        <v>0.28720313685825055</v>
      </c>
      <c r="B650"/>
      <c r="C650"/>
      <c r="D650"/>
      <c r="E650"/>
      <c r="F650" s="27" t="s">
        <v>7</v>
      </c>
      <c r="U650" s="27" t="s">
        <v>8</v>
      </c>
      <c r="V650" s="27" t="s">
        <v>7</v>
      </c>
    </row>
    <row r="651" spans="1:24" x14ac:dyDescent="0.25">
      <c r="A651" s="7">
        <v>0.28157170280220645</v>
      </c>
      <c r="B651"/>
      <c r="C651"/>
      <c r="D651"/>
      <c r="E651"/>
      <c r="F651" s="27" t="s">
        <v>7</v>
      </c>
      <c r="U651" s="27" t="s">
        <v>8</v>
      </c>
      <c r="V651" s="27" t="s">
        <v>7</v>
      </c>
    </row>
    <row r="652" spans="1:24" x14ac:dyDescent="0.25">
      <c r="A652" s="7">
        <v>0.27605068902177105</v>
      </c>
      <c r="B652"/>
      <c r="C652"/>
      <c r="D652"/>
      <c r="E652"/>
      <c r="F652" s="27" t="s">
        <v>7</v>
      </c>
      <c r="Q652" s="27" t="s">
        <v>8</v>
      </c>
      <c r="U652" s="27" t="s">
        <v>8</v>
      </c>
      <c r="V652" s="27" t="s">
        <v>7</v>
      </c>
    </row>
    <row r="653" spans="1:24" x14ac:dyDescent="0.25">
      <c r="A653" s="7">
        <v>0.27063793041350104</v>
      </c>
      <c r="B653"/>
      <c r="C653"/>
      <c r="D653"/>
      <c r="E653"/>
      <c r="F653" s="27" t="s">
        <v>7</v>
      </c>
      <c r="Q653" s="27" t="s">
        <v>8</v>
      </c>
      <c r="R653" s="27" t="s">
        <v>7</v>
      </c>
      <c r="U653" s="27" t="s">
        <v>8</v>
      </c>
      <c r="V653" s="27" t="s">
        <v>7</v>
      </c>
    </row>
    <row r="654" spans="1:24" x14ac:dyDescent="0.25">
      <c r="A654" s="7">
        <v>0.26533130432696184</v>
      </c>
      <c r="B654"/>
      <c r="C654"/>
      <c r="D654"/>
      <c r="E654"/>
      <c r="F654" s="27" t="s">
        <v>7</v>
      </c>
      <c r="Q654" s="27" t="s">
        <v>8</v>
      </c>
      <c r="R654" s="27" t="s">
        <v>7</v>
      </c>
      <c r="U654" s="27" t="s">
        <v>8</v>
      </c>
      <c r="V654" s="27" t="s">
        <v>7</v>
      </c>
      <c r="W654" s="27" t="s">
        <v>8</v>
      </c>
    </row>
    <row r="655" spans="1:24" x14ac:dyDescent="0.25">
      <c r="A655" s="7">
        <v>0.26012872973231554</v>
      </c>
      <c r="B655"/>
      <c r="C655"/>
      <c r="D655"/>
      <c r="E655"/>
      <c r="F655" s="27" t="s">
        <v>7</v>
      </c>
      <c r="Q655" s="27" t="s">
        <v>8</v>
      </c>
      <c r="R655" s="27" t="s">
        <v>7</v>
      </c>
      <c r="U655" s="27" t="s">
        <v>8</v>
      </c>
      <c r="V655" s="27" t="s">
        <v>7</v>
      </c>
      <c r="W655" s="27" t="s">
        <v>8</v>
      </c>
      <c r="X655" s="27" t="s">
        <v>7</v>
      </c>
    </row>
    <row r="656" spans="1:24" x14ac:dyDescent="0.25">
      <c r="A656" s="7">
        <v>0.25502816640423093</v>
      </c>
      <c r="B656"/>
      <c r="C656"/>
      <c r="D656"/>
      <c r="E656"/>
      <c r="F656" s="27" t="s">
        <v>7</v>
      </c>
      <c r="Q656" s="27" t="s">
        <v>8</v>
      </c>
      <c r="R656" s="27" t="s">
        <v>7</v>
      </c>
      <c r="U656" s="27" t="s">
        <v>8</v>
      </c>
      <c r="V656" s="27" t="s">
        <v>7</v>
      </c>
      <c r="W656" s="27" t="s">
        <v>8</v>
      </c>
      <c r="X656" s="27" t="s">
        <v>7</v>
      </c>
    </row>
    <row r="657" spans="1:111" x14ac:dyDescent="0.25">
      <c r="A657" s="7">
        <v>0.25002761412179503</v>
      </c>
      <c r="B657"/>
      <c r="C657"/>
      <c r="D657"/>
      <c r="E657"/>
      <c r="F657" s="27" t="s">
        <v>7</v>
      </c>
      <c r="Q657" s="27" t="s">
        <v>8</v>
      </c>
      <c r="R657" s="27" t="s">
        <v>7</v>
      </c>
      <c r="U657" s="27" t="s">
        <v>8</v>
      </c>
      <c r="V657" s="27" t="s">
        <v>7</v>
      </c>
      <c r="W657" s="27" t="s">
        <v>8</v>
      </c>
      <c r="X657" s="27" t="s">
        <v>7</v>
      </c>
    </row>
    <row r="658" spans="1:111" x14ac:dyDescent="0.25">
      <c r="A658" s="7">
        <v>0.24512511188411276</v>
      </c>
      <c r="B658"/>
      <c r="C658"/>
      <c r="D658"/>
      <c r="E658"/>
      <c r="F658" s="27" t="s">
        <v>7</v>
      </c>
      <c r="Q658" s="27" t="s">
        <v>8</v>
      </c>
      <c r="R658" s="27" t="s">
        <v>7</v>
      </c>
      <c r="S658" s="27" t="s">
        <v>8</v>
      </c>
      <c r="U658" s="27" t="s">
        <v>8</v>
      </c>
      <c r="V658" s="27" t="s">
        <v>7</v>
      </c>
      <c r="W658" s="27" t="s">
        <v>8</v>
      </c>
      <c r="X658" s="27" t="s">
        <v>7</v>
      </c>
    </row>
    <row r="659" spans="1:111" x14ac:dyDescent="0.25">
      <c r="A659" s="7">
        <v>0.24031873714128701</v>
      </c>
      <c r="B659"/>
      <c r="C659"/>
      <c r="D659"/>
      <c r="E659"/>
      <c r="F659" s="27" t="s">
        <v>7</v>
      </c>
      <c r="Q659" s="27" t="s">
        <v>8</v>
      </c>
      <c r="R659" s="27" t="s">
        <v>7</v>
      </c>
      <c r="S659" s="27" t="s">
        <v>8</v>
      </c>
      <c r="T659" s="27" t="s">
        <v>7</v>
      </c>
      <c r="U659" s="27" t="s">
        <v>8</v>
      </c>
      <c r="V659" s="27" t="s">
        <v>7</v>
      </c>
      <c r="W659" s="27" t="s">
        <v>8</v>
      </c>
      <c r="X659" s="27" t="s">
        <v>7</v>
      </c>
    </row>
    <row r="660" spans="1:111" x14ac:dyDescent="0.25">
      <c r="A660" s="7">
        <v>0.23560660504047748</v>
      </c>
      <c r="B660"/>
      <c r="C660"/>
      <c r="D660"/>
      <c r="E660"/>
      <c r="F660" s="27" t="s">
        <v>7</v>
      </c>
      <c r="Q660" s="27" t="s">
        <v>8</v>
      </c>
      <c r="R660" s="27" t="s">
        <v>7</v>
      </c>
      <c r="S660" s="27" t="s">
        <v>8</v>
      </c>
      <c r="T660" s="27" t="s">
        <v>7</v>
      </c>
      <c r="U660" s="27" t="s">
        <v>8</v>
      </c>
      <c r="V660" s="27" t="s">
        <v>7</v>
      </c>
      <c r="W660" s="27" t="s">
        <v>8</v>
      </c>
      <c r="X660" s="27" t="s">
        <v>7</v>
      </c>
      <c r="AA660" s="27" t="s">
        <v>8</v>
      </c>
    </row>
    <row r="661" spans="1:111" x14ac:dyDescent="0.25">
      <c r="A661" s="7">
        <v>0.23098686768674265</v>
      </c>
      <c r="B661"/>
      <c r="C661"/>
      <c r="D661"/>
      <c r="E661"/>
      <c r="F661" s="27" t="s">
        <v>7</v>
      </c>
      <c r="Q661" s="27" t="s">
        <v>8</v>
      </c>
      <c r="R661" s="27" t="s">
        <v>7</v>
      </c>
      <c r="S661" s="27" t="s">
        <v>8</v>
      </c>
      <c r="T661" s="27" t="s">
        <v>7</v>
      </c>
      <c r="U661" s="27" t="s">
        <v>8</v>
      </c>
      <c r="V661" s="27" t="s">
        <v>7</v>
      </c>
      <c r="W661" s="27" t="s">
        <v>8</v>
      </c>
      <c r="X661" s="27" t="s">
        <v>7</v>
      </c>
      <c r="Y661" s="27" t="s">
        <v>8</v>
      </c>
      <c r="AA661" s="27" t="s">
        <v>8</v>
      </c>
      <c r="AB661" s="27" t="s">
        <v>7</v>
      </c>
    </row>
    <row r="662" spans="1:111" x14ac:dyDescent="0.25">
      <c r="A662" s="7">
        <v>0.22645771341837515</v>
      </c>
      <c r="B662"/>
      <c r="C662"/>
      <c r="D662"/>
      <c r="E662"/>
      <c r="F662" s="27" t="s">
        <v>7</v>
      </c>
      <c r="Q662" s="27" t="s">
        <v>8</v>
      </c>
      <c r="R662" s="27" t="s">
        <v>7</v>
      </c>
      <c r="S662" s="27" t="s">
        <v>8</v>
      </c>
      <c r="T662" s="27" t="s">
        <v>7</v>
      </c>
      <c r="U662" s="27" t="s">
        <v>8</v>
      </c>
      <c r="V662" s="27" t="s">
        <v>7</v>
      </c>
      <c r="W662" s="27" t="s">
        <v>8</v>
      </c>
      <c r="X662" s="27" t="s">
        <v>7</v>
      </c>
      <c r="Y662" s="27" t="s">
        <v>8</v>
      </c>
      <c r="Z662" s="27" t="s">
        <v>7</v>
      </c>
      <c r="AA662" s="27" t="s">
        <v>8</v>
      </c>
      <c r="AB662" s="27" t="s">
        <v>7</v>
      </c>
    </row>
    <row r="663" spans="1:111" x14ac:dyDescent="0.25">
      <c r="A663" s="7">
        <v>0.22201736609644623</v>
      </c>
      <c r="B663"/>
      <c r="C663"/>
      <c r="D663"/>
      <c r="E663"/>
      <c r="F663" s="27" t="s">
        <v>7</v>
      </c>
      <c r="Q663" s="27" t="s">
        <v>8</v>
      </c>
      <c r="R663" s="27" t="s">
        <v>7</v>
      </c>
      <c r="S663" s="27" t="s">
        <v>8</v>
      </c>
      <c r="T663" s="27" t="s">
        <v>7</v>
      </c>
      <c r="U663" s="27" t="s">
        <v>8</v>
      </c>
      <c r="V663" s="27" t="s">
        <v>7</v>
      </c>
      <c r="W663" s="27" t="s">
        <v>8</v>
      </c>
      <c r="X663" s="27" t="s">
        <v>7</v>
      </c>
      <c r="Y663" s="27" t="s">
        <v>8</v>
      </c>
      <c r="Z663" s="27" t="s">
        <v>7</v>
      </c>
      <c r="AA663" s="27" t="s">
        <v>8</v>
      </c>
      <c r="AB663" s="27" t="s">
        <v>7</v>
      </c>
      <c r="AC663" s="27" t="s">
        <v>8</v>
      </c>
    </row>
    <row r="664" spans="1:111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Q664" s="27" t="s">
        <v>8</v>
      </c>
      <c r="R664" s="27" t="s">
        <v>7</v>
      </c>
      <c r="S664" s="27" t="s">
        <v>8</v>
      </c>
      <c r="T664" s="27" t="s">
        <v>7</v>
      </c>
      <c r="U664" s="27" t="s">
        <v>8</v>
      </c>
      <c r="V664" s="27" t="s">
        <v>7</v>
      </c>
      <c r="W664" s="27" t="s">
        <v>8</v>
      </c>
      <c r="X664" s="27" t="s">
        <v>7</v>
      </c>
      <c r="Y664" s="27" t="s">
        <v>8</v>
      </c>
      <c r="Z664" s="27" t="s">
        <v>7</v>
      </c>
      <c r="AA664" s="27" t="s">
        <v>8</v>
      </c>
      <c r="AB664" s="27" t="s">
        <v>7</v>
      </c>
      <c r="AC664" s="27" t="s">
        <v>8</v>
      </c>
      <c r="AD664" s="27" t="s">
        <v>7</v>
      </c>
      <c r="AM664" s="27" t="s">
        <v>8</v>
      </c>
      <c r="AO664" s="27" t="s">
        <v>8</v>
      </c>
    </row>
    <row r="665" spans="1:111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H665" s="27" t="s">
        <v>7</v>
      </c>
      <c r="Q665" s="27" t="s">
        <v>8</v>
      </c>
      <c r="R665" s="27" t="s">
        <v>7</v>
      </c>
      <c r="S665" s="27" t="s">
        <v>8</v>
      </c>
      <c r="T665" s="27" t="s">
        <v>7</v>
      </c>
      <c r="U665" s="27" t="s">
        <v>8</v>
      </c>
      <c r="V665" s="27" t="s">
        <v>7</v>
      </c>
      <c r="W665" s="27" t="s">
        <v>8</v>
      </c>
      <c r="X665" s="27" t="s">
        <v>7</v>
      </c>
      <c r="Z665" s="27" t="s">
        <v>7</v>
      </c>
      <c r="AA665" s="27" t="s">
        <v>8</v>
      </c>
      <c r="AB665" s="27" t="s">
        <v>7</v>
      </c>
      <c r="AC665" s="27" t="s">
        <v>8</v>
      </c>
      <c r="AD665" s="27" t="s">
        <v>7</v>
      </c>
      <c r="AM665" s="27" t="s">
        <v>8</v>
      </c>
      <c r="AN665" s="27" t="s">
        <v>7</v>
      </c>
      <c r="AO665" s="27" t="s">
        <v>8</v>
      </c>
      <c r="AP665" s="27" t="s">
        <v>7</v>
      </c>
    </row>
    <row r="666" spans="1:111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H666" s="27" t="s">
        <v>7</v>
      </c>
      <c r="Q666" s="27" t="s">
        <v>8</v>
      </c>
      <c r="R666" s="27" t="s">
        <v>7</v>
      </c>
      <c r="S666" s="27" t="s">
        <v>8</v>
      </c>
      <c r="T666" s="27" t="s">
        <v>7</v>
      </c>
      <c r="U666" s="27" t="s">
        <v>8</v>
      </c>
      <c r="V666" s="27" t="s">
        <v>7</v>
      </c>
      <c r="Z666" s="27" t="s">
        <v>7</v>
      </c>
      <c r="AA666" s="27" t="s">
        <v>8</v>
      </c>
      <c r="AB666" s="27" t="s">
        <v>7</v>
      </c>
      <c r="AC666" s="27" t="s">
        <v>8</v>
      </c>
      <c r="AD666" s="27" t="s">
        <v>7</v>
      </c>
      <c r="AM666" s="27" t="s">
        <v>8</v>
      </c>
      <c r="AN666" s="27" t="s">
        <v>7</v>
      </c>
      <c r="AO666" s="27" t="s">
        <v>8</v>
      </c>
      <c r="AP666" s="27" t="s">
        <v>7</v>
      </c>
    </row>
    <row r="667" spans="1:111" x14ac:dyDescent="0.25">
      <c r="A667" s="7">
        <v>0.20510972816665593</v>
      </c>
      <c r="B667"/>
      <c r="C667"/>
      <c r="D667"/>
      <c r="E667"/>
      <c r="F667" s="27" t="s">
        <v>7</v>
      </c>
      <c r="G667" s="27" t="s">
        <v>8</v>
      </c>
      <c r="H667" s="27" t="s">
        <v>7</v>
      </c>
      <c r="Q667" s="27" t="s">
        <v>8</v>
      </c>
      <c r="R667" s="27" t="s">
        <v>7</v>
      </c>
      <c r="T667" s="27" t="s">
        <v>7</v>
      </c>
      <c r="U667" s="27" t="s">
        <v>8</v>
      </c>
      <c r="Z667" s="27" t="s">
        <v>7</v>
      </c>
      <c r="AA667" s="27" t="s">
        <v>8</v>
      </c>
      <c r="AB667" s="27" t="s">
        <v>7</v>
      </c>
      <c r="AC667" s="27" t="s">
        <v>8</v>
      </c>
      <c r="AD667" s="27" t="s">
        <v>7</v>
      </c>
      <c r="AM667" s="27" t="s">
        <v>8</v>
      </c>
      <c r="AN667" s="27" t="s">
        <v>7</v>
      </c>
      <c r="AO667" s="27" t="s">
        <v>8</v>
      </c>
      <c r="AP667" s="27" t="s">
        <v>7</v>
      </c>
    </row>
    <row r="668" spans="1:111" x14ac:dyDescent="0.25">
      <c r="A668" s="7">
        <v>0.20108796879083912</v>
      </c>
      <c r="B668"/>
      <c r="C668"/>
      <c r="D668"/>
      <c r="E668"/>
      <c r="F668" s="27" t="s">
        <v>7</v>
      </c>
      <c r="G668" s="27" t="s">
        <v>8</v>
      </c>
      <c r="H668" s="27" t="s">
        <v>7</v>
      </c>
      <c r="I668" s="27" t="s">
        <v>8</v>
      </c>
      <c r="Q668" s="27" t="s">
        <v>8</v>
      </c>
      <c r="T668" s="27" t="s">
        <v>7</v>
      </c>
      <c r="U668" s="27" t="s">
        <v>8</v>
      </c>
      <c r="Z668" s="27" t="s">
        <v>7</v>
      </c>
      <c r="AA668" s="27" t="s">
        <v>8</v>
      </c>
      <c r="AB668" s="27" t="s">
        <v>7</v>
      </c>
      <c r="AC668" s="27" t="s">
        <v>8</v>
      </c>
      <c r="AD668" s="27" t="s">
        <v>7</v>
      </c>
      <c r="AK668" s="27" t="s">
        <v>8</v>
      </c>
      <c r="AM668" s="27" t="s">
        <v>8</v>
      </c>
      <c r="AN668" s="27" t="s">
        <v>7</v>
      </c>
      <c r="AO668" s="27" t="s">
        <v>8</v>
      </c>
      <c r="AP668" s="27" t="s">
        <v>7</v>
      </c>
    </row>
    <row r="669" spans="1:111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  <c r="H669" s="27" t="s">
        <v>7</v>
      </c>
      <c r="I669" s="27" t="s">
        <v>8</v>
      </c>
      <c r="J669" s="27" t="s">
        <v>7</v>
      </c>
      <c r="Q669" s="27" t="s">
        <v>8</v>
      </c>
      <c r="T669" s="27" t="s">
        <v>7</v>
      </c>
      <c r="U669" s="27" t="s">
        <v>8</v>
      </c>
      <c r="Z669" s="27" t="s">
        <v>7</v>
      </c>
      <c r="AA669" s="27" t="s">
        <v>8</v>
      </c>
      <c r="AB669" s="27" t="s">
        <v>7</v>
      </c>
      <c r="AC669" s="27" t="s">
        <v>8</v>
      </c>
      <c r="AD669" s="27" t="s">
        <v>7</v>
      </c>
      <c r="AK669" s="27" t="s">
        <v>8</v>
      </c>
      <c r="AL669" s="27" t="s">
        <v>7</v>
      </c>
      <c r="AM669" s="27" t="s">
        <v>8</v>
      </c>
      <c r="AN669" s="27" t="s">
        <v>7</v>
      </c>
      <c r="AO669" s="27" t="s">
        <v>8</v>
      </c>
      <c r="AP669" s="27" t="s">
        <v>7</v>
      </c>
    </row>
    <row r="670" spans="1:111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  <c r="H670" s="27" t="s">
        <v>7</v>
      </c>
      <c r="I670" s="27" t="s">
        <v>8</v>
      </c>
      <c r="J670" s="27" t="s">
        <v>7</v>
      </c>
      <c r="Q670" s="27" t="s">
        <v>8</v>
      </c>
      <c r="T670" s="27" t="s">
        <v>7</v>
      </c>
      <c r="U670" s="27" t="s">
        <v>8</v>
      </c>
      <c r="Z670" s="27" t="s">
        <v>7</v>
      </c>
      <c r="AB670" s="27" t="s">
        <v>7</v>
      </c>
      <c r="AD670" s="27" t="s">
        <v>7</v>
      </c>
      <c r="AK670" s="27" t="s">
        <v>8</v>
      </c>
      <c r="AL670" s="27" t="s">
        <v>7</v>
      </c>
      <c r="AM670" s="27" t="s">
        <v>8</v>
      </c>
      <c r="AN670" s="27" t="s">
        <v>7</v>
      </c>
      <c r="AO670" s="27" t="s">
        <v>8</v>
      </c>
      <c r="AP670" s="27" t="s">
        <v>7</v>
      </c>
    </row>
    <row r="671" spans="1:111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H671" s="27" t="s">
        <v>7</v>
      </c>
      <c r="I671" s="27" t="s">
        <v>8</v>
      </c>
      <c r="J671" s="27" t="s">
        <v>7</v>
      </c>
      <c r="Q671" s="27" t="s">
        <v>8</v>
      </c>
      <c r="T671" s="27" t="s">
        <v>7</v>
      </c>
      <c r="AD671" s="27" t="s">
        <v>7</v>
      </c>
      <c r="AE671" s="27" t="s">
        <v>8</v>
      </c>
      <c r="AK671" s="27" t="s">
        <v>8</v>
      </c>
      <c r="AL671" s="27" t="s">
        <v>7</v>
      </c>
      <c r="AM671" s="27" t="s">
        <v>8</v>
      </c>
      <c r="AN671" s="27" t="s">
        <v>7</v>
      </c>
      <c r="AP671" s="27" t="s">
        <v>7</v>
      </c>
      <c r="AQ671" s="27" t="s">
        <v>8</v>
      </c>
    </row>
    <row r="672" spans="1:111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I672" s="27" t="s">
        <v>8</v>
      </c>
      <c r="J672" s="27" t="s">
        <v>7</v>
      </c>
      <c r="Q672" s="27" t="s">
        <v>8</v>
      </c>
      <c r="AD672" s="27" t="s">
        <v>7</v>
      </c>
      <c r="AE672" s="27" t="s">
        <v>8</v>
      </c>
      <c r="AF672" s="27" t="s">
        <v>7</v>
      </c>
      <c r="AK672" s="27" t="s">
        <v>8</v>
      </c>
      <c r="AL672" s="27" t="s">
        <v>7</v>
      </c>
      <c r="AM672" s="27" t="s">
        <v>8</v>
      </c>
      <c r="AP672" s="27" t="s">
        <v>7</v>
      </c>
      <c r="AQ672" s="27" t="s">
        <v>8</v>
      </c>
      <c r="AR672" s="27" t="s">
        <v>7</v>
      </c>
      <c r="DG672" s="27" t="s">
        <v>8</v>
      </c>
    </row>
    <row r="673" spans="1:115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  <c r="H673" s="27" t="s">
        <v>7</v>
      </c>
      <c r="I673" s="27" t="s">
        <v>8</v>
      </c>
      <c r="J673" s="27" t="s">
        <v>7</v>
      </c>
      <c r="Q673" s="27" t="s">
        <v>8</v>
      </c>
      <c r="AD673" s="27" t="s">
        <v>7</v>
      </c>
      <c r="AE673" s="27" t="s">
        <v>8</v>
      </c>
      <c r="AF673" s="27" t="s">
        <v>7</v>
      </c>
      <c r="AK673" s="27" t="s">
        <v>8</v>
      </c>
      <c r="AL673" s="27" t="s">
        <v>7</v>
      </c>
      <c r="AM673" s="27" t="s">
        <v>8</v>
      </c>
      <c r="AP673" s="27" t="s">
        <v>7</v>
      </c>
      <c r="AQ673" s="27" t="s">
        <v>8</v>
      </c>
      <c r="AR673" s="27" t="s">
        <v>7</v>
      </c>
      <c r="DG673" s="27" t="s">
        <v>8</v>
      </c>
      <c r="DH673" s="27" t="s">
        <v>7</v>
      </c>
    </row>
    <row r="674" spans="1:115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  <c r="H674" s="27" t="s">
        <v>7</v>
      </c>
      <c r="I674" s="27" t="s">
        <v>8</v>
      </c>
      <c r="J674" s="27" t="s">
        <v>7</v>
      </c>
      <c r="K674" s="27" t="s">
        <v>8</v>
      </c>
      <c r="Q674" s="27" t="s">
        <v>8</v>
      </c>
      <c r="AD674" s="27" t="s">
        <v>7</v>
      </c>
      <c r="AE674" s="27" t="s">
        <v>8</v>
      </c>
      <c r="AF674" s="27" t="s">
        <v>7</v>
      </c>
      <c r="AK674" s="27" t="s">
        <v>8</v>
      </c>
      <c r="AL674" s="27" t="s">
        <v>7</v>
      </c>
      <c r="AM674" s="27" t="s">
        <v>8</v>
      </c>
      <c r="AP674" s="27" t="s">
        <v>7</v>
      </c>
      <c r="AQ674" s="27" t="s">
        <v>8</v>
      </c>
      <c r="AR674" s="27" t="s">
        <v>7</v>
      </c>
      <c r="BK674" s="27" t="s">
        <v>8</v>
      </c>
      <c r="DG674" s="27" t="s">
        <v>8</v>
      </c>
      <c r="DH674" s="27" t="s">
        <v>7</v>
      </c>
    </row>
    <row r="675" spans="1:115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  <c r="H675" s="27" t="s">
        <v>7</v>
      </c>
      <c r="I675" s="27" t="s">
        <v>8</v>
      </c>
      <c r="J675" s="27" t="s">
        <v>7</v>
      </c>
      <c r="K675" s="27" t="s">
        <v>8</v>
      </c>
      <c r="L675" s="27" t="s">
        <v>7</v>
      </c>
      <c r="Q675" s="27" t="s">
        <v>8</v>
      </c>
      <c r="AD675" s="27" t="s">
        <v>7</v>
      </c>
      <c r="AE675" s="27" t="s">
        <v>8</v>
      </c>
      <c r="AF675" s="27" t="s">
        <v>7</v>
      </c>
      <c r="AG675" s="27" t="s">
        <v>8</v>
      </c>
      <c r="AK675" s="27" t="s">
        <v>8</v>
      </c>
      <c r="AL675" s="27" t="s">
        <v>7</v>
      </c>
      <c r="AM675" s="27" t="s">
        <v>8</v>
      </c>
      <c r="AP675" s="27" t="s">
        <v>7</v>
      </c>
      <c r="AQ675" s="27" t="s">
        <v>8</v>
      </c>
      <c r="AR675" s="27" t="s">
        <v>7</v>
      </c>
      <c r="AS675" s="27" t="s">
        <v>8</v>
      </c>
      <c r="BK675" s="27" t="s">
        <v>8</v>
      </c>
      <c r="BL675" s="27" t="s">
        <v>7</v>
      </c>
      <c r="DG675" s="27" t="s">
        <v>8</v>
      </c>
      <c r="DH675" s="27" t="s">
        <v>7</v>
      </c>
    </row>
    <row r="676" spans="1:115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H676" s="27" t="s">
        <v>7</v>
      </c>
      <c r="I676" s="27" t="s">
        <v>8</v>
      </c>
      <c r="J676" s="27" t="s">
        <v>7</v>
      </c>
      <c r="K676" s="27" t="s">
        <v>8</v>
      </c>
      <c r="L676" s="27" t="s">
        <v>7</v>
      </c>
      <c r="M676" s="27" t="s">
        <v>8</v>
      </c>
      <c r="Q676" s="27" t="s">
        <v>8</v>
      </c>
      <c r="AD676" s="27" t="s">
        <v>7</v>
      </c>
      <c r="AE676" s="27" t="s">
        <v>8</v>
      </c>
      <c r="AF676" s="27" t="s">
        <v>7</v>
      </c>
      <c r="AG676" s="27" t="s">
        <v>8</v>
      </c>
      <c r="AH676" s="27" t="s">
        <v>7</v>
      </c>
      <c r="AK676" s="27" t="s">
        <v>8</v>
      </c>
      <c r="AL676" s="27" t="s">
        <v>7</v>
      </c>
      <c r="AM676" s="27" t="s">
        <v>8</v>
      </c>
      <c r="AP676" s="27" t="s">
        <v>7</v>
      </c>
      <c r="AR676" s="27" t="s">
        <v>7</v>
      </c>
      <c r="AS676" s="27" t="s">
        <v>8</v>
      </c>
      <c r="AT676" s="27" t="s">
        <v>7</v>
      </c>
      <c r="AU676" s="27" t="s">
        <v>8</v>
      </c>
      <c r="BK676" s="27" t="s">
        <v>8</v>
      </c>
      <c r="BL676" s="27" t="s">
        <v>7</v>
      </c>
      <c r="DG676" s="27" t="s">
        <v>8</v>
      </c>
      <c r="DH676" s="27" t="s">
        <v>7</v>
      </c>
    </row>
    <row r="677" spans="1:115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H677" s="27" t="s">
        <v>7</v>
      </c>
      <c r="I677" s="27" t="s">
        <v>8</v>
      </c>
      <c r="J677" s="27" t="s">
        <v>7</v>
      </c>
      <c r="K677" s="27" t="s">
        <v>8</v>
      </c>
      <c r="L677" s="27" t="s">
        <v>7</v>
      </c>
      <c r="M677" s="27" t="s">
        <v>8</v>
      </c>
      <c r="N677" s="27" t="s">
        <v>7</v>
      </c>
      <c r="O677" s="27" t="s">
        <v>8</v>
      </c>
      <c r="Q677" s="27" t="s">
        <v>8</v>
      </c>
      <c r="AD677" s="27" t="s">
        <v>7</v>
      </c>
      <c r="AE677" s="27" t="s">
        <v>8</v>
      </c>
      <c r="AF677" s="27" t="s">
        <v>7</v>
      </c>
      <c r="AG677" s="27" t="s">
        <v>8</v>
      </c>
      <c r="AH677" s="27" t="s">
        <v>7</v>
      </c>
      <c r="AK677" s="27" t="s">
        <v>8</v>
      </c>
      <c r="AL677" s="27" t="s">
        <v>7</v>
      </c>
      <c r="AM677" s="27" t="s">
        <v>8</v>
      </c>
      <c r="AR677" s="27" t="s">
        <v>7</v>
      </c>
      <c r="AS677" s="27" t="s">
        <v>8</v>
      </c>
      <c r="AT677" s="27" t="s">
        <v>7</v>
      </c>
      <c r="AU677" s="27" t="s">
        <v>8</v>
      </c>
      <c r="AV677" s="27" t="s">
        <v>7</v>
      </c>
      <c r="BK677" s="27" t="s">
        <v>8</v>
      </c>
      <c r="BL677" s="27" t="s">
        <v>7</v>
      </c>
      <c r="DG677" s="27" t="s">
        <v>8</v>
      </c>
      <c r="DH677" s="27" t="s">
        <v>7</v>
      </c>
    </row>
    <row r="678" spans="1:115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H678" s="27" t="s">
        <v>7</v>
      </c>
      <c r="I678" s="27" t="s">
        <v>8</v>
      </c>
      <c r="J678" s="27" t="s">
        <v>7</v>
      </c>
      <c r="K678" s="27" t="s">
        <v>8</v>
      </c>
      <c r="L678" s="27" t="s">
        <v>7</v>
      </c>
      <c r="M678" s="27" t="s">
        <v>8</v>
      </c>
      <c r="N678" s="27" t="s">
        <v>7</v>
      </c>
      <c r="O678" s="27" t="s">
        <v>8</v>
      </c>
      <c r="P678" s="27" t="s">
        <v>7</v>
      </c>
      <c r="Q678" s="27" t="s">
        <v>8</v>
      </c>
      <c r="AD678" s="27" t="s">
        <v>7</v>
      </c>
      <c r="AE678" s="27" t="s">
        <v>8</v>
      </c>
      <c r="AF678" s="27" t="s">
        <v>7</v>
      </c>
      <c r="AG678" s="27" t="s">
        <v>8</v>
      </c>
      <c r="AH678" s="27" t="s">
        <v>7</v>
      </c>
      <c r="AK678" s="27" t="s">
        <v>8</v>
      </c>
      <c r="AL678" s="27" t="s">
        <v>7</v>
      </c>
      <c r="AR678" s="27" t="s">
        <v>7</v>
      </c>
      <c r="AT678" s="27" t="s">
        <v>7</v>
      </c>
      <c r="AU678" s="27" t="s">
        <v>8</v>
      </c>
      <c r="AV678" s="27" t="s">
        <v>7</v>
      </c>
      <c r="AW678" s="27" t="s">
        <v>8</v>
      </c>
      <c r="BK678" s="27" t="s">
        <v>8</v>
      </c>
      <c r="BL678" s="27" t="s">
        <v>7</v>
      </c>
      <c r="DG678" s="27" t="s">
        <v>8</v>
      </c>
      <c r="DH678" s="27" t="s">
        <v>7</v>
      </c>
    </row>
    <row r="679" spans="1:115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I679" s="27" t="s">
        <v>8</v>
      </c>
      <c r="J679" s="27" t="s">
        <v>7</v>
      </c>
      <c r="L679" s="27" t="s">
        <v>7</v>
      </c>
      <c r="M679" s="27" t="s">
        <v>8</v>
      </c>
      <c r="N679" s="27" t="s">
        <v>7</v>
      </c>
      <c r="O679" s="27" t="s">
        <v>8</v>
      </c>
      <c r="P679" s="27" t="s">
        <v>7</v>
      </c>
      <c r="Q679" s="27" t="s">
        <v>8</v>
      </c>
      <c r="AD679" s="27" t="s">
        <v>7</v>
      </c>
      <c r="AE679" s="27" t="s">
        <v>8</v>
      </c>
      <c r="AF679" s="27" t="s">
        <v>7</v>
      </c>
      <c r="AG679" s="27" t="s">
        <v>8</v>
      </c>
      <c r="AH679" s="27" t="s">
        <v>7</v>
      </c>
      <c r="AK679" s="27" t="s">
        <v>8</v>
      </c>
      <c r="AT679" s="27" t="s">
        <v>7</v>
      </c>
      <c r="AU679" s="27" t="s">
        <v>8</v>
      </c>
      <c r="AV679" s="27" t="s">
        <v>7</v>
      </c>
      <c r="AW679" s="27" t="s">
        <v>8</v>
      </c>
      <c r="AX679" s="27" t="s">
        <v>7</v>
      </c>
      <c r="BK679" s="27" t="s">
        <v>8</v>
      </c>
      <c r="BL679" s="27" t="s">
        <v>7</v>
      </c>
      <c r="DG679" s="27" t="s">
        <v>8</v>
      </c>
      <c r="DH679" s="27" t="s">
        <v>7</v>
      </c>
    </row>
    <row r="680" spans="1:115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I680" s="27" t="s">
        <v>8</v>
      </c>
      <c r="L680" s="27" t="s">
        <v>7</v>
      </c>
      <c r="M680" s="27" t="s">
        <v>8</v>
      </c>
      <c r="N680" s="27" t="s">
        <v>7</v>
      </c>
      <c r="O680" s="27" t="s">
        <v>8</v>
      </c>
      <c r="P680" s="27" t="s">
        <v>7</v>
      </c>
      <c r="Q680" s="27" t="s">
        <v>8</v>
      </c>
      <c r="AD680" s="27" t="s">
        <v>7</v>
      </c>
      <c r="AE680" s="27" t="s">
        <v>8</v>
      </c>
      <c r="AF680" s="27" t="s">
        <v>7</v>
      </c>
      <c r="AG680" s="27" t="s">
        <v>8</v>
      </c>
      <c r="AH680" s="27" t="s">
        <v>7</v>
      </c>
      <c r="AK680" s="27" t="s">
        <v>8</v>
      </c>
      <c r="AT680" s="27" t="s">
        <v>7</v>
      </c>
      <c r="AU680" s="27" t="s">
        <v>8</v>
      </c>
      <c r="AV680" s="27" t="s">
        <v>7</v>
      </c>
      <c r="AW680" s="27" t="s">
        <v>8</v>
      </c>
      <c r="AX680" s="27" t="s">
        <v>7</v>
      </c>
      <c r="BK680" s="27" t="s">
        <v>8</v>
      </c>
      <c r="BL680" s="27" t="s">
        <v>7</v>
      </c>
      <c r="DG680" s="27" t="s">
        <v>8</v>
      </c>
      <c r="DH680" s="27" t="s">
        <v>7</v>
      </c>
    </row>
    <row r="681" spans="1:115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I681" s="27" t="s">
        <v>8</v>
      </c>
      <c r="L681" s="27" t="s">
        <v>7</v>
      </c>
      <c r="M681" s="27" t="s">
        <v>8</v>
      </c>
      <c r="N681" s="27" t="s">
        <v>7</v>
      </c>
      <c r="O681" s="27" t="s">
        <v>8</v>
      </c>
      <c r="P681" s="27" t="s">
        <v>7</v>
      </c>
      <c r="Q681" s="27" t="s">
        <v>8</v>
      </c>
      <c r="AD681" s="27" t="s">
        <v>7</v>
      </c>
      <c r="AE681" s="27" t="s">
        <v>8</v>
      </c>
      <c r="AF681" s="27" t="s">
        <v>7</v>
      </c>
      <c r="AG681" s="27" t="s">
        <v>8</v>
      </c>
      <c r="AH681" s="27" t="s">
        <v>7</v>
      </c>
      <c r="AI681" s="27" t="s">
        <v>8</v>
      </c>
      <c r="AK681" s="27" t="s">
        <v>8</v>
      </c>
      <c r="AT681" s="27" t="s">
        <v>7</v>
      </c>
      <c r="AU681" s="27" t="s">
        <v>8</v>
      </c>
      <c r="AV681" s="27" t="s">
        <v>7</v>
      </c>
      <c r="AW681" s="27" t="s">
        <v>8</v>
      </c>
      <c r="AX681" s="27" t="s">
        <v>7</v>
      </c>
      <c r="BK681" s="27" t="s">
        <v>8</v>
      </c>
      <c r="BL681" s="27" t="s">
        <v>7</v>
      </c>
      <c r="DG681" s="27" t="s">
        <v>8</v>
      </c>
      <c r="DH681" s="27" t="s">
        <v>7</v>
      </c>
    </row>
    <row r="682" spans="1:115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L682" s="27" t="s">
        <v>7</v>
      </c>
      <c r="N682" s="27" t="s">
        <v>7</v>
      </c>
      <c r="O682" s="27" t="s">
        <v>8</v>
      </c>
      <c r="P682" s="27" t="s">
        <v>7</v>
      </c>
      <c r="Q682" s="27" t="s">
        <v>8</v>
      </c>
      <c r="AD682" s="27" t="s">
        <v>7</v>
      </c>
      <c r="AE682" s="27" t="s">
        <v>8</v>
      </c>
      <c r="AF682" s="27" t="s">
        <v>7</v>
      </c>
      <c r="AG682" s="27" t="s">
        <v>8</v>
      </c>
      <c r="AH682" s="27" t="s">
        <v>7</v>
      </c>
      <c r="AI682" s="27" t="s">
        <v>8</v>
      </c>
      <c r="AJ682" s="27" t="s">
        <v>7</v>
      </c>
      <c r="AK682" s="27" t="s">
        <v>8</v>
      </c>
      <c r="AT682" s="27" t="s">
        <v>7</v>
      </c>
      <c r="AU682" s="27" t="s">
        <v>8</v>
      </c>
      <c r="AV682" s="27" t="s">
        <v>7</v>
      </c>
      <c r="AW682" s="27" t="s">
        <v>8</v>
      </c>
      <c r="AX682" s="27" t="s">
        <v>7</v>
      </c>
      <c r="BK682" s="27" t="s">
        <v>8</v>
      </c>
      <c r="BL682" s="27" t="s">
        <v>7</v>
      </c>
      <c r="DG682" s="27" t="s">
        <v>8</v>
      </c>
      <c r="DH682" s="27" t="s">
        <v>7</v>
      </c>
    </row>
    <row r="683" spans="1:115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N683" s="27" t="s">
        <v>7</v>
      </c>
      <c r="O683" s="27" t="s">
        <v>8</v>
      </c>
      <c r="P683" s="27" t="s">
        <v>7</v>
      </c>
      <c r="Q683" s="27" t="s">
        <v>8</v>
      </c>
      <c r="AD683" s="27" t="s">
        <v>7</v>
      </c>
      <c r="AE683" s="27" t="s">
        <v>8</v>
      </c>
      <c r="AF683" s="27" t="s">
        <v>7</v>
      </c>
      <c r="AG683" s="27" t="s">
        <v>8</v>
      </c>
      <c r="AH683" s="27" t="s">
        <v>7</v>
      </c>
      <c r="AI683" s="27" t="s">
        <v>8</v>
      </c>
      <c r="AJ683" s="27" t="s">
        <v>7</v>
      </c>
      <c r="AK683" s="27" t="s">
        <v>8</v>
      </c>
      <c r="AT683" s="27" t="s">
        <v>7</v>
      </c>
      <c r="AU683" s="27" t="s">
        <v>8</v>
      </c>
      <c r="AV683" s="27" t="s">
        <v>7</v>
      </c>
      <c r="AW683" s="27" t="s">
        <v>8</v>
      </c>
      <c r="AX683" s="27" t="s">
        <v>7</v>
      </c>
      <c r="BK683" s="27" t="s">
        <v>8</v>
      </c>
      <c r="BL683" s="27" t="s">
        <v>7</v>
      </c>
      <c r="DG683" s="27" t="s">
        <v>8</v>
      </c>
      <c r="DH683" s="27" t="s">
        <v>7</v>
      </c>
    </row>
    <row r="684" spans="1:115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N684" s="27" t="s">
        <v>7</v>
      </c>
      <c r="P684" s="27" t="s">
        <v>7</v>
      </c>
      <c r="Q684" s="27" t="s">
        <v>8</v>
      </c>
      <c r="AD684" s="27" t="s">
        <v>7</v>
      </c>
      <c r="AF684" s="27" t="s">
        <v>7</v>
      </c>
      <c r="AG684" s="27" t="s">
        <v>8</v>
      </c>
      <c r="AH684" s="27" t="s">
        <v>7</v>
      </c>
      <c r="AI684" s="27" t="s">
        <v>8</v>
      </c>
      <c r="AJ684" s="27" t="s">
        <v>7</v>
      </c>
      <c r="AK684" s="27" t="s">
        <v>8</v>
      </c>
      <c r="AT684" s="27" t="s">
        <v>7</v>
      </c>
      <c r="AU684" s="27" t="s">
        <v>8</v>
      </c>
      <c r="AV684" s="27" t="s">
        <v>7</v>
      </c>
      <c r="AW684" s="27" t="s">
        <v>8</v>
      </c>
      <c r="AX684" s="27" t="s">
        <v>7</v>
      </c>
      <c r="BK684" s="27" t="s">
        <v>8</v>
      </c>
      <c r="BL684" s="27" t="s">
        <v>7</v>
      </c>
      <c r="DG684" s="27" t="s">
        <v>8</v>
      </c>
      <c r="DH684" s="27" t="s">
        <v>7</v>
      </c>
    </row>
    <row r="685" spans="1:115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P685" s="27" t="s">
        <v>7</v>
      </c>
      <c r="Q685" s="27" t="s">
        <v>8</v>
      </c>
      <c r="AF685" s="27" t="s">
        <v>7</v>
      </c>
      <c r="AG685" s="27" t="s">
        <v>8</v>
      </c>
      <c r="AH685" s="27" t="s">
        <v>7</v>
      </c>
      <c r="AI685" s="27" t="s">
        <v>8</v>
      </c>
      <c r="AJ685" s="27" t="s">
        <v>7</v>
      </c>
      <c r="AK685" s="27" t="s">
        <v>8</v>
      </c>
      <c r="AT685" s="27" t="s">
        <v>7</v>
      </c>
      <c r="AV685" s="27" t="s">
        <v>7</v>
      </c>
      <c r="AW685" s="27" t="s">
        <v>8</v>
      </c>
      <c r="AX685" s="27" t="s">
        <v>7</v>
      </c>
      <c r="AY685" s="27" t="s">
        <v>8</v>
      </c>
      <c r="BK685" s="27" t="s">
        <v>8</v>
      </c>
      <c r="BL685" s="27" t="s">
        <v>7</v>
      </c>
      <c r="DG685" s="27" t="s">
        <v>8</v>
      </c>
      <c r="DH685" s="27" t="s">
        <v>7</v>
      </c>
    </row>
    <row r="686" spans="1:115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P686" s="27" t="s">
        <v>7</v>
      </c>
      <c r="Q686" s="27" t="s">
        <v>8</v>
      </c>
      <c r="AF686" s="27" t="s">
        <v>7</v>
      </c>
      <c r="AG686" s="27" t="s">
        <v>8</v>
      </c>
      <c r="AH686" s="27" t="s">
        <v>7</v>
      </c>
      <c r="AI686" s="27" t="s">
        <v>8</v>
      </c>
      <c r="AJ686" s="27" t="s">
        <v>7</v>
      </c>
      <c r="AK686" s="27" t="s">
        <v>8</v>
      </c>
      <c r="AV686" s="27" t="s">
        <v>7</v>
      </c>
      <c r="AW686" s="27" t="s">
        <v>8</v>
      </c>
      <c r="AX686" s="27" t="s">
        <v>7</v>
      </c>
      <c r="AY686" s="27" t="s">
        <v>8</v>
      </c>
      <c r="AZ686" s="27" t="s">
        <v>7</v>
      </c>
      <c r="BK686" s="27" t="s">
        <v>8</v>
      </c>
      <c r="BL686" s="27" t="s">
        <v>7</v>
      </c>
      <c r="DG686" s="27" t="s">
        <v>8</v>
      </c>
      <c r="DH686" s="27" t="s">
        <v>7</v>
      </c>
    </row>
    <row r="687" spans="1:115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P687" s="27" t="s">
        <v>7</v>
      </c>
      <c r="Q687" s="27" t="s">
        <v>8</v>
      </c>
      <c r="AF687" s="27" t="s">
        <v>7</v>
      </c>
      <c r="AH687" s="27" t="s">
        <v>7</v>
      </c>
      <c r="AI687" s="27" t="s">
        <v>8</v>
      </c>
      <c r="AJ687" s="27" t="s">
        <v>7</v>
      </c>
      <c r="AK687" s="27" t="s">
        <v>8</v>
      </c>
      <c r="AV687" s="27" t="s">
        <v>7</v>
      </c>
      <c r="AW687" s="27" t="s">
        <v>8</v>
      </c>
      <c r="AX687" s="27" t="s">
        <v>7</v>
      </c>
      <c r="AY687" s="27" t="s">
        <v>8</v>
      </c>
      <c r="AZ687" s="27" t="s">
        <v>7</v>
      </c>
      <c r="BK687" s="27" t="s">
        <v>8</v>
      </c>
      <c r="BL687" s="27" t="s">
        <v>7</v>
      </c>
      <c r="DG687" s="27" t="s">
        <v>8</v>
      </c>
      <c r="DH687" s="27" t="s">
        <v>7</v>
      </c>
      <c r="DI687" s="27" t="s">
        <v>8</v>
      </c>
    </row>
    <row r="688" spans="1:115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P688" s="27" t="s">
        <v>7</v>
      </c>
      <c r="AH688" s="27" t="s">
        <v>7</v>
      </c>
      <c r="AI688" s="27" t="s">
        <v>8</v>
      </c>
      <c r="AJ688" s="27" t="s">
        <v>7</v>
      </c>
      <c r="AK688" s="27" t="s">
        <v>8</v>
      </c>
      <c r="AV688" s="27" t="s">
        <v>7</v>
      </c>
      <c r="AW688" s="27" t="s">
        <v>8</v>
      </c>
      <c r="AX688" s="27" t="s">
        <v>7</v>
      </c>
      <c r="AY688" s="27" t="s">
        <v>8</v>
      </c>
      <c r="AZ688" s="27" t="s">
        <v>7</v>
      </c>
      <c r="BK688" s="27" t="s">
        <v>8</v>
      </c>
      <c r="BL688" s="27" t="s">
        <v>7</v>
      </c>
      <c r="DG688" s="27" t="s">
        <v>8</v>
      </c>
      <c r="DH688" s="27" t="s">
        <v>7</v>
      </c>
      <c r="DI688" s="27" t="s">
        <v>8</v>
      </c>
      <c r="DJ688" s="27" t="s">
        <v>7</v>
      </c>
      <c r="DK688" s="27" t="s">
        <v>8</v>
      </c>
    </row>
    <row r="689" spans="1:156" x14ac:dyDescent="0.25">
      <c r="A689" s="7">
        <v>0.13267297885212009</v>
      </c>
      <c r="B689"/>
      <c r="C689"/>
      <c r="D689"/>
      <c r="E689"/>
      <c r="F689" s="27" t="s">
        <v>7</v>
      </c>
      <c r="AH689" s="27" t="s">
        <v>7</v>
      </c>
      <c r="AI689" s="27" t="s">
        <v>8</v>
      </c>
      <c r="AJ689" s="27" t="s">
        <v>7</v>
      </c>
      <c r="AK689" s="27" t="s">
        <v>8</v>
      </c>
      <c r="AV689" s="27" t="s">
        <v>7</v>
      </c>
      <c r="AW689" s="27" t="s">
        <v>8</v>
      </c>
      <c r="AX689" s="27" t="s">
        <v>7</v>
      </c>
      <c r="AY689" s="27" t="s">
        <v>8</v>
      </c>
      <c r="AZ689" s="27" t="s">
        <v>7</v>
      </c>
      <c r="BC689" s="27" t="s">
        <v>8</v>
      </c>
      <c r="BK689" s="27" t="s">
        <v>8</v>
      </c>
      <c r="BL689" s="27" t="s">
        <v>7</v>
      </c>
      <c r="DG689" s="27" t="s">
        <v>8</v>
      </c>
      <c r="DH689" s="27" t="s">
        <v>7</v>
      </c>
      <c r="DI689" s="27" t="s">
        <v>8</v>
      </c>
      <c r="DJ689" s="27" t="s">
        <v>7</v>
      </c>
      <c r="DK689" s="27" t="s">
        <v>8</v>
      </c>
      <c r="DL689" s="27" t="s">
        <v>7</v>
      </c>
    </row>
    <row r="690" spans="1:156" x14ac:dyDescent="0.25">
      <c r="A690" s="7">
        <v>0.13007154789423539</v>
      </c>
      <c r="B690"/>
      <c r="C690"/>
      <c r="D690"/>
      <c r="E690"/>
      <c r="AH690" s="27" t="s">
        <v>7</v>
      </c>
      <c r="AI690" s="27" t="s">
        <v>8</v>
      </c>
      <c r="AJ690" s="27" t="s">
        <v>7</v>
      </c>
      <c r="AV690" s="27" t="s">
        <v>7</v>
      </c>
      <c r="AX690" s="27" t="s">
        <v>7</v>
      </c>
      <c r="AY690" s="27" t="s">
        <v>8</v>
      </c>
      <c r="AZ690" s="27" t="s">
        <v>7</v>
      </c>
      <c r="BC690" s="27" t="s">
        <v>8</v>
      </c>
      <c r="BD690" s="27" t="s">
        <v>7</v>
      </c>
      <c r="BK690" s="27" t="s">
        <v>8</v>
      </c>
      <c r="BL690" s="27" t="s">
        <v>7</v>
      </c>
      <c r="DG690" s="27" t="s">
        <v>8</v>
      </c>
      <c r="DH690" s="27" t="s">
        <v>7</v>
      </c>
      <c r="DI690" s="27" t="s">
        <v>8</v>
      </c>
      <c r="DJ690" s="27" t="s">
        <v>7</v>
      </c>
      <c r="DK690" s="27" t="s">
        <v>8</v>
      </c>
      <c r="DL690" s="27" t="s">
        <v>7</v>
      </c>
    </row>
    <row r="691" spans="1:156" x14ac:dyDescent="0.25">
      <c r="A691" s="7">
        <v>0.12752112538650529</v>
      </c>
      <c r="B691"/>
      <c r="C691"/>
      <c r="D691"/>
      <c r="E691"/>
      <c r="AH691" s="27" t="s">
        <v>7</v>
      </c>
      <c r="AI691" s="27" t="s">
        <v>8</v>
      </c>
      <c r="AX691" s="27" t="s">
        <v>7</v>
      </c>
      <c r="AY691" s="27" t="s">
        <v>8</v>
      </c>
      <c r="AZ691" s="27" t="s">
        <v>7</v>
      </c>
      <c r="BC691" s="27" t="s">
        <v>8</v>
      </c>
      <c r="BD691" s="27" t="s">
        <v>7</v>
      </c>
      <c r="BK691" s="27" t="s">
        <v>8</v>
      </c>
      <c r="BL691" s="27" t="s">
        <v>7</v>
      </c>
      <c r="DG691" s="27" t="s">
        <v>8</v>
      </c>
      <c r="DH691" s="27" t="s">
        <v>7</v>
      </c>
      <c r="DI691" s="27" t="s">
        <v>8</v>
      </c>
      <c r="DJ691" s="27" t="s">
        <v>7</v>
      </c>
      <c r="DK691" s="27" t="s">
        <v>8</v>
      </c>
      <c r="DL691" s="27" t="s">
        <v>7</v>
      </c>
      <c r="EK691" s="27" t="s">
        <v>8</v>
      </c>
    </row>
    <row r="692" spans="1:156" x14ac:dyDescent="0.25">
      <c r="A692" s="7">
        <v>0.12502071116324048</v>
      </c>
      <c r="B692"/>
      <c r="C692"/>
      <c r="D692"/>
      <c r="E692"/>
      <c r="AH692" s="27" t="s">
        <v>7</v>
      </c>
      <c r="AI692" s="27" t="s">
        <v>8</v>
      </c>
      <c r="AX692" s="27" t="s">
        <v>7</v>
      </c>
      <c r="AZ692" s="27" t="s">
        <v>7</v>
      </c>
      <c r="BC692" s="27" t="s">
        <v>8</v>
      </c>
      <c r="BD692" s="27" t="s">
        <v>7</v>
      </c>
      <c r="BK692" s="27" t="s">
        <v>8</v>
      </c>
      <c r="BL692" s="27" t="s">
        <v>7</v>
      </c>
      <c r="DG692" s="27" t="s">
        <v>8</v>
      </c>
      <c r="DH692" s="27" t="s">
        <v>7</v>
      </c>
      <c r="DI692" s="27" t="s">
        <v>8</v>
      </c>
      <c r="DJ692" s="27" t="s">
        <v>7</v>
      </c>
      <c r="DK692" s="27" t="s">
        <v>8</v>
      </c>
      <c r="DL692" s="27" t="s">
        <v>7</v>
      </c>
      <c r="EK692" s="27" t="s">
        <v>8</v>
      </c>
      <c r="EL692" s="27" t="s">
        <v>7</v>
      </c>
    </row>
    <row r="693" spans="1:156" x14ac:dyDescent="0.25">
      <c r="A693" s="7">
        <v>0.1225693246698436</v>
      </c>
      <c r="B693"/>
      <c r="C693"/>
      <c r="D693"/>
      <c r="E693"/>
      <c r="AH693" s="27" t="s">
        <v>7</v>
      </c>
      <c r="AI693" s="27" t="s">
        <v>8</v>
      </c>
      <c r="AZ693" s="27" t="s">
        <v>7</v>
      </c>
      <c r="BC693" s="27" t="s">
        <v>8</v>
      </c>
      <c r="BD693" s="27" t="s">
        <v>7</v>
      </c>
      <c r="BK693" s="27" t="s">
        <v>8</v>
      </c>
      <c r="BL693" s="27" t="s">
        <v>7</v>
      </c>
      <c r="DG693" s="27" t="s">
        <v>8</v>
      </c>
      <c r="DH693" s="27" t="s">
        <v>7</v>
      </c>
      <c r="DI693" s="27" t="s">
        <v>8</v>
      </c>
      <c r="DJ693" s="27" t="s">
        <v>7</v>
      </c>
      <c r="DK693" s="27" t="s">
        <v>8</v>
      </c>
      <c r="DL693" s="27" t="s">
        <v>7</v>
      </c>
      <c r="EK693" s="27" t="s">
        <v>8</v>
      </c>
      <c r="EL693" s="27" t="s">
        <v>7</v>
      </c>
      <c r="EU693" s="27" t="s">
        <v>8</v>
      </c>
    </row>
    <row r="694" spans="1:156" x14ac:dyDescent="0.25">
      <c r="A694" s="7">
        <v>0.12016600457827803</v>
      </c>
      <c r="B694"/>
      <c r="C694"/>
      <c r="D694"/>
      <c r="E694"/>
      <c r="AH694" s="27" t="s">
        <v>7</v>
      </c>
      <c r="AI694" s="27" t="s">
        <v>8</v>
      </c>
      <c r="AZ694" s="27" t="s">
        <v>7</v>
      </c>
      <c r="BC694" s="27" t="s">
        <v>8</v>
      </c>
      <c r="BD694" s="27" t="s">
        <v>7</v>
      </c>
      <c r="BK694" s="27" t="s">
        <v>8</v>
      </c>
      <c r="BL694" s="27" t="s">
        <v>7</v>
      </c>
      <c r="DG694" s="27" t="s">
        <v>8</v>
      </c>
      <c r="DH694" s="27" t="s">
        <v>7</v>
      </c>
      <c r="DI694" s="27" t="s">
        <v>8</v>
      </c>
      <c r="DJ694" s="27" t="s">
        <v>7</v>
      </c>
      <c r="DK694" s="27" t="s">
        <v>8</v>
      </c>
      <c r="DL694" s="27" t="s">
        <v>7</v>
      </c>
      <c r="EK694" s="27" t="s">
        <v>8</v>
      </c>
      <c r="EL694" s="27" t="s">
        <v>7</v>
      </c>
      <c r="EU694" s="27" t="s">
        <v>8</v>
      </c>
      <c r="EV694" s="27" t="s">
        <v>7</v>
      </c>
    </row>
    <row r="695" spans="1:156" x14ac:dyDescent="0.25">
      <c r="A695" s="7">
        <v>0.1178098084100765</v>
      </c>
      <c r="B695"/>
      <c r="C695"/>
      <c r="D695"/>
      <c r="E695"/>
      <c r="AH695" s="27" t="s">
        <v>7</v>
      </c>
      <c r="AZ695" s="27" t="s">
        <v>7</v>
      </c>
      <c r="BC695" s="27" t="s">
        <v>8</v>
      </c>
      <c r="BD695" s="27" t="s">
        <v>7</v>
      </c>
      <c r="BK695" s="27" t="s">
        <v>8</v>
      </c>
      <c r="BL695" s="27" t="s">
        <v>7</v>
      </c>
      <c r="DG695" s="27" t="s">
        <v>8</v>
      </c>
      <c r="DH695" s="27" t="s">
        <v>7</v>
      </c>
      <c r="DI695" s="27" t="s">
        <v>8</v>
      </c>
      <c r="DJ695" s="27" t="s">
        <v>7</v>
      </c>
      <c r="DK695" s="27" t="s">
        <v>8</v>
      </c>
      <c r="DL695" s="27" t="s">
        <v>7</v>
      </c>
      <c r="DM695" s="27" t="s">
        <v>8</v>
      </c>
      <c r="EK695" s="27" t="s">
        <v>8</v>
      </c>
      <c r="EL695" s="27" t="s">
        <v>7</v>
      </c>
      <c r="EU695" s="27" t="s">
        <v>8</v>
      </c>
      <c r="EV695" s="27" t="s">
        <v>7</v>
      </c>
    </row>
    <row r="696" spans="1:156" x14ac:dyDescent="0.25">
      <c r="A696" s="7">
        <v>0.11549981216674166</v>
      </c>
      <c r="B696"/>
      <c r="C696"/>
      <c r="D696"/>
      <c r="E696"/>
      <c r="AZ696" s="27" t="s">
        <v>7</v>
      </c>
      <c r="BC696" s="27" t="s">
        <v>8</v>
      </c>
      <c r="BD696" s="27" t="s">
        <v>7</v>
      </c>
      <c r="BK696" s="27" t="s">
        <v>8</v>
      </c>
      <c r="BL696" s="27" t="s">
        <v>7</v>
      </c>
      <c r="DG696" s="27" t="s">
        <v>8</v>
      </c>
      <c r="DH696" s="27" t="s">
        <v>7</v>
      </c>
      <c r="DJ696" s="27" t="s">
        <v>7</v>
      </c>
      <c r="DK696" s="27" t="s">
        <v>8</v>
      </c>
      <c r="DL696" s="27" t="s">
        <v>7</v>
      </c>
      <c r="DM696" s="27" t="s">
        <v>8</v>
      </c>
      <c r="DN696" s="27" t="s">
        <v>7</v>
      </c>
      <c r="DU696" s="27" t="s">
        <v>8</v>
      </c>
      <c r="EK696" s="27" t="s">
        <v>8</v>
      </c>
      <c r="EL696" s="27" t="s">
        <v>7</v>
      </c>
      <c r="EU696" s="27" t="s">
        <v>8</v>
      </c>
      <c r="EV696" s="27" t="s">
        <v>7</v>
      </c>
    </row>
    <row r="697" spans="1:156" x14ac:dyDescent="0.25">
      <c r="A697" s="7">
        <v>0.11323510996739378</v>
      </c>
      <c r="B697"/>
      <c r="C697"/>
      <c r="D697"/>
      <c r="E697"/>
      <c r="AZ697" s="27" t="s">
        <v>7</v>
      </c>
      <c r="BC697" s="27" t="s">
        <v>8</v>
      </c>
      <c r="BD697" s="27" t="s">
        <v>7</v>
      </c>
      <c r="BK697" s="27" t="s">
        <v>8</v>
      </c>
      <c r="BL697" s="27" t="s">
        <v>7</v>
      </c>
      <c r="DA697" s="27" t="s">
        <v>8</v>
      </c>
      <c r="DG697" s="27" t="s">
        <v>8</v>
      </c>
      <c r="DJ697" s="27" t="s">
        <v>7</v>
      </c>
      <c r="DK697" s="27" t="s">
        <v>8</v>
      </c>
      <c r="DL697" s="27" t="s">
        <v>7</v>
      </c>
      <c r="DM697" s="27" t="s">
        <v>8</v>
      </c>
      <c r="DN697" s="27" t="s">
        <v>7</v>
      </c>
      <c r="DO697" s="27" t="s">
        <v>8</v>
      </c>
      <c r="DU697" s="27" t="s">
        <v>8</v>
      </c>
      <c r="DV697" s="27" t="s">
        <v>7</v>
      </c>
      <c r="EA697" s="27" t="s">
        <v>8</v>
      </c>
      <c r="EK697" s="27" t="s">
        <v>8</v>
      </c>
      <c r="EL697" s="27" t="s">
        <v>7</v>
      </c>
      <c r="EU697" s="27" t="s">
        <v>8</v>
      </c>
      <c r="EV697" s="27" t="s">
        <v>7</v>
      </c>
    </row>
    <row r="698" spans="1:156" x14ac:dyDescent="0.25">
      <c r="A698" s="7">
        <v>0.11101481369352331</v>
      </c>
      <c r="B698"/>
      <c r="C698"/>
      <c r="D698"/>
      <c r="E698"/>
      <c r="AZ698" s="27" t="s">
        <v>7</v>
      </c>
      <c r="BC698" s="27" t="s">
        <v>8</v>
      </c>
      <c r="BD698" s="27" t="s">
        <v>7</v>
      </c>
      <c r="BE698" s="27" t="s">
        <v>8</v>
      </c>
      <c r="BK698" s="27" t="s">
        <v>8</v>
      </c>
      <c r="BL698" s="27" t="s">
        <v>7</v>
      </c>
      <c r="DA698" s="27" t="s">
        <v>8</v>
      </c>
      <c r="DB698" s="27" t="s">
        <v>7</v>
      </c>
      <c r="DG698" s="27" t="s">
        <v>8</v>
      </c>
      <c r="DJ698" s="27" t="s">
        <v>7</v>
      </c>
      <c r="DK698" s="27" t="s">
        <v>8</v>
      </c>
      <c r="DL698" s="27" t="s">
        <v>7</v>
      </c>
      <c r="DM698" s="27" t="s">
        <v>8</v>
      </c>
      <c r="DN698" s="27" t="s">
        <v>7</v>
      </c>
      <c r="DO698" s="27" t="s">
        <v>8</v>
      </c>
      <c r="DP698" s="27" t="s">
        <v>7</v>
      </c>
      <c r="DU698" s="27" t="s">
        <v>8</v>
      </c>
      <c r="DV698" s="27" t="s">
        <v>7</v>
      </c>
      <c r="EA698" s="27" t="s">
        <v>8</v>
      </c>
      <c r="EB698" s="27" t="s">
        <v>7</v>
      </c>
      <c r="EK698" s="27" t="s">
        <v>8</v>
      </c>
      <c r="EL698" s="27" t="s">
        <v>7</v>
      </c>
      <c r="EU698" s="27" t="s">
        <v>8</v>
      </c>
      <c r="EV698" s="27" t="s">
        <v>7</v>
      </c>
    </row>
    <row r="699" spans="1:156" x14ac:dyDescent="0.25">
      <c r="A699" s="7">
        <v>0.10883805264070913</v>
      </c>
      <c r="B699"/>
      <c r="C699"/>
      <c r="D699"/>
      <c r="E699"/>
      <c r="AZ699" s="27" t="s">
        <v>7</v>
      </c>
      <c r="BC699" s="27" t="s">
        <v>8</v>
      </c>
      <c r="BD699" s="27" t="s">
        <v>7</v>
      </c>
      <c r="BE699" s="27" t="s">
        <v>8</v>
      </c>
      <c r="BF699" s="27" t="s">
        <v>7</v>
      </c>
      <c r="BK699" s="27" t="s">
        <v>8</v>
      </c>
      <c r="BL699" s="27" t="s">
        <v>7</v>
      </c>
      <c r="BM699" s="27" t="s">
        <v>8</v>
      </c>
      <c r="DA699" s="27" t="s">
        <v>8</v>
      </c>
      <c r="DB699" s="27" t="s">
        <v>7</v>
      </c>
      <c r="DG699" s="27" t="s">
        <v>8</v>
      </c>
      <c r="DJ699" s="27" t="s">
        <v>7</v>
      </c>
      <c r="DK699" s="27" t="s">
        <v>8</v>
      </c>
      <c r="DL699" s="27" t="s">
        <v>7</v>
      </c>
      <c r="DN699" s="27" t="s">
        <v>7</v>
      </c>
      <c r="DO699" s="27" t="s">
        <v>8</v>
      </c>
      <c r="DP699" s="27" t="s">
        <v>7</v>
      </c>
      <c r="DU699" s="27" t="s">
        <v>8</v>
      </c>
      <c r="DV699" s="27" t="s">
        <v>7</v>
      </c>
      <c r="EA699" s="27" t="s">
        <v>8</v>
      </c>
      <c r="EB699" s="27" t="s">
        <v>7</v>
      </c>
      <c r="EI699" s="27" t="s">
        <v>8</v>
      </c>
      <c r="EK699" s="27" t="s">
        <v>8</v>
      </c>
      <c r="EL699" s="27" t="s">
        <v>7</v>
      </c>
      <c r="EU699" s="27" t="s">
        <v>8</v>
      </c>
      <c r="EV699" s="27" t="s">
        <v>7</v>
      </c>
      <c r="EY699" s="27" t="s">
        <v>8</v>
      </c>
    </row>
    <row r="700" spans="1:156" x14ac:dyDescent="0.25">
      <c r="A700" s="7">
        <v>0.10670397317716582</v>
      </c>
      <c r="B700"/>
      <c r="C700"/>
      <c r="D700"/>
      <c r="E700"/>
      <c r="AZ700" s="27" t="s">
        <v>7</v>
      </c>
      <c r="BC700" s="27" t="s">
        <v>8</v>
      </c>
      <c r="BD700" s="27" t="s">
        <v>7</v>
      </c>
      <c r="BE700" s="27" t="s">
        <v>8</v>
      </c>
      <c r="BF700" s="27" t="s">
        <v>7</v>
      </c>
      <c r="BK700" s="27" t="s">
        <v>8</v>
      </c>
      <c r="BL700" s="27" t="s">
        <v>7</v>
      </c>
      <c r="BM700" s="27" t="s">
        <v>8</v>
      </c>
      <c r="BN700" s="27" t="s">
        <v>7</v>
      </c>
      <c r="BO700" s="27" t="s">
        <v>8</v>
      </c>
      <c r="DA700" s="27" t="s">
        <v>8</v>
      </c>
      <c r="DB700" s="27" t="s">
        <v>7</v>
      </c>
      <c r="DG700" s="27" t="s">
        <v>8</v>
      </c>
      <c r="DJ700" s="27" t="s">
        <v>7</v>
      </c>
      <c r="DK700" s="27" t="s">
        <v>8</v>
      </c>
      <c r="DN700" s="27" t="s">
        <v>7</v>
      </c>
      <c r="DP700" s="27" t="s">
        <v>7</v>
      </c>
      <c r="DQ700" s="27" t="s">
        <v>8</v>
      </c>
      <c r="DU700" s="27" t="s">
        <v>8</v>
      </c>
      <c r="DV700" s="27" t="s">
        <v>7</v>
      </c>
      <c r="EA700" s="27" t="s">
        <v>8</v>
      </c>
      <c r="EB700" s="27" t="s">
        <v>7</v>
      </c>
      <c r="EI700" s="27" t="s">
        <v>8</v>
      </c>
      <c r="EJ700" s="27" t="s">
        <v>7</v>
      </c>
      <c r="EK700" s="27" t="s">
        <v>8</v>
      </c>
      <c r="EL700" s="27" t="s">
        <v>7</v>
      </c>
      <c r="EM700" s="27" t="s">
        <v>8</v>
      </c>
      <c r="EU700" s="27" t="s">
        <v>8</v>
      </c>
      <c r="EV700" s="27" t="s">
        <v>7</v>
      </c>
      <c r="EY700" s="27" t="s">
        <v>8</v>
      </c>
      <c r="EZ700" s="27" t="s">
        <v>7</v>
      </c>
    </row>
    <row r="701" spans="1:156" x14ac:dyDescent="0.25">
      <c r="A701" s="7">
        <v>0.1046117384089861</v>
      </c>
      <c r="B701"/>
      <c r="C701"/>
      <c r="D701"/>
      <c r="E701"/>
      <c r="AZ701" s="27" t="s">
        <v>7</v>
      </c>
      <c r="BC701" s="27" t="s">
        <v>8</v>
      </c>
      <c r="BD701" s="27" t="s">
        <v>7</v>
      </c>
      <c r="BE701" s="27" t="s">
        <v>8</v>
      </c>
      <c r="BF701" s="27" t="s">
        <v>7</v>
      </c>
      <c r="BK701" s="27" t="s">
        <v>8</v>
      </c>
      <c r="BL701" s="27" t="s">
        <v>7</v>
      </c>
      <c r="BM701" s="27" t="s">
        <v>8</v>
      </c>
      <c r="BN701" s="27" t="s">
        <v>7</v>
      </c>
      <c r="BO701" s="27" t="s">
        <v>8</v>
      </c>
      <c r="BP701" s="27" t="s">
        <v>7</v>
      </c>
      <c r="DA701" s="27" t="s">
        <v>8</v>
      </c>
      <c r="DB701" s="27" t="s">
        <v>7</v>
      </c>
      <c r="DE701" s="27" t="s">
        <v>8</v>
      </c>
      <c r="DG701" s="27" t="s">
        <v>8</v>
      </c>
      <c r="DJ701" s="27" t="s">
        <v>7</v>
      </c>
      <c r="DK701" s="27" t="s">
        <v>8</v>
      </c>
      <c r="DP701" s="27" t="s">
        <v>7</v>
      </c>
      <c r="DQ701" s="27" t="s">
        <v>8</v>
      </c>
      <c r="DR701" s="27" t="s">
        <v>7</v>
      </c>
      <c r="DU701" s="27" t="s">
        <v>8</v>
      </c>
      <c r="DV701" s="27" t="s">
        <v>7</v>
      </c>
      <c r="EA701" s="27" t="s">
        <v>8</v>
      </c>
      <c r="EB701" s="27" t="s">
        <v>7</v>
      </c>
      <c r="EI701" s="27" t="s">
        <v>8</v>
      </c>
      <c r="EJ701" s="27" t="s">
        <v>7</v>
      </c>
      <c r="EK701" s="27" t="s">
        <v>8</v>
      </c>
      <c r="EL701" s="27" t="s">
        <v>7</v>
      </c>
      <c r="EM701" s="27" t="s">
        <v>8</v>
      </c>
      <c r="EN701" s="27" t="s">
        <v>7</v>
      </c>
      <c r="EO701" s="27" t="s">
        <v>8</v>
      </c>
      <c r="EQ701" s="27" t="s">
        <v>8</v>
      </c>
      <c r="EU701" s="27" t="s">
        <v>8</v>
      </c>
      <c r="EV701" s="27" t="s">
        <v>7</v>
      </c>
      <c r="EY701" s="27" t="s">
        <v>8</v>
      </c>
      <c r="EZ701" s="27" t="s">
        <v>7</v>
      </c>
    </row>
    <row r="702" spans="1:156" x14ac:dyDescent="0.25">
      <c r="A702" s="7">
        <v>0.10256052785194716</v>
      </c>
      <c r="B702"/>
      <c r="C702"/>
      <c r="D702"/>
      <c r="E702"/>
      <c r="AZ702" s="27" t="s">
        <v>7</v>
      </c>
      <c r="BC702" s="27" t="s">
        <v>8</v>
      </c>
      <c r="BD702" s="27" t="s">
        <v>7</v>
      </c>
      <c r="BE702" s="27" t="s">
        <v>8</v>
      </c>
      <c r="BF702" s="27" t="s">
        <v>7</v>
      </c>
      <c r="BK702" s="27" t="s">
        <v>8</v>
      </c>
      <c r="BL702" s="27" t="s">
        <v>7</v>
      </c>
      <c r="BM702" s="27" t="s">
        <v>8</v>
      </c>
      <c r="BN702" s="27" t="s">
        <v>7</v>
      </c>
      <c r="BO702" s="27" t="s">
        <v>8</v>
      </c>
      <c r="BP702" s="27" t="s">
        <v>7</v>
      </c>
      <c r="DA702" s="27" t="s">
        <v>8</v>
      </c>
      <c r="DB702" s="27" t="s">
        <v>7</v>
      </c>
      <c r="DE702" s="27" t="s">
        <v>8</v>
      </c>
      <c r="DF702" s="27" t="s">
        <v>7</v>
      </c>
      <c r="DG702" s="27" t="s">
        <v>8</v>
      </c>
      <c r="DJ702" s="27" t="s">
        <v>7</v>
      </c>
      <c r="DK702" s="27" t="s">
        <v>8</v>
      </c>
      <c r="DP702" s="27" t="s">
        <v>7</v>
      </c>
      <c r="DQ702" s="27" t="s">
        <v>8</v>
      </c>
      <c r="DR702" s="27" t="s">
        <v>7</v>
      </c>
      <c r="DU702" s="27" t="s">
        <v>8</v>
      </c>
      <c r="DV702" s="27" t="s">
        <v>7</v>
      </c>
      <c r="EA702" s="27" t="s">
        <v>8</v>
      </c>
      <c r="EB702" s="27" t="s">
        <v>7</v>
      </c>
      <c r="EC702" s="27" t="s">
        <v>8</v>
      </c>
      <c r="EI702" s="27" t="s">
        <v>8</v>
      </c>
      <c r="EJ702" s="27" t="s">
        <v>7</v>
      </c>
      <c r="EK702" s="27" t="s">
        <v>8</v>
      </c>
      <c r="EL702" s="27" t="s">
        <v>7</v>
      </c>
      <c r="EM702" s="27" t="s">
        <v>8</v>
      </c>
      <c r="EN702" s="27" t="s">
        <v>7</v>
      </c>
      <c r="EO702" s="27" t="s">
        <v>8</v>
      </c>
      <c r="EP702" s="27" t="s">
        <v>7</v>
      </c>
      <c r="EQ702" s="27" t="s">
        <v>8</v>
      </c>
      <c r="ER702" s="27" t="s">
        <v>7</v>
      </c>
      <c r="ES702" s="27" t="s">
        <v>8</v>
      </c>
      <c r="EU702" s="27" t="s">
        <v>8</v>
      </c>
      <c r="EV702" s="27" t="s">
        <v>7</v>
      </c>
      <c r="EW702" s="27" t="s">
        <v>8</v>
      </c>
      <c r="EY702" s="27" t="s">
        <v>8</v>
      </c>
      <c r="EZ702" s="27" t="s">
        <v>7</v>
      </c>
    </row>
    <row r="703" spans="1:156" x14ac:dyDescent="0.25">
      <c r="A703" s="7">
        <v>0.10054953710975212</v>
      </c>
      <c r="B703"/>
      <c r="C703"/>
      <c r="D703"/>
      <c r="E703"/>
      <c r="AZ703" s="27" t="s">
        <v>7</v>
      </c>
      <c r="BC703" s="27" t="s">
        <v>8</v>
      </c>
      <c r="BD703" s="27" t="s">
        <v>7</v>
      </c>
      <c r="BE703" s="27" t="s">
        <v>8</v>
      </c>
      <c r="BF703" s="27" t="s">
        <v>7</v>
      </c>
      <c r="BG703" s="27" t="s">
        <v>8</v>
      </c>
      <c r="BI703" s="27" t="s">
        <v>8</v>
      </c>
      <c r="BK703" s="27" t="s">
        <v>8</v>
      </c>
      <c r="BL703" s="27" t="s">
        <v>7</v>
      </c>
      <c r="BM703" s="27" t="s">
        <v>8</v>
      </c>
      <c r="BN703" s="27" t="s">
        <v>7</v>
      </c>
      <c r="BO703" s="27" t="s">
        <v>8</v>
      </c>
      <c r="BP703" s="27" t="s">
        <v>7</v>
      </c>
      <c r="DA703" s="27" t="s">
        <v>8</v>
      </c>
      <c r="DB703" s="27" t="s">
        <v>7</v>
      </c>
      <c r="DE703" s="27" t="s">
        <v>8</v>
      </c>
      <c r="DF703" s="27" t="s">
        <v>7</v>
      </c>
      <c r="DG703" s="27" t="s">
        <v>8</v>
      </c>
      <c r="DJ703" s="27" t="s">
        <v>7</v>
      </c>
      <c r="DK703" s="27" t="s">
        <v>8</v>
      </c>
      <c r="DP703" s="27" t="s">
        <v>7</v>
      </c>
      <c r="DQ703" s="27" t="s">
        <v>8</v>
      </c>
      <c r="DR703" s="27" t="s">
        <v>7</v>
      </c>
      <c r="DU703" s="27" t="s">
        <v>8</v>
      </c>
      <c r="DV703" s="27" t="s">
        <v>7</v>
      </c>
      <c r="DY703" s="27" t="s">
        <v>8</v>
      </c>
      <c r="EA703" s="27" t="s">
        <v>8</v>
      </c>
      <c r="EB703" s="27" t="s">
        <v>7</v>
      </c>
      <c r="EC703" s="27" t="s">
        <v>8</v>
      </c>
      <c r="ED703" s="27" t="s">
        <v>7</v>
      </c>
      <c r="EE703" s="27" t="s">
        <v>8</v>
      </c>
      <c r="EI703" s="27" t="s">
        <v>8</v>
      </c>
      <c r="EJ703" s="27" t="s">
        <v>7</v>
      </c>
      <c r="EK703" s="27" t="s">
        <v>8</v>
      </c>
      <c r="EL703" s="27" t="s">
        <v>7</v>
      </c>
      <c r="EM703" s="27" t="s">
        <v>8</v>
      </c>
      <c r="EN703" s="27" t="s">
        <v>7</v>
      </c>
      <c r="EO703" s="27" t="s">
        <v>8</v>
      </c>
      <c r="EP703" s="27" t="s">
        <v>7</v>
      </c>
      <c r="EQ703" s="27" t="s">
        <v>8</v>
      </c>
      <c r="ER703" s="27" t="s">
        <v>7</v>
      </c>
      <c r="ES703" s="27" t="s">
        <v>8</v>
      </c>
      <c r="ET703" s="27" t="s">
        <v>7</v>
      </c>
      <c r="EU703" s="27" t="s">
        <v>8</v>
      </c>
      <c r="EV703" s="27" t="s">
        <v>7</v>
      </c>
      <c r="EW703" s="27" t="s">
        <v>8</v>
      </c>
      <c r="EX703" s="27" t="s">
        <v>7</v>
      </c>
      <c r="EY703" s="27" t="s">
        <v>8</v>
      </c>
      <c r="EZ703" s="27" t="s">
        <v>7</v>
      </c>
    </row>
    <row r="704" spans="1:156" x14ac:dyDescent="0.25">
      <c r="A704" s="7">
        <v>9.8577977558580512E-2</v>
      </c>
      <c r="B704"/>
      <c r="C704"/>
      <c r="D704"/>
      <c r="E704"/>
      <c r="AZ704" s="27" t="s">
        <v>7</v>
      </c>
      <c r="BC704" s="27" t="s">
        <v>8</v>
      </c>
      <c r="BD704" s="27" t="s">
        <v>7</v>
      </c>
      <c r="BE704" s="27" t="s">
        <v>8</v>
      </c>
      <c r="BF704" s="27" t="s">
        <v>7</v>
      </c>
      <c r="BG704" s="27" t="s">
        <v>8</v>
      </c>
      <c r="BH704" s="27" t="s">
        <v>7</v>
      </c>
      <c r="BI704" s="27" t="s">
        <v>8</v>
      </c>
      <c r="BJ704" s="27" t="s">
        <v>7</v>
      </c>
      <c r="BK704" s="27" t="s">
        <v>8</v>
      </c>
      <c r="BL704" s="27" t="s">
        <v>7</v>
      </c>
      <c r="BM704" s="27" t="s">
        <v>8</v>
      </c>
      <c r="BN704" s="27" t="s">
        <v>7</v>
      </c>
      <c r="BO704" s="27" t="s">
        <v>8</v>
      </c>
      <c r="BP704" s="27" t="s">
        <v>7</v>
      </c>
      <c r="DA704" s="27" t="s">
        <v>8</v>
      </c>
      <c r="DB704" s="27" t="s">
        <v>7</v>
      </c>
      <c r="DC704" s="27" t="s">
        <v>8</v>
      </c>
      <c r="DE704" s="27" t="s">
        <v>8</v>
      </c>
      <c r="DF704" s="27" t="s">
        <v>7</v>
      </c>
      <c r="DG704" s="27" t="s">
        <v>8</v>
      </c>
      <c r="DJ704" s="27" t="s">
        <v>7</v>
      </c>
      <c r="DK704" s="27" t="s">
        <v>8</v>
      </c>
      <c r="DP704" s="27" t="s">
        <v>7</v>
      </c>
      <c r="DQ704" s="27" t="s">
        <v>8</v>
      </c>
      <c r="DR704" s="27" t="s">
        <v>7</v>
      </c>
      <c r="DU704" s="27" t="s">
        <v>8</v>
      </c>
      <c r="DV704" s="27" t="s">
        <v>7</v>
      </c>
      <c r="DY704" s="27" t="s">
        <v>8</v>
      </c>
      <c r="DZ704" s="27" t="s">
        <v>7</v>
      </c>
      <c r="EA704" s="27" t="s">
        <v>8</v>
      </c>
      <c r="EB704" s="27" t="s">
        <v>7</v>
      </c>
      <c r="EC704" s="27" t="s">
        <v>8</v>
      </c>
      <c r="ED704" s="27" t="s">
        <v>7</v>
      </c>
      <c r="EE704" s="27" t="s">
        <v>8</v>
      </c>
      <c r="EF704" s="27" t="s">
        <v>7</v>
      </c>
      <c r="EI704" s="27" t="s">
        <v>8</v>
      </c>
      <c r="EJ704" s="27" t="s">
        <v>7</v>
      </c>
      <c r="EK704" s="27" t="s">
        <v>8</v>
      </c>
      <c r="EL704" s="27" t="s">
        <v>7</v>
      </c>
      <c r="EM704" s="27" t="s">
        <v>8</v>
      </c>
      <c r="EN704" s="27" t="s">
        <v>7</v>
      </c>
      <c r="EO704" s="27" t="s">
        <v>8</v>
      </c>
      <c r="EP704" s="27" t="s">
        <v>7</v>
      </c>
      <c r="EQ704" s="27" t="s">
        <v>8</v>
      </c>
      <c r="ER704" s="27" t="s">
        <v>7</v>
      </c>
      <c r="ES704" s="27" t="s">
        <v>8</v>
      </c>
      <c r="ET704" s="27" t="s">
        <v>7</v>
      </c>
      <c r="EU704" s="27" t="s">
        <v>8</v>
      </c>
      <c r="EV704" s="27" t="s">
        <v>7</v>
      </c>
      <c r="EW704" s="27" t="s">
        <v>8</v>
      </c>
      <c r="EX704" s="27" t="s">
        <v>7</v>
      </c>
      <c r="EY704" s="27" t="s">
        <v>8</v>
      </c>
      <c r="EZ704" s="27" t="s">
        <v>7</v>
      </c>
    </row>
    <row r="705" spans="1:180" x14ac:dyDescent="0.25">
      <c r="A705" s="7">
        <v>9.6645076037824032E-2</v>
      </c>
      <c r="B705"/>
      <c r="C705"/>
      <c r="D705"/>
      <c r="E705"/>
      <c r="AZ705" s="27" t="s">
        <v>7</v>
      </c>
      <c r="BC705" s="27" t="s">
        <v>8</v>
      </c>
      <c r="BD705" s="27" t="s">
        <v>7</v>
      </c>
      <c r="BE705" s="27" t="s">
        <v>8</v>
      </c>
      <c r="BF705" s="27" t="s">
        <v>7</v>
      </c>
      <c r="BG705" s="27" t="s">
        <v>8</v>
      </c>
      <c r="BH705" s="27" t="s">
        <v>7</v>
      </c>
      <c r="BI705" s="27" t="s">
        <v>8</v>
      </c>
      <c r="BJ705" s="27" t="s">
        <v>7</v>
      </c>
      <c r="BK705" s="27" t="s">
        <v>8</v>
      </c>
      <c r="BL705" s="27" t="s">
        <v>7</v>
      </c>
      <c r="BM705" s="27" t="s">
        <v>8</v>
      </c>
      <c r="BN705" s="27" t="s">
        <v>7</v>
      </c>
      <c r="BO705" s="27" t="s">
        <v>8</v>
      </c>
      <c r="BP705" s="27" t="s">
        <v>7</v>
      </c>
      <c r="DA705" s="27" t="s">
        <v>8</v>
      </c>
      <c r="DB705" s="27" t="s">
        <v>7</v>
      </c>
      <c r="DC705" s="27" t="s">
        <v>8</v>
      </c>
      <c r="DD705" s="27" t="s">
        <v>7</v>
      </c>
      <c r="DE705" s="27" t="s">
        <v>8</v>
      </c>
      <c r="DF705" s="27" t="s">
        <v>7</v>
      </c>
      <c r="DG705" s="27" t="s">
        <v>8</v>
      </c>
      <c r="DJ705" s="27" t="s">
        <v>7</v>
      </c>
      <c r="DP705" s="27" t="s">
        <v>7</v>
      </c>
      <c r="DQ705" s="27" t="s">
        <v>8</v>
      </c>
      <c r="DR705" s="27" t="s">
        <v>7</v>
      </c>
      <c r="DU705" s="27" t="s">
        <v>8</v>
      </c>
      <c r="DV705" s="27" t="s">
        <v>7</v>
      </c>
      <c r="DY705" s="27" t="s">
        <v>8</v>
      </c>
      <c r="DZ705" s="27" t="s">
        <v>7</v>
      </c>
      <c r="EA705" s="27" t="s">
        <v>8</v>
      </c>
      <c r="EB705" s="27" t="s">
        <v>7</v>
      </c>
      <c r="EC705" s="27" t="s">
        <v>8</v>
      </c>
      <c r="ED705" s="27" t="s">
        <v>7</v>
      </c>
      <c r="EE705" s="27" t="s">
        <v>8</v>
      </c>
      <c r="EF705" s="27" t="s">
        <v>7</v>
      </c>
      <c r="EI705" s="27" t="s">
        <v>8</v>
      </c>
      <c r="EJ705" s="27" t="s">
        <v>7</v>
      </c>
      <c r="EK705" s="27" t="s">
        <v>8</v>
      </c>
      <c r="EL705" s="27" t="s">
        <v>7</v>
      </c>
      <c r="EM705" s="27" t="s">
        <v>8</v>
      </c>
      <c r="EN705" s="27" t="s">
        <v>7</v>
      </c>
      <c r="EP705" s="27" t="s">
        <v>7</v>
      </c>
      <c r="EQ705" s="27" t="s">
        <v>8</v>
      </c>
      <c r="ER705" s="27" t="s">
        <v>7</v>
      </c>
      <c r="ES705" s="27" t="s">
        <v>8</v>
      </c>
      <c r="ET705" s="27" t="s">
        <v>7</v>
      </c>
      <c r="EU705" s="27" t="s">
        <v>8</v>
      </c>
      <c r="EV705" s="27" t="s">
        <v>7</v>
      </c>
      <c r="EW705" s="27" t="s">
        <v>8</v>
      </c>
      <c r="EX705" s="27" t="s">
        <v>7</v>
      </c>
      <c r="EZ705" s="27" t="s">
        <v>7</v>
      </c>
    </row>
    <row r="706" spans="1:180" x14ac:dyDescent="0.25">
      <c r="A706" s="7">
        <v>9.4750074546886304E-2</v>
      </c>
      <c r="B706"/>
      <c r="C706"/>
      <c r="D706"/>
      <c r="E706"/>
      <c r="AZ706" s="27" t="s">
        <v>7</v>
      </c>
      <c r="BC706" s="27" t="s">
        <v>8</v>
      </c>
      <c r="BD706" s="27" t="s">
        <v>7</v>
      </c>
      <c r="BE706" s="27" t="s">
        <v>8</v>
      </c>
      <c r="BF706" s="27" t="s">
        <v>7</v>
      </c>
      <c r="BG706" s="27" t="s">
        <v>8</v>
      </c>
      <c r="BH706" s="27" t="s">
        <v>7</v>
      </c>
      <c r="BI706" s="27" t="s">
        <v>8</v>
      </c>
      <c r="BJ706" s="27" t="s">
        <v>7</v>
      </c>
      <c r="BK706" s="27" t="s">
        <v>8</v>
      </c>
      <c r="BL706" s="27" t="s">
        <v>7</v>
      </c>
      <c r="BM706" s="27" t="s">
        <v>8</v>
      </c>
      <c r="BN706" s="27" t="s">
        <v>7</v>
      </c>
      <c r="BO706" s="27" t="s">
        <v>8</v>
      </c>
      <c r="BP706" s="27" t="s">
        <v>7</v>
      </c>
      <c r="BQ706" s="27" t="s">
        <v>8</v>
      </c>
      <c r="CQ706" s="27" t="s">
        <v>8</v>
      </c>
      <c r="CY706" s="27" t="s">
        <v>8</v>
      </c>
      <c r="DA706" s="27" t="s">
        <v>8</v>
      </c>
      <c r="DB706" s="27" t="s">
        <v>7</v>
      </c>
      <c r="DC706" s="27" t="s">
        <v>8</v>
      </c>
      <c r="DD706" s="27" t="s">
        <v>7</v>
      </c>
      <c r="DE706" s="27" t="s">
        <v>8</v>
      </c>
      <c r="DF706" s="27" t="s">
        <v>7</v>
      </c>
      <c r="DG706" s="27" t="s">
        <v>8</v>
      </c>
      <c r="DP706" s="27" t="s">
        <v>7</v>
      </c>
      <c r="DQ706" s="27" t="s">
        <v>8</v>
      </c>
      <c r="DR706" s="27" t="s">
        <v>7</v>
      </c>
      <c r="DS706" s="27" t="s">
        <v>8</v>
      </c>
      <c r="DU706" s="27" t="s">
        <v>8</v>
      </c>
      <c r="DV706" s="27" t="s">
        <v>7</v>
      </c>
      <c r="DW706" s="27" t="s">
        <v>8</v>
      </c>
      <c r="DY706" s="27" t="s">
        <v>8</v>
      </c>
      <c r="DZ706" s="27" t="s">
        <v>7</v>
      </c>
      <c r="EA706" s="27" t="s">
        <v>8</v>
      </c>
      <c r="EB706" s="27" t="s">
        <v>7</v>
      </c>
      <c r="ED706" s="27" t="s">
        <v>7</v>
      </c>
      <c r="EE706" s="27" t="s">
        <v>8</v>
      </c>
      <c r="EF706" s="27" t="s">
        <v>7</v>
      </c>
      <c r="EG706" s="27" t="s">
        <v>8</v>
      </c>
      <c r="EI706" s="27" t="s">
        <v>8</v>
      </c>
      <c r="EJ706" s="27" t="s">
        <v>7</v>
      </c>
      <c r="EK706" s="27" t="s">
        <v>8</v>
      </c>
      <c r="EL706" s="27" t="s">
        <v>7</v>
      </c>
      <c r="EM706" s="27" t="s">
        <v>8</v>
      </c>
      <c r="EP706" s="27" t="s">
        <v>7</v>
      </c>
      <c r="EQ706" s="27" t="s">
        <v>8</v>
      </c>
      <c r="ER706" s="27" t="s">
        <v>7</v>
      </c>
      <c r="ES706" s="27" t="s">
        <v>8</v>
      </c>
      <c r="ET706" s="27" t="s">
        <v>7</v>
      </c>
      <c r="EU706" s="27" t="s">
        <v>8</v>
      </c>
      <c r="EV706" s="27" t="s">
        <v>7</v>
      </c>
      <c r="EZ706" s="27" t="s">
        <v>7</v>
      </c>
    </row>
    <row r="707" spans="1:180" x14ac:dyDescent="0.25">
      <c r="A707" s="7">
        <v>9.2892229947927743E-2</v>
      </c>
      <c r="B707"/>
      <c r="C707"/>
      <c r="D707"/>
      <c r="E707"/>
      <c r="AZ707" s="27" t="s">
        <v>7</v>
      </c>
      <c r="BC707" s="27" t="s">
        <v>8</v>
      </c>
      <c r="BD707" s="27" t="s">
        <v>7</v>
      </c>
      <c r="BE707" s="27" t="s">
        <v>8</v>
      </c>
      <c r="BF707" s="27" t="s">
        <v>7</v>
      </c>
      <c r="BG707" s="27" t="s">
        <v>8</v>
      </c>
      <c r="BH707" s="27" t="s">
        <v>7</v>
      </c>
      <c r="BI707" s="27" t="s">
        <v>8</v>
      </c>
      <c r="BJ707" s="27" t="s">
        <v>7</v>
      </c>
      <c r="BK707" s="27" t="s">
        <v>8</v>
      </c>
      <c r="BL707" s="27" t="s">
        <v>7</v>
      </c>
      <c r="BM707" s="27" t="s">
        <v>8</v>
      </c>
      <c r="BN707" s="27" t="s">
        <v>7</v>
      </c>
      <c r="BO707" s="27" t="s">
        <v>8</v>
      </c>
      <c r="BP707" s="27" t="s">
        <v>7</v>
      </c>
      <c r="BQ707" s="27" t="s">
        <v>8</v>
      </c>
      <c r="BR707" s="27" t="s">
        <v>7</v>
      </c>
      <c r="CQ707" s="27" t="s">
        <v>8</v>
      </c>
      <c r="CR707" s="27" t="s">
        <v>7</v>
      </c>
      <c r="CS707" s="27" t="s">
        <v>8</v>
      </c>
      <c r="CY707" s="27" t="s">
        <v>8</v>
      </c>
      <c r="CZ707" s="27" t="s">
        <v>7</v>
      </c>
      <c r="DA707" s="27" t="s">
        <v>8</v>
      </c>
      <c r="DB707" s="27" t="s">
        <v>7</v>
      </c>
      <c r="DC707" s="27" t="s">
        <v>8</v>
      </c>
      <c r="DD707" s="27" t="s">
        <v>7</v>
      </c>
      <c r="DE707" s="27" t="s">
        <v>8</v>
      </c>
      <c r="DF707" s="27" t="s">
        <v>7</v>
      </c>
      <c r="DG707" s="27" t="s">
        <v>8</v>
      </c>
      <c r="DP707" s="27" t="s">
        <v>7</v>
      </c>
      <c r="DQ707" s="27" t="s">
        <v>8</v>
      </c>
      <c r="DR707" s="27" t="s">
        <v>7</v>
      </c>
      <c r="DS707" s="27" t="s">
        <v>8</v>
      </c>
      <c r="DT707" s="27" t="s">
        <v>7</v>
      </c>
      <c r="DU707" s="27" t="s">
        <v>8</v>
      </c>
      <c r="DV707" s="27" t="s">
        <v>7</v>
      </c>
      <c r="DW707" s="27" t="s">
        <v>8</v>
      </c>
      <c r="DX707" s="27" t="s">
        <v>7</v>
      </c>
      <c r="DY707" s="27" t="s">
        <v>8</v>
      </c>
      <c r="DZ707" s="27" t="s">
        <v>7</v>
      </c>
      <c r="EA707" s="27" t="s">
        <v>8</v>
      </c>
      <c r="ED707" s="27" t="s">
        <v>7</v>
      </c>
      <c r="EF707" s="27" t="s">
        <v>7</v>
      </c>
      <c r="EG707" s="27" t="s">
        <v>8</v>
      </c>
      <c r="EH707" s="27" t="s">
        <v>7</v>
      </c>
      <c r="EI707" s="27" t="s">
        <v>8</v>
      </c>
      <c r="EJ707" s="27" t="s">
        <v>7</v>
      </c>
      <c r="EK707" s="27" t="s">
        <v>8</v>
      </c>
      <c r="EL707" s="27" t="s">
        <v>7</v>
      </c>
      <c r="EP707" s="27" t="s">
        <v>7</v>
      </c>
      <c r="EQ707" s="27" t="s">
        <v>8</v>
      </c>
      <c r="ER707" s="27" t="s">
        <v>7</v>
      </c>
      <c r="ES707" s="27" t="s">
        <v>8</v>
      </c>
      <c r="ET707" s="27" t="s">
        <v>7</v>
      </c>
      <c r="EU707" s="27" t="s">
        <v>8</v>
      </c>
      <c r="EZ707" s="27" t="s">
        <v>7</v>
      </c>
    </row>
    <row r="708" spans="1:180" x14ac:dyDescent="0.25">
      <c r="A708" s="7">
        <v>9.1070813674438963E-2</v>
      </c>
      <c r="B708"/>
      <c r="C708"/>
      <c r="D708"/>
      <c r="E708"/>
      <c r="AZ708" s="27" t="s">
        <v>7</v>
      </c>
      <c r="BC708" s="27" t="s">
        <v>8</v>
      </c>
      <c r="BD708" s="27" t="s">
        <v>7</v>
      </c>
      <c r="BE708" s="27" t="s">
        <v>8</v>
      </c>
      <c r="BF708" s="27" t="s">
        <v>7</v>
      </c>
      <c r="BG708" s="27" t="s">
        <v>8</v>
      </c>
      <c r="BH708" s="27" t="s">
        <v>7</v>
      </c>
      <c r="BI708" s="27" t="s">
        <v>8</v>
      </c>
      <c r="BJ708" s="27" t="s">
        <v>7</v>
      </c>
      <c r="BK708" s="27" t="s">
        <v>8</v>
      </c>
      <c r="BL708" s="27" t="s">
        <v>7</v>
      </c>
      <c r="BM708" s="27" t="s">
        <v>8</v>
      </c>
      <c r="BN708" s="27" t="s">
        <v>7</v>
      </c>
      <c r="BO708" s="27" t="s">
        <v>8</v>
      </c>
      <c r="BP708" s="27" t="s">
        <v>7</v>
      </c>
      <c r="BQ708" s="27" t="s">
        <v>8</v>
      </c>
      <c r="BR708" s="27" t="s">
        <v>7</v>
      </c>
      <c r="CQ708" s="27" t="s">
        <v>8</v>
      </c>
      <c r="CR708" s="27" t="s">
        <v>7</v>
      </c>
      <c r="CS708" s="27" t="s">
        <v>8</v>
      </c>
      <c r="CT708" s="27" t="s">
        <v>7</v>
      </c>
      <c r="CU708" s="27" t="s">
        <v>8</v>
      </c>
      <c r="CY708" s="27" t="s">
        <v>8</v>
      </c>
      <c r="CZ708" s="27" t="s">
        <v>7</v>
      </c>
      <c r="DA708" s="27" t="s">
        <v>8</v>
      </c>
      <c r="DB708" s="27" t="s">
        <v>7</v>
      </c>
      <c r="DC708" s="27" t="s">
        <v>8</v>
      </c>
      <c r="DD708" s="27" t="s">
        <v>7</v>
      </c>
      <c r="DE708" s="27" t="s">
        <v>8</v>
      </c>
      <c r="DF708" s="27" t="s">
        <v>7</v>
      </c>
      <c r="DG708" s="27" t="s">
        <v>8</v>
      </c>
      <c r="DP708" s="27" t="s">
        <v>7</v>
      </c>
      <c r="DQ708" s="27" t="s">
        <v>8</v>
      </c>
      <c r="DR708" s="27" t="s">
        <v>7</v>
      </c>
      <c r="DS708" s="27" t="s">
        <v>8</v>
      </c>
      <c r="DT708" s="27" t="s">
        <v>7</v>
      </c>
      <c r="DU708" s="27" t="s">
        <v>8</v>
      </c>
      <c r="DV708" s="27" t="s">
        <v>7</v>
      </c>
      <c r="DW708" s="27" t="s">
        <v>8</v>
      </c>
      <c r="DX708" s="27" t="s">
        <v>7</v>
      </c>
      <c r="DY708" s="27" t="s">
        <v>8</v>
      </c>
      <c r="DZ708" s="27" t="s">
        <v>7</v>
      </c>
      <c r="EA708" s="27" t="s">
        <v>8</v>
      </c>
      <c r="EF708" s="27" t="s">
        <v>7</v>
      </c>
      <c r="EG708" s="27" t="s">
        <v>8</v>
      </c>
      <c r="EH708" s="27" t="s">
        <v>7</v>
      </c>
      <c r="EI708" s="27" t="s">
        <v>8</v>
      </c>
      <c r="EJ708" s="27" t="s">
        <v>7</v>
      </c>
      <c r="EK708" s="27" t="s">
        <v>8</v>
      </c>
      <c r="EP708" s="27" t="s">
        <v>7</v>
      </c>
      <c r="EQ708" s="27" t="s">
        <v>8</v>
      </c>
      <c r="ER708" s="27" t="s">
        <v>7</v>
      </c>
      <c r="ET708" s="27" t="s">
        <v>7</v>
      </c>
      <c r="EU708" s="27" t="s">
        <v>8</v>
      </c>
      <c r="EZ708" s="27" t="s">
        <v>7</v>
      </c>
    </row>
    <row r="709" spans="1:180" x14ac:dyDescent="0.25">
      <c r="A709" s="7">
        <v>8.9285111445528392E-2</v>
      </c>
      <c r="B709"/>
      <c r="C709"/>
      <c r="D709"/>
      <c r="E709"/>
      <c r="AZ709" s="27" t="s">
        <v>7</v>
      </c>
      <c r="BC709" s="27" t="s">
        <v>8</v>
      </c>
      <c r="BD709" s="27" t="s">
        <v>7</v>
      </c>
      <c r="BE709" s="27" t="s">
        <v>8</v>
      </c>
      <c r="BF709" s="27" t="s">
        <v>7</v>
      </c>
      <c r="BG709" s="27" t="s">
        <v>8</v>
      </c>
      <c r="BH709" s="27" t="s">
        <v>7</v>
      </c>
      <c r="BI709" s="27" t="s">
        <v>8</v>
      </c>
      <c r="BJ709" s="27" t="s">
        <v>7</v>
      </c>
      <c r="BK709" s="27" t="s">
        <v>8</v>
      </c>
      <c r="BL709" s="27" t="s">
        <v>7</v>
      </c>
      <c r="BM709" s="27" t="s">
        <v>8</v>
      </c>
      <c r="BN709" s="27" t="s">
        <v>7</v>
      </c>
      <c r="BO709" s="27" t="s">
        <v>8</v>
      </c>
      <c r="BP709" s="27" t="s">
        <v>7</v>
      </c>
      <c r="BQ709" s="27" t="s">
        <v>8</v>
      </c>
      <c r="BR709" s="27" t="s">
        <v>7</v>
      </c>
      <c r="CM709" s="27" t="s">
        <v>8</v>
      </c>
      <c r="CQ709" s="27" t="s">
        <v>8</v>
      </c>
      <c r="CR709" s="27" t="s">
        <v>7</v>
      </c>
      <c r="CS709" s="27" t="s">
        <v>8</v>
      </c>
      <c r="CT709" s="27" t="s">
        <v>7</v>
      </c>
      <c r="CU709" s="27" t="s">
        <v>8</v>
      </c>
      <c r="CV709" s="27" t="s">
        <v>7</v>
      </c>
      <c r="CW709" s="27" t="s">
        <v>8</v>
      </c>
      <c r="CY709" s="27" t="s">
        <v>8</v>
      </c>
      <c r="CZ709" s="27" t="s">
        <v>7</v>
      </c>
      <c r="DA709" s="27" t="s">
        <v>8</v>
      </c>
      <c r="DB709" s="27" t="s">
        <v>7</v>
      </c>
      <c r="DC709" s="27" t="s">
        <v>8</v>
      </c>
      <c r="DD709" s="27" t="s">
        <v>7</v>
      </c>
      <c r="DE709" s="27" t="s">
        <v>8</v>
      </c>
      <c r="DF709" s="27" t="s">
        <v>7</v>
      </c>
      <c r="DG709" s="27" t="s">
        <v>8</v>
      </c>
      <c r="DP709" s="27" t="s">
        <v>7</v>
      </c>
      <c r="DQ709" s="27" t="s">
        <v>8</v>
      </c>
      <c r="DR709" s="27" t="s">
        <v>7</v>
      </c>
      <c r="DS709" s="27" t="s">
        <v>8</v>
      </c>
      <c r="DT709" s="27" t="s">
        <v>7</v>
      </c>
      <c r="DU709" s="27" t="s">
        <v>8</v>
      </c>
      <c r="DV709" s="27" t="s">
        <v>7</v>
      </c>
      <c r="DW709" s="27" t="s">
        <v>8</v>
      </c>
      <c r="DX709" s="27" t="s">
        <v>7</v>
      </c>
      <c r="DY709" s="27" t="s">
        <v>8</v>
      </c>
      <c r="DZ709" s="27" t="s">
        <v>7</v>
      </c>
      <c r="EA709" s="27" t="s">
        <v>8</v>
      </c>
      <c r="EF709" s="27" t="s">
        <v>7</v>
      </c>
      <c r="EG709" s="27" t="s">
        <v>8</v>
      </c>
      <c r="EH709" s="27" t="s">
        <v>7</v>
      </c>
      <c r="EI709" s="27" t="s">
        <v>8</v>
      </c>
      <c r="EJ709" s="27" t="s">
        <v>7</v>
      </c>
      <c r="EP709" s="27" t="s">
        <v>7</v>
      </c>
      <c r="EQ709" s="27" t="s">
        <v>8</v>
      </c>
      <c r="ET709" s="27" t="s">
        <v>7</v>
      </c>
      <c r="EZ709" s="27" t="s">
        <v>7</v>
      </c>
    </row>
    <row r="710" spans="1:180" x14ac:dyDescent="0.25">
      <c r="A710" s="7">
        <v>8.7534422985812155E-2</v>
      </c>
      <c r="B710"/>
      <c r="C710"/>
      <c r="D710"/>
      <c r="E710"/>
      <c r="AZ710" s="27" t="s">
        <v>7</v>
      </c>
      <c r="BC710" s="27" t="s">
        <v>8</v>
      </c>
      <c r="BD710" s="27" t="s">
        <v>7</v>
      </c>
      <c r="BE710" s="27" t="s">
        <v>8</v>
      </c>
      <c r="BF710" s="27" t="s">
        <v>7</v>
      </c>
      <c r="BH710" s="27" t="s">
        <v>7</v>
      </c>
      <c r="BJ710" s="27" t="s">
        <v>7</v>
      </c>
      <c r="BK710" s="27" t="s">
        <v>8</v>
      </c>
      <c r="BL710" s="27" t="s">
        <v>7</v>
      </c>
      <c r="BM710" s="27" t="s">
        <v>8</v>
      </c>
      <c r="BN710" s="27" t="s">
        <v>7</v>
      </c>
      <c r="BO710" s="27" t="s">
        <v>8</v>
      </c>
      <c r="BP710" s="27" t="s">
        <v>7</v>
      </c>
      <c r="BQ710" s="27" t="s">
        <v>8</v>
      </c>
      <c r="BR710" s="27" t="s">
        <v>7</v>
      </c>
      <c r="CM710" s="27" t="s">
        <v>8</v>
      </c>
      <c r="CN710" s="27" t="s">
        <v>7</v>
      </c>
      <c r="CQ710" s="27" t="s">
        <v>8</v>
      </c>
      <c r="CR710" s="27" t="s">
        <v>7</v>
      </c>
      <c r="CS710" s="27" t="s">
        <v>8</v>
      </c>
      <c r="CT710" s="27" t="s">
        <v>7</v>
      </c>
      <c r="CU710" s="27" t="s">
        <v>8</v>
      </c>
      <c r="CV710" s="27" t="s">
        <v>7</v>
      </c>
      <c r="CW710" s="27" t="s">
        <v>8</v>
      </c>
      <c r="CX710" s="27" t="s">
        <v>7</v>
      </c>
      <c r="CY710" s="27" t="s">
        <v>8</v>
      </c>
      <c r="CZ710" s="27" t="s">
        <v>7</v>
      </c>
      <c r="DA710" s="27" t="s">
        <v>8</v>
      </c>
      <c r="DB710" s="27" t="s">
        <v>7</v>
      </c>
      <c r="DC710" s="27" t="s">
        <v>8</v>
      </c>
      <c r="DD710" s="27" t="s">
        <v>7</v>
      </c>
      <c r="DE710" s="27" t="s">
        <v>8</v>
      </c>
      <c r="DF710" s="27" t="s">
        <v>7</v>
      </c>
      <c r="DG710" s="27" t="s">
        <v>8</v>
      </c>
      <c r="DP710" s="27" t="s">
        <v>7</v>
      </c>
      <c r="DQ710" s="27" t="s">
        <v>8</v>
      </c>
      <c r="DR710" s="27" t="s">
        <v>7</v>
      </c>
      <c r="DS710" s="27" t="s">
        <v>8</v>
      </c>
      <c r="DT710" s="27" t="s">
        <v>7</v>
      </c>
      <c r="DU710" s="27" t="s">
        <v>8</v>
      </c>
      <c r="DV710" s="27" t="s">
        <v>7</v>
      </c>
      <c r="DW710" s="27" t="s">
        <v>8</v>
      </c>
      <c r="DX710" s="27" t="s">
        <v>7</v>
      </c>
      <c r="DZ710" s="27" t="s">
        <v>7</v>
      </c>
      <c r="EA710" s="27" t="s">
        <v>8</v>
      </c>
      <c r="EF710" s="27" t="s">
        <v>7</v>
      </c>
      <c r="EG710" s="27" t="s">
        <v>8</v>
      </c>
      <c r="EH710" s="27" t="s">
        <v>7</v>
      </c>
      <c r="EP710" s="27" t="s">
        <v>7</v>
      </c>
      <c r="EQ710" s="27" t="s">
        <v>8</v>
      </c>
      <c r="EZ710" s="27" t="s">
        <v>7</v>
      </c>
      <c r="FA710" s="27" t="s">
        <v>8</v>
      </c>
      <c r="FM710" s="27" t="s">
        <v>8</v>
      </c>
    </row>
    <row r="711" spans="1:180" x14ac:dyDescent="0.25">
      <c r="A711" s="7">
        <v>8.5818061750796232E-2</v>
      </c>
      <c r="B711"/>
      <c r="C711"/>
      <c r="D711"/>
      <c r="E711"/>
      <c r="AZ711" s="27" t="s">
        <v>7</v>
      </c>
      <c r="BC711" s="27" t="s">
        <v>8</v>
      </c>
      <c r="BD711" s="27" t="s">
        <v>7</v>
      </c>
      <c r="BE711" s="27" t="s">
        <v>8</v>
      </c>
      <c r="BJ711" s="27" t="s">
        <v>7</v>
      </c>
      <c r="BK711" s="27" t="s">
        <v>8</v>
      </c>
      <c r="BL711" s="27" t="s">
        <v>7</v>
      </c>
      <c r="BM711" s="27" t="s">
        <v>8</v>
      </c>
      <c r="BN711" s="27" t="s">
        <v>7</v>
      </c>
      <c r="BO711" s="27" t="s">
        <v>8</v>
      </c>
      <c r="BP711" s="27" t="s">
        <v>7</v>
      </c>
      <c r="BQ711" s="27" t="s">
        <v>8</v>
      </c>
      <c r="BR711" s="27" t="s">
        <v>7</v>
      </c>
      <c r="CM711" s="27" t="s">
        <v>8</v>
      </c>
      <c r="CN711" s="27" t="s">
        <v>7</v>
      </c>
      <c r="CO711" s="27" t="s">
        <v>8</v>
      </c>
      <c r="CQ711" s="27" t="s">
        <v>8</v>
      </c>
      <c r="CR711" s="27" t="s">
        <v>7</v>
      </c>
      <c r="CS711" s="27" t="s">
        <v>8</v>
      </c>
      <c r="CT711" s="27" t="s">
        <v>7</v>
      </c>
      <c r="CU711" s="27" t="s">
        <v>8</v>
      </c>
      <c r="CV711" s="27" t="s">
        <v>7</v>
      </c>
      <c r="CW711" s="27" t="s">
        <v>8</v>
      </c>
      <c r="CX711" s="27" t="s">
        <v>7</v>
      </c>
      <c r="CY711" s="27" t="s">
        <v>8</v>
      </c>
      <c r="CZ711" s="27" t="s">
        <v>7</v>
      </c>
      <c r="DA711" s="27" t="s">
        <v>8</v>
      </c>
      <c r="DB711" s="27" t="s">
        <v>7</v>
      </c>
      <c r="DC711" s="27" t="s">
        <v>8</v>
      </c>
      <c r="DD711" s="27" t="s">
        <v>7</v>
      </c>
      <c r="DE711" s="27" t="s">
        <v>8</v>
      </c>
      <c r="DF711" s="27" t="s">
        <v>7</v>
      </c>
      <c r="DG711" s="27" t="s">
        <v>8</v>
      </c>
      <c r="DP711" s="27" t="s">
        <v>7</v>
      </c>
      <c r="DQ711" s="27" t="s">
        <v>8</v>
      </c>
      <c r="DR711" s="27" t="s">
        <v>7</v>
      </c>
      <c r="DS711" s="27" t="s">
        <v>8</v>
      </c>
      <c r="DT711" s="27" t="s">
        <v>7</v>
      </c>
      <c r="DU711" s="27" t="s">
        <v>8</v>
      </c>
      <c r="DV711" s="27" t="s">
        <v>7</v>
      </c>
      <c r="DZ711" s="27" t="s">
        <v>7</v>
      </c>
      <c r="EF711" s="27" t="s">
        <v>7</v>
      </c>
      <c r="EG711" s="27" t="s">
        <v>8</v>
      </c>
      <c r="EP711" s="27" t="s">
        <v>7</v>
      </c>
      <c r="EQ711" s="27" t="s">
        <v>8</v>
      </c>
      <c r="EZ711" s="27" t="s">
        <v>7</v>
      </c>
      <c r="FA711" s="27" t="s">
        <v>8</v>
      </c>
      <c r="FB711" s="27" t="s">
        <v>7</v>
      </c>
      <c r="FM711" s="27" t="s">
        <v>8</v>
      </c>
      <c r="FN711" s="27" t="s">
        <v>7</v>
      </c>
    </row>
    <row r="712" spans="1:180" x14ac:dyDescent="0.25">
      <c r="A712" s="7">
        <v>8.4135354657643366E-2</v>
      </c>
      <c r="B712"/>
      <c r="C712"/>
      <c r="D712"/>
      <c r="E712"/>
      <c r="AZ712" s="27" t="s">
        <v>7</v>
      </c>
      <c r="BC712" s="27" t="s">
        <v>8</v>
      </c>
      <c r="BD712" s="27" t="s">
        <v>7</v>
      </c>
      <c r="BE712" s="27" t="s">
        <v>8</v>
      </c>
      <c r="BJ712" s="27" t="s">
        <v>7</v>
      </c>
      <c r="BK712" s="27" t="s">
        <v>8</v>
      </c>
      <c r="BL712" s="27" t="s">
        <v>7</v>
      </c>
      <c r="BN712" s="27" t="s">
        <v>7</v>
      </c>
      <c r="BO712" s="27" t="s">
        <v>8</v>
      </c>
      <c r="BP712" s="27" t="s">
        <v>7</v>
      </c>
      <c r="BQ712" s="27" t="s">
        <v>8</v>
      </c>
      <c r="BR712" s="27" t="s">
        <v>7</v>
      </c>
      <c r="CM712" s="27" t="s">
        <v>8</v>
      </c>
      <c r="CN712" s="27" t="s">
        <v>7</v>
      </c>
      <c r="CO712" s="27" t="s">
        <v>8</v>
      </c>
      <c r="CP712" s="27" t="s">
        <v>7</v>
      </c>
      <c r="CQ712" s="27" t="s">
        <v>8</v>
      </c>
      <c r="CR712" s="27" t="s">
        <v>7</v>
      </c>
      <c r="CS712" s="27" t="s">
        <v>8</v>
      </c>
      <c r="CT712" s="27" t="s">
        <v>7</v>
      </c>
      <c r="CU712" s="27" t="s">
        <v>8</v>
      </c>
      <c r="CV712" s="27" t="s">
        <v>7</v>
      </c>
      <c r="CW712" s="27" t="s">
        <v>8</v>
      </c>
      <c r="CX712" s="27" t="s">
        <v>7</v>
      </c>
      <c r="CY712" s="27" t="s">
        <v>8</v>
      </c>
      <c r="CZ712" s="27" t="s">
        <v>7</v>
      </c>
      <c r="DA712" s="27" t="s">
        <v>8</v>
      </c>
      <c r="DB712" s="27" t="s">
        <v>7</v>
      </c>
      <c r="DC712" s="27" t="s">
        <v>8</v>
      </c>
      <c r="DD712" s="27" t="s">
        <v>7</v>
      </c>
      <c r="DE712" s="27" t="s">
        <v>8</v>
      </c>
      <c r="DF712" s="27" t="s">
        <v>7</v>
      </c>
      <c r="DG712" s="27" t="s">
        <v>8</v>
      </c>
      <c r="DP712" s="27" t="s">
        <v>7</v>
      </c>
      <c r="DQ712" s="27" t="s">
        <v>8</v>
      </c>
      <c r="DR712" s="27" t="s">
        <v>7</v>
      </c>
      <c r="DS712" s="27" t="s">
        <v>8</v>
      </c>
      <c r="DT712" s="27" t="s">
        <v>7</v>
      </c>
      <c r="DU712" s="27" t="s">
        <v>8</v>
      </c>
      <c r="EF712" s="27" t="s">
        <v>7</v>
      </c>
      <c r="EG712" s="27" t="s">
        <v>8</v>
      </c>
      <c r="EP712" s="27" t="s">
        <v>7</v>
      </c>
      <c r="EQ712" s="27" t="s">
        <v>8</v>
      </c>
      <c r="EZ712" s="27" t="s">
        <v>7</v>
      </c>
      <c r="FA712" s="27" t="s">
        <v>8</v>
      </c>
      <c r="FB712" s="27" t="s">
        <v>7</v>
      </c>
      <c r="FC712" s="27" t="s">
        <v>8</v>
      </c>
      <c r="FM712" s="27" t="s">
        <v>8</v>
      </c>
      <c r="FN712" s="27" t="s">
        <v>7</v>
      </c>
    </row>
    <row r="713" spans="1:180" x14ac:dyDescent="0.25">
      <c r="A713" s="7">
        <v>8.248564182121898E-2</v>
      </c>
      <c r="B713"/>
      <c r="C713"/>
      <c r="D713"/>
      <c r="E713"/>
      <c r="AZ713" s="27" t="s">
        <v>7</v>
      </c>
      <c r="BC713" s="27" t="s">
        <v>8</v>
      </c>
      <c r="BD713" s="27" t="s">
        <v>7</v>
      </c>
      <c r="BE713" s="27" t="s">
        <v>8</v>
      </c>
      <c r="BJ713" s="27" t="s">
        <v>7</v>
      </c>
      <c r="BK713" s="27" t="s">
        <v>8</v>
      </c>
      <c r="BN713" s="27" t="s">
        <v>7</v>
      </c>
      <c r="BO713" s="27" t="s">
        <v>8</v>
      </c>
      <c r="BP713" s="27" t="s">
        <v>7</v>
      </c>
      <c r="BQ713" s="27" t="s">
        <v>8</v>
      </c>
      <c r="BR713" s="27" t="s">
        <v>7</v>
      </c>
      <c r="CM713" s="27" t="s">
        <v>8</v>
      </c>
      <c r="CN713" s="27" t="s">
        <v>7</v>
      </c>
      <c r="CO713" s="27" t="s">
        <v>8</v>
      </c>
      <c r="CP713" s="27" t="s">
        <v>7</v>
      </c>
      <c r="CQ713" s="27" t="s">
        <v>8</v>
      </c>
      <c r="CR713" s="27" t="s">
        <v>7</v>
      </c>
      <c r="CT713" s="27" t="s">
        <v>7</v>
      </c>
      <c r="CV713" s="27" t="s">
        <v>7</v>
      </c>
      <c r="CW713" s="27" t="s">
        <v>8</v>
      </c>
      <c r="CX713" s="27" t="s">
        <v>7</v>
      </c>
      <c r="CZ713" s="27" t="s">
        <v>7</v>
      </c>
      <c r="DA713" s="27" t="s">
        <v>8</v>
      </c>
      <c r="DB713" s="27" t="s">
        <v>7</v>
      </c>
      <c r="DC713" s="27" t="s">
        <v>8</v>
      </c>
      <c r="DD713" s="27" t="s">
        <v>7</v>
      </c>
      <c r="DF713" s="27" t="s">
        <v>7</v>
      </c>
      <c r="DG713" s="27" t="s">
        <v>8</v>
      </c>
      <c r="DP713" s="27" t="s">
        <v>7</v>
      </c>
      <c r="DQ713" s="27" t="s">
        <v>8</v>
      </c>
      <c r="DR713" s="27" t="s">
        <v>7</v>
      </c>
      <c r="DS713" s="27" t="s">
        <v>8</v>
      </c>
      <c r="DT713" s="27" t="s">
        <v>7</v>
      </c>
      <c r="DU713" s="27" t="s">
        <v>8</v>
      </c>
      <c r="EF713" s="27" t="s">
        <v>7</v>
      </c>
      <c r="EP713" s="27" t="s">
        <v>7</v>
      </c>
      <c r="EQ713" s="27" t="s">
        <v>8</v>
      </c>
      <c r="EZ713" s="27" t="s">
        <v>7</v>
      </c>
      <c r="FA713" s="27" t="s">
        <v>8</v>
      </c>
      <c r="FB713" s="27" t="s">
        <v>7</v>
      </c>
      <c r="FC713" s="27" t="s">
        <v>8</v>
      </c>
      <c r="FD713" s="27" t="s">
        <v>7</v>
      </c>
      <c r="FM713" s="27" t="s">
        <v>8</v>
      </c>
      <c r="FN713" s="27" t="s">
        <v>7</v>
      </c>
    </row>
    <row r="714" spans="1:180" x14ac:dyDescent="0.25">
      <c r="A714" s="7">
        <v>8.0868276295312735E-2</v>
      </c>
      <c r="B714"/>
      <c r="C714"/>
      <c r="D714"/>
      <c r="E714"/>
      <c r="AZ714" s="27" t="s">
        <v>7</v>
      </c>
      <c r="BC714" s="27" t="s">
        <v>8</v>
      </c>
      <c r="BD714" s="27" t="s">
        <v>7</v>
      </c>
      <c r="BE714" s="27" t="s">
        <v>8</v>
      </c>
      <c r="BJ714" s="27" t="s">
        <v>7</v>
      </c>
      <c r="BK714" s="27" t="s">
        <v>8</v>
      </c>
      <c r="BN714" s="27" t="s">
        <v>7</v>
      </c>
      <c r="BP714" s="27" t="s">
        <v>7</v>
      </c>
      <c r="BR714" s="27" t="s">
        <v>7</v>
      </c>
      <c r="CM714" s="27" t="s">
        <v>8</v>
      </c>
      <c r="CN714" s="27" t="s">
        <v>7</v>
      </c>
      <c r="CO714" s="27" t="s">
        <v>8</v>
      </c>
      <c r="CP714" s="27" t="s">
        <v>7</v>
      </c>
      <c r="CQ714" s="27" t="s">
        <v>8</v>
      </c>
      <c r="CV714" s="27" t="s">
        <v>7</v>
      </c>
      <c r="CW714" s="27" t="s">
        <v>8</v>
      </c>
      <c r="CZ714" s="27" t="s">
        <v>7</v>
      </c>
      <c r="DA714" s="27" t="s">
        <v>8</v>
      </c>
      <c r="DB714" s="27" t="s">
        <v>7</v>
      </c>
      <c r="DC714" s="27" t="s">
        <v>8</v>
      </c>
      <c r="DF714" s="27" t="s">
        <v>7</v>
      </c>
      <c r="DG714" s="27" t="s">
        <v>8</v>
      </c>
      <c r="DP714" s="27" t="s">
        <v>7</v>
      </c>
      <c r="DQ714" s="27" t="s">
        <v>8</v>
      </c>
      <c r="DR714" s="27" t="s">
        <v>7</v>
      </c>
      <c r="DT714" s="27" t="s">
        <v>7</v>
      </c>
      <c r="DU714" s="27" t="s">
        <v>8</v>
      </c>
      <c r="EP714" s="27" t="s">
        <v>7</v>
      </c>
      <c r="EQ714" s="27" t="s">
        <v>8</v>
      </c>
      <c r="EZ714" s="27" t="s">
        <v>7</v>
      </c>
      <c r="FA714" s="27" t="s">
        <v>8</v>
      </c>
      <c r="FB714" s="27" t="s">
        <v>7</v>
      </c>
      <c r="FC714" s="27" t="s">
        <v>8</v>
      </c>
      <c r="FD714" s="27" t="s">
        <v>7</v>
      </c>
      <c r="FM714" s="27" t="s">
        <v>8</v>
      </c>
      <c r="FN714" s="27" t="s">
        <v>7</v>
      </c>
    </row>
    <row r="715" spans="1:180" x14ac:dyDescent="0.25">
      <c r="A715" s="7">
        <v>7.9282623818934056E-2</v>
      </c>
      <c r="B715"/>
      <c r="C715"/>
      <c r="D715"/>
      <c r="E715"/>
      <c r="AZ715" s="27" t="s">
        <v>7</v>
      </c>
      <c r="BA715" s="27" t="s">
        <v>8</v>
      </c>
      <c r="BC715" s="27" t="s">
        <v>8</v>
      </c>
      <c r="BD715" s="27" t="s">
        <v>7</v>
      </c>
      <c r="BE715" s="27" t="s">
        <v>8</v>
      </c>
      <c r="BJ715" s="27" t="s">
        <v>7</v>
      </c>
      <c r="BR715" s="27" t="s">
        <v>7</v>
      </c>
      <c r="CM715" s="27" t="s">
        <v>8</v>
      </c>
      <c r="CN715" s="27" t="s">
        <v>7</v>
      </c>
      <c r="CO715" s="27" t="s">
        <v>8</v>
      </c>
      <c r="CP715" s="27" t="s">
        <v>7</v>
      </c>
      <c r="CQ715" s="27" t="s">
        <v>8</v>
      </c>
      <c r="CV715" s="27" t="s">
        <v>7</v>
      </c>
      <c r="CZ715" s="27" t="s">
        <v>7</v>
      </c>
      <c r="DA715" s="27" t="s">
        <v>8</v>
      </c>
      <c r="DB715" s="27" t="s">
        <v>7</v>
      </c>
      <c r="DF715" s="27" t="s">
        <v>7</v>
      </c>
      <c r="DG715" s="27" t="s">
        <v>8</v>
      </c>
      <c r="DP715" s="27" t="s">
        <v>7</v>
      </c>
      <c r="DQ715" s="27" t="s">
        <v>8</v>
      </c>
      <c r="DT715" s="27" t="s">
        <v>7</v>
      </c>
      <c r="DU715" s="27" t="s">
        <v>8</v>
      </c>
      <c r="EP715" s="27" t="s">
        <v>7</v>
      </c>
      <c r="EQ715" s="27" t="s">
        <v>8</v>
      </c>
      <c r="EZ715" s="27" t="s">
        <v>7</v>
      </c>
      <c r="FA715" s="27" t="s">
        <v>8</v>
      </c>
      <c r="FB715" s="27" t="s">
        <v>7</v>
      </c>
      <c r="FC715" s="27" t="s">
        <v>8</v>
      </c>
      <c r="FD715" s="27" t="s">
        <v>7</v>
      </c>
      <c r="FM715" s="27" t="s">
        <v>8</v>
      </c>
      <c r="FN715" s="27" t="s">
        <v>7</v>
      </c>
    </row>
    <row r="716" spans="1:180" x14ac:dyDescent="0.25">
      <c r="A716" s="7">
        <v>7.7728062567582412E-2</v>
      </c>
      <c r="B716"/>
      <c r="C716"/>
      <c r="D716"/>
      <c r="E716"/>
      <c r="AZ716" s="27" t="s">
        <v>7</v>
      </c>
      <c r="BA716" s="27" t="s">
        <v>8</v>
      </c>
      <c r="BB716" s="27" t="s">
        <v>7</v>
      </c>
      <c r="BC716" s="27" t="s">
        <v>8</v>
      </c>
      <c r="BD716" s="27" t="s">
        <v>7</v>
      </c>
      <c r="BE716" s="27" t="s">
        <v>8</v>
      </c>
      <c r="BR716" s="27" t="s">
        <v>7</v>
      </c>
      <c r="BY716" s="27" t="s">
        <v>8</v>
      </c>
      <c r="CM716" s="27" t="s">
        <v>8</v>
      </c>
      <c r="CN716" s="27" t="s">
        <v>7</v>
      </c>
      <c r="CO716" s="27" t="s">
        <v>8</v>
      </c>
      <c r="CP716" s="27" t="s">
        <v>7</v>
      </c>
      <c r="CQ716" s="27" t="s">
        <v>8</v>
      </c>
      <c r="CZ716" s="27" t="s">
        <v>7</v>
      </c>
      <c r="DA716" s="27" t="s">
        <v>8</v>
      </c>
      <c r="DF716" s="27" t="s">
        <v>7</v>
      </c>
      <c r="DG716" s="27" t="s">
        <v>8</v>
      </c>
      <c r="DP716" s="27" t="s">
        <v>7</v>
      </c>
      <c r="DQ716" s="27" t="s">
        <v>8</v>
      </c>
      <c r="DT716" s="27" t="s">
        <v>7</v>
      </c>
      <c r="DU716" s="27" t="s">
        <v>8</v>
      </c>
      <c r="EP716" s="27" t="s">
        <v>7</v>
      </c>
      <c r="EZ716" s="27" t="s">
        <v>7</v>
      </c>
      <c r="FB716" s="27" t="s">
        <v>7</v>
      </c>
      <c r="FC716" s="27" t="s">
        <v>8</v>
      </c>
      <c r="FD716" s="27" t="s">
        <v>7</v>
      </c>
      <c r="FM716" s="27" t="s">
        <v>8</v>
      </c>
      <c r="FN716" s="27" t="s">
        <v>7</v>
      </c>
    </row>
    <row r="717" spans="1:180" x14ac:dyDescent="0.25">
      <c r="A717" s="7">
        <v>7.6203982909394521E-2</v>
      </c>
      <c r="B717"/>
      <c r="C717"/>
      <c r="D717"/>
      <c r="E717"/>
      <c r="AZ717" s="27" t="s">
        <v>7</v>
      </c>
      <c r="BA717" s="27" t="s">
        <v>8</v>
      </c>
      <c r="BB717" s="27" t="s">
        <v>7</v>
      </c>
      <c r="BC717" s="27" t="s">
        <v>8</v>
      </c>
      <c r="BD717" s="27" t="s">
        <v>7</v>
      </c>
      <c r="BE717" s="27" t="s">
        <v>8</v>
      </c>
      <c r="BR717" s="27" t="s">
        <v>7</v>
      </c>
      <c r="BY717" s="27" t="s">
        <v>8</v>
      </c>
      <c r="BZ717" s="27" t="s">
        <v>7</v>
      </c>
      <c r="CM717" s="27" t="s">
        <v>8</v>
      </c>
      <c r="CN717" s="27" t="s">
        <v>7</v>
      </c>
      <c r="CO717" s="27" t="s">
        <v>8</v>
      </c>
      <c r="CP717" s="27" t="s">
        <v>7</v>
      </c>
      <c r="CQ717" s="27" t="s">
        <v>8</v>
      </c>
      <c r="CZ717" s="27" t="s">
        <v>7</v>
      </c>
      <c r="DF717" s="27" t="s">
        <v>7</v>
      </c>
      <c r="DG717" s="27" t="s">
        <v>8</v>
      </c>
      <c r="DP717" s="27" t="s">
        <v>7</v>
      </c>
      <c r="DQ717" s="27" t="s">
        <v>8</v>
      </c>
      <c r="DT717" s="27" t="s">
        <v>7</v>
      </c>
      <c r="FB717" s="27" t="s">
        <v>7</v>
      </c>
      <c r="FC717" s="27" t="s">
        <v>8</v>
      </c>
      <c r="FD717" s="27" t="s">
        <v>7</v>
      </c>
      <c r="FM717" s="27" t="s">
        <v>8</v>
      </c>
      <c r="FN717" s="27" t="s">
        <v>7</v>
      </c>
      <c r="FU717" s="27" t="s">
        <v>8</v>
      </c>
    </row>
    <row r="718" spans="1:180" x14ac:dyDescent="0.25">
      <c r="A718" s="7">
        <v>7.4709787166073058E-2</v>
      </c>
      <c r="B718"/>
      <c r="C718"/>
      <c r="D718"/>
      <c r="E718"/>
      <c r="AZ718" s="27" t="s">
        <v>7</v>
      </c>
      <c r="BA718" s="27" t="s">
        <v>8</v>
      </c>
      <c r="BB718" s="27" t="s">
        <v>7</v>
      </c>
      <c r="BC718" s="27" t="s">
        <v>8</v>
      </c>
      <c r="BD718" s="27" t="s">
        <v>7</v>
      </c>
      <c r="BE718" s="27" t="s">
        <v>8</v>
      </c>
      <c r="BR718" s="27" t="s">
        <v>7</v>
      </c>
      <c r="BY718" s="27" t="s">
        <v>8</v>
      </c>
      <c r="BZ718" s="27" t="s">
        <v>7</v>
      </c>
      <c r="CM718" s="27" t="s">
        <v>8</v>
      </c>
      <c r="CN718" s="27" t="s">
        <v>7</v>
      </c>
      <c r="CO718" s="27" t="s">
        <v>8</v>
      </c>
      <c r="CP718" s="27" t="s">
        <v>7</v>
      </c>
      <c r="CQ718" s="27" t="s">
        <v>8</v>
      </c>
      <c r="DF718" s="27" t="s">
        <v>7</v>
      </c>
      <c r="DG718" s="27" t="s">
        <v>8</v>
      </c>
      <c r="DP718" s="27" t="s">
        <v>7</v>
      </c>
      <c r="DQ718" s="27" t="s">
        <v>8</v>
      </c>
      <c r="FB718" s="27" t="s">
        <v>7</v>
      </c>
      <c r="FC718" s="27" t="s">
        <v>8</v>
      </c>
      <c r="FD718" s="27" t="s">
        <v>7</v>
      </c>
      <c r="FM718" s="27" t="s">
        <v>8</v>
      </c>
      <c r="FN718" s="27" t="s">
        <v>7</v>
      </c>
      <c r="FO718" s="27" t="s">
        <v>8</v>
      </c>
      <c r="FU718" s="27" t="s">
        <v>8</v>
      </c>
      <c r="FV718" s="27" t="s">
        <v>7</v>
      </c>
    </row>
    <row r="719" spans="1:180" x14ac:dyDescent="0.25">
      <c r="A719" s="7">
        <v>7.3244889378503E-2</v>
      </c>
      <c r="B719"/>
      <c r="C719"/>
      <c r="D719"/>
      <c r="E719"/>
      <c r="AZ719" s="27" t="s">
        <v>7</v>
      </c>
      <c r="BA719" s="27" t="s">
        <v>8</v>
      </c>
      <c r="BB719" s="27" t="s">
        <v>7</v>
      </c>
      <c r="BC719" s="27" t="s">
        <v>8</v>
      </c>
      <c r="BD719" s="27" t="s">
        <v>7</v>
      </c>
      <c r="BR719" s="27" t="s">
        <v>7</v>
      </c>
      <c r="BS719" s="27" t="s">
        <v>8</v>
      </c>
      <c r="BY719" s="27" t="s">
        <v>8</v>
      </c>
      <c r="BZ719" s="27" t="s">
        <v>7</v>
      </c>
      <c r="CM719" s="27" t="s">
        <v>8</v>
      </c>
      <c r="CN719" s="27" t="s">
        <v>7</v>
      </c>
      <c r="CP719" s="27" t="s">
        <v>7</v>
      </c>
      <c r="CQ719" s="27" t="s">
        <v>8</v>
      </c>
      <c r="DF719" s="27" t="s">
        <v>7</v>
      </c>
      <c r="DG719" s="27" t="s">
        <v>8</v>
      </c>
      <c r="DP719" s="27" t="s">
        <v>7</v>
      </c>
      <c r="FB719" s="27" t="s">
        <v>7</v>
      </c>
      <c r="FC719" s="27" t="s">
        <v>8</v>
      </c>
      <c r="FD719" s="27" t="s">
        <v>7</v>
      </c>
      <c r="FM719" s="27" t="s">
        <v>8</v>
      </c>
      <c r="FN719" s="27" t="s">
        <v>7</v>
      </c>
      <c r="FO719" s="27" t="s">
        <v>8</v>
      </c>
      <c r="FP719" s="27" t="s">
        <v>7</v>
      </c>
      <c r="FU719" s="27" t="s">
        <v>8</v>
      </c>
      <c r="FV719" s="27" t="s">
        <v>7</v>
      </c>
      <c r="FW719" s="27" t="s">
        <v>8</v>
      </c>
    </row>
    <row r="720" spans="1:180" x14ac:dyDescent="0.25">
      <c r="A720" s="7">
        <v>7.1808715076963722E-2</v>
      </c>
      <c r="B720"/>
      <c r="C720"/>
      <c r="D720"/>
      <c r="E720"/>
      <c r="AZ720" s="27" t="s">
        <v>7</v>
      </c>
      <c r="BA720" s="27" t="s">
        <v>8</v>
      </c>
      <c r="BB720" s="27" t="s">
        <v>7</v>
      </c>
      <c r="BC720" s="27" t="s">
        <v>8</v>
      </c>
      <c r="BR720" s="27" t="s">
        <v>7</v>
      </c>
      <c r="BS720" s="27" t="s">
        <v>8</v>
      </c>
      <c r="BT720" s="27" t="s">
        <v>7</v>
      </c>
      <c r="BW720" s="27" t="s">
        <v>8</v>
      </c>
      <c r="BY720" s="27" t="s">
        <v>8</v>
      </c>
      <c r="BZ720" s="27" t="s">
        <v>7</v>
      </c>
      <c r="CC720" s="27" t="s">
        <v>8</v>
      </c>
      <c r="CM720" s="27" t="s">
        <v>8</v>
      </c>
      <c r="CP720" s="27" t="s">
        <v>7</v>
      </c>
      <c r="CQ720" s="27" t="s">
        <v>8</v>
      </c>
      <c r="DF720" s="27" t="s">
        <v>7</v>
      </c>
      <c r="DG720" s="27" t="s">
        <v>8</v>
      </c>
      <c r="FB720" s="27" t="s">
        <v>7</v>
      </c>
      <c r="FD720" s="27" t="s">
        <v>7</v>
      </c>
      <c r="FE720" s="27" t="s">
        <v>8</v>
      </c>
      <c r="FM720" s="27" t="s">
        <v>8</v>
      </c>
      <c r="FN720" s="27" t="s">
        <v>7</v>
      </c>
      <c r="FO720" s="27" t="s">
        <v>8</v>
      </c>
      <c r="FP720" s="27" t="s">
        <v>7</v>
      </c>
      <c r="FU720" s="27" t="s">
        <v>8</v>
      </c>
      <c r="FV720" s="27" t="s">
        <v>7</v>
      </c>
      <c r="FW720" s="27" t="s">
        <v>8</v>
      </c>
      <c r="FX720" s="27" t="s">
        <v>7</v>
      </c>
    </row>
    <row r="721" spans="1:180" x14ac:dyDescent="0.25">
      <c r="A721" s="7">
        <v>7.0400701055846782E-2</v>
      </c>
      <c r="B721"/>
      <c r="C721"/>
      <c r="D721"/>
      <c r="E721"/>
      <c r="AZ721" s="27" t="s">
        <v>7</v>
      </c>
      <c r="BA721" s="27" t="s">
        <v>8</v>
      </c>
      <c r="BB721" s="27" t="s">
        <v>7</v>
      </c>
      <c r="BC721" s="27" t="s">
        <v>8</v>
      </c>
      <c r="BR721" s="27" t="s">
        <v>7</v>
      </c>
      <c r="BS721" s="27" t="s">
        <v>8</v>
      </c>
      <c r="BT721" s="27" t="s">
        <v>7</v>
      </c>
      <c r="BW721" s="27" t="s">
        <v>8</v>
      </c>
      <c r="BX721" s="27" t="s">
        <v>7</v>
      </c>
      <c r="BY721" s="27" t="s">
        <v>8</v>
      </c>
      <c r="BZ721" s="27" t="s">
        <v>7</v>
      </c>
      <c r="CC721" s="27" t="s">
        <v>8</v>
      </c>
      <c r="CD721" s="27" t="s">
        <v>7</v>
      </c>
      <c r="CK721" s="27" t="s">
        <v>8</v>
      </c>
      <c r="CM721" s="27" t="s">
        <v>8</v>
      </c>
      <c r="CP721" s="27" t="s">
        <v>7</v>
      </c>
      <c r="DF721" s="27" t="s">
        <v>7</v>
      </c>
      <c r="DG721" s="27" t="s">
        <v>8</v>
      </c>
      <c r="FD721" s="27" t="s">
        <v>7</v>
      </c>
      <c r="FE721" s="27" t="s">
        <v>8</v>
      </c>
      <c r="FF721" s="27" t="s">
        <v>7</v>
      </c>
      <c r="FI721" s="27" t="s">
        <v>8</v>
      </c>
      <c r="FM721" s="27" t="s">
        <v>8</v>
      </c>
      <c r="FN721" s="27" t="s">
        <v>7</v>
      </c>
      <c r="FO721" s="27" t="s">
        <v>8</v>
      </c>
      <c r="FP721" s="27" t="s">
        <v>7</v>
      </c>
      <c r="FU721" s="27" t="s">
        <v>8</v>
      </c>
      <c r="FV721" s="27" t="s">
        <v>7</v>
      </c>
      <c r="FW721" s="27" t="s">
        <v>8</v>
      </c>
      <c r="FX721" s="27" t="s">
        <v>7</v>
      </c>
    </row>
    <row r="722" spans="1:180" x14ac:dyDescent="0.25">
      <c r="A722" s="7">
        <v>6.9020295152790956E-2</v>
      </c>
      <c r="B722"/>
      <c r="C722"/>
      <c r="D722"/>
      <c r="E722"/>
      <c r="AZ722" s="27" t="s">
        <v>7</v>
      </c>
      <c r="BA722" s="27" t="s">
        <v>8</v>
      </c>
      <c r="BB722" s="27" t="s">
        <v>7</v>
      </c>
      <c r="BC722" s="27" t="s">
        <v>8</v>
      </c>
      <c r="BR722" s="27" t="s">
        <v>7</v>
      </c>
      <c r="BS722" s="27" t="s">
        <v>8</v>
      </c>
      <c r="BT722" s="27" t="s">
        <v>7</v>
      </c>
      <c r="BU722" s="27" t="s">
        <v>8</v>
      </c>
      <c r="BW722" s="27" t="s">
        <v>8</v>
      </c>
      <c r="BX722" s="27" t="s">
        <v>7</v>
      </c>
      <c r="BY722" s="27" t="s">
        <v>8</v>
      </c>
      <c r="BZ722" s="27" t="s">
        <v>7</v>
      </c>
      <c r="CC722" s="27" t="s">
        <v>8</v>
      </c>
      <c r="CD722" s="27" t="s">
        <v>7</v>
      </c>
      <c r="CK722" s="27" t="s">
        <v>8</v>
      </c>
      <c r="CL722" s="27" t="s">
        <v>7</v>
      </c>
      <c r="CM722" s="27" t="s">
        <v>8</v>
      </c>
      <c r="DF722" s="27" t="s">
        <v>7</v>
      </c>
      <c r="DG722" s="27" t="s">
        <v>8</v>
      </c>
      <c r="FD722" s="27" t="s">
        <v>7</v>
      </c>
      <c r="FE722" s="27" t="s">
        <v>8</v>
      </c>
      <c r="FF722" s="27" t="s">
        <v>7</v>
      </c>
      <c r="FI722" s="27" t="s">
        <v>8</v>
      </c>
      <c r="FJ722" s="27" t="s">
        <v>7</v>
      </c>
      <c r="FM722" s="27" t="s">
        <v>8</v>
      </c>
      <c r="FN722" s="27" t="s">
        <v>7</v>
      </c>
      <c r="FO722" s="27" t="s">
        <v>8</v>
      </c>
      <c r="FP722" s="27" t="s">
        <v>7</v>
      </c>
      <c r="FU722" s="27" t="s">
        <v>8</v>
      </c>
      <c r="FV722" s="27" t="s">
        <v>7</v>
      </c>
      <c r="FW722" s="27" t="s">
        <v>8</v>
      </c>
      <c r="FX722" s="27" t="s">
        <v>7</v>
      </c>
    </row>
    <row r="723" spans="1:180" x14ac:dyDescent="0.25">
      <c r="A723" s="7">
        <v>6.7666956032147993E-2</v>
      </c>
      <c r="B723"/>
      <c r="C723"/>
      <c r="D723"/>
      <c r="E723"/>
      <c r="AZ723" s="27" t="s">
        <v>7</v>
      </c>
      <c r="BA723" s="27" t="s">
        <v>8</v>
      </c>
      <c r="BB723" s="27" t="s">
        <v>7</v>
      </c>
      <c r="BC723" s="27" t="s">
        <v>8</v>
      </c>
      <c r="BR723" s="27" t="s">
        <v>7</v>
      </c>
      <c r="BS723" s="27" t="s">
        <v>8</v>
      </c>
      <c r="BT723" s="27" t="s">
        <v>7</v>
      </c>
      <c r="BU723" s="27" t="s">
        <v>8</v>
      </c>
      <c r="BV723" s="27" t="s">
        <v>7</v>
      </c>
      <c r="BW723" s="27" t="s">
        <v>8</v>
      </c>
      <c r="BX723" s="27" t="s">
        <v>7</v>
      </c>
      <c r="BY723" s="27" t="s">
        <v>8</v>
      </c>
      <c r="BZ723" s="27" t="s">
        <v>7</v>
      </c>
      <c r="CC723" s="27" t="s">
        <v>8</v>
      </c>
      <c r="CD723" s="27" t="s">
        <v>7</v>
      </c>
      <c r="CK723" s="27" t="s">
        <v>8</v>
      </c>
      <c r="CL723" s="27" t="s">
        <v>7</v>
      </c>
      <c r="CM723" s="27" t="s">
        <v>8</v>
      </c>
      <c r="DF723" s="27" t="s">
        <v>7</v>
      </c>
      <c r="DG723" s="27" t="s">
        <v>8</v>
      </c>
      <c r="FD723" s="27" t="s">
        <v>7</v>
      </c>
      <c r="FE723" s="27" t="s">
        <v>8</v>
      </c>
      <c r="FF723" s="27" t="s">
        <v>7</v>
      </c>
      <c r="FI723" s="27" t="s">
        <v>8</v>
      </c>
      <c r="FJ723" s="27" t="s">
        <v>7</v>
      </c>
      <c r="FK723" s="27" t="s">
        <v>8</v>
      </c>
      <c r="FM723" s="27" t="s">
        <v>8</v>
      </c>
      <c r="FN723" s="27" t="s">
        <v>7</v>
      </c>
      <c r="FO723" s="27" t="s">
        <v>8</v>
      </c>
      <c r="FP723" s="27" t="s">
        <v>7</v>
      </c>
      <c r="FU723" s="27" t="s">
        <v>8</v>
      </c>
      <c r="FV723" s="27" t="s">
        <v>7</v>
      </c>
      <c r="FW723" s="27" t="s">
        <v>8</v>
      </c>
      <c r="FX723" s="27" t="s">
        <v>7</v>
      </c>
    </row>
    <row r="724" spans="1:180" x14ac:dyDescent="0.25">
      <c r="A724" s="7">
        <v>6.6340152972694105E-2</v>
      </c>
      <c r="B724"/>
      <c r="C724"/>
      <c r="D724"/>
      <c r="E724"/>
      <c r="AZ724" s="27" t="s">
        <v>7</v>
      </c>
      <c r="BA724" s="27" t="s">
        <v>8</v>
      </c>
      <c r="BB724" s="27" t="s">
        <v>7</v>
      </c>
      <c r="BC724" s="27" t="s">
        <v>8</v>
      </c>
      <c r="BR724" s="27" t="s">
        <v>7</v>
      </c>
      <c r="BS724" s="27" t="s">
        <v>8</v>
      </c>
      <c r="BT724" s="27" t="s">
        <v>7</v>
      </c>
      <c r="BU724" s="27" t="s">
        <v>8</v>
      </c>
      <c r="BV724" s="27" t="s">
        <v>7</v>
      </c>
      <c r="BW724" s="27" t="s">
        <v>8</v>
      </c>
      <c r="BX724" s="27" t="s">
        <v>7</v>
      </c>
      <c r="BY724" s="27" t="s">
        <v>8</v>
      </c>
      <c r="BZ724" s="27" t="s">
        <v>7</v>
      </c>
      <c r="CA724" s="27" t="s">
        <v>8</v>
      </c>
      <c r="CC724" s="27" t="s">
        <v>8</v>
      </c>
      <c r="CD724" s="27" t="s">
        <v>7</v>
      </c>
      <c r="CI724" s="27" t="s">
        <v>8</v>
      </c>
      <c r="CK724" s="27" t="s">
        <v>8</v>
      </c>
      <c r="CL724" s="27" t="s">
        <v>7</v>
      </c>
      <c r="CM724" s="27" t="s">
        <v>8</v>
      </c>
      <c r="DF724" s="27" t="s">
        <v>7</v>
      </c>
      <c r="FD724" s="27" t="s">
        <v>7</v>
      </c>
      <c r="FF724" s="27" t="s">
        <v>7</v>
      </c>
      <c r="FG724" s="27" t="s">
        <v>8</v>
      </c>
      <c r="FI724" s="27" t="s">
        <v>8</v>
      </c>
      <c r="FJ724" s="27" t="s">
        <v>7</v>
      </c>
      <c r="FK724" s="27" t="s">
        <v>8</v>
      </c>
      <c r="FL724" s="27" t="s">
        <v>7</v>
      </c>
      <c r="FM724" s="27" t="s">
        <v>8</v>
      </c>
      <c r="FN724" s="27" t="s">
        <v>7</v>
      </c>
      <c r="FO724" s="27" t="s">
        <v>8</v>
      </c>
      <c r="FP724" s="27" t="s">
        <v>7</v>
      </c>
      <c r="FU724" s="27" t="s">
        <v>8</v>
      </c>
      <c r="FV724" s="27" t="s">
        <v>7</v>
      </c>
      <c r="FW724" s="27" t="s">
        <v>8</v>
      </c>
      <c r="FX724" s="27" t="s">
        <v>7</v>
      </c>
    </row>
    <row r="725" spans="1:180" x14ac:dyDescent="0.25">
      <c r="A725" s="7">
        <v>6.5039365659504023E-2</v>
      </c>
      <c r="B725"/>
      <c r="C725"/>
      <c r="D725"/>
      <c r="E725"/>
      <c r="AZ725" s="27" t="s">
        <v>7</v>
      </c>
      <c r="BB725" s="27" t="s">
        <v>7</v>
      </c>
      <c r="BC725" s="27" t="s">
        <v>8</v>
      </c>
      <c r="BR725" s="27" t="s">
        <v>7</v>
      </c>
      <c r="BS725" s="27" t="s">
        <v>8</v>
      </c>
      <c r="BT725" s="27" t="s">
        <v>7</v>
      </c>
      <c r="BU725" s="27" t="s">
        <v>8</v>
      </c>
      <c r="BV725" s="27" t="s">
        <v>7</v>
      </c>
      <c r="BW725" s="27" t="s">
        <v>8</v>
      </c>
      <c r="BX725" s="27" t="s">
        <v>7</v>
      </c>
      <c r="BY725" s="27" t="s">
        <v>8</v>
      </c>
      <c r="BZ725" s="27" t="s">
        <v>7</v>
      </c>
      <c r="CA725" s="27" t="s">
        <v>8</v>
      </c>
      <c r="CB725" s="27" t="s">
        <v>7</v>
      </c>
      <c r="CC725" s="27" t="s">
        <v>8</v>
      </c>
      <c r="CD725" s="27" t="s">
        <v>7</v>
      </c>
      <c r="CI725" s="27" t="s">
        <v>8</v>
      </c>
      <c r="CJ725" s="27" t="s">
        <v>7</v>
      </c>
      <c r="CK725" s="27" t="s">
        <v>8</v>
      </c>
      <c r="CL725" s="27" t="s">
        <v>7</v>
      </c>
      <c r="FF725" s="27" t="s">
        <v>7</v>
      </c>
      <c r="FG725" s="27" t="s">
        <v>8</v>
      </c>
      <c r="FH725" s="27" t="s">
        <v>7</v>
      </c>
      <c r="FI725" s="27" t="s">
        <v>8</v>
      </c>
      <c r="FJ725" s="27" t="s">
        <v>7</v>
      </c>
      <c r="FK725" s="27" t="s">
        <v>8</v>
      </c>
      <c r="FL725" s="27" t="s">
        <v>7</v>
      </c>
      <c r="FM725" s="27" t="s">
        <v>8</v>
      </c>
      <c r="FN725" s="27" t="s">
        <v>7</v>
      </c>
      <c r="FO725" s="27" t="s">
        <v>8</v>
      </c>
      <c r="FP725" s="27" t="s">
        <v>7</v>
      </c>
      <c r="FU725" s="27" t="s">
        <v>8</v>
      </c>
      <c r="FV725" s="27" t="s">
        <v>7</v>
      </c>
      <c r="FW725" s="27" t="s">
        <v>8</v>
      </c>
      <c r="FX725" s="27" t="s">
        <v>7</v>
      </c>
    </row>
    <row r="726" spans="1:180" x14ac:dyDescent="0.25">
      <c r="A726" s="7">
        <v>6.3764083979905906E-2</v>
      </c>
      <c r="B726"/>
      <c r="C726"/>
      <c r="D726"/>
      <c r="E726"/>
      <c r="BB726" s="27" t="s">
        <v>7</v>
      </c>
      <c r="BC726" s="27" t="s">
        <v>8</v>
      </c>
      <c r="BR726" s="27" t="s">
        <v>7</v>
      </c>
      <c r="BS726" s="27" t="s">
        <v>8</v>
      </c>
      <c r="BT726" s="27" t="s">
        <v>7</v>
      </c>
      <c r="BU726" s="27" t="s">
        <v>8</v>
      </c>
      <c r="BV726" s="27" t="s">
        <v>7</v>
      </c>
      <c r="BW726" s="27" t="s">
        <v>8</v>
      </c>
      <c r="BX726" s="27" t="s">
        <v>7</v>
      </c>
      <c r="BZ726" s="27" t="s">
        <v>7</v>
      </c>
      <c r="CA726" s="27" t="s">
        <v>8</v>
      </c>
      <c r="CB726" s="27" t="s">
        <v>7</v>
      </c>
      <c r="CC726" s="27" t="s">
        <v>8</v>
      </c>
      <c r="CD726" s="27" t="s">
        <v>7</v>
      </c>
      <c r="CG726" s="27" t="s">
        <v>8</v>
      </c>
      <c r="CI726" s="27" t="s">
        <v>8</v>
      </c>
      <c r="CJ726" s="27" t="s">
        <v>7</v>
      </c>
      <c r="CK726" s="27" t="s">
        <v>8</v>
      </c>
      <c r="FF726" s="27" t="s">
        <v>7</v>
      </c>
      <c r="FG726" s="27" t="s">
        <v>8</v>
      </c>
      <c r="FH726" s="27" t="s">
        <v>7</v>
      </c>
      <c r="FI726" s="27" t="s">
        <v>8</v>
      </c>
      <c r="FJ726" s="27" t="s">
        <v>7</v>
      </c>
      <c r="FK726" s="27" t="s">
        <v>8</v>
      </c>
      <c r="FL726" s="27" t="s">
        <v>7</v>
      </c>
      <c r="FN726" s="27" t="s">
        <v>7</v>
      </c>
      <c r="FO726" s="27" t="s">
        <v>8</v>
      </c>
      <c r="FP726" s="27" t="s">
        <v>7</v>
      </c>
      <c r="FU726" s="27" t="s">
        <v>8</v>
      </c>
      <c r="FV726" s="27" t="s">
        <v>7</v>
      </c>
      <c r="FW726" s="27" t="s">
        <v>8</v>
      </c>
      <c r="FX726" s="27" t="s">
        <v>7</v>
      </c>
    </row>
    <row r="727" spans="1:180" x14ac:dyDescent="0.25">
      <c r="A727" s="7">
        <v>6.251380782343717E-2</v>
      </c>
      <c r="B727"/>
      <c r="C727"/>
      <c r="D727"/>
      <c r="E727"/>
      <c r="BB727" s="27" t="s">
        <v>7</v>
      </c>
      <c r="BC727" s="27" t="s">
        <v>8</v>
      </c>
      <c r="BR727" s="27" t="s">
        <v>7</v>
      </c>
      <c r="BS727" s="27" t="s">
        <v>8</v>
      </c>
      <c r="BT727" s="27" t="s">
        <v>7</v>
      </c>
      <c r="BU727" s="27" t="s">
        <v>8</v>
      </c>
      <c r="BV727" s="27" t="s">
        <v>7</v>
      </c>
      <c r="BW727" s="27" t="s">
        <v>8</v>
      </c>
      <c r="BZ727" s="27" t="s">
        <v>7</v>
      </c>
      <c r="CB727" s="27" t="s">
        <v>7</v>
      </c>
      <c r="CC727" s="27" t="s">
        <v>8</v>
      </c>
      <c r="CD727" s="27" t="s">
        <v>7</v>
      </c>
      <c r="CG727" s="27" t="s">
        <v>8</v>
      </c>
      <c r="CH727" s="27" t="s">
        <v>7</v>
      </c>
      <c r="CI727" s="27" t="s">
        <v>8</v>
      </c>
      <c r="CJ727" s="27" t="s">
        <v>7</v>
      </c>
      <c r="CK727" s="27" t="s">
        <v>8</v>
      </c>
      <c r="FF727" s="27" t="s">
        <v>7</v>
      </c>
      <c r="FG727" s="27" t="s">
        <v>8</v>
      </c>
      <c r="FH727" s="27" t="s">
        <v>7</v>
      </c>
      <c r="FI727" s="27" t="s">
        <v>8</v>
      </c>
      <c r="FJ727" s="27" t="s">
        <v>7</v>
      </c>
      <c r="FK727" s="27" t="s">
        <v>8</v>
      </c>
      <c r="FN727" s="27" t="s">
        <v>7</v>
      </c>
      <c r="FP727" s="27" t="s">
        <v>7</v>
      </c>
      <c r="FU727" s="27" t="s">
        <v>8</v>
      </c>
      <c r="FV727" s="27" t="s">
        <v>7</v>
      </c>
      <c r="FW727" s="27" t="s">
        <v>8</v>
      </c>
      <c r="FX727" s="27" t="s">
        <v>7</v>
      </c>
    </row>
    <row r="728" spans="1:180" x14ac:dyDescent="0.25">
      <c r="A728" s="7">
        <v>6.1288046885722716E-2</v>
      </c>
      <c r="B728"/>
      <c r="C728"/>
      <c r="D728"/>
      <c r="E728"/>
      <c r="BB728" s="27" t="s">
        <v>7</v>
      </c>
      <c r="BC728" s="27" t="s">
        <v>8</v>
      </c>
      <c r="BR728" s="27" t="s">
        <v>7</v>
      </c>
      <c r="BS728" s="27" t="s">
        <v>8</v>
      </c>
      <c r="BT728" s="27" t="s">
        <v>7</v>
      </c>
      <c r="BU728" s="27" t="s">
        <v>8</v>
      </c>
      <c r="BV728" s="27" t="s">
        <v>7</v>
      </c>
      <c r="BW728" s="27" t="s">
        <v>8</v>
      </c>
      <c r="CB728" s="27" t="s">
        <v>7</v>
      </c>
      <c r="CC728" s="27" t="s">
        <v>8</v>
      </c>
      <c r="CD728" s="27" t="s">
        <v>7</v>
      </c>
      <c r="CG728" s="27" t="s">
        <v>8</v>
      </c>
      <c r="CH728" s="27" t="s">
        <v>7</v>
      </c>
      <c r="CI728" s="27" t="s">
        <v>8</v>
      </c>
      <c r="CJ728" s="27" t="s">
        <v>7</v>
      </c>
      <c r="CK728" s="27" t="s">
        <v>8</v>
      </c>
      <c r="FF728" s="27" t="s">
        <v>7</v>
      </c>
      <c r="FG728" s="27" t="s">
        <v>8</v>
      </c>
      <c r="FH728" s="27" t="s">
        <v>7</v>
      </c>
      <c r="FI728" s="27" t="s">
        <v>8</v>
      </c>
      <c r="FJ728" s="27" t="s">
        <v>7</v>
      </c>
      <c r="FK728" s="27" t="s">
        <v>8</v>
      </c>
      <c r="FP728" s="27" t="s">
        <v>7</v>
      </c>
      <c r="FU728" s="27" t="s">
        <v>8</v>
      </c>
      <c r="FV728" s="27" t="s">
        <v>7</v>
      </c>
      <c r="FX728" s="27" t="s">
        <v>7</v>
      </c>
    </row>
    <row r="729" spans="1:180" x14ac:dyDescent="0.25">
      <c r="A729" s="7">
        <v>6.0086320476198739E-2</v>
      </c>
      <c r="B729"/>
      <c r="C729"/>
      <c r="D729"/>
      <c r="E729"/>
      <c r="BB729" s="27" t="s">
        <v>7</v>
      </c>
      <c r="BC729" s="27" t="s">
        <v>8</v>
      </c>
      <c r="BR729" s="27" t="s">
        <v>7</v>
      </c>
      <c r="BS729" s="27" t="s">
        <v>8</v>
      </c>
      <c r="BT729" s="27" t="s">
        <v>7</v>
      </c>
      <c r="BU729" s="27" t="s">
        <v>8</v>
      </c>
      <c r="BV729" s="27" t="s">
        <v>7</v>
      </c>
      <c r="CB729" s="27" t="s">
        <v>7</v>
      </c>
      <c r="CC729" s="27" t="s">
        <v>8</v>
      </c>
      <c r="CD729" s="27" t="s">
        <v>7</v>
      </c>
      <c r="CG729" s="27" t="s">
        <v>8</v>
      </c>
      <c r="CH729" s="27" t="s">
        <v>7</v>
      </c>
      <c r="CI729" s="27" t="s">
        <v>8</v>
      </c>
      <c r="CJ729" s="27" t="s">
        <v>7</v>
      </c>
      <c r="FF729" s="27" t="s">
        <v>7</v>
      </c>
      <c r="FG729" s="27" t="s">
        <v>8</v>
      </c>
      <c r="FH729" s="27" t="s">
        <v>7</v>
      </c>
      <c r="FJ729" s="27" t="s">
        <v>7</v>
      </c>
      <c r="FK729" s="27" t="s">
        <v>8</v>
      </c>
      <c r="FP729" s="27" t="s">
        <v>7</v>
      </c>
      <c r="FU729" s="27" t="s">
        <v>8</v>
      </c>
      <c r="FX729" s="27" t="s">
        <v>7</v>
      </c>
    </row>
    <row r="730" spans="1:180" x14ac:dyDescent="0.25">
      <c r="A730" s="7">
        <v>5.8908157329606609E-2</v>
      </c>
      <c r="B730"/>
      <c r="C730"/>
      <c r="D730"/>
      <c r="E730"/>
      <c r="BB730" s="27" t="s">
        <v>7</v>
      </c>
      <c r="BC730" s="27" t="s">
        <v>8</v>
      </c>
      <c r="BR730" s="27" t="s">
        <v>7</v>
      </c>
      <c r="BS730" s="27" t="s">
        <v>8</v>
      </c>
      <c r="BT730" s="27" t="s">
        <v>7</v>
      </c>
      <c r="BU730" s="27" t="s">
        <v>8</v>
      </c>
      <c r="CB730" s="27" t="s">
        <v>7</v>
      </c>
      <c r="CC730" s="27" t="s">
        <v>8</v>
      </c>
      <c r="CD730" s="27" t="s">
        <v>7</v>
      </c>
      <c r="CE730" s="27" t="s">
        <v>8</v>
      </c>
      <c r="CG730" s="27" t="s">
        <v>8</v>
      </c>
      <c r="CH730" s="27" t="s">
        <v>7</v>
      </c>
      <c r="CI730" s="27" t="s">
        <v>8</v>
      </c>
      <c r="FF730" s="27" t="s">
        <v>7</v>
      </c>
      <c r="FG730" s="27" t="s">
        <v>8</v>
      </c>
      <c r="FJ730" s="27" t="s">
        <v>7</v>
      </c>
      <c r="FK730" s="27" t="s">
        <v>8</v>
      </c>
      <c r="FP730" s="27" t="s">
        <v>7</v>
      </c>
      <c r="FU730" s="27" t="s">
        <v>8</v>
      </c>
      <c r="FX730" s="27" t="s">
        <v>7</v>
      </c>
    </row>
    <row r="731" spans="1:180" x14ac:dyDescent="0.25">
      <c r="A731" s="7">
        <v>5.7753095421182947E-2</v>
      </c>
      <c r="B731"/>
      <c r="C731"/>
      <c r="D731"/>
      <c r="E731"/>
      <c r="BB731" s="27" t="s">
        <v>7</v>
      </c>
      <c r="BC731" s="27" t="s">
        <v>8</v>
      </c>
      <c r="BR731" s="27" t="s">
        <v>7</v>
      </c>
      <c r="BS731" s="27" t="s">
        <v>8</v>
      </c>
      <c r="BT731" s="27" t="s">
        <v>7</v>
      </c>
      <c r="BU731" s="27" t="s">
        <v>8</v>
      </c>
      <c r="CB731" s="27" t="s">
        <v>7</v>
      </c>
      <c r="CD731" s="27" t="s">
        <v>7</v>
      </c>
      <c r="CE731" s="27" t="s">
        <v>8</v>
      </c>
      <c r="CF731" s="27" t="s">
        <v>7</v>
      </c>
      <c r="CG731" s="27" t="s">
        <v>8</v>
      </c>
      <c r="CH731" s="27" t="s">
        <v>7</v>
      </c>
      <c r="CI731" s="27" t="s">
        <v>8</v>
      </c>
      <c r="FF731" s="27" t="s">
        <v>7</v>
      </c>
      <c r="FJ731" s="27" t="s">
        <v>7</v>
      </c>
      <c r="FP731" s="27" t="s">
        <v>7</v>
      </c>
      <c r="FU731" s="27" t="s">
        <v>8</v>
      </c>
      <c r="FX731" s="27" t="s">
        <v>7</v>
      </c>
    </row>
    <row r="732" spans="1:180" x14ac:dyDescent="0.25">
      <c r="A732" s="7">
        <v>5.6620681785473484E-2</v>
      </c>
      <c r="B732"/>
      <c r="C732"/>
      <c r="D732"/>
      <c r="E732"/>
      <c r="BB732" s="27" t="s">
        <v>7</v>
      </c>
      <c r="BC732" s="27" t="s">
        <v>8</v>
      </c>
      <c r="BR732" s="27" t="s">
        <v>7</v>
      </c>
      <c r="BS732" s="27" t="s">
        <v>8</v>
      </c>
      <c r="BT732" s="27" t="s">
        <v>7</v>
      </c>
      <c r="CD732" s="27" t="s">
        <v>7</v>
      </c>
      <c r="CE732" s="27" t="s">
        <v>8</v>
      </c>
      <c r="CF732" s="27" t="s">
        <v>7</v>
      </c>
      <c r="CG732" s="27" t="s">
        <v>8</v>
      </c>
      <c r="CH732" s="27" t="s">
        <v>7</v>
      </c>
      <c r="CI732" s="27" t="s">
        <v>8</v>
      </c>
      <c r="FP732" s="27" t="s">
        <v>7</v>
      </c>
      <c r="FS732" s="27" t="s">
        <v>8</v>
      </c>
      <c r="FU732" s="27" t="s">
        <v>8</v>
      </c>
      <c r="FX732" s="27" t="s">
        <v>7</v>
      </c>
    </row>
    <row r="733" spans="1:180" x14ac:dyDescent="0.25">
      <c r="A733" s="7">
        <v>5.5510472338699497E-2</v>
      </c>
      <c r="B733"/>
      <c r="C733"/>
      <c r="D733"/>
      <c r="E733"/>
      <c r="BB733" s="27" t="s">
        <v>7</v>
      </c>
      <c r="BC733" s="27" t="s">
        <v>8</v>
      </c>
      <c r="BR733" s="27" t="s">
        <v>7</v>
      </c>
      <c r="BS733" s="27" t="s">
        <v>8</v>
      </c>
      <c r="CD733" s="27" t="s">
        <v>7</v>
      </c>
      <c r="CE733" s="27" t="s">
        <v>8</v>
      </c>
      <c r="CF733" s="27" t="s">
        <v>7</v>
      </c>
      <c r="CG733" s="27" t="s">
        <v>8</v>
      </c>
      <c r="CH733" s="27" t="s">
        <v>7</v>
      </c>
      <c r="CI733" s="27" t="s">
        <v>8</v>
      </c>
      <c r="FP733" s="27" t="s">
        <v>7</v>
      </c>
      <c r="FS733" s="27" t="s">
        <v>8</v>
      </c>
      <c r="FT733" s="27" t="s">
        <v>7</v>
      </c>
      <c r="FU733" s="27" t="s">
        <v>8</v>
      </c>
      <c r="FX733" s="27" t="s">
        <v>7</v>
      </c>
    </row>
    <row r="734" spans="1:180" x14ac:dyDescent="0.25">
      <c r="A734" s="7">
        <v>5.4422031704607354E-2</v>
      </c>
      <c r="B734"/>
      <c r="C734"/>
      <c r="D734"/>
      <c r="E734"/>
      <c r="BB734" s="27" t="s">
        <v>7</v>
      </c>
      <c r="BC734" s="27" t="s">
        <v>8</v>
      </c>
      <c r="BR734" s="27" t="s">
        <v>7</v>
      </c>
      <c r="BS734" s="27" t="s">
        <v>8</v>
      </c>
      <c r="CD734" s="27" t="s">
        <v>7</v>
      </c>
      <c r="CE734" s="27" t="s">
        <v>8</v>
      </c>
      <c r="CF734" s="27" t="s">
        <v>7</v>
      </c>
      <c r="CG734" s="27" t="s">
        <v>8</v>
      </c>
      <c r="CH734" s="27" t="s">
        <v>7</v>
      </c>
      <c r="FP734" s="27" t="s">
        <v>7</v>
      </c>
      <c r="FQ734" s="27" t="s">
        <v>8</v>
      </c>
      <c r="FS734" s="27" t="s">
        <v>8</v>
      </c>
      <c r="FT734" s="27" t="s">
        <v>7</v>
      </c>
      <c r="FU734" s="27" t="s">
        <v>8</v>
      </c>
      <c r="FX734" s="27" t="s">
        <v>7</v>
      </c>
    </row>
    <row r="735" spans="1:180" x14ac:dyDescent="0.25">
      <c r="A735" s="7">
        <v>5.3354933043732705E-2</v>
      </c>
      <c r="B735"/>
      <c r="C735"/>
      <c r="D735"/>
      <c r="E735"/>
      <c r="BB735" s="27" t="s">
        <v>7</v>
      </c>
      <c r="BC735" s="27" t="s">
        <v>8</v>
      </c>
      <c r="BR735" s="27" t="s">
        <v>7</v>
      </c>
      <c r="BS735" s="27" t="s">
        <v>8</v>
      </c>
      <c r="CD735" s="27" t="s">
        <v>7</v>
      </c>
      <c r="CE735" s="27" t="s">
        <v>8</v>
      </c>
      <c r="CF735" s="27" t="s">
        <v>7</v>
      </c>
      <c r="CG735" s="27" t="s">
        <v>8</v>
      </c>
      <c r="FP735" s="27" t="s">
        <v>7</v>
      </c>
      <c r="FQ735" s="27" t="s">
        <v>8</v>
      </c>
      <c r="FR735" s="27" t="s">
        <v>7</v>
      </c>
      <c r="FS735" s="27" t="s">
        <v>8</v>
      </c>
      <c r="FT735" s="27" t="s">
        <v>7</v>
      </c>
      <c r="FU735" s="27" t="s">
        <v>8</v>
      </c>
      <c r="FX735" s="27" t="s">
        <v>7</v>
      </c>
    </row>
    <row r="736" spans="1:180" x14ac:dyDescent="0.25">
      <c r="A736" s="7">
        <v>5.2308757886012455E-2</v>
      </c>
      <c r="B736"/>
      <c r="C736"/>
      <c r="D736"/>
      <c r="E736"/>
      <c r="BB736" s="27" t="s">
        <v>7</v>
      </c>
      <c r="BC736" s="27" t="s">
        <v>8</v>
      </c>
      <c r="BR736" s="27" t="s">
        <v>7</v>
      </c>
      <c r="BS736" s="27" t="s">
        <v>8</v>
      </c>
      <c r="CD736" s="27" t="s">
        <v>7</v>
      </c>
      <c r="CE736" s="27" t="s">
        <v>8</v>
      </c>
      <c r="CF736" s="27" t="s">
        <v>7</v>
      </c>
      <c r="CG736" s="27" t="s">
        <v>8</v>
      </c>
      <c r="FP736" s="27" t="s">
        <v>7</v>
      </c>
      <c r="FQ736" s="27" t="s">
        <v>8</v>
      </c>
      <c r="FR736" s="27" t="s">
        <v>7</v>
      </c>
      <c r="FS736" s="27" t="s">
        <v>8</v>
      </c>
      <c r="FT736" s="27" t="s">
        <v>7</v>
      </c>
      <c r="FU736" s="27" t="s">
        <v>8</v>
      </c>
      <c r="FX736" s="27" t="s">
        <v>7</v>
      </c>
    </row>
    <row r="737" spans="1:184" x14ac:dyDescent="0.25">
      <c r="A737" s="7">
        <v>5.1283095966678877E-2</v>
      </c>
      <c r="B737"/>
      <c r="C737"/>
      <c r="D737"/>
      <c r="E737"/>
      <c r="BB737" s="27" t="s">
        <v>7</v>
      </c>
      <c r="BC737" s="27" t="s">
        <v>8</v>
      </c>
      <c r="BR737" s="27" t="s">
        <v>7</v>
      </c>
      <c r="CD737" s="27" t="s">
        <v>7</v>
      </c>
      <c r="CE737" s="27" t="s">
        <v>8</v>
      </c>
      <c r="CF737" s="27" t="s">
        <v>7</v>
      </c>
      <c r="FP737" s="27" t="s">
        <v>7</v>
      </c>
      <c r="FQ737" s="27" t="s">
        <v>8</v>
      </c>
      <c r="FR737" s="27" t="s">
        <v>7</v>
      </c>
      <c r="FS737" s="27" t="s">
        <v>8</v>
      </c>
      <c r="FT737" s="27" t="s">
        <v>7</v>
      </c>
      <c r="FX737" s="27" t="s">
        <v>7</v>
      </c>
    </row>
    <row r="738" spans="1:184" x14ac:dyDescent="0.25">
      <c r="A738" s="7">
        <v>5.0277545065371444E-2</v>
      </c>
      <c r="B738"/>
      <c r="C738"/>
      <c r="D738"/>
      <c r="E738"/>
      <c r="BB738" s="27" t="s">
        <v>7</v>
      </c>
      <c r="BC738" s="27" t="s">
        <v>8</v>
      </c>
      <c r="CD738" s="18" t="s">
        <v>7</v>
      </c>
      <c r="CE738" s="27" t="s">
        <v>8</v>
      </c>
      <c r="FP738" s="27" t="s">
        <v>7</v>
      </c>
      <c r="FR738" s="27" t="s">
        <v>7</v>
      </c>
      <c r="FS738" s="27" t="s">
        <v>8</v>
      </c>
      <c r="FX738" s="27" t="s">
        <v>7</v>
      </c>
    </row>
    <row r="739" spans="1:184" x14ac:dyDescent="0.25">
      <c r="A739" s="7">
        <v>4.9291710848403378E-2</v>
      </c>
      <c r="B739"/>
      <c r="C739"/>
      <c r="D739"/>
      <c r="E739"/>
      <c r="BB739" s="27" t="s">
        <v>7</v>
      </c>
      <c r="BC739" s="27" t="s">
        <v>8</v>
      </c>
      <c r="CD739" s="27" t="s">
        <v>7</v>
      </c>
      <c r="CE739" s="27" t="s">
        <v>8</v>
      </c>
      <c r="FR739" s="27" t="s">
        <v>7</v>
      </c>
      <c r="FS739" s="27" t="s">
        <v>8</v>
      </c>
      <c r="FX739" s="27" t="s">
        <v>7</v>
      </c>
    </row>
    <row r="740" spans="1:184" x14ac:dyDescent="0.25">
      <c r="A740" s="7">
        <v>4.8325206714120959E-2</v>
      </c>
      <c r="B740"/>
      <c r="C740"/>
      <c r="D740"/>
      <c r="E740"/>
      <c r="BB740" s="27" t="s">
        <v>7</v>
      </c>
      <c r="BC740" s="27" t="s">
        <v>8</v>
      </c>
      <c r="CD740" s="27" t="s">
        <v>7</v>
      </c>
      <c r="CE740" s="27" t="s">
        <v>8</v>
      </c>
      <c r="FR740" s="27" t="s">
        <v>7</v>
      </c>
      <c r="FS740" s="27" t="s">
        <v>8</v>
      </c>
      <c r="FX740" s="27" t="s">
        <v>7</v>
      </c>
      <c r="FY740" s="27" t="s">
        <v>8</v>
      </c>
    </row>
    <row r="741" spans="1:184" x14ac:dyDescent="0.25">
      <c r="A741" s="7">
        <v>4.7377653641295057E-2</v>
      </c>
      <c r="B741"/>
      <c r="C741"/>
      <c r="D741"/>
      <c r="E741"/>
      <c r="BB741" s="27" t="s">
        <v>7</v>
      </c>
      <c r="BC741" s="27" t="s">
        <v>8</v>
      </c>
      <c r="CD741" s="27" t="s">
        <v>7</v>
      </c>
      <c r="CE741" s="27" t="s">
        <v>8</v>
      </c>
      <c r="FR741" s="27" t="s">
        <v>7</v>
      </c>
      <c r="FX741" s="27" t="s">
        <v>7</v>
      </c>
      <c r="FY741" s="27" t="s">
        <v>8</v>
      </c>
      <c r="FZ741" s="27" t="s">
        <v>7</v>
      </c>
      <c r="GA741" s="27" t="s">
        <v>8</v>
      </c>
    </row>
    <row r="742" spans="1:184" x14ac:dyDescent="0.25">
      <c r="A742" s="7">
        <v>4.644868004048535E-2</v>
      </c>
      <c r="B742"/>
      <c r="C742"/>
      <c r="D742"/>
      <c r="E742"/>
      <c r="BB742" s="27" t="s">
        <v>7</v>
      </c>
      <c r="BC742" s="27" t="s">
        <v>8</v>
      </c>
      <c r="CD742" s="27" t="s">
        <v>7</v>
      </c>
      <c r="CE742" s="27" t="s">
        <v>8</v>
      </c>
      <c r="FX742" s="27" t="s">
        <v>7</v>
      </c>
      <c r="FY742" s="27" t="s">
        <v>8</v>
      </c>
      <c r="FZ742" s="27" t="s">
        <v>7</v>
      </c>
      <c r="GA742" s="27" t="s">
        <v>8</v>
      </c>
      <c r="GB742" s="27" t="s">
        <v>7</v>
      </c>
    </row>
    <row r="743" spans="1:184" x14ac:dyDescent="0.25">
      <c r="A743" s="7">
        <v>4.5537921608318974E-2</v>
      </c>
      <c r="B743"/>
      <c r="C743"/>
      <c r="D743"/>
      <c r="E743"/>
      <c r="BB743" s="27" t="s">
        <v>7</v>
      </c>
      <c r="BC743" s="27" t="s">
        <v>8</v>
      </c>
      <c r="CD743" s="27" t="s">
        <v>7</v>
      </c>
      <c r="CE743" s="27" t="s">
        <v>8</v>
      </c>
      <c r="FX743" s="27" t="s">
        <v>7</v>
      </c>
      <c r="FY743" s="27" t="s">
        <v>8</v>
      </c>
      <c r="FZ743" s="27" t="s">
        <v>7</v>
      </c>
      <c r="GA743" s="27" t="s">
        <v>8</v>
      </c>
      <c r="GB743" s="27" t="s">
        <v>7</v>
      </c>
    </row>
    <row r="744" spans="1:184" x14ac:dyDescent="0.25">
      <c r="A744" s="7">
        <v>4.4645021184626446E-2</v>
      </c>
      <c r="B744"/>
      <c r="C744"/>
      <c r="D744"/>
      <c r="E744"/>
      <c r="BB744" s="27" t="s">
        <v>7</v>
      </c>
      <c r="CD744" s="27" t="s">
        <v>7</v>
      </c>
      <c r="FX744" s="27" t="s">
        <v>7</v>
      </c>
      <c r="FY744" s="27" t="s">
        <v>8</v>
      </c>
      <c r="FZ744" s="27" t="s">
        <v>7</v>
      </c>
      <c r="GA744" s="27" t="s">
        <v>8</v>
      </c>
      <c r="GB744" s="27" t="s">
        <v>7</v>
      </c>
    </row>
    <row r="745" spans="1:184" x14ac:dyDescent="0.25">
      <c r="A745" s="7">
        <v>4.3769628612378868E-2</v>
      </c>
      <c r="B745"/>
      <c r="C745"/>
      <c r="D745"/>
      <c r="E745"/>
      <c r="FX745" s="27" t="s">
        <v>7</v>
      </c>
      <c r="FY745" s="27" t="s">
        <v>8</v>
      </c>
      <c r="FZ745" s="27" t="s">
        <v>7</v>
      </c>
      <c r="GA745" s="27" t="s">
        <v>8</v>
      </c>
      <c r="GB745" s="27" t="s">
        <v>7</v>
      </c>
    </row>
    <row r="746" spans="1:184" x14ac:dyDescent="0.25">
      <c r="A746" s="7">
        <v>4.2911400600371442E-2</v>
      </c>
      <c r="B746"/>
      <c r="C746"/>
      <c r="D746"/>
      <c r="E746"/>
      <c r="FX746" s="27" t="s">
        <v>7</v>
      </c>
      <c r="FZ746" s="27" t="s">
        <v>7</v>
      </c>
      <c r="GA746" s="27" t="s">
        <v>8</v>
      </c>
      <c r="GB746" s="27" t="s">
        <v>7</v>
      </c>
    </row>
    <row r="747" spans="1:184" x14ac:dyDescent="0.25">
      <c r="A747" s="7">
        <v>4.2070000588599457E-2</v>
      </c>
      <c r="B747"/>
      <c r="C747"/>
      <c r="D747"/>
      <c r="E747"/>
      <c r="FZ747" s="27" t="s">
        <v>7</v>
      </c>
      <c r="GA747" s="27" t="s">
        <v>8</v>
      </c>
      <c r="GB747" s="27" t="s">
        <v>7</v>
      </c>
    </row>
    <row r="748" spans="1:184" x14ac:dyDescent="0.25">
      <c r="A748" s="7">
        <v>4.1245098616273977E-2</v>
      </c>
      <c r="B748"/>
      <c r="C748"/>
      <c r="D748"/>
      <c r="E748"/>
      <c r="FZ748" s="27" t="s">
        <v>7</v>
      </c>
      <c r="GA748" s="27" t="s">
        <v>8</v>
      </c>
    </row>
    <row r="749" spans="1:184" x14ac:dyDescent="0.25">
      <c r="A749" s="7">
        <v>4.043637119242547E-2</v>
      </c>
      <c r="B749"/>
      <c r="C749"/>
      <c r="D749"/>
      <c r="E749"/>
      <c r="FZ749" s="27" t="s">
        <v>7</v>
      </c>
      <c r="GA749" s="27" t="s">
        <v>8</v>
      </c>
    </row>
    <row r="750" spans="1:184" x14ac:dyDescent="0.25">
      <c r="A750" s="7">
        <v>3.9643501169044582E-2</v>
      </c>
      <c r="B750"/>
      <c r="C750"/>
      <c r="D750"/>
      <c r="E750"/>
      <c r="FZ750" s="27" t="s">
        <v>7</v>
      </c>
      <c r="GA750" s="27" t="s">
        <v>8</v>
      </c>
    </row>
    <row r="751" spans="1:184" x14ac:dyDescent="0.25">
      <c r="A751" s="7">
        <v>3.8866177616710372E-2</v>
      </c>
      <c r="B751"/>
      <c r="C751"/>
      <c r="D751"/>
      <c r="E751"/>
      <c r="FZ751" s="27" t="s">
        <v>7</v>
      </c>
      <c r="GA751" s="27" t="s">
        <v>8</v>
      </c>
    </row>
    <row r="752" spans="1:184" x14ac:dyDescent="0.25">
      <c r="A752" s="7">
        <v>3.8104095702657229E-2</v>
      </c>
      <c r="B752"/>
      <c r="C752"/>
      <c r="D752"/>
      <c r="E752"/>
      <c r="FZ752" s="27" t="s">
        <v>7</v>
      </c>
      <c r="GA752" s="27" t="s">
        <v>8</v>
      </c>
    </row>
    <row r="753" spans="1:182" x14ac:dyDescent="0.25">
      <c r="A753" s="7">
        <v>3.7356956571232579E-2</v>
      </c>
      <c r="B753"/>
      <c r="C753"/>
      <c r="D753"/>
      <c r="E753"/>
      <c r="FZ753" s="27" t="s">
        <v>7</v>
      </c>
    </row>
    <row r="754" spans="1:182" x14ac:dyDescent="0.25">
      <c r="A754" s="7">
        <v>3.6624467226698605E-2</v>
      </c>
      <c r="B754"/>
      <c r="C754"/>
      <c r="D754"/>
      <c r="E754"/>
    </row>
    <row r="755" spans="1:182" x14ac:dyDescent="0.25">
      <c r="A755" s="7">
        <v>3.5906340418331961E-2</v>
      </c>
      <c r="B755"/>
      <c r="C755"/>
      <c r="D755"/>
      <c r="E755"/>
    </row>
    <row r="756" spans="1:182" x14ac:dyDescent="0.25">
      <c r="A756" s="7">
        <v>3.5202294527776436E-2</v>
      </c>
      <c r="B756"/>
      <c r="C756"/>
      <c r="D756"/>
      <c r="E756"/>
    </row>
    <row r="757" spans="1:182" x14ac:dyDescent="0.25">
      <c r="A757" s="7">
        <v>3.451205345860435E-2</v>
      </c>
      <c r="B757"/>
      <c r="C757"/>
      <c r="D757"/>
      <c r="E757"/>
    </row>
    <row r="758" spans="1:182" x14ac:dyDescent="0.25">
      <c r="A758" s="7">
        <v>3.3835346528043479E-2</v>
      </c>
      <c r="B758"/>
      <c r="C758"/>
      <c r="D758"/>
      <c r="E758"/>
    </row>
    <row r="759" spans="1:182" x14ac:dyDescent="0.25">
      <c r="A759" s="7">
        <v>3.3171908360826938E-2</v>
      </c>
      <c r="B759"/>
      <c r="C759"/>
      <c r="D759"/>
      <c r="E759"/>
    </row>
    <row r="760" spans="1:182" x14ac:dyDescent="0.25">
      <c r="A760" s="7">
        <v>3.2521478785124451E-2</v>
      </c>
      <c r="B760"/>
      <c r="C760"/>
      <c r="D760"/>
      <c r="E760"/>
    </row>
    <row r="761" spans="1:182" x14ac:dyDescent="0.25">
      <c r="A761" s="7">
        <v>3.1883802730514173E-2</v>
      </c>
      <c r="B761"/>
      <c r="C761"/>
      <c r="D761"/>
      <c r="E761"/>
    </row>
    <row r="762" spans="1:182" x14ac:dyDescent="0.25">
      <c r="A762" s="7">
        <v>3.1258630127955073E-2</v>
      </c>
      <c r="B762"/>
      <c r="C762"/>
      <c r="D762"/>
      <c r="E762"/>
    </row>
    <row r="763" spans="1:182" x14ac:dyDescent="0.25">
      <c r="A763" s="7">
        <v>3.064571581172066E-2</v>
      </c>
      <c r="B763"/>
      <c r="C763"/>
      <c r="D763"/>
      <c r="E763"/>
    </row>
    <row r="764" spans="1:182" x14ac:dyDescent="0.25">
      <c r="A764" s="7">
        <v>3.0044819423255549E-2</v>
      </c>
      <c r="B764"/>
      <c r="C764"/>
      <c r="D764"/>
      <c r="E764"/>
    </row>
    <row r="765" spans="1:182" x14ac:dyDescent="0.25">
      <c r="A765" s="7">
        <v>2.9455705316917203E-2</v>
      </c>
      <c r="B765"/>
      <c r="C765"/>
      <c r="D765"/>
      <c r="E765"/>
    </row>
    <row r="766" spans="1:182" x14ac:dyDescent="0.25">
      <c r="A766" s="7">
        <v>2.8878142467565884E-2</v>
      </c>
      <c r="B766"/>
      <c r="C766"/>
      <c r="D766"/>
      <c r="E766"/>
    </row>
    <row r="767" spans="1:182" x14ac:dyDescent="0.25">
      <c r="A767" s="7">
        <v>2.8311904379966554E-2</v>
      </c>
      <c r="B767"/>
      <c r="C767"/>
      <c r="D767"/>
      <c r="E767"/>
    </row>
    <row r="768" spans="1:182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30" operator="equal">
      <formula>$U$1</formula>
    </cfRule>
    <cfRule type="cellIs" dxfId="89" priority="731" operator="equal">
      <formula>$S$1</formula>
    </cfRule>
  </conditionalFormatting>
  <conditionalFormatting sqref="D27">
    <cfRule type="cellIs" dxfId="88" priority="728" operator="equal">
      <formula>$S$1</formula>
    </cfRule>
    <cfRule type="cellIs" dxfId="87" priority="729" operator="equal">
      <formula>$U$1</formula>
    </cfRule>
  </conditionalFormatting>
  <conditionalFormatting sqref="C164">
    <cfRule type="cellIs" dxfId="86" priority="726" operator="equal">
      <formula>$U$1</formula>
    </cfRule>
    <cfRule type="cellIs" dxfId="85" priority="727" operator="equal">
      <formula>$S$1</formula>
    </cfRule>
  </conditionalFormatting>
  <conditionalFormatting sqref="D164">
    <cfRule type="cellIs" dxfId="84" priority="724" operator="equal">
      <formula>$S$1</formula>
    </cfRule>
    <cfRule type="cellIs" dxfId="83" priority="725" operator="equal">
      <formula>$U$1</formula>
    </cfRule>
  </conditionalFormatting>
  <conditionalFormatting sqref="C55">
    <cfRule type="cellIs" dxfId="82" priority="722" operator="equal">
      <formula>$U$1</formula>
    </cfRule>
    <cfRule type="cellIs" dxfId="81" priority="723" operator="equal">
      <formula>$S$1</formula>
    </cfRule>
  </conditionalFormatting>
  <conditionalFormatting sqref="D55">
    <cfRule type="cellIs" dxfId="80" priority="720" operator="equal">
      <formula>$S$1</formula>
    </cfRule>
    <cfRule type="cellIs" dxfId="79" priority="721" operator="equal">
      <formula>$U$1</formula>
    </cfRule>
  </conditionalFormatting>
  <conditionalFormatting sqref="C89">
    <cfRule type="cellIs" dxfId="78" priority="718" operator="equal">
      <formula>$U$1</formula>
    </cfRule>
    <cfRule type="cellIs" dxfId="77" priority="719" operator="equal">
      <formula>$S$1</formula>
    </cfRule>
  </conditionalFormatting>
  <conditionalFormatting sqref="D89">
    <cfRule type="cellIs" dxfId="76" priority="716" operator="equal">
      <formula>$S$1</formula>
    </cfRule>
    <cfRule type="cellIs" dxfId="75" priority="717" operator="equal">
      <formula>$U$1</formula>
    </cfRule>
  </conditionalFormatting>
  <conditionalFormatting sqref="C136">
    <cfRule type="cellIs" dxfId="74" priority="714" operator="equal">
      <formula>$U$1</formula>
    </cfRule>
    <cfRule type="cellIs" dxfId="73" priority="715" operator="equal">
      <formula>$S$1</formula>
    </cfRule>
  </conditionalFormatting>
  <conditionalFormatting sqref="D136">
    <cfRule type="cellIs" dxfId="72" priority="712" operator="equal">
      <formula>$S$1</formula>
    </cfRule>
    <cfRule type="cellIs" dxfId="71" priority="713" operator="equal">
      <formula>$U$1</formula>
    </cfRule>
  </conditionalFormatting>
  <conditionalFormatting sqref="C1">
    <cfRule type="cellIs" dxfId="70" priority="71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U303" sqref="CU3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$A$302</v>
      </c>
      <c r="D111" s="1" t="str">
        <f>ADDRESS(C121-1,D121,1,1)</f>
        <v>$CU$302</v>
      </c>
      <c r="E111"/>
    </row>
    <row r="112" spans="1:5" x14ac:dyDescent="0.25">
      <c r="A112" s="30">
        <v>515.50191262726139</v>
      </c>
      <c r="C112" s="1" t="str">
        <f>ADDRESS(C121,1,1,1)</f>
        <v>$A$303</v>
      </c>
      <c r="D112" s="1" t="str">
        <f>ADDRESS(C121,D121-1,1,1)</f>
        <v>$CT$303</v>
      </c>
      <c r="E112"/>
    </row>
    <row r="113" spans="1:5" x14ac:dyDescent="0.25">
      <c r="A113" s="30">
        <v>490.95420250215363</v>
      </c>
      <c r="C113" s="1" t="str">
        <f>ADDRESS(C121+1,1,1,1)</f>
        <v>$A$304</v>
      </c>
      <c r="D113" s="1" t="str">
        <f>ADDRESS(C121-1,D121+1,1,1)</f>
        <v>$CV$302</v>
      </c>
    </row>
    <row r="114" spans="1:5" x14ac:dyDescent="0.25">
      <c r="A114" s="30">
        <v>467.57543095443202</v>
      </c>
      <c r="C114" s="1" t="str">
        <f>ADDRESS(C121,D121,1,1)</f>
        <v>$CU$303</v>
      </c>
      <c r="D114" s="1" t="str">
        <f>ADDRESS(C121+1,D121+1,1,1)</f>
        <v>$CV$304</v>
      </c>
    </row>
    <row r="115" spans="1:5" x14ac:dyDescent="0.25">
      <c r="A115" s="30">
        <v>445.30993424231622</v>
      </c>
      <c r="C115" s="1" t="str">
        <f>ADDRESS(C121+1,D121,1,1)</f>
        <v>$CU$304</v>
      </c>
    </row>
    <row r="116" spans="1:5" x14ac:dyDescent="0.25">
      <c r="A116" s="30">
        <v>424.10469927839637</v>
      </c>
      <c r="C116" s="1">
        <f>C117-1</f>
        <v>302</v>
      </c>
    </row>
    <row r="117" spans="1:5" x14ac:dyDescent="0.25">
      <c r="A117" s="30">
        <v>403.9092374079965</v>
      </c>
      <c r="C117" s="1">
        <f>C121</f>
        <v>303</v>
      </c>
      <c r="D117" s="1">
        <f>D121</f>
        <v>99</v>
      </c>
    </row>
    <row r="118" spans="1:5" x14ac:dyDescent="0.25">
      <c r="A118" s="30">
        <v>384.6754641980919</v>
      </c>
      <c r="C118" s="1">
        <f>C117+1</f>
        <v>304</v>
      </c>
      <c r="D118" s="1">
        <f>D117+1</f>
        <v>100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303</v>
      </c>
      <c r="D121" s="19">
        <v>99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R303</v>
      </c>
      <c r="D123" s="1" t="str">
        <f>"C"&amp;D121</f>
        <v>C99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4.6245998269295263E-2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27" x14ac:dyDescent="0.25">
      <c r="A257" s="30">
        <v>0.43629668761085438</v>
      </c>
      <c r="B257"/>
      <c r="C257"/>
      <c r="D257"/>
      <c r="E257"/>
      <c r="F257" s="27" t="s">
        <v>7</v>
      </c>
    </row>
    <row r="258" spans="1:27" x14ac:dyDescent="0.25">
      <c r="A258" s="30">
        <v>0.41552065486748019</v>
      </c>
      <c r="B258"/>
      <c r="C258"/>
      <c r="D258"/>
      <c r="E258"/>
      <c r="F258" s="27" t="s">
        <v>7</v>
      </c>
    </row>
    <row r="259" spans="1:27" x14ac:dyDescent="0.25">
      <c r="A259" s="30">
        <v>0.39573395701664765</v>
      </c>
      <c r="B259"/>
      <c r="C259"/>
      <c r="D259"/>
      <c r="E259"/>
      <c r="F259" s="27" t="s">
        <v>7</v>
      </c>
    </row>
    <row r="260" spans="1:27" x14ac:dyDescent="0.25">
      <c r="A260" s="30">
        <v>0.37688948287299762</v>
      </c>
      <c r="B260"/>
      <c r="C260"/>
      <c r="D260"/>
      <c r="E260"/>
      <c r="F260" s="27" t="s">
        <v>7</v>
      </c>
    </row>
    <row r="261" spans="1:27" x14ac:dyDescent="0.25">
      <c r="A261" s="30">
        <v>0.35894236464094997</v>
      </c>
      <c r="B261"/>
      <c r="C261"/>
      <c r="D261"/>
      <c r="E261"/>
      <c r="F261" s="27" t="s">
        <v>7</v>
      </c>
    </row>
    <row r="262" spans="1:27" x14ac:dyDescent="0.25">
      <c r="A262" s="30">
        <v>0.34184987108661891</v>
      </c>
      <c r="B262"/>
      <c r="C262"/>
      <c r="D262"/>
      <c r="E262"/>
      <c r="F262" s="27" t="s">
        <v>7</v>
      </c>
    </row>
    <row r="263" spans="1:27" x14ac:dyDescent="0.25">
      <c r="A263" s="30">
        <v>0.32557130579677979</v>
      </c>
      <c r="B263"/>
      <c r="C263"/>
      <c r="D263"/>
      <c r="E263"/>
      <c r="F263" s="27" t="s">
        <v>7</v>
      </c>
    </row>
    <row r="264" spans="1:27" x14ac:dyDescent="0.25">
      <c r="A264" s="30">
        <v>0.3100679102826473</v>
      </c>
      <c r="B264"/>
      <c r="C264"/>
      <c r="D264"/>
      <c r="E264"/>
      <c r="F264" s="27" t="s">
        <v>7</v>
      </c>
      <c r="O264" s="27" t="s">
        <v>8</v>
      </c>
    </row>
    <row r="265" spans="1:27" x14ac:dyDescent="0.25">
      <c r="A265" s="30">
        <v>0.2953027716977592</v>
      </c>
      <c r="B265"/>
      <c r="C265"/>
      <c r="D265"/>
      <c r="E265"/>
      <c r="F265" s="27" t="s">
        <v>7</v>
      </c>
      <c r="O265" s="27" t="s">
        <v>8</v>
      </c>
      <c r="P265" s="27" t="s">
        <v>7</v>
      </c>
    </row>
    <row r="266" spans="1:27" x14ac:dyDescent="0.25">
      <c r="A266" s="30">
        <v>0.28124073495024676</v>
      </c>
      <c r="B266"/>
      <c r="C266"/>
      <c r="D266"/>
      <c r="E266"/>
      <c r="F266" s="27" t="s">
        <v>7</v>
      </c>
      <c r="O266" s="27" t="s">
        <v>8</v>
      </c>
      <c r="P266" s="27" t="s">
        <v>7</v>
      </c>
    </row>
    <row r="267" spans="1:27" x14ac:dyDescent="0.25">
      <c r="A267" s="30">
        <v>0.26784831900023492</v>
      </c>
      <c r="B267"/>
      <c r="C267"/>
      <c r="D267"/>
      <c r="E267"/>
      <c r="F267" s="27" t="s">
        <v>7</v>
      </c>
      <c r="K267" s="27" t="s">
        <v>8</v>
      </c>
      <c r="O267" s="27" t="s">
        <v>8</v>
      </c>
      <c r="P267" s="27" t="s">
        <v>7</v>
      </c>
      <c r="Q267" s="27" t="s">
        <v>8</v>
      </c>
    </row>
    <row r="268" spans="1:27" x14ac:dyDescent="0.25">
      <c r="A268" s="30">
        <v>0.25509363714308075</v>
      </c>
      <c r="B268"/>
      <c r="C268"/>
      <c r="D268"/>
      <c r="E268"/>
      <c r="F268" s="27" t="s">
        <v>7</v>
      </c>
      <c r="K268" s="27" t="s">
        <v>8</v>
      </c>
      <c r="L268" s="27" t="s">
        <v>7</v>
      </c>
      <c r="O268" s="27" t="s">
        <v>8</v>
      </c>
      <c r="P268" s="27" t="s">
        <v>7</v>
      </c>
      <c r="Q268" s="27" t="s">
        <v>8</v>
      </c>
      <c r="R268" s="27" t="s">
        <v>7</v>
      </c>
    </row>
    <row r="269" spans="1:27" x14ac:dyDescent="0.25">
      <c r="A269" s="30">
        <v>0.24294632108864825</v>
      </c>
      <c r="B269"/>
      <c r="C269"/>
      <c r="D269"/>
      <c r="E269"/>
      <c r="F269" s="27" t="s">
        <v>7</v>
      </c>
      <c r="K269" s="27" t="s">
        <v>8</v>
      </c>
      <c r="L269" s="27" t="s">
        <v>7</v>
      </c>
      <c r="M269" s="27" t="s">
        <v>8</v>
      </c>
      <c r="O269" s="27" t="s">
        <v>8</v>
      </c>
      <c r="P269" s="27" t="s">
        <v>7</v>
      </c>
      <c r="Q269" s="27" t="s">
        <v>8</v>
      </c>
      <c r="R269" s="27" t="s">
        <v>7</v>
      </c>
    </row>
    <row r="270" spans="1:27" x14ac:dyDescent="0.25">
      <c r="A270" s="30">
        <v>0.23137744865585538</v>
      </c>
      <c r="B270"/>
      <c r="C270"/>
      <c r="D270"/>
      <c r="E270"/>
      <c r="F270" s="27" t="s">
        <v>7</v>
      </c>
      <c r="K270" s="27" t="s">
        <v>8</v>
      </c>
      <c r="L270" s="27" t="s">
        <v>7</v>
      </c>
      <c r="M270" s="27" t="s">
        <v>8</v>
      </c>
      <c r="N270" s="27" t="s">
        <v>7</v>
      </c>
      <c r="O270" s="27" t="s">
        <v>8</v>
      </c>
      <c r="P270" s="27" t="s">
        <v>7</v>
      </c>
      <c r="Q270" s="27" t="s">
        <v>8</v>
      </c>
      <c r="R270" s="27" t="s">
        <v>7</v>
      </c>
      <c r="S270" s="27" t="s">
        <v>8</v>
      </c>
    </row>
    <row r="271" spans="1:27" x14ac:dyDescent="0.25">
      <c r="A271" s="30">
        <v>0.22035947491033836</v>
      </c>
      <c r="B271"/>
      <c r="C271"/>
      <c r="D271"/>
      <c r="E271"/>
      <c r="F271" s="27" t="s">
        <v>7</v>
      </c>
      <c r="K271" s="27" t="s">
        <v>8</v>
      </c>
      <c r="L271" s="27" t="s">
        <v>7</v>
      </c>
      <c r="M271" s="27" t="s">
        <v>8</v>
      </c>
      <c r="N271" s="27" t="s">
        <v>7</v>
      </c>
      <c r="O271" s="27" t="s">
        <v>8</v>
      </c>
      <c r="P271" s="27" t="s">
        <v>7</v>
      </c>
      <c r="Q271" s="27" t="s">
        <v>8</v>
      </c>
      <c r="R271" s="27" t="s">
        <v>7</v>
      </c>
      <c r="S271" s="27" t="s">
        <v>8</v>
      </c>
      <c r="T271" s="27" t="s">
        <v>7</v>
      </c>
    </row>
    <row r="272" spans="1:27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K272" s="27" t="s">
        <v>8</v>
      </c>
      <c r="L272" s="27" t="s">
        <v>7</v>
      </c>
      <c r="N272" s="27" t="s">
        <v>7</v>
      </c>
      <c r="O272" s="27" t="s">
        <v>8</v>
      </c>
      <c r="P272" s="27" t="s">
        <v>7</v>
      </c>
      <c r="R272" s="27" t="s">
        <v>7</v>
      </c>
      <c r="S272" s="27" t="s">
        <v>8</v>
      </c>
      <c r="T272" s="27" t="s">
        <v>7</v>
      </c>
      <c r="AA272" s="27" t="s">
        <v>8</v>
      </c>
    </row>
    <row r="273" spans="1:86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  <c r="I273" s="27" t="s">
        <v>8</v>
      </c>
      <c r="K273" s="27" t="s">
        <v>8</v>
      </c>
      <c r="N273" s="27" t="s">
        <v>7</v>
      </c>
      <c r="O273" s="27" t="s">
        <v>8</v>
      </c>
      <c r="R273" s="27" t="s">
        <v>7</v>
      </c>
      <c r="S273" s="27" t="s">
        <v>8</v>
      </c>
      <c r="T273" s="27" t="s">
        <v>7</v>
      </c>
      <c r="Y273" s="27" t="s">
        <v>8</v>
      </c>
      <c r="AA273" s="27" t="s">
        <v>8</v>
      </c>
      <c r="AB273" s="27" t="s">
        <v>7</v>
      </c>
    </row>
    <row r="274" spans="1:86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  <c r="H274" s="27" t="s">
        <v>7</v>
      </c>
      <c r="I274" s="27" t="s">
        <v>8</v>
      </c>
      <c r="J274" s="27" t="s">
        <v>7</v>
      </c>
      <c r="K274" s="27" t="s">
        <v>8</v>
      </c>
      <c r="N274" s="27" t="s">
        <v>7</v>
      </c>
      <c r="R274" s="27" t="s">
        <v>7</v>
      </c>
      <c r="T274" s="27" t="s">
        <v>7</v>
      </c>
      <c r="Y274" s="27" t="s">
        <v>8</v>
      </c>
      <c r="Z274" s="27" t="s">
        <v>7</v>
      </c>
      <c r="AA274" s="27" t="s">
        <v>8</v>
      </c>
      <c r="AB274" s="27" t="s">
        <v>7</v>
      </c>
    </row>
    <row r="275" spans="1:86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  <c r="H275" s="27" t="s">
        <v>7</v>
      </c>
      <c r="I275" s="27" t="s">
        <v>8</v>
      </c>
      <c r="J275" s="27" t="s">
        <v>7</v>
      </c>
      <c r="K275" s="27" t="s">
        <v>8</v>
      </c>
      <c r="T275" s="27" t="s">
        <v>7</v>
      </c>
      <c r="U275" s="27" t="s">
        <v>8</v>
      </c>
      <c r="Y275" s="27" t="s">
        <v>8</v>
      </c>
      <c r="Z275" s="27" t="s">
        <v>7</v>
      </c>
      <c r="AA275" s="27" t="s">
        <v>8</v>
      </c>
      <c r="AB275" s="27" t="s">
        <v>7</v>
      </c>
      <c r="BM275" s="27" t="s">
        <v>8</v>
      </c>
    </row>
    <row r="276" spans="1:86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  <c r="H276" s="27" t="s">
        <v>7</v>
      </c>
      <c r="I276" s="27" t="s">
        <v>8</v>
      </c>
      <c r="J276" s="27" t="s">
        <v>7</v>
      </c>
      <c r="K276" s="27" t="s">
        <v>8</v>
      </c>
      <c r="T276" s="27" t="s">
        <v>7</v>
      </c>
      <c r="U276" s="27" t="s">
        <v>8</v>
      </c>
      <c r="V276" s="27" t="s">
        <v>7</v>
      </c>
      <c r="W276" s="27" t="s">
        <v>8</v>
      </c>
      <c r="Y276" s="27" t="s">
        <v>8</v>
      </c>
      <c r="Z276" s="27" t="s">
        <v>7</v>
      </c>
      <c r="AA276" s="27" t="s">
        <v>8</v>
      </c>
      <c r="AB276" s="27" t="s">
        <v>7</v>
      </c>
      <c r="AC276" s="27" t="s">
        <v>8</v>
      </c>
      <c r="AO276" s="27" t="s">
        <v>8</v>
      </c>
      <c r="BM276" s="27" t="s">
        <v>8</v>
      </c>
      <c r="BN276" s="27" t="s">
        <v>7</v>
      </c>
    </row>
    <row r="277" spans="1:86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H277" s="27" t="s">
        <v>7</v>
      </c>
      <c r="I277" s="27" t="s">
        <v>8</v>
      </c>
      <c r="J277" s="27" t="s">
        <v>7</v>
      </c>
      <c r="K277" s="27" t="s">
        <v>8</v>
      </c>
      <c r="T277" s="27" t="s">
        <v>7</v>
      </c>
      <c r="U277" s="27" t="s">
        <v>8</v>
      </c>
      <c r="V277" s="27" t="s">
        <v>7</v>
      </c>
      <c r="W277" s="27" t="s">
        <v>8</v>
      </c>
      <c r="X277" s="27" t="s">
        <v>7</v>
      </c>
      <c r="Y277" s="27" t="s">
        <v>8</v>
      </c>
      <c r="Z277" s="27" t="s">
        <v>7</v>
      </c>
      <c r="AB277" s="27" t="s">
        <v>7</v>
      </c>
      <c r="AC277" s="27" t="s">
        <v>8</v>
      </c>
      <c r="AD277" s="27" t="s">
        <v>7</v>
      </c>
      <c r="AE277" s="27" t="s">
        <v>8</v>
      </c>
      <c r="AO277" s="27" t="s">
        <v>8</v>
      </c>
      <c r="AP277" s="27" t="s">
        <v>7</v>
      </c>
      <c r="BM277" s="27" t="s">
        <v>8</v>
      </c>
      <c r="BN277" s="27" t="s">
        <v>7</v>
      </c>
    </row>
    <row r="278" spans="1:86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H278" s="27" t="s">
        <v>7</v>
      </c>
      <c r="J278" s="27" t="s">
        <v>7</v>
      </c>
      <c r="K278" s="27" t="s">
        <v>8</v>
      </c>
      <c r="T278" s="27" t="s">
        <v>7</v>
      </c>
      <c r="U278" s="27" t="s">
        <v>8</v>
      </c>
      <c r="V278" s="27" t="s">
        <v>7</v>
      </c>
      <c r="W278" s="27" t="s">
        <v>8</v>
      </c>
      <c r="X278" s="27" t="s">
        <v>7</v>
      </c>
      <c r="Y278" s="27" t="s">
        <v>8</v>
      </c>
      <c r="AB278" s="27" t="s">
        <v>7</v>
      </c>
      <c r="AC278" s="27" t="s">
        <v>8</v>
      </c>
      <c r="AD278" s="27" t="s">
        <v>7</v>
      </c>
      <c r="AE278" s="27" t="s">
        <v>8</v>
      </c>
      <c r="AF278" s="27" t="s">
        <v>7</v>
      </c>
      <c r="AO278" s="27" t="s">
        <v>8</v>
      </c>
      <c r="AP278" s="27" t="s">
        <v>7</v>
      </c>
      <c r="BM278" s="27" t="s">
        <v>8</v>
      </c>
      <c r="BN278" s="27" t="s">
        <v>7</v>
      </c>
    </row>
    <row r="279" spans="1:86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J279" s="27" t="s">
        <v>7</v>
      </c>
      <c r="K279" s="27" t="s">
        <v>8</v>
      </c>
      <c r="T279" s="27" t="s">
        <v>7</v>
      </c>
      <c r="V279" s="27" t="s">
        <v>7</v>
      </c>
      <c r="W279" s="27" t="s">
        <v>8</v>
      </c>
      <c r="X279" s="27" t="s">
        <v>7</v>
      </c>
      <c r="Y279" s="27" t="s">
        <v>8</v>
      </c>
      <c r="AB279" s="27" t="s">
        <v>7</v>
      </c>
      <c r="AD279" s="27" t="s">
        <v>7</v>
      </c>
      <c r="AE279" s="27" t="s">
        <v>8</v>
      </c>
      <c r="AF279" s="27" t="s">
        <v>7</v>
      </c>
      <c r="AO279" s="27" t="s">
        <v>8</v>
      </c>
      <c r="AP279" s="27" t="s">
        <v>7</v>
      </c>
      <c r="BM279" s="27" t="s">
        <v>8</v>
      </c>
      <c r="BN279" s="27" t="s">
        <v>7</v>
      </c>
    </row>
    <row r="280" spans="1:86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J280" s="27" t="s">
        <v>7</v>
      </c>
      <c r="K280" s="27" t="s">
        <v>8</v>
      </c>
      <c r="V280" s="27" t="s">
        <v>7</v>
      </c>
      <c r="X280" s="27" t="s">
        <v>7</v>
      </c>
      <c r="Y280" s="27" t="s">
        <v>8</v>
      </c>
      <c r="AD280" s="27" t="s">
        <v>7</v>
      </c>
      <c r="AE280" s="27" t="s">
        <v>8</v>
      </c>
      <c r="AF280" s="27" t="s">
        <v>7</v>
      </c>
      <c r="AO280" s="27" t="s">
        <v>8</v>
      </c>
      <c r="AP280" s="27" t="s">
        <v>7</v>
      </c>
      <c r="BM280" s="27" t="s">
        <v>8</v>
      </c>
      <c r="BN280" s="27" t="s">
        <v>7</v>
      </c>
    </row>
    <row r="281" spans="1:86" x14ac:dyDescent="0.25">
      <c r="A281" s="30">
        <v>0.13528160219073862</v>
      </c>
      <c r="B281"/>
      <c r="C281"/>
      <c r="D281"/>
      <c r="E281"/>
      <c r="F281" s="27" t="s">
        <v>7</v>
      </c>
      <c r="J281" s="27" t="s">
        <v>7</v>
      </c>
      <c r="X281" s="27" t="s">
        <v>7</v>
      </c>
      <c r="Y281" s="27" t="s">
        <v>8</v>
      </c>
      <c r="AD281" s="27" t="s">
        <v>7</v>
      </c>
      <c r="AF281" s="27" t="s">
        <v>7</v>
      </c>
      <c r="AO281" s="27" t="s">
        <v>8</v>
      </c>
      <c r="AP281" s="27" t="s">
        <v>7</v>
      </c>
      <c r="BM281" s="27" t="s">
        <v>8</v>
      </c>
      <c r="BN281" s="27" t="s">
        <v>7</v>
      </c>
      <c r="BO281" s="27" t="s">
        <v>8</v>
      </c>
      <c r="BQ281" s="27" t="s">
        <v>8</v>
      </c>
    </row>
    <row r="282" spans="1:86" x14ac:dyDescent="0.25">
      <c r="A282" s="30">
        <v>0.12883962113403674</v>
      </c>
      <c r="B282"/>
      <c r="C282"/>
      <c r="D282"/>
      <c r="E282"/>
      <c r="X282" s="27" t="s">
        <v>7</v>
      </c>
      <c r="Y282" s="27" t="s">
        <v>8</v>
      </c>
      <c r="AF282" s="27" t="s">
        <v>7</v>
      </c>
      <c r="AI282" s="27" t="s">
        <v>8</v>
      </c>
      <c r="AO282" s="27" t="s">
        <v>8</v>
      </c>
      <c r="AP282" s="27" t="s">
        <v>7</v>
      </c>
      <c r="BM282" s="27" t="s">
        <v>8</v>
      </c>
      <c r="BN282" s="27" t="s">
        <v>7</v>
      </c>
      <c r="BO282" s="27" t="s">
        <v>8</v>
      </c>
      <c r="BP282" s="27" t="s">
        <v>7</v>
      </c>
      <c r="BQ282" s="27" t="s">
        <v>8</v>
      </c>
      <c r="BR282" s="27" t="s">
        <v>7</v>
      </c>
    </row>
    <row r="283" spans="1:86" x14ac:dyDescent="0.25">
      <c r="A283" s="30">
        <v>0.12270440108003494</v>
      </c>
      <c r="B283"/>
      <c r="C283"/>
      <c r="D283"/>
      <c r="E283"/>
      <c r="X283" s="27" t="s">
        <v>7</v>
      </c>
      <c r="Y283" s="27" t="s">
        <v>8</v>
      </c>
      <c r="AF283" s="27" t="s">
        <v>7</v>
      </c>
      <c r="AI283" s="27" t="s">
        <v>8</v>
      </c>
      <c r="AJ283" s="27" t="s">
        <v>7</v>
      </c>
      <c r="AO283" s="27" t="s">
        <v>8</v>
      </c>
      <c r="AP283" s="27" t="s">
        <v>7</v>
      </c>
      <c r="BM283" s="27" t="s">
        <v>8</v>
      </c>
      <c r="BN283" s="27" t="s">
        <v>7</v>
      </c>
      <c r="BO283" s="27" t="s">
        <v>8</v>
      </c>
      <c r="BP283" s="27" t="s">
        <v>7</v>
      </c>
      <c r="BQ283" s="27" t="s">
        <v>8</v>
      </c>
      <c r="BR283" s="27" t="s">
        <v>7</v>
      </c>
      <c r="CE283" s="27" t="s">
        <v>8</v>
      </c>
      <c r="CG283" s="27" t="s">
        <v>8</v>
      </c>
    </row>
    <row r="284" spans="1:86" x14ac:dyDescent="0.25">
      <c r="A284" s="30">
        <v>0.11686133436193799</v>
      </c>
      <c r="B284"/>
      <c r="C284"/>
      <c r="D284"/>
      <c r="E284"/>
      <c r="X284" s="27" t="s">
        <v>7</v>
      </c>
      <c r="AF284" s="27" t="s">
        <v>7</v>
      </c>
      <c r="AI284" s="27" t="s">
        <v>8</v>
      </c>
      <c r="AJ284" s="27" t="s">
        <v>7</v>
      </c>
      <c r="AO284" s="27" t="s">
        <v>8</v>
      </c>
      <c r="AP284" s="27" t="s">
        <v>7</v>
      </c>
      <c r="BM284" s="27" t="s">
        <v>8</v>
      </c>
      <c r="BN284" s="27" t="s">
        <v>7</v>
      </c>
      <c r="BP284" s="27" t="s">
        <v>7</v>
      </c>
      <c r="BQ284" s="27" t="s">
        <v>8</v>
      </c>
      <c r="BR284" s="27" t="s">
        <v>7</v>
      </c>
      <c r="CE284" s="27" t="s">
        <v>8</v>
      </c>
      <c r="CF284" s="27" t="s">
        <v>7</v>
      </c>
      <c r="CG284" s="27" t="s">
        <v>8</v>
      </c>
      <c r="CH284" s="27" t="s">
        <v>7</v>
      </c>
    </row>
    <row r="285" spans="1:86" x14ac:dyDescent="0.25">
      <c r="A285" s="30">
        <v>0.11129650891613138</v>
      </c>
      <c r="B285"/>
      <c r="C285"/>
      <c r="D285"/>
      <c r="E285"/>
      <c r="AF285" s="27" t="s">
        <v>7</v>
      </c>
      <c r="AI285" s="27" t="s">
        <v>8</v>
      </c>
      <c r="AJ285" s="27" t="s">
        <v>7</v>
      </c>
      <c r="AK285" s="27" t="s">
        <v>8</v>
      </c>
      <c r="AO285" s="27" t="s">
        <v>8</v>
      </c>
      <c r="AP285" s="27" t="s">
        <v>7</v>
      </c>
      <c r="BG285" s="27" t="s">
        <v>8</v>
      </c>
      <c r="BM285" s="27" t="s">
        <v>8</v>
      </c>
      <c r="BP285" s="27" t="s">
        <v>7</v>
      </c>
      <c r="BQ285" s="27" t="s">
        <v>8</v>
      </c>
      <c r="BR285" s="27" t="s">
        <v>7</v>
      </c>
      <c r="BU285" s="27" t="s">
        <v>8</v>
      </c>
      <c r="CA285" s="27" t="s">
        <v>8</v>
      </c>
      <c r="CE285" s="27" t="s">
        <v>8</v>
      </c>
      <c r="CF285" s="27" t="s">
        <v>7</v>
      </c>
      <c r="CG285" s="27" t="s">
        <v>8</v>
      </c>
      <c r="CH285" s="27" t="s">
        <v>7</v>
      </c>
    </row>
    <row r="286" spans="1:86" x14ac:dyDescent="0.25">
      <c r="A286" s="30">
        <v>0.10599667515822032</v>
      </c>
      <c r="B286"/>
      <c r="C286"/>
      <c r="D286"/>
      <c r="E286"/>
      <c r="AF286" s="27" t="s">
        <v>7</v>
      </c>
      <c r="AI286" s="27" t="s">
        <v>8</v>
      </c>
      <c r="AJ286" s="27" t="s">
        <v>7</v>
      </c>
      <c r="AK286" s="27" t="s">
        <v>8</v>
      </c>
      <c r="AL286" s="27" t="s">
        <v>7</v>
      </c>
      <c r="AO286" s="27" t="s">
        <v>8</v>
      </c>
      <c r="AP286" s="27" t="s">
        <v>7</v>
      </c>
      <c r="AQ286" s="27" t="s">
        <v>8</v>
      </c>
      <c r="AS286" s="27" t="s">
        <v>8</v>
      </c>
      <c r="BG286" s="27" t="s">
        <v>8</v>
      </c>
      <c r="BH286" s="27" t="s">
        <v>7</v>
      </c>
      <c r="BM286" s="27" t="s">
        <v>8</v>
      </c>
      <c r="BP286" s="27" t="s">
        <v>7</v>
      </c>
      <c r="BQ286" s="27" t="s">
        <v>8</v>
      </c>
      <c r="BR286" s="27" t="s">
        <v>7</v>
      </c>
      <c r="BS286" s="27" t="s">
        <v>8</v>
      </c>
      <c r="BU286" s="27" t="s">
        <v>8</v>
      </c>
      <c r="BV286" s="27" t="s">
        <v>7</v>
      </c>
      <c r="CA286" s="27" t="s">
        <v>8</v>
      </c>
      <c r="CB286" s="27" t="s">
        <v>7</v>
      </c>
      <c r="CC286" s="27" t="s">
        <v>8</v>
      </c>
      <c r="CE286" s="27" t="s">
        <v>8</v>
      </c>
      <c r="CF286" s="27" t="s">
        <v>7</v>
      </c>
      <c r="CG286" s="27" t="s">
        <v>8</v>
      </c>
      <c r="CH286" s="27" t="s">
        <v>7</v>
      </c>
    </row>
    <row r="287" spans="1:86" x14ac:dyDescent="0.25">
      <c r="A287" s="30">
        <v>0.10094921443640027</v>
      </c>
      <c r="B287"/>
      <c r="C287"/>
      <c r="D287"/>
      <c r="E287"/>
      <c r="AF287" s="27" t="s">
        <v>7</v>
      </c>
      <c r="AI287" s="27" t="s">
        <v>8</v>
      </c>
      <c r="AJ287" s="27" t="s">
        <v>7</v>
      </c>
      <c r="AK287" s="27" t="s">
        <v>8</v>
      </c>
      <c r="AL287" s="27" t="s">
        <v>7</v>
      </c>
      <c r="AM287" s="27" t="s">
        <v>8</v>
      </c>
      <c r="AO287" s="27" t="s">
        <v>8</v>
      </c>
      <c r="AP287" s="27" t="s">
        <v>7</v>
      </c>
      <c r="AQ287" s="27" t="s">
        <v>8</v>
      </c>
      <c r="AR287" s="27" t="s">
        <v>7</v>
      </c>
      <c r="AS287" s="27" t="s">
        <v>8</v>
      </c>
      <c r="AT287" s="27" t="s">
        <v>7</v>
      </c>
      <c r="BG287" s="27" t="s">
        <v>8</v>
      </c>
      <c r="BH287" s="27" t="s">
        <v>7</v>
      </c>
      <c r="BK287" s="27" t="s">
        <v>8</v>
      </c>
      <c r="BM287" s="27" t="s">
        <v>8</v>
      </c>
      <c r="BP287" s="27" t="s">
        <v>7</v>
      </c>
      <c r="BQ287" s="27" t="s">
        <v>8</v>
      </c>
      <c r="BR287" s="27" t="s">
        <v>7</v>
      </c>
      <c r="BS287" s="27" t="s">
        <v>8</v>
      </c>
      <c r="BT287" s="27" t="s">
        <v>7</v>
      </c>
      <c r="BU287" s="27" t="s">
        <v>8</v>
      </c>
      <c r="BV287" s="27" t="s">
        <v>7</v>
      </c>
      <c r="BW287" s="27" t="s">
        <v>8</v>
      </c>
      <c r="BY287" s="27" t="s">
        <v>8</v>
      </c>
      <c r="CA287" s="27" t="s">
        <v>8</v>
      </c>
      <c r="CB287" s="27" t="s">
        <v>7</v>
      </c>
      <c r="CC287" s="27" t="s">
        <v>8</v>
      </c>
      <c r="CD287" s="27" t="s">
        <v>7</v>
      </c>
      <c r="CE287" s="27" t="s">
        <v>8</v>
      </c>
      <c r="CF287" s="27" t="s">
        <v>7</v>
      </c>
      <c r="CG287" s="27" t="s">
        <v>8</v>
      </c>
      <c r="CH287" s="27" t="s">
        <v>7</v>
      </c>
    </row>
    <row r="288" spans="1:86" x14ac:dyDescent="0.25">
      <c r="A288" s="30">
        <v>9.6142108987047836E-2</v>
      </c>
      <c r="B288"/>
      <c r="C288"/>
      <c r="D288"/>
      <c r="E288"/>
      <c r="AF288" s="27" t="s">
        <v>7</v>
      </c>
      <c r="AI288" s="27" t="s">
        <v>8</v>
      </c>
      <c r="AJ288" s="27" t="s">
        <v>7</v>
      </c>
      <c r="AK288" s="27" t="s">
        <v>8</v>
      </c>
      <c r="AL288" s="27" t="s">
        <v>7</v>
      </c>
      <c r="AM288" s="27" t="s">
        <v>8</v>
      </c>
      <c r="AN288" s="27" t="s">
        <v>7</v>
      </c>
      <c r="AO288" s="27" t="s">
        <v>8</v>
      </c>
      <c r="AP288" s="27" t="s">
        <v>7</v>
      </c>
      <c r="AQ288" s="27" t="s">
        <v>8</v>
      </c>
      <c r="AR288" s="27" t="s">
        <v>7</v>
      </c>
      <c r="AS288" s="27" t="s">
        <v>8</v>
      </c>
      <c r="AT288" s="27" t="s">
        <v>7</v>
      </c>
      <c r="BG288" s="27" t="s">
        <v>8</v>
      </c>
      <c r="BH288" s="27" t="s">
        <v>7</v>
      </c>
      <c r="BI288" s="27" t="s">
        <v>8</v>
      </c>
      <c r="BK288" s="27" t="s">
        <v>8</v>
      </c>
      <c r="BL288" s="27" t="s">
        <v>7</v>
      </c>
      <c r="BM288" s="27" t="s">
        <v>8</v>
      </c>
      <c r="BP288" s="27" t="s">
        <v>7</v>
      </c>
      <c r="BR288" s="27" t="s">
        <v>7</v>
      </c>
      <c r="BS288" s="27" t="s">
        <v>8</v>
      </c>
      <c r="BT288" s="27" t="s">
        <v>7</v>
      </c>
      <c r="BU288" s="27" t="s">
        <v>8</v>
      </c>
      <c r="BV288" s="27" t="s">
        <v>7</v>
      </c>
      <c r="BW288" s="27" t="s">
        <v>8</v>
      </c>
      <c r="BX288" s="27" t="s">
        <v>7</v>
      </c>
      <c r="BY288" s="27" t="s">
        <v>8</v>
      </c>
      <c r="BZ288" s="27" t="s">
        <v>7</v>
      </c>
      <c r="CA288" s="27" t="s">
        <v>8</v>
      </c>
      <c r="CB288" s="27" t="s">
        <v>7</v>
      </c>
      <c r="CC288" s="27" t="s">
        <v>8</v>
      </c>
      <c r="CD288" s="27" t="s">
        <v>7</v>
      </c>
      <c r="CE288" s="27" t="s">
        <v>8</v>
      </c>
      <c r="CF288" s="27" t="s">
        <v>7</v>
      </c>
      <c r="CG288" s="27" t="s">
        <v>8</v>
      </c>
      <c r="CH288" s="27" t="s">
        <v>7</v>
      </c>
    </row>
    <row r="289" spans="1:99" x14ac:dyDescent="0.25">
      <c r="A289" s="30">
        <v>9.1563913320997906E-2</v>
      </c>
      <c r="B289"/>
      <c r="C289"/>
      <c r="D289"/>
      <c r="E289"/>
      <c r="AF289" s="27" t="s">
        <v>7</v>
      </c>
      <c r="AI289" s="27" t="s">
        <v>8</v>
      </c>
      <c r="AJ289" s="27" t="s">
        <v>7</v>
      </c>
      <c r="AK289" s="27" t="s">
        <v>8</v>
      </c>
      <c r="AL289" s="27" t="s">
        <v>7</v>
      </c>
      <c r="AM289" s="27" t="s">
        <v>8</v>
      </c>
      <c r="AN289" s="27" t="s">
        <v>7</v>
      </c>
      <c r="AO289" s="27" t="s">
        <v>8</v>
      </c>
      <c r="AP289" s="27" t="s">
        <v>7</v>
      </c>
      <c r="AQ289" s="27" t="s">
        <v>8</v>
      </c>
      <c r="AR289" s="27" t="s">
        <v>7</v>
      </c>
      <c r="AS289" s="27" t="s">
        <v>8</v>
      </c>
      <c r="AT289" s="27" t="s">
        <v>7</v>
      </c>
      <c r="BE289" s="27" t="s">
        <v>8</v>
      </c>
      <c r="BG289" s="27" t="s">
        <v>8</v>
      </c>
      <c r="BH289" s="27" t="s">
        <v>7</v>
      </c>
      <c r="BI289" s="27" t="s">
        <v>8</v>
      </c>
      <c r="BJ289" s="27" t="s">
        <v>7</v>
      </c>
      <c r="BK289" s="27" t="s">
        <v>8</v>
      </c>
      <c r="BL289" s="27" t="s">
        <v>7</v>
      </c>
      <c r="BM289" s="27" t="s">
        <v>8</v>
      </c>
      <c r="BR289" s="27" t="s">
        <v>7</v>
      </c>
      <c r="BS289" s="27" t="s">
        <v>8</v>
      </c>
      <c r="BT289" s="27" t="s">
        <v>7</v>
      </c>
      <c r="BU289" s="27" t="s">
        <v>8</v>
      </c>
      <c r="BV289" s="27" t="s">
        <v>7</v>
      </c>
      <c r="BW289" s="27" t="s">
        <v>8</v>
      </c>
      <c r="BX289" s="27" t="s">
        <v>7</v>
      </c>
      <c r="BY289" s="27" t="s">
        <v>8</v>
      </c>
      <c r="BZ289" s="27" t="s">
        <v>7</v>
      </c>
      <c r="CA289" s="27" t="s">
        <v>8</v>
      </c>
      <c r="CB289" s="27" t="s">
        <v>7</v>
      </c>
      <c r="CC289" s="27" t="s">
        <v>8</v>
      </c>
      <c r="CD289" s="27" t="s">
        <v>7</v>
      </c>
      <c r="CF289" s="27" t="s">
        <v>7</v>
      </c>
      <c r="CG289" s="27" t="s">
        <v>8</v>
      </c>
      <c r="CH289" s="27" t="s">
        <v>7</v>
      </c>
    </row>
    <row r="290" spans="1:99" x14ac:dyDescent="0.25">
      <c r="A290" s="30">
        <v>8.7203726972378923E-2</v>
      </c>
      <c r="B290"/>
      <c r="C290"/>
      <c r="D290"/>
      <c r="E290"/>
      <c r="AF290" s="27" t="s">
        <v>7</v>
      </c>
      <c r="AI290" s="27" t="s">
        <v>8</v>
      </c>
      <c r="AJ290" s="27" t="s">
        <v>7</v>
      </c>
      <c r="AK290" s="27" t="s">
        <v>8</v>
      </c>
      <c r="AL290" s="27" t="s">
        <v>7</v>
      </c>
      <c r="AN290" s="27" t="s">
        <v>7</v>
      </c>
      <c r="AO290" s="27" t="s">
        <v>8</v>
      </c>
      <c r="AP290" s="27" t="s">
        <v>7</v>
      </c>
      <c r="AR290" s="27" t="s">
        <v>7</v>
      </c>
      <c r="AS290" s="27" t="s">
        <v>8</v>
      </c>
      <c r="AT290" s="27" t="s">
        <v>7</v>
      </c>
      <c r="BC290" s="27" t="s">
        <v>8</v>
      </c>
      <c r="BE290" s="27" t="s">
        <v>8</v>
      </c>
      <c r="BF290" s="27" t="s">
        <v>7</v>
      </c>
      <c r="BG290" s="27" t="s">
        <v>8</v>
      </c>
      <c r="BH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BR290" s="27" t="s">
        <v>7</v>
      </c>
      <c r="BS290" s="27" t="s">
        <v>8</v>
      </c>
      <c r="BT290" s="27" t="s">
        <v>7</v>
      </c>
      <c r="BU290" s="27" t="s">
        <v>8</v>
      </c>
      <c r="BV290" s="27" t="s">
        <v>7</v>
      </c>
      <c r="BX290" s="27" t="s">
        <v>7</v>
      </c>
      <c r="BZ290" s="27" t="s">
        <v>7</v>
      </c>
      <c r="CB290" s="27" t="s">
        <v>7</v>
      </c>
      <c r="CC290" s="27" t="s">
        <v>8</v>
      </c>
      <c r="CF290" s="27" t="s">
        <v>7</v>
      </c>
      <c r="CG290" s="27" t="s">
        <v>8</v>
      </c>
      <c r="CH290" s="27" t="s">
        <v>7</v>
      </c>
      <c r="CM290" s="27" t="s">
        <v>8</v>
      </c>
    </row>
    <row r="291" spans="1:99" x14ac:dyDescent="0.25">
      <c r="A291" s="30">
        <v>8.3051168545122747E-2</v>
      </c>
      <c r="B291"/>
      <c r="C291"/>
      <c r="D291"/>
      <c r="E291"/>
      <c r="AF291" s="27" t="s">
        <v>7</v>
      </c>
      <c r="AI291" s="27" t="s">
        <v>8</v>
      </c>
      <c r="AJ291" s="27" t="s">
        <v>7</v>
      </c>
      <c r="AK291" s="27" t="s">
        <v>8</v>
      </c>
      <c r="AN291" s="27" t="s">
        <v>7</v>
      </c>
      <c r="AR291" s="27" t="s">
        <v>7</v>
      </c>
      <c r="AT291" s="27" t="s">
        <v>7</v>
      </c>
      <c r="BC291" s="27" t="s">
        <v>8</v>
      </c>
      <c r="BD291" s="27" t="s">
        <v>7</v>
      </c>
      <c r="BE291" s="27" t="s">
        <v>8</v>
      </c>
      <c r="BF291" s="27" t="s">
        <v>7</v>
      </c>
      <c r="BG291" s="27" t="s">
        <v>8</v>
      </c>
      <c r="BH291" s="27" t="s">
        <v>7</v>
      </c>
      <c r="BI291" s="27" t="s">
        <v>8</v>
      </c>
      <c r="BJ291" s="27" t="s">
        <v>7</v>
      </c>
      <c r="BL291" s="27" t="s">
        <v>7</v>
      </c>
      <c r="BM291" s="27" t="s">
        <v>8</v>
      </c>
      <c r="BR291" s="27" t="s">
        <v>7</v>
      </c>
      <c r="BS291" s="27" t="s">
        <v>8</v>
      </c>
      <c r="BT291" s="27" t="s">
        <v>7</v>
      </c>
      <c r="BU291" s="27" t="s">
        <v>8</v>
      </c>
      <c r="CB291" s="27" t="s">
        <v>7</v>
      </c>
      <c r="CF291" s="27" t="s">
        <v>7</v>
      </c>
      <c r="CG291" s="27" t="s">
        <v>8</v>
      </c>
      <c r="CH291" s="27" t="s">
        <v>7</v>
      </c>
      <c r="CI291" s="27" t="s">
        <v>8</v>
      </c>
      <c r="CM291" s="27" t="s">
        <v>8</v>
      </c>
      <c r="CN291" s="27" t="s">
        <v>7</v>
      </c>
    </row>
    <row r="292" spans="1:99" x14ac:dyDescent="0.25">
      <c r="A292" s="30">
        <v>7.9096350995354961E-2</v>
      </c>
      <c r="B292"/>
      <c r="C292"/>
      <c r="D292"/>
      <c r="E292"/>
      <c r="AF292" s="27" t="s">
        <v>7</v>
      </c>
      <c r="AG292" s="27" t="s">
        <v>8</v>
      </c>
      <c r="AI292" s="27" t="s">
        <v>8</v>
      </c>
      <c r="AJ292" s="27" t="s">
        <v>7</v>
      </c>
      <c r="AK292" s="27" t="s">
        <v>8</v>
      </c>
      <c r="AT292" s="27" t="s">
        <v>7</v>
      </c>
      <c r="BC292" s="27" t="s">
        <v>8</v>
      </c>
      <c r="BD292" s="27" t="s">
        <v>7</v>
      </c>
      <c r="BE292" s="27" t="s">
        <v>8</v>
      </c>
      <c r="BF292" s="27" t="s">
        <v>7</v>
      </c>
      <c r="BH292" s="27" t="s">
        <v>7</v>
      </c>
      <c r="BL292" s="27" t="s">
        <v>7</v>
      </c>
      <c r="BM292" s="27" t="s">
        <v>8</v>
      </c>
      <c r="BR292" s="27" t="s">
        <v>7</v>
      </c>
      <c r="BS292" s="27" t="s">
        <v>8</v>
      </c>
      <c r="BT292" s="27" t="s">
        <v>7</v>
      </c>
      <c r="BU292" s="27" t="s">
        <v>8</v>
      </c>
      <c r="CF292" s="27" t="s">
        <v>7</v>
      </c>
      <c r="CH292" s="27" t="s">
        <v>7</v>
      </c>
      <c r="CI292" s="27" t="s">
        <v>8</v>
      </c>
      <c r="CJ292" s="27" t="s">
        <v>7</v>
      </c>
      <c r="CM292" s="27" t="s">
        <v>8</v>
      </c>
      <c r="CN292" s="27" t="s">
        <v>7</v>
      </c>
    </row>
    <row r="293" spans="1:99" x14ac:dyDescent="0.25">
      <c r="A293" s="30">
        <v>7.5329858090814217E-2</v>
      </c>
      <c r="B293"/>
      <c r="C293"/>
      <c r="D293"/>
      <c r="E293"/>
      <c r="AF293" s="27" t="s">
        <v>7</v>
      </c>
      <c r="AG293" s="27" t="s">
        <v>8</v>
      </c>
      <c r="AH293" s="27" t="s">
        <v>7</v>
      </c>
      <c r="AI293" s="27" t="s">
        <v>8</v>
      </c>
      <c r="AJ293" s="27" t="s">
        <v>7</v>
      </c>
      <c r="AT293" s="27" t="s">
        <v>7</v>
      </c>
      <c r="AW293" s="27" t="s">
        <v>8</v>
      </c>
      <c r="BC293" s="27" t="s">
        <v>8</v>
      </c>
      <c r="BD293" s="27" t="s">
        <v>7</v>
      </c>
      <c r="BE293" s="27" t="s">
        <v>8</v>
      </c>
      <c r="BL293" s="27" t="s">
        <v>7</v>
      </c>
      <c r="BM293" s="27" t="s">
        <v>8</v>
      </c>
      <c r="BR293" s="27" t="s">
        <v>7</v>
      </c>
      <c r="BT293" s="27" t="s">
        <v>7</v>
      </c>
      <c r="CH293" s="27" t="s">
        <v>7</v>
      </c>
      <c r="CI293" s="27" t="s">
        <v>8</v>
      </c>
      <c r="CJ293" s="27" t="s">
        <v>7</v>
      </c>
      <c r="CM293" s="27" t="s">
        <v>8</v>
      </c>
      <c r="CN293" s="27" t="s">
        <v>7</v>
      </c>
      <c r="CO293" s="27" t="s">
        <v>8</v>
      </c>
      <c r="CQ293" s="27" t="s">
        <v>8</v>
      </c>
    </row>
    <row r="294" spans="1:99" x14ac:dyDescent="0.25">
      <c r="A294" s="30">
        <v>7.1742721991251604E-2</v>
      </c>
      <c r="B294"/>
      <c r="C294"/>
      <c r="D294"/>
      <c r="E294"/>
      <c r="AF294" s="27" t="s">
        <v>7</v>
      </c>
      <c r="AG294" s="27" t="s">
        <v>8</v>
      </c>
      <c r="AH294" s="27" t="s">
        <v>7</v>
      </c>
      <c r="AI294" s="27" t="s">
        <v>8</v>
      </c>
      <c r="AT294" s="27" t="s">
        <v>7</v>
      </c>
      <c r="AU294" s="27" t="s">
        <v>8</v>
      </c>
      <c r="AW294" s="27" t="s">
        <v>8</v>
      </c>
      <c r="AX294" s="27" t="s">
        <v>7</v>
      </c>
      <c r="AY294" s="27" t="s">
        <v>8</v>
      </c>
      <c r="BC294" s="27" t="s">
        <v>8</v>
      </c>
      <c r="BD294" s="27" t="s">
        <v>7</v>
      </c>
      <c r="BL294" s="27" t="s">
        <v>7</v>
      </c>
      <c r="BM294" s="27" t="s">
        <v>8</v>
      </c>
      <c r="CH294" s="27" t="s">
        <v>7</v>
      </c>
      <c r="CJ294" s="27" t="s">
        <v>7</v>
      </c>
      <c r="CM294" s="27" t="s">
        <v>8</v>
      </c>
      <c r="CN294" s="27" t="s">
        <v>7</v>
      </c>
      <c r="CO294" s="27" t="s">
        <v>8</v>
      </c>
      <c r="CP294" s="27" t="s">
        <v>7</v>
      </c>
      <c r="CQ294" s="27" t="s">
        <v>8</v>
      </c>
      <c r="CR294" s="27" t="s">
        <v>7</v>
      </c>
      <c r="CS294" s="27" t="s">
        <v>8</v>
      </c>
    </row>
    <row r="295" spans="1:99" x14ac:dyDescent="0.25">
      <c r="A295" s="30">
        <v>6.8326401896430078E-2</v>
      </c>
      <c r="B295"/>
      <c r="C295"/>
      <c r="D295"/>
      <c r="E295"/>
      <c r="AF295" s="27" t="s">
        <v>7</v>
      </c>
      <c r="AG295" s="27" t="s">
        <v>8</v>
      </c>
      <c r="AH295" s="27" t="s">
        <v>7</v>
      </c>
      <c r="AI295" s="27" t="s">
        <v>8</v>
      </c>
      <c r="AT295" s="27" t="s">
        <v>7</v>
      </c>
      <c r="AU295" s="27" t="s">
        <v>8</v>
      </c>
      <c r="AV295" s="27" t="s">
        <v>7</v>
      </c>
      <c r="AW295" s="27" t="s">
        <v>8</v>
      </c>
      <c r="AX295" s="27" t="s">
        <v>7</v>
      </c>
      <c r="AY295" s="27" t="s">
        <v>8</v>
      </c>
      <c r="AZ295" s="27" t="s">
        <v>7</v>
      </c>
      <c r="BC295" s="27" t="s">
        <v>8</v>
      </c>
      <c r="BL295" s="27" t="s">
        <v>7</v>
      </c>
      <c r="CJ295" s="27" t="s">
        <v>7</v>
      </c>
      <c r="CK295" s="27" t="s">
        <v>8</v>
      </c>
      <c r="CM295" s="27" t="s">
        <v>8</v>
      </c>
      <c r="CN295" s="27" t="s">
        <v>7</v>
      </c>
      <c r="CO295" s="27" t="s">
        <v>8</v>
      </c>
      <c r="CP295" s="27" t="s">
        <v>7</v>
      </c>
      <c r="CQ295" s="27" t="s">
        <v>8</v>
      </c>
      <c r="CR295" s="27" t="s">
        <v>7</v>
      </c>
      <c r="CS295" s="27" t="s">
        <v>8</v>
      </c>
      <c r="CT295" s="27" t="s">
        <v>7</v>
      </c>
    </row>
    <row r="296" spans="1:99" x14ac:dyDescent="0.25">
      <c r="A296" s="30">
        <v>6.5072763710885759E-2</v>
      </c>
      <c r="B296"/>
      <c r="C296"/>
      <c r="D296"/>
      <c r="E296"/>
      <c r="AF296" s="27" t="s">
        <v>7</v>
      </c>
      <c r="AH296" s="27" t="s">
        <v>7</v>
      </c>
      <c r="AI296" s="27" t="s">
        <v>8</v>
      </c>
      <c r="AT296" s="27" t="s">
        <v>7</v>
      </c>
      <c r="AU296" s="27" t="s">
        <v>8</v>
      </c>
      <c r="AV296" s="27" t="s">
        <v>7</v>
      </c>
      <c r="AW296" s="27" t="s">
        <v>8</v>
      </c>
      <c r="AX296" s="27" t="s">
        <v>7</v>
      </c>
      <c r="AY296" s="27" t="s">
        <v>8</v>
      </c>
      <c r="AZ296" s="27" t="s">
        <v>7</v>
      </c>
      <c r="BC296" s="27" t="s">
        <v>8</v>
      </c>
      <c r="CJ296" s="27" t="s">
        <v>7</v>
      </c>
      <c r="CK296" s="27" t="s">
        <v>8</v>
      </c>
      <c r="CL296" s="27" t="s">
        <v>7</v>
      </c>
      <c r="CM296" s="27" t="s">
        <v>8</v>
      </c>
      <c r="CN296" s="27" t="s">
        <v>7</v>
      </c>
      <c r="CP296" s="27" t="s">
        <v>7</v>
      </c>
      <c r="CQ296" s="27" t="s">
        <v>8</v>
      </c>
      <c r="CR296" s="27" t="s">
        <v>7</v>
      </c>
      <c r="CS296" s="27" t="s">
        <v>8</v>
      </c>
      <c r="CT296" s="27" t="s">
        <v>7</v>
      </c>
    </row>
    <row r="297" spans="1:99" x14ac:dyDescent="0.25">
      <c r="A297" s="30">
        <v>6.197406067703403E-2</v>
      </c>
      <c r="B297"/>
      <c r="C297"/>
      <c r="D297"/>
      <c r="E297"/>
      <c r="AH297" s="27" t="s">
        <v>7</v>
      </c>
      <c r="AI297" s="27" t="s">
        <v>8</v>
      </c>
      <c r="AT297" s="27" t="s">
        <v>7</v>
      </c>
      <c r="AU297" s="27" t="s">
        <v>8</v>
      </c>
      <c r="AV297" s="27" t="s">
        <v>7</v>
      </c>
      <c r="AW297" s="27" t="s">
        <v>8</v>
      </c>
      <c r="AX297" s="27" t="s">
        <v>7</v>
      </c>
      <c r="AY297" s="27" t="s">
        <v>8</v>
      </c>
      <c r="AZ297" s="27" t="s">
        <v>7</v>
      </c>
      <c r="BC297" s="27" t="s">
        <v>8</v>
      </c>
      <c r="CJ297" s="27" t="s">
        <v>7</v>
      </c>
      <c r="CK297" s="27" t="s">
        <v>8</v>
      </c>
      <c r="CL297" s="27" t="s">
        <v>7</v>
      </c>
      <c r="CM297" s="27" t="s">
        <v>8</v>
      </c>
      <c r="CP297" s="27" t="s">
        <v>7</v>
      </c>
      <c r="CQ297" s="27" t="s">
        <v>8</v>
      </c>
      <c r="CR297" s="27" t="s">
        <v>7</v>
      </c>
      <c r="CT297" s="27" t="s">
        <v>7</v>
      </c>
    </row>
    <row r="298" spans="1:99" x14ac:dyDescent="0.25">
      <c r="A298" s="30">
        <v>5.9022914930508576E-2</v>
      </c>
      <c r="B298"/>
      <c r="C298"/>
      <c r="D298"/>
      <c r="E298"/>
      <c r="AH298" s="27" t="s">
        <v>7</v>
      </c>
      <c r="AI298" s="27" t="s">
        <v>8</v>
      </c>
      <c r="AT298" s="27" t="s">
        <v>7</v>
      </c>
      <c r="AU298" s="27" t="s">
        <v>8</v>
      </c>
      <c r="AV298" s="27" t="s">
        <v>7</v>
      </c>
      <c r="AX298" s="27" t="s">
        <v>7</v>
      </c>
      <c r="AZ298" s="27" t="s">
        <v>7</v>
      </c>
      <c r="BA298" s="27" t="s">
        <v>8</v>
      </c>
      <c r="BC298" s="27" t="s">
        <v>8</v>
      </c>
      <c r="CJ298" s="27" t="s">
        <v>7</v>
      </c>
      <c r="CL298" s="27" t="s">
        <v>7</v>
      </c>
      <c r="CP298" s="27" t="s">
        <v>7</v>
      </c>
      <c r="CQ298" s="27" t="s">
        <v>8</v>
      </c>
      <c r="CT298" s="27" t="s">
        <v>7</v>
      </c>
    </row>
    <row r="299" spans="1:99" x14ac:dyDescent="0.25">
      <c r="A299" s="30">
        <v>5.6212299933817669E-2</v>
      </c>
      <c r="B299"/>
      <c r="C299"/>
      <c r="D299"/>
      <c r="E299"/>
      <c r="AH299" s="27" t="s">
        <v>7</v>
      </c>
      <c r="AI299" s="27" t="s">
        <v>8</v>
      </c>
      <c r="AT299" s="27" t="s">
        <v>7</v>
      </c>
      <c r="AU299" s="27" t="s">
        <v>8</v>
      </c>
      <c r="AZ299" s="27" t="s">
        <v>7</v>
      </c>
      <c r="BA299" s="27" t="s">
        <v>8</v>
      </c>
      <c r="BB299" s="27" t="s">
        <v>7</v>
      </c>
      <c r="BC299" s="27" t="s">
        <v>8</v>
      </c>
      <c r="CP299" s="27" t="s">
        <v>7</v>
      </c>
      <c r="CQ299" s="27" t="s">
        <v>8</v>
      </c>
      <c r="CT299" s="27" t="s">
        <v>7</v>
      </c>
    </row>
    <row r="300" spans="1:99" x14ac:dyDescent="0.25">
      <c r="A300" s="30">
        <v>5.3535523746492994E-2</v>
      </c>
      <c r="B300"/>
      <c r="C300"/>
      <c r="D300"/>
      <c r="E300"/>
      <c r="AH300" s="27" t="s">
        <v>7</v>
      </c>
      <c r="AI300" s="27" t="s">
        <v>8</v>
      </c>
      <c r="AT300" s="27" t="s">
        <v>7</v>
      </c>
      <c r="AU300" s="27" t="s">
        <v>8</v>
      </c>
      <c r="AZ300" s="27" t="s">
        <v>7</v>
      </c>
      <c r="BA300" s="27" t="s">
        <v>8</v>
      </c>
      <c r="BB300" s="27" t="s">
        <v>7</v>
      </c>
      <c r="BC300" s="27" t="s">
        <v>8</v>
      </c>
      <c r="CP300" s="27" t="s">
        <v>7</v>
      </c>
      <c r="CQ300" s="27" t="s">
        <v>8</v>
      </c>
      <c r="CT300" s="27" t="s">
        <v>7</v>
      </c>
    </row>
    <row r="301" spans="1:99" x14ac:dyDescent="0.25">
      <c r="A301" s="30">
        <v>5.0986213091898068E-2</v>
      </c>
      <c r="B301"/>
      <c r="C301"/>
      <c r="D301"/>
      <c r="E301"/>
      <c r="AH301" s="27" t="s">
        <v>7</v>
      </c>
      <c r="AI301" s="27" t="s">
        <v>8</v>
      </c>
      <c r="AT301" s="27" t="s">
        <v>7</v>
      </c>
      <c r="AZ301" s="18" t="s">
        <v>7</v>
      </c>
      <c r="BA301" s="27" t="s">
        <v>8</v>
      </c>
      <c r="BB301" s="27" t="s">
        <v>7</v>
      </c>
      <c r="CP301" s="27" t="s">
        <v>7</v>
      </c>
      <c r="CQ301" s="27" t="s">
        <v>8</v>
      </c>
      <c r="CT301" s="27" t="s">
        <v>7</v>
      </c>
    </row>
    <row r="302" spans="1:99" x14ac:dyDescent="0.25">
      <c r="A302" s="30">
        <v>4.8558298182760043E-2</v>
      </c>
      <c r="B302"/>
      <c r="C302"/>
      <c r="D302"/>
      <c r="E302"/>
      <c r="AH302" s="27" t="s">
        <v>7</v>
      </c>
      <c r="AI302" s="27" t="s">
        <v>8</v>
      </c>
      <c r="AZ302" s="27" t="s">
        <v>7</v>
      </c>
      <c r="BA302" s="27" t="s">
        <v>8</v>
      </c>
      <c r="CP302" s="27" t="s">
        <v>7</v>
      </c>
      <c r="CT302" s="27" t="s">
        <v>7</v>
      </c>
    </row>
    <row r="303" spans="1:99" x14ac:dyDescent="0.25">
      <c r="A303" s="30">
        <v>4.6245998269295263E-2</v>
      </c>
      <c r="B303"/>
      <c r="C303"/>
      <c r="D303"/>
      <c r="E303"/>
      <c r="AH303" s="27" t="s">
        <v>7</v>
      </c>
      <c r="AI303" s="27" t="s">
        <v>8</v>
      </c>
      <c r="AZ303" s="27" t="s">
        <v>7</v>
      </c>
      <c r="CT303" s="27" t="s">
        <v>7</v>
      </c>
      <c r="CU303" s="27" t="s">
        <v>8</v>
      </c>
    </row>
    <row r="304" spans="1:99" x14ac:dyDescent="0.25">
      <c r="A304" s="30">
        <v>4.4043807875519279E-2</v>
      </c>
      <c r="B304"/>
      <c r="C304"/>
      <c r="D304"/>
      <c r="E304"/>
      <c r="AH304" s="27" t="s">
        <v>7</v>
      </c>
      <c r="CT304" s="27" t="s">
        <v>7</v>
      </c>
      <c r="CU304" s="27" t="s">
        <v>8</v>
      </c>
    </row>
    <row r="305" spans="1:99" x14ac:dyDescent="0.25">
      <c r="A305" s="30">
        <v>4.1946483690970725E-2</v>
      </c>
      <c r="B305"/>
      <c r="C305"/>
      <c r="D305"/>
      <c r="E305"/>
      <c r="CT305" s="27" t="s">
        <v>7</v>
      </c>
      <c r="CU305" s="27" t="s">
        <v>8</v>
      </c>
    </row>
    <row r="306" spans="1:99" x14ac:dyDescent="0.25">
      <c r="A306" s="30">
        <v>3.9949032086638768E-2</v>
      </c>
      <c r="B306"/>
      <c r="C306"/>
      <c r="D306"/>
      <c r="E306"/>
      <c r="CT306" s="27" t="s">
        <v>7</v>
      </c>
      <c r="CU306" s="27" t="s">
        <v>8</v>
      </c>
    </row>
    <row r="307" spans="1:99" x14ac:dyDescent="0.25">
      <c r="A307" s="30">
        <v>3.8046697225370241E-2</v>
      </c>
      <c r="B307"/>
      <c r="C307"/>
      <c r="D307"/>
      <c r="E307"/>
      <c r="CT307" s="27" t="s">
        <v>7</v>
      </c>
    </row>
    <row r="308" spans="1:99" x14ac:dyDescent="0.25">
      <c r="A308" s="30">
        <v>3.6234949738447833E-2</v>
      </c>
      <c r="B308"/>
      <c r="C308"/>
      <c r="D308"/>
      <c r="E308"/>
    </row>
    <row r="309" spans="1:99" x14ac:dyDescent="0.25">
      <c r="A309" s="30">
        <v>3.4509475941378875E-2</v>
      </c>
      <c r="B309"/>
      <c r="C309"/>
      <c r="D309"/>
      <c r="E309"/>
    </row>
    <row r="310" spans="1:99" x14ac:dyDescent="0.25">
      <c r="A310" s="30">
        <v>3.286616756321796E-2</v>
      </c>
      <c r="B310"/>
      <c r="C310"/>
      <c r="D310"/>
      <c r="E310"/>
    </row>
    <row r="311" spans="1:99" x14ac:dyDescent="0.25">
      <c r="A311" s="30">
        <v>3.1301111964969472E-2</v>
      </c>
      <c r="B311"/>
      <c r="C311"/>
      <c r="D311"/>
      <c r="E311"/>
    </row>
    <row r="312" spans="1:99" x14ac:dyDescent="0.25">
      <c r="A312" s="30">
        <v>2.9810582823780438E-2</v>
      </c>
      <c r="B312"/>
      <c r="C312"/>
      <c r="D312"/>
      <c r="E312"/>
    </row>
    <row r="313" spans="1:99" x14ac:dyDescent="0.25">
      <c r="A313" s="30">
        <v>2.8391031260743264E-2</v>
      </c>
      <c r="B313"/>
      <c r="C313"/>
      <c r="D313"/>
      <c r="E313"/>
    </row>
    <row r="314" spans="1:99" x14ac:dyDescent="0.25">
      <c r="A314" s="30">
        <v>2.7039077391184052E-2</v>
      </c>
      <c r="B314"/>
      <c r="C314"/>
      <c r="D314"/>
      <c r="E314"/>
    </row>
    <row r="315" spans="1:99" x14ac:dyDescent="0.25">
      <c r="A315" s="30">
        <v>2.5751502277318133E-2</v>
      </c>
      <c r="B315"/>
      <c r="C315"/>
      <c r="D315"/>
      <c r="E315"/>
    </row>
    <row r="316" spans="1:99" x14ac:dyDescent="0.25">
      <c r="A316" s="30">
        <v>2.4525240264112496E-2</v>
      </c>
      <c r="B316"/>
      <c r="C316"/>
      <c r="D316"/>
      <c r="E316"/>
    </row>
    <row r="317" spans="1:99" x14ac:dyDescent="0.25">
      <c r="A317" s="30">
        <v>2.3357371680107129E-2</v>
      </c>
      <c r="B317"/>
      <c r="C317"/>
      <c r="D317"/>
      <c r="E317"/>
    </row>
    <row r="318" spans="1:99" x14ac:dyDescent="0.25">
      <c r="A318" s="30">
        <v>2.2245115885816305E-2</v>
      </c>
      <c r="B318"/>
      <c r="C318"/>
      <c r="D318"/>
      <c r="E318"/>
    </row>
    <row r="319" spans="1:99" x14ac:dyDescent="0.25">
      <c r="A319" s="30">
        <v>2.1185824653158377E-2</v>
      </c>
      <c r="B319"/>
      <c r="C319"/>
      <c r="D319"/>
      <c r="E319"/>
    </row>
    <row r="320" spans="1:99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45" operator="equal">
      <formula>$U$1</formula>
    </cfRule>
    <cfRule type="cellIs" dxfId="67" priority="746" operator="equal">
      <formula>$S$1</formula>
    </cfRule>
  </conditionalFormatting>
  <conditionalFormatting sqref="D136">
    <cfRule type="cellIs" dxfId="66" priority="743" operator="equal">
      <formula>$S$1</formula>
    </cfRule>
    <cfRule type="cellIs" dxfId="65" priority="744" operator="equal">
      <formula>$U$1</formula>
    </cfRule>
  </conditionalFormatting>
  <conditionalFormatting sqref="C162">
    <cfRule type="cellIs" dxfId="64" priority="741" operator="equal">
      <formula>$U$1</formula>
    </cfRule>
    <cfRule type="cellIs" dxfId="63" priority="742" operator="equal">
      <formula>$S$1</formula>
    </cfRule>
  </conditionalFormatting>
  <conditionalFormatting sqref="D162">
    <cfRule type="cellIs" dxfId="62" priority="739" operator="equal">
      <formula>$S$1</formula>
    </cfRule>
    <cfRule type="cellIs" dxfId="61" priority="740" operator="equal">
      <formula>$U$1</formula>
    </cfRule>
  </conditionalFormatting>
  <conditionalFormatting sqref="C187">
    <cfRule type="cellIs" dxfId="60" priority="737" operator="equal">
      <formula>$U$1</formula>
    </cfRule>
    <cfRule type="cellIs" dxfId="59" priority="738" operator="equal">
      <formula>$S$1</formula>
    </cfRule>
  </conditionalFormatting>
  <conditionalFormatting sqref="D187">
    <cfRule type="cellIs" dxfId="58" priority="735" operator="equal">
      <formula>$S$1</formula>
    </cfRule>
    <cfRule type="cellIs" dxfId="57" priority="736" operator="equal">
      <formula>$U$1</formula>
    </cfRule>
  </conditionalFormatting>
  <conditionalFormatting sqref="C212">
    <cfRule type="cellIs" dxfId="56" priority="733" operator="equal">
      <formula>$U$1</formula>
    </cfRule>
    <cfRule type="cellIs" dxfId="55" priority="734" operator="equal">
      <formula>$S$1</formula>
    </cfRule>
  </conditionalFormatting>
  <conditionalFormatting sqref="D212">
    <cfRule type="cellIs" dxfId="54" priority="731" operator="equal">
      <formula>$S$1</formula>
    </cfRule>
    <cfRule type="cellIs" dxfId="53" priority="732" operator="equal">
      <formula>$U$1</formula>
    </cfRule>
  </conditionalFormatting>
  <conditionalFormatting sqref="C237">
    <cfRule type="cellIs" dxfId="52" priority="729" operator="equal">
      <formula>$U$1</formula>
    </cfRule>
    <cfRule type="cellIs" dxfId="51" priority="730" operator="equal">
      <formula>$S$1</formula>
    </cfRule>
  </conditionalFormatting>
  <conditionalFormatting sqref="D237">
    <cfRule type="cellIs" dxfId="50" priority="727" operator="equal">
      <formula>$S$1</formula>
    </cfRule>
    <cfRule type="cellIs" dxfId="49" priority="728" operator="equal">
      <formula>$U$1</formula>
    </cfRule>
  </conditionalFormatting>
  <conditionalFormatting sqref="C106">
    <cfRule type="cellIs" dxfId="48" priority="725" operator="equal">
      <formula>$U$1</formula>
    </cfRule>
    <cfRule type="cellIs" dxfId="47" priority="726" operator="equal">
      <formula>$S$1</formula>
    </cfRule>
  </conditionalFormatting>
  <conditionalFormatting sqref="D106">
    <cfRule type="cellIs" dxfId="46" priority="723" operator="equal">
      <formula>$S$1</formula>
    </cfRule>
    <cfRule type="cellIs" dxfId="45" priority="724" operator="equal">
      <formula>$U$1</formula>
    </cfRule>
  </conditionalFormatting>
  <conditionalFormatting sqref="C81">
    <cfRule type="cellIs" dxfId="44" priority="721" operator="equal">
      <formula>$U$1</formula>
    </cfRule>
    <cfRule type="cellIs" dxfId="43" priority="722" operator="equal">
      <formula>$S$1</formula>
    </cfRule>
  </conditionalFormatting>
  <conditionalFormatting sqref="D81">
    <cfRule type="cellIs" dxfId="42" priority="719" operator="equal">
      <formula>$S$1</formula>
    </cfRule>
    <cfRule type="cellIs" dxfId="41" priority="720" operator="equal">
      <formula>$U$1</formula>
    </cfRule>
  </conditionalFormatting>
  <conditionalFormatting sqref="C56">
    <cfRule type="cellIs" dxfId="40" priority="717" operator="equal">
      <formula>$U$1</formula>
    </cfRule>
    <cfRule type="cellIs" dxfId="39" priority="718" operator="equal">
      <formula>$S$1</formula>
    </cfRule>
  </conditionalFormatting>
  <conditionalFormatting sqref="D56">
    <cfRule type="cellIs" dxfId="38" priority="715" operator="equal">
      <formula>$S$1</formula>
    </cfRule>
    <cfRule type="cellIs" dxfId="37" priority="716" operator="equal">
      <formula>$U$1</formula>
    </cfRule>
  </conditionalFormatting>
  <conditionalFormatting sqref="C31">
    <cfRule type="cellIs" dxfId="36" priority="713" operator="equal">
      <formula>$U$1</formula>
    </cfRule>
    <cfRule type="cellIs" dxfId="35" priority="714" operator="equal">
      <formula>$S$1</formula>
    </cfRule>
  </conditionalFormatting>
  <conditionalFormatting sqref="D31">
    <cfRule type="cellIs" dxfId="34" priority="711" operator="equal">
      <formula>$S$1</formula>
    </cfRule>
    <cfRule type="cellIs" dxfId="33" priority="71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P155" sqref="AP15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$A$154</v>
      </c>
      <c r="D111" s="1" t="str">
        <f>ADDRESS(C121-1,D121,1,1)</f>
        <v>$AP$154</v>
      </c>
      <c r="E111"/>
    </row>
    <row r="112" spans="1:5" x14ac:dyDescent="0.25">
      <c r="A112" s="30">
        <v>2.3579476910000019</v>
      </c>
      <c r="C112" s="1" t="str">
        <f>ADDRESS(C121,1,1,1)</f>
        <v>$A$155</v>
      </c>
      <c r="D112" s="1" t="str">
        <f>ADDRESS(C121,D121-1,1,1)</f>
        <v>$AO$155</v>
      </c>
      <c r="E112"/>
    </row>
    <row r="113" spans="1:6" x14ac:dyDescent="0.25">
      <c r="A113" s="30">
        <v>2.1435888100000016</v>
      </c>
      <c r="C113" s="1" t="str">
        <f>ADDRESS(C121+1,1,1,1)</f>
        <v>$A$156</v>
      </c>
      <c r="D113" s="1" t="str">
        <f>ADDRESS(C121-1,D121+1,1,1)</f>
        <v>$AQ$154</v>
      </c>
    </row>
    <row r="114" spans="1:6" x14ac:dyDescent="0.25">
      <c r="A114" s="30">
        <v>1.9487171000000014</v>
      </c>
      <c r="C114" s="1" t="str">
        <f>ADDRESS(C121,D121,1,1)</f>
        <v>$AP$155</v>
      </c>
      <c r="D114" s="1" t="str">
        <f>ADDRESS(C121+1,D121+1,1,1)</f>
        <v>$AQ$156</v>
      </c>
    </row>
    <row r="115" spans="1:6" x14ac:dyDescent="0.25">
      <c r="A115" s="30">
        <v>1.7715610000000011</v>
      </c>
      <c r="C115" s="1" t="str">
        <f>ADDRESS(C121+1,D121,1,1)</f>
        <v>$AP$156</v>
      </c>
    </row>
    <row r="116" spans="1:6" x14ac:dyDescent="0.25">
      <c r="A116" s="30">
        <v>1.6105100000000008</v>
      </c>
      <c r="C116" s="1">
        <f>C117-1</f>
        <v>154</v>
      </c>
    </row>
    <row r="117" spans="1:6" x14ac:dyDescent="0.25">
      <c r="A117" s="30">
        <v>1.4641000000000006</v>
      </c>
      <c r="C117" s="1">
        <f>C121</f>
        <v>155</v>
      </c>
      <c r="D117" s="1">
        <f>D121</f>
        <v>42</v>
      </c>
    </row>
    <row r="118" spans="1:6" x14ac:dyDescent="0.25">
      <c r="A118" s="30">
        <v>1.3310000000000004</v>
      </c>
      <c r="C118" s="1">
        <f>C117+1</f>
        <v>156</v>
      </c>
      <c r="D118" s="1">
        <f>D117+1</f>
        <v>43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155</v>
      </c>
      <c r="D121" s="19">
        <v>42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R155</v>
      </c>
      <c r="D123" s="1" t="str">
        <f>"C"&amp;D121</f>
        <v>C42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3.9142513012203929E-2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3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38" x14ac:dyDescent="0.25">
      <c r="A130" s="30">
        <v>0.42409761837248428</v>
      </c>
      <c r="C130" s="6"/>
      <c r="D130" s="6"/>
      <c r="E130"/>
      <c r="F130" s="27" t="s">
        <v>7</v>
      </c>
    </row>
    <row r="131" spans="1:38" x14ac:dyDescent="0.25">
      <c r="A131" s="30">
        <v>0.38554328942953109</v>
      </c>
      <c r="E131"/>
      <c r="F131" s="27" t="s">
        <v>7</v>
      </c>
    </row>
    <row r="132" spans="1:38" x14ac:dyDescent="0.25">
      <c r="A132" s="30">
        <v>0.35049389948139187</v>
      </c>
      <c r="C132" s="1" t="s">
        <v>13</v>
      </c>
      <c r="E132"/>
      <c r="F132" s="27" t="s">
        <v>7</v>
      </c>
    </row>
    <row r="133" spans="1:38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38" x14ac:dyDescent="0.25">
      <c r="A134" s="30">
        <v>0.28966437973668741</v>
      </c>
      <c r="C134"/>
      <c r="D134"/>
      <c r="E134"/>
      <c r="F134" s="27" t="s">
        <v>7</v>
      </c>
      <c r="K134" s="27" t="s">
        <v>8</v>
      </c>
    </row>
    <row r="135" spans="1:38" x14ac:dyDescent="0.25">
      <c r="A135" s="30">
        <v>0.2633312543060794</v>
      </c>
      <c r="C135" s="1" t="s">
        <v>14</v>
      </c>
      <c r="E135"/>
      <c r="F135" s="27" t="s">
        <v>7</v>
      </c>
      <c r="I135" s="27" t="s">
        <v>8</v>
      </c>
      <c r="K135" s="27" t="s">
        <v>8</v>
      </c>
      <c r="L135" s="27" t="s">
        <v>7</v>
      </c>
    </row>
    <row r="136" spans="1:3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I136" s="27" t="s">
        <v>8</v>
      </c>
      <c r="J136" s="27" t="s">
        <v>7</v>
      </c>
      <c r="K136" s="27" t="s">
        <v>8</v>
      </c>
      <c r="L136" s="27" t="s">
        <v>7</v>
      </c>
    </row>
    <row r="137" spans="1:38" x14ac:dyDescent="0.25">
      <c r="A137" s="30">
        <v>0.2176291357901482</v>
      </c>
      <c r="E137"/>
      <c r="F137" s="27" t="s">
        <v>7</v>
      </c>
      <c r="G137" s="27" t="s">
        <v>8</v>
      </c>
      <c r="I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</row>
    <row r="138" spans="1:3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I138" s="27" t="s">
        <v>8</v>
      </c>
      <c r="J138" s="27" t="s">
        <v>7</v>
      </c>
      <c r="L138" s="27" t="s">
        <v>7</v>
      </c>
      <c r="M138" s="27" t="s">
        <v>8</v>
      </c>
      <c r="N138" s="27" t="s">
        <v>7</v>
      </c>
    </row>
    <row r="139" spans="1:38" x14ac:dyDescent="0.25">
      <c r="A139" s="30">
        <v>0.17985878990921333</v>
      </c>
      <c r="E139"/>
      <c r="F139" s="27" t="s">
        <v>7</v>
      </c>
      <c r="G139" s="27" t="s">
        <v>8</v>
      </c>
      <c r="H139" s="27" t="s">
        <v>7</v>
      </c>
      <c r="I139" s="27" t="s">
        <v>8</v>
      </c>
      <c r="L139" s="27" t="s">
        <v>7</v>
      </c>
      <c r="M139" s="27" t="s">
        <v>8</v>
      </c>
      <c r="N139" s="27" t="s">
        <v>7</v>
      </c>
      <c r="U139" s="27" t="s">
        <v>8</v>
      </c>
      <c r="AA139" s="27" t="s">
        <v>8</v>
      </c>
    </row>
    <row r="140" spans="1:38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H140" s="27" t="s">
        <v>7</v>
      </c>
      <c r="I140" s="27" t="s">
        <v>8</v>
      </c>
      <c r="L140" s="27" t="s">
        <v>7</v>
      </c>
      <c r="M140" s="27" t="s">
        <v>8</v>
      </c>
      <c r="N140" s="27" t="s">
        <v>7</v>
      </c>
      <c r="U140" s="27" t="s">
        <v>8</v>
      </c>
      <c r="V140" s="27" t="s">
        <v>7</v>
      </c>
      <c r="AA140" s="27" t="s">
        <v>8</v>
      </c>
      <c r="AB140" s="27" t="s">
        <v>7</v>
      </c>
    </row>
    <row r="141" spans="1:38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I141" s="27" t="s">
        <v>8</v>
      </c>
      <c r="L141" s="27" t="s">
        <v>7</v>
      </c>
      <c r="M141" s="27" t="s">
        <v>8</v>
      </c>
      <c r="N141" s="27" t="s">
        <v>7</v>
      </c>
      <c r="U141" s="27" t="s">
        <v>8</v>
      </c>
      <c r="V141" s="27" t="s">
        <v>7</v>
      </c>
      <c r="AA141" s="27" t="s">
        <v>8</v>
      </c>
      <c r="AB141" s="27" t="s">
        <v>7</v>
      </c>
    </row>
    <row r="142" spans="1:38" x14ac:dyDescent="0.25">
      <c r="A142" s="30">
        <v>0.13513057093103928</v>
      </c>
      <c r="C142" s="1">
        <v>2</v>
      </c>
      <c r="E142"/>
      <c r="F142" s="27" t="s">
        <v>7</v>
      </c>
      <c r="H142" s="27" t="s">
        <v>7</v>
      </c>
      <c r="L142" s="27" t="s">
        <v>7</v>
      </c>
      <c r="M142" s="27" t="s">
        <v>8</v>
      </c>
      <c r="N142" s="27" t="s">
        <v>7</v>
      </c>
      <c r="U142" s="27" t="s">
        <v>8</v>
      </c>
      <c r="V142" s="27" t="s">
        <v>7</v>
      </c>
      <c r="AA142" s="27" t="s">
        <v>8</v>
      </c>
      <c r="AB142" s="27" t="s">
        <v>7</v>
      </c>
      <c r="AC142" s="27" t="s">
        <v>8</v>
      </c>
    </row>
    <row r="143" spans="1:38" x14ac:dyDescent="0.25">
      <c r="A143" s="30">
        <v>0.12284597357367205</v>
      </c>
      <c r="C143" s="1">
        <v>3</v>
      </c>
      <c r="E143"/>
      <c r="L143" s="27" t="s">
        <v>7</v>
      </c>
      <c r="N143" s="27" t="s">
        <v>7</v>
      </c>
      <c r="Q143" s="27" t="s">
        <v>8</v>
      </c>
      <c r="U143" s="27" t="s">
        <v>8</v>
      </c>
      <c r="V143" s="27" t="s">
        <v>7</v>
      </c>
      <c r="AA143" s="27" t="s">
        <v>8</v>
      </c>
      <c r="AB143" s="27" t="s">
        <v>7</v>
      </c>
      <c r="AC143" s="27" t="s">
        <v>8</v>
      </c>
      <c r="AD143" s="27" t="s">
        <v>7</v>
      </c>
      <c r="AI143" s="27" t="s">
        <v>8</v>
      </c>
      <c r="AK143" s="27" t="s">
        <v>8</v>
      </c>
    </row>
    <row r="144" spans="1:38" x14ac:dyDescent="0.25">
      <c r="A144" s="30">
        <v>0.11167815779424731</v>
      </c>
      <c r="C144" s="1">
        <v>4</v>
      </c>
      <c r="E144"/>
      <c r="N144" s="27" t="s">
        <v>7</v>
      </c>
      <c r="Q144" s="27" t="s">
        <v>8</v>
      </c>
      <c r="R144" s="27" t="s">
        <v>7</v>
      </c>
      <c r="S144" s="27" t="s">
        <v>8</v>
      </c>
      <c r="U144" s="27" t="s">
        <v>8</v>
      </c>
      <c r="V144" s="27" t="s">
        <v>7</v>
      </c>
      <c r="Y144" s="27" t="s">
        <v>8</v>
      </c>
      <c r="AA144" s="27" t="s">
        <v>8</v>
      </c>
      <c r="AB144" s="27" t="s">
        <v>7</v>
      </c>
      <c r="AC144" s="27" t="s">
        <v>8</v>
      </c>
      <c r="AD144" s="27" t="s">
        <v>7</v>
      </c>
      <c r="AG144" s="27" t="s">
        <v>8</v>
      </c>
      <c r="AI144" s="27" t="s">
        <v>8</v>
      </c>
      <c r="AJ144" s="27" t="s">
        <v>7</v>
      </c>
      <c r="AK144" s="27" t="s">
        <v>8</v>
      </c>
      <c r="AL144" s="27" t="s">
        <v>7</v>
      </c>
    </row>
    <row r="145" spans="1:42" x14ac:dyDescent="0.25">
      <c r="A145" s="30">
        <v>0.10152559799477026</v>
      </c>
      <c r="B145"/>
      <c r="C145"/>
      <c r="D145"/>
      <c r="E145"/>
      <c r="N145" s="27" t="s">
        <v>7</v>
      </c>
      <c r="O145" s="27" t="s">
        <v>8</v>
      </c>
      <c r="Q145" s="27" t="s">
        <v>8</v>
      </c>
      <c r="R145" s="27" t="s">
        <v>7</v>
      </c>
      <c r="S145" s="27" t="s">
        <v>8</v>
      </c>
      <c r="T145" s="27" t="s">
        <v>7</v>
      </c>
      <c r="U145" s="27" t="s">
        <v>8</v>
      </c>
      <c r="V145" s="27" t="s">
        <v>7</v>
      </c>
      <c r="Y145" s="27" t="s">
        <v>8</v>
      </c>
      <c r="Z145" s="27" t="s">
        <v>7</v>
      </c>
      <c r="AA145" s="27" t="s">
        <v>8</v>
      </c>
      <c r="AB145" s="27" t="s">
        <v>7</v>
      </c>
      <c r="AD145" s="27" t="s">
        <v>7</v>
      </c>
      <c r="AE145" s="27" t="s">
        <v>8</v>
      </c>
      <c r="AG145" s="27" t="s">
        <v>8</v>
      </c>
      <c r="AH145" s="27" t="s">
        <v>7</v>
      </c>
      <c r="AI145" s="27" t="s">
        <v>8</v>
      </c>
      <c r="AJ145" s="27" t="s">
        <v>7</v>
      </c>
      <c r="AK145" s="27" t="s">
        <v>8</v>
      </c>
      <c r="AL145" s="27" t="s">
        <v>7</v>
      </c>
    </row>
    <row r="146" spans="1:42" x14ac:dyDescent="0.25">
      <c r="A146" s="30">
        <v>9.2295998177063854E-2</v>
      </c>
      <c r="B146"/>
      <c r="C146"/>
      <c r="D146"/>
      <c r="E146"/>
      <c r="N146" s="27" t="s">
        <v>7</v>
      </c>
      <c r="O146" s="27" t="s">
        <v>8</v>
      </c>
      <c r="P146" s="27" t="s">
        <v>7</v>
      </c>
      <c r="Q146" s="27" t="s">
        <v>8</v>
      </c>
      <c r="R146" s="27" t="s">
        <v>7</v>
      </c>
      <c r="S146" s="27" t="s">
        <v>8</v>
      </c>
      <c r="T146" s="27" t="s">
        <v>7</v>
      </c>
      <c r="U146" s="27" t="s">
        <v>8</v>
      </c>
      <c r="V146" s="27" t="s">
        <v>7</v>
      </c>
      <c r="Y146" s="27" t="s">
        <v>8</v>
      </c>
      <c r="Z146" s="27" t="s">
        <v>7</v>
      </c>
      <c r="AA146" s="27" t="s">
        <v>8</v>
      </c>
      <c r="AD146" s="27" t="s">
        <v>7</v>
      </c>
      <c r="AE146" s="27" t="s">
        <v>8</v>
      </c>
      <c r="AF146" s="27" t="s">
        <v>7</v>
      </c>
      <c r="AG146" s="27" t="s">
        <v>8</v>
      </c>
      <c r="AH146" s="27" t="s">
        <v>7</v>
      </c>
      <c r="AI146" s="27" t="s">
        <v>8</v>
      </c>
      <c r="AJ146" s="27" t="s">
        <v>7</v>
      </c>
      <c r="AK146" s="27" t="s">
        <v>8</v>
      </c>
      <c r="AL146" s="27" t="s">
        <v>7</v>
      </c>
    </row>
    <row r="147" spans="1:42" x14ac:dyDescent="0.25">
      <c r="A147" s="30">
        <v>8.3905452888239848E-2</v>
      </c>
      <c r="B147"/>
      <c r="C147"/>
      <c r="D147"/>
      <c r="E147"/>
      <c r="N147" s="27" t="s">
        <v>7</v>
      </c>
      <c r="O147" s="27" t="s">
        <v>8</v>
      </c>
      <c r="P147" s="27" t="s">
        <v>7</v>
      </c>
      <c r="Q147" s="27" t="s">
        <v>8</v>
      </c>
      <c r="R147" s="27" t="s">
        <v>7</v>
      </c>
      <c r="S147" s="27" t="s">
        <v>8</v>
      </c>
      <c r="T147" s="27" t="s">
        <v>7</v>
      </c>
      <c r="V147" s="27" t="s">
        <v>7</v>
      </c>
      <c r="Y147" s="27" t="s">
        <v>8</v>
      </c>
      <c r="Z147" s="27" t="s">
        <v>7</v>
      </c>
      <c r="AA147" s="27" t="s">
        <v>8</v>
      </c>
      <c r="AD147" s="27" t="s">
        <v>7</v>
      </c>
      <c r="AE147" s="27" t="s">
        <v>8</v>
      </c>
      <c r="AF147" s="27" t="s">
        <v>7</v>
      </c>
      <c r="AG147" s="27" t="s">
        <v>8</v>
      </c>
      <c r="AH147" s="27" t="s">
        <v>7</v>
      </c>
      <c r="AJ147" s="27" t="s">
        <v>7</v>
      </c>
      <c r="AL147" s="27" t="s">
        <v>7</v>
      </c>
      <c r="AM147" s="27" t="s">
        <v>8</v>
      </c>
    </row>
    <row r="148" spans="1:42" x14ac:dyDescent="0.25">
      <c r="A148" s="30">
        <v>7.6277684443854396E-2</v>
      </c>
      <c r="B148"/>
      <c r="C148"/>
      <c r="D148"/>
      <c r="E148"/>
      <c r="N148" s="27" t="s">
        <v>7</v>
      </c>
      <c r="P148" s="27" t="s">
        <v>7</v>
      </c>
      <c r="Q148" s="27" t="s">
        <v>8</v>
      </c>
      <c r="R148" s="27" t="s">
        <v>7</v>
      </c>
      <c r="V148" s="27" t="s">
        <v>7</v>
      </c>
      <c r="W148" s="27" t="s">
        <v>8</v>
      </c>
      <c r="Y148" s="27" t="s">
        <v>8</v>
      </c>
      <c r="Z148" s="27" t="s">
        <v>7</v>
      </c>
      <c r="AA148" s="27" t="s">
        <v>8</v>
      </c>
      <c r="AD148" s="27" t="s">
        <v>7</v>
      </c>
      <c r="AF148" s="27" t="s">
        <v>7</v>
      </c>
      <c r="AL148" s="27" t="s">
        <v>7</v>
      </c>
      <c r="AM148" s="27" t="s">
        <v>8</v>
      </c>
      <c r="AN148" s="27" t="s">
        <v>7</v>
      </c>
      <c r="AO148" s="27" t="s">
        <v>8</v>
      </c>
    </row>
    <row r="149" spans="1:42" x14ac:dyDescent="0.25">
      <c r="A149" s="30">
        <v>6.9343349494413078E-2</v>
      </c>
      <c r="B149"/>
      <c r="C149"/>
      <c r="D149"/>
      <c r="E149"/>
      <c r="P149" s="27" t="s">
        <v>7</v>
      </c>
      <c r="Q149" s="27" t="s">
        <v>8</v>
      </c>
      <c r="V149" s="27" t="s">
        <v>7</v>
      </c>
      <c r="W149" s="27" t="s">
        <v>8</v>
      </c>
      <c r="X149" s="27" t="s">
        <v>7</v>
      </c>
      <c r="Y149" s="27" t="s">
        <v>8</v>
      </c>
      <c r="Z149" s="27" t="s">
        <v>7</v>
      </c>
      <c r="AL149" s="27" t="s">
        <v>7</v>
      </c>
      <c r="AM149" s="27" t="s">
        <v>8</v>
      </c>
      <c r="AN149" s="27" t="s">
        <v>7</v>
      </c>
      <c r="AO149" s="27" t="s">
        <v>8</v>
      </c>
      <c r="AP149" s="27" t="s">
        <v>7</v>
      </c>
    </row>
    <row r="150" spans="1:42" x14ac:dyDescent="0.25">
      <c r="A150" s="30">
        <v>6.3039408631284613E-2</v>
      </c>
      <c r="B150"/>
      <c r="C150"/>
      <c r="D150"/>
      <c r="E150"/>
      <c r="P150" s="27" t="s">
        <v>7</v>
      </c>
      <c r="Q150" s="27" t="s">
        <v>8</v>
      </c>
      <c r="V150" s="27" t="s">
        <v>7</v>
      </c>
      <c r="W150" s="27" t="s">
        <v>8</v>
      </c>
      <c r="X150" s="27" t="s">
        <v>7</v>
      </c>
      <c r="Y150" s="27" t="s">
        <v>8</v>
      </c>
      <c r="AL150" s="27" t="s">
        <v>7</v>
      </c>
      <c r="AM150" s="27" t="s">
        <v>8</v>
      </c>
      <c r="AN150" s="27" t="s">
        <v>7</v>
      </c>
      <c r="AO150" s="27" t="s">
        <v>8</v>
      </c>
      <c r="AP150" s="27" t="s">
        <v>7</v>
      </c>
    </row>
    <row r="151" spans="1:42" x14ac:dyDescent="0.25">
      <c r="A151" s="30">
        <v>5.7308553301167818E-2</v>
      </c>
      <c r="B151"/>
      <c r="C151"/>
      <c r="D151"/>
      <c r="E151"/>
      <c r="P151" s="27" t="s">
        <v>7</v>
      </c>
      <c r="Q151" s="27" t="s">
        <v>8</v>
      </c>
      <c r="V151" s="27" t="s">
        <v>7</v>
      </c>
      <c r="W151" s="27" t="s">
        <v>8</v>
      </c>
      <c r="X151" s="27" t="s">
        <v>7</v>
      </c>
      <c r="Y151" s="27" t="s">
        <v>8</v>
      </c>
      <c r="AL151" s="27" t="s">
        <v>7</v>
      </c>
      <c r="AN151" s="27" t="s">
        <v>7</v>
      </c>
      <c r="AO151" s="27" t="s">
        <v>8</v>
      </c>
      <c r="AP151" s="27" t="s">
        <v>7</v>
      </c>
    </row>
    <row r="152" spans="1:42" x14ac:dyDescent="0.25">
      <c r="A152" s="30">
        <v>5.2098684819243464E-2</v>
      </c>
      <c r="B152"/>
      <c r="C152"/>
      <c r="D152"/>
      <c r="E152"/>
      <c r="P152" s="27" t="s">
        <v>7</v>
      </c>
      <c r="Q152" s="27" t="s">
        <v>8</v>
      </c>
      <c r="V152" s="27" t="s">
        <v>7</v>
      </c>
      <c r="X152" s="18" t="s">
        <v>7</v>
      </c>
      <c r="Y152" s="27" t="s">
        <v>8</v>
      </c>
      <c r="AN152" s="27" t="s">
        <v>7</v>
      </c>
      <c r="AO152" s="27" t="s">
        <v>8</v>
      </c>
      <c r="AP152" s="27" t="s">
        <v>7</v>
      </c>
    </row>
    <row r="153" spans="1:42" x14ac:dyDescent="0.25">
      <c r="A153" s="30">
        <v>4.7362440744766775E-2</v>
      </c>
      <c r="B153"/>
      <c r="C153"/>
      <c r="D153"/>
      <c r="E153"/>
      <c r="P153" s="27" t="s">
        <v>7</v>
      </c>
      <c r="X153" s="27" t="s">
        <v>7</v>
      </c>
      <c r="AN153" s="27" t="s">
        <v>7</v>
      </c>
      <c r="AP153" s="27" t="s">
        <v>7</v>
      </c>
    </row>
    <row r="154" spans="1:42" x14ac:dyDescent="0.25">
      <c r="A154" s="30">
        <v>4.3056764313424332E-2</v>
      </c>
      <c r="B154"/>
      <c r="C154"/>
      <c r="D154"/>
      <c r="E154"/>
      <c r="AP154" s="27" t="s">
        <v>7</v>
      </c>
    </row>
    <row r="155" spans="1:42" x14ac:dyDescent="0.25">
      <c r="A155" s="30">
        <v>3.9142513012203929E-2</v>
      </c>
      <c r="B155"/>
      <c r="C155"/>
      <c r="D155"/>
      <c r="E155"/>
      <c r="AP155" s="27" t="s">
        <v>7</v>
      </c>
    </row>
    <row r="156" spans="1:42" x14ac:dyDescent="0.25">
      <c r="A156" s="30">
        <v>3.55841027383672E-2</v>
      </c>
      <c r="B156"/>
      <c r="C156"/>
      <c r="D156"/>
      <c r="E156"/>
    </row>
    <row r="157" spans="1:42" x14ac:dyDescent="0.25">
      <c r="A157" s="30">
        <v>3.2349184307606541E-2</v>
      </c>
      <c r="B157"/>
      <c r="C157"/>
      <c r="D157"/>
      <c r="E157"/>
    </row>
    <row r="158" spans="1:42" x14ac:dyDescent="0.25">
      <c r="A158" s="30">
        <v>2.9408349370551395E-2</v>
      </c>
      <c r="B158"/>
      <c r="C158"/>
      <c r="D158"/>
      <c r="E158"/>
    </row>
    <row r="159" spans="1:42" x14ac:dyDescent="0.25">
      <c r="A159" s="30">
        <v>2.6734863064137627E-2</v>
      </c>
      <c r="B159"/>
      <c r="C159"/>
      <c r="D159"/>
      <c r="E159"/>
    </row>
    <row r="160" spans="1:42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29" operator="equal">
      <formula>$U$1</formula>
    </cfRule>
    <cfRule type="cellIs" dxfId="30" priority="730" operator="equal">
      <formula>$S$1</formula>
    </cfRule>
  </conditionalFormatting>
  <conditionalFormatting sqref="D136">
    <cfRule type="cellIs" dxfId="29" priority="727" operator="equal">
      <formula>$S$1</formula>
    </cfRule>
    <cfRule type="cellIs" dxfId="28" priority="728" operator="equal">
      <formula>$U$1</formula>
    </cfRule>
  </conditionalFormatting>
  <conditionalFormatting sqref="C102">
    <cfRule type="cellIs" dxfId="27" priority="725" operator="equal">
      <formula>$U$1</formula>
    </cfRule>
    <cfRule type="cellIs" dxfId="26" priority="726" operator="equal">
      <formula>$S$1</formula>
    </cfRule>
  </conditionalFormatting>
  <conditionalFormatting sqref="D102">
    <cfRule type="cellIs" dxfId="25" priority="723" operator="equal">
      <formula>$S$1</formula>
    </cfRule>
    <cfRule type="cellIs" dxfId="24" priority="724" operator="equal">
      <formula>$U$1</formula>
    </cfRule>
  </conditionalFormatting>
  <conditionalFormatting sqref="C77">
    <cfRule type="cellIs" dxfId="23" priority="721" operator="equal">
      <formula>$U$1</formula>
    </cfRule>
    <cfRule type="cellIs" dxfId="22" priority="722" operator="equal">
      <formula>$S$1</formula>
    </cfRule>
  </conditionalFormatting>
  <conditionalFormatting sqref="D77">
    <cfRule type="cellIs" dxfId="21" priority="719" operator="equal">
      <formula>$S$1</formula>
    </cfRule>
    <cfRule type="cellIs" dxfId="20" priority="720" operator="equal">
      <formula>$U$1</formula>
    </cfRule>
  </conditionalFormatting>
  <conditionalFormatting sqref="C52">
    <cfRule type="cellIs" dxfId="19" priority="717" operator="equal">
      <formula>$U$1</formula>
    </cfRule>
    <cfRule type="cellIs" dxfId="18" priority="718" operator="equal">
      <formula>$S$1</formula>
    </cfRule>
  </conditionalFormatting>
  <conditionalFormatting sqref="D52">
    <cfRule type="cellIs" dxfId="17" priority="715" operator="equal">
      <formula>$S$1</formula>
    </cfRule>
    <cfRule type="cellIs" dxfId="16" priority="716" operator="equal">
      <formula>$U$1</formula>
    </cfRule>
  </conditionalFormatting>
  <conditionalFormatting sqref="C26">
    <cfRule type="cellIs" dxfId="15" priority="713" operator="equal">
      <formula>$U$1</formula>
    </cfRule>
    <cfRule type="cellIs" dxfId="14" priority="714" operator="equal">
      <formula>$S$1</formula>
    </cfRule>
  </conditionalFormatting>
  <conditionalFormatting sqref="D26">
    <cfRule type="cellIs" dxfId="13" priority="711" operator="equal">
      <formula>$S$1</formula>
    </cfRule>
    <cfRule type="cellIs" dxfId="12" priority="71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2022-01-28T01:20:16Z</dcterms:modified>
</cp:coreProperties>
</file>