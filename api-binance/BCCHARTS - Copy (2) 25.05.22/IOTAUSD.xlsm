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8CC4CFC-E375-43BE-BFFC-5AE0C9CA380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S1195" i="1" s="1"/>
  <c r="T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C136" i="4" s="1"/>
  <c r="C122" i="3"/>
  <c r="C133" i="3" s="1"/>
  <c r="D136" i="3" s="1"/>
  <c r="C118" i="3"/>
  <c r="R1194" i="1"/>
  <c r="D136" i="5" l="1"/>
  <c r="C138" i="5" s="1"/>
  <c r="D136" i="4"/>
  <c r="C138" i="4" s="1"/>
  <c r="C136" i="3"/>
  <c r="C138" i="3" s="1"/>
  <c r="R1193" i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R33" i="1" l="1"/>
  <c r="S34" i="1"/>
  <c r="T34" i="1" s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<sst xmlns="http://schemas.openxmlformats.org/spreadsheetml/2006/main" count="9233" uniqueCount="34">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</sst>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0.79400000000000004</c:v>
                </c:pt>
                <c:pt idx="1">
                  <c:v>0.80249999999999999</c:v>
                </c:pt>
                <c:pt idx="2">
                  <c:v>0.81030000000000002</c:v>
                </c:pt>
                <c:pt idx="3">
                  <c:v>0.79059999999999997</c:v>
                </c:pt>
                <c:pt idx="4">
                  <c:v>0.81559999999999999</c:v>
                </c:pt>
                <c:pt idx="5">
                  <c:v>0.78</c:v>
                </c:pt>
                <c:pt idx="6">
                  <c:v>0.85699999999999998</c:v>
                </c:pt>
                <c:pt idx="7">
                  <c:v>1.0173000000000001</c:v>
                </c:pt>
                <c:pt idx="8">
                  <c:v>1.0491999999999999</c:v>
                </c:pt>
                <c:pt idx="9">
                  <c:v>1.1014999999999999</c:v>
                </c:pt>
                <c:pt idx="10">
                  <c:v>1.1616</c:v>
                </c:pt>
                <c:pt idx="11">
                  <c:v>1.1373</c:v>
                </c:pt>
                <c:pt idx="12">
                  <c:v>1.1256999999999999</c:v>
                </c:pt>
                <c:pt idx="13">
                  <c:v>1.1223000000000001</c:v>
                </c:pt>
                <c:pt idx="14">
                  <c:v>1.1086</c:v>
                </c:pt>
                <c:pt idx="15">
                  <c:v>1.1882999999999999</c:v>
                </c:pt>
                <c:pt idx="16">
                  <c:v>1.141</c:v>
                </c:pt>
                <c:pt idx="17">
                  <c:v>1.1114999999999999</c:v>
                </c:pt>
                <c:pt idx="18">
                  <c:v>1.0711999999999999</c:v>
                </c:pt>
                <c:pt idx="19">
                  <c:v>1.0755999999999999</c:v>
                </c:pt>
                <c:pt idx="20">
                  <c:v>1.1144000000000001</c:v>
                </c:pt>
                <c:pt idx="21">
                  <c:v>1.1840999999999999</c:v>
                </c:pt>
                <c:pt idx="22">
                  <c:v>1.171</c:v>
                </c:pt>
                <c:pt idx="23">
                  <c:v>1.2787999999999999</c:v>
                </c:pt>
                <c:pt idx="24">
                  <c:v>1.3842000000000001</c:v>
                </c:pt>
                <c:pt idx="25">
                  <c:v>1.3723000000000001</c:v>
                </c:pt>
                <c:pt idx="26">
                  <c:v>1.411</c:v>
                </c:pt>
                <c:pt idx="27">
                  <c:v>1.3657999999999999</c:v>
                </c:pt>
                <c:pt idx="28">
                  <c:v>1.4266000000000001</c:v>
                </c:pt>
                <c:pt idx="29">
                  <c:v>1.482</c:v>
                </c:pt>
                <c:pt idx="30">
                  <c:v>1.4291</c:v>
                </c:pt>
                <c:pt idx="31">
                  <c:v>1.3793</c:v>
                </c:pt>
                <c:pt idx="32">
                  <c:v>1.3907</c:v>
                </c:pt>
                <c:pt idx="33">
                  <c:v>1.3149999999999999</c:v>
                </c:pt>
                <c:pt idx="34">
                  <c:v>1.2848999999999999</c:v>
                </c:pt>
                <c:pt idx="35">
                  <c:v>1.2951999999999999</c:v>
                </c:pt>
                <c:pt idx="36">
                  <c:v>1.2708999999999999</c:v>
                </c:pt>
                <c:pt idx="37">
                  <c:v>1.3147</c:v>
                </c:pt>
                <c:pt idx="38">
                  <c:v>1.0799000000000001</c:v>
                </c:pt>
                <c:pt idx="39">
                  <c:v>1.0641</c:v>
                </c:pt>
                <c:pt idx="40">
                  <c:v>1.129</c:v>
                </c:pt>
                <c:pt idx="41">
                  <c:v>1.1126</c:v>
                </c:pt>
                <c:pt idx="42">
                  <c:v>1.1384000000000001</c:v>
                </c:pt>
                <c:pt idx="43">
                  <c:v>1.1072</c:v>
                </c:pt>
                <c:pt idx="44">
                  <c:v>1.0615000000000001</c:v>
                </c:pt>
                <c:pt idx="45">
                  <c:v>1.0286</c:v>
                </c:pt>
                <c:pt idx="46">
                  <c:v>1.1384000000000001</c:v>
                </c:pt>
                <c:pt idx="47">
                  <c:v>1.1276999999999999</c:v>
                </c:pt>
                <c:pt idx="48">
                  <c:v>1.1084000000000001</c:v>
                </c:pt>
                <c:pt idx="49">
                  <c:v>1.1380999999999999</c:v>
                </c:pt>
                <c:pt idx="50">
                  <c:v>1.1976</c:v>
                </c:pt>
                <c:pt idx="51">
                  <c:v>1.1726000000000001</c:v>
                </c:pt>
                <c:pt idx="52">
                  <c:v>1.1677</c:v>
                </c:pt>
                <c:pt idx="53">
                  <c:v>1.1495</c:v>
                </c:pt>
                <c:pt idx="54">
                  <c:v>1.1909000000000001</c:v>
                </c:pt>
                <c:pt idx="55">
                  <c:v>1.4098999999999999</c:v>
                </c:pt>
                <c:pt idx="56">
                  <c:v>1.5119</c:v>
                </c:pt>
                <c:pt idx="57">
                  <c:v>1.3877999999999999</c:v>
                </c:pt>
                <c:pt idx="58">
                  <c:v>1.4514</c:v>
                </c:pt>
                <c:pt idx="59">
                  <c:v>1.4080999999999999</c:v>
                </c:pt>
                <c:pt idx="60">
                  <c:v>1.3456999999999999</c:v>
                </c:pt>
                <c:pt idx="61">
                  <c:v>1.3698999999999999</c:v>
                </c:pt>
                <c:pt idx="62">
                  <c:v>1.367</c:v>
                </c:pt>
                <c:pt idx="63">
                  <c:v>1.5795999999999999</c:v>
                </c:pt>
                <c:pt idx="64">
                  <c:v>1.4965999999999999</c:v>
                </c:pt>
                <c:pt idx="65">
                  <c:v>1.4564999999999999</c:v>
                </c:pt>
                <c:pt idx="66">
                  <c:v>1.4244000000000001</c:v>
                </c:pt>
                <c:pt idx="67">
                  <c:v>1.3495999999999999</c:v>
                </c:pt>
                <c:pt idx="68">
                  <c:v>1.3088</c:v>
                </c:pt>
                <c:pt idx="69">
                  <c:v>1.2996000000000001</c:v>
                </c:pt>
                <c:pt idx="70">
                  <c:v>1.2455000000000001</c:v>
                </c:pt>
                <c:pt idx="71">
                  <c:v>1.4446000000000001</c:v>
                </c:pt>
                <c:pt idx="72">
                  <c:v>1.3471</c:v>
                </c:pt>
                <c:pt idx="73">
                  <c:v>1.3260000000000001</c:v>
                </c:pt>
                <c:pt idx="74">
                  <c:v>1.3045</c:v>
                </c:pt>
                <c:pt idx="75">
                  <c:v>1.3164</c:v>
                </c:pt>
                <c:pt idx="76">
                  <c:v>1.2837000000000001</c:v>
                </c:pt>
                <c:pt idx="77">
                  <c:v>1.3297000000000001</c:v>
                </c:pt>
                <c:pt idx="78">
                  <c:v>1.2957000000000001</c:v>
                </c:pt>
                <c:pt idx="79">
                  <c:v>1.4100999999999999</c:v>
                </c:pt>
                <c:pt idx="80">
                  <c:v>1.3866000000000001</c:v>
                </c:pt>
                <c:pt idx="81">
                  <c:v>1.3458000000000001</c:v>
                </c:pt>
                <c:pt idx="82">
                  <c:v>1.3459000000000001</c:v>
                </c:pt>
                <c:pt idx="83">
                  <c:v>1.3784000000000001</c:v>
                </c:pt>
                <c:pt idx="84">
                  <c:v>1.3516999999999999</c:v>
                </c:pt>
                <c:pt idx="85">
                  <c:v>1.3723000000000001</c:v>
                </c:pt>
                <c:pt idx="86">
                  <c:v>1.4018999999999999</c:v>
                </c:pt>
                <c:pt idx="87">
                  <c:v>1.4120999999999999</c:v>
                </c:pt>
                <c:pt idx="88">
                  <c:v>1.4795</c:v>
                </c:pt>
                <c:pt idx="89">
                  <c:v>1.4049</c:v>
                </c:pt>
                <c:pt idx="90">
                  <c:v>1.3022</c:v>
                </c:pt>
                <c:pt idx="91">
                  <c:v>1.2515000000000001</c:v>
                </c:pt>
                <c:pt idx="92">
                  <c:v>1.2001999999999999</c:v>
                </c:pt>
                <c:pt idx="93">
                  <c:v>1.3743000000000001</c:v>
                </c:pt>
                <c:pt idx="94">
                  <c:v>1.3481000000000001</c:v>
                </c:pt>
                <c:pt idx="95">
                  <c:v>1.3052999999999999</c:v>
                </c:pt>
                <c:pt idx="96">
                  <c:v>1.3284</c:v>
                </c:pt>
                <c:pt idx="97">
                  <c:v>1.3486</c:v>
                </c:pt>
                <c:pt idx="98">
                  <c:v>1.2831999999999999</c:v>
                </c:pt>
                <c:pt idx="99">
                  <c:v>1.3038000000000001</c:v>
                </c:pt>
                <c:pt idx="100">
                  <c:v>1.2465999999999999</c:v>
                </c:pt>
                <c:pt idx="101">
                  <c:v>1.2444999999999999</c:v>
                </c:pt>
                <c:pt idx="102">
                  <c:v>1.2534000000000001</c:v>
                </c:pt>
                <c:pt idx="103">
                  <c:v>1.3</c:v>
                </c:pt>
                <c:pt idx="104">
                  <c:v>1.2938000000000001</c:v>
                </c:pt>
                <c:pt idx="105">
                  <c:v>1.3607</c:v>
                </c:pt>
                <c:pt idx="106">
                  <c:v>1.3718999999999999</c:v>
                </c:pt>
                <c:pt idx="107">
                  <c:v>1.3465</c:v>
                </c:pt>
                <c:pt idx="108">
                  <c:v>1.4499</c:v>
                </c:pt>
                <c:pt idx="109">
                  <c:v>1.4104000000000001</c:v>
                </c:pt>
                <c:pt idx="110">
                  <c:v>1.3932</c:v>
                </c:pt>
                <c:pt idx="111">
                  <c:v>1.3472</c:v>
                </c:pt>
                <c:pt idx="112">
                  <c:v>1.292</c:v>
                </c:pt>
                <c:pt idx="113">
                  <c:v>1.2969999999999999</c:v>
                </c:pt>
                <c:pt idx="114">
                  <c:v>1.2307999999999999</c:v>
                </c:pt>
                <c:pt idx="115">
                  <c:v>1.2059</c:v>
                </c:pt>
                <c:pt idx="116">
                  <c:v>1.2219</c:v>
                </c:pt>
                <c:pt idx="117">
                  <c:v>1.2704</c:v>
                </c:pt>
                <c:pt idx="118">
                  <c:v>1.3241000000000001</c:v>
                </c:pt>
                <c:pt idx="119">
                  <c:v>1.1521999999999999</c:v>
                </c:pt>
                <c:pt idx="120">
                  <c:v>1.0491999999999999</c:v>
                </c:pt>
                <c:pt idx="121">
                  <c:v>1.0510999999999999</c:v>
                </c:pt>
                <c:pt idx="122">
                  <c:v>1.1389</c:v>
                </c:pt>
                <c:pt idx="123">
                  <c:v>1.1772</c:v>
                </c:pt>
                <c:pt idx="124">
                  <c:v>1.2318</c:v>
                </c:pt>
                <c:pt idx="125">
                  <c:v>1.264</c:v>
                </c:pt>
                <c:pt idx="126">
                  <c:v>1.3906000000000001</c:v>
                </c:pt>
                <c:pt idx="127">
                  <c:v>1.3653</c:v>
                </c:pt>
                <c:pt idx="128">
                  <c:v>1.2203999999999999</c:v>
                </c:pt>
                <c:pt idx="129">
                  <c:v>1.3826000000000001</c:v>
                </c:pt>
                <c:pt idx="130">
                  <c:v>1.5344</c:v>
                </c:pt>
                <c:pt idx="131">
                  <c:v>1.6657999999999999</c:v>
                </c:pt>
                <c:pt idx="132">
                  <c:v>1.7462</c:v>
                </c:pt>
                <c:pt idx="133">
                  <c:v>1.5229999999999999</c:v>
                </c:pt>
                <c:pt idx="134">
                  <c:v>1.6073999999999999</c:v>
                </c:pt>
                <c:pt idx="135">
                  <c:v>1.5609</c:v>
                </c:pt>
                <c:pt idx="136">
                  <c:v>1.4020999999999999</c:v>
                </c:pt>
                <c:pt idx="137">
                  <c:v>1.5119</c:v>
                </c:pt>
                <c:pt idx="138">
                  <c:v>1.5049999999999999</c:v>
                </c:pt>
                <c:pt idx="139">
                  <c:v>1.5375000000000001</c:v>
                </c:pt>
                <c:pt idx="140">
                  <c:v>1.5671999999999999</c:v>
                </c:pt>
                <c:pt idx="141">
                  <c:v>1.5197000000000001</c:v>
                </c:pt>
                <c:pt idx="142">
                  <c:v>1.518</c:v>
                </c:pt>
                <c:pt idx="143">
                  <c:v>1.8015000000000001</c:v>
                </c:pt>
                <c:pt idx="144">
                  <c:v>1.8008</c:v>
                </c:pt>
                <c:pt idx="145">
                  <c:v>1.9835</c:v>
                </c:pt>
                <c:pt idx="146">
                  <c:v>1.5744</c:v>
                </c:pt>
                <c:pt idx="147">
                  <c:v>1.5463</c:v>
                </c:pt>
                <c:pt idx="148">
                  <c:v>1.1333</c:v>
                </c:pt>
                <c:pt idx="149">
                  <c:v>0.98909999999999998</c:v>
                </c:pt>
                <c:pt idx="150">
                  <c:v>0.96560000000000001</c:v>
                </c:pt>
                <c:pt idx="151">
                  <c:v>1.0044999999999999</c:v>
                </c:pt>
                <c:pt idx="152">
                  <c:v>1.0135000000000001</c:v>
                </c:pt>
                <c:pt idx="153">
                  <c:v>1.0412999999999999</c:v>
                </c:pt>
                <c:pt idx="154">
                  <c:v>0.97270000000000001</c:v>
                </c:pt>
                <c:pt idx="155">
                  <c:v>1.0832999999999999</c:v>
                </c:pt>
                <c:pt idx="156">
                  <c:v>1.0567</c:v>
                </c:pt>
                <c:pt idx="157">
                  <c:v>1.1563000000000001</c:v>
                </c:pt>
                <c:pt idx="158">
                  <c:v>1.0889</c:v>
                </c:pt>
                <c:pt idx="159">
                  <c:v>1.0725</c:v>
                </c:pt>
                <c:pt idx="160">
                  <c:v>1.1084000000000001</c:v>
                </c:pt>
                <c:pt idx="161">
                  <c:v>1.0592999999999999</c:v>
                </c:pt>
                <c:pt idx="162">
                  <c:v>1.0003</c:v>
                </c:pt>
                <c:pt idx="163">
                  <c:v>1.0185</c:v>
                </c:pt>
                <c:pt idx="164">
                  <c:v>1.1061000000000001</c:v>
                </c:pt>
                <c:pt idx="165">
                  <c:v>1.1718</c:v>
                </c:pt>
                <c:pt idx="166">
                  <c:v>1.1634</c:v>
                </c:pt>
                <c:pt idx="167">
                  <c:v>1.1138999999999999</c:v>
                </c:pt>
                <c:pt idx="168">
                  <c:v>1.0518000000000001</c:v>
                </c:pt>
                <c:pt idx="169">
                  <c:v>1.0562</c:v>
                </c:pt>
                <c:pt idx="170">
                  <c:v>0.97809999999999997</c:v>
                </c:pt>
                <c:pt idx="171">
                  <c:v>0.91910000000000003</c:v>
                </c:pt>
                <c:pt idx="172">
                  <c:v>0.87939999999999996</c:v>
                </c:pt>
                <c:pt idx="173">
                  <c:v>0.93940000000000001</c:v>
                </c:pt>
                <c:pt idx="174">
                  <c:v>0.91969999999999996</c:v>
                </c:pt>
                <c:pt idx="175">
                  <c:v>0.88</c:v>
                </c:pt>
                <c:pt idx="176">
                  <c:v>0.87509999999999999</c:v>
                </c:pt>
                <c:pt idx="177">
                  <c:v>0.85119999999999996</c:v>
                </c:pt>
                <c:pt idx="178">
                  <c:v>0.89549999999999996</c:v>
                </c:pt>
                <c:pt idx="179">
                  <c:v>0.87350000000000005</c:v>
                </c:pt>
                <c:pt idx="180">
                  <c:v>0.93179999999999996</c:v>
                </c:pt>
                <c:pt idx="181">
                  <c:v>0.83520000000000005</c:v>
                </c:pt>
                <c:pt idx="182">
                  <c:v>0.84960000000000002</c:v>
                </c:pt>
                <c:pt idx="183">
                  <c:v>0.84230000000000005</c:v>
                </c:pt>
                <c:pt idx="184">
                  <c:v>0.87960000000000005</c:v>
                </c:pt>
                <c:pt idx="185">
                  <c:v>0.75690000000000002</c:v>
                </c:pt>
                <c:pt idx="186">
                  <c:v>0.74270000000000003</c:v>
                </c:pt>
                <c:pt idx="187">
                  <c:v>0.7329</c:v>
                </c:pt>
                <c:pt idx="188">
                  <c:v>0.68520000000000003</c:v>
                </c:pt>
                <c:pt idx="189">
                  <c:v>0.65129999999999999</c:v>
                </c:pt>
                <c:pt idx="190">
                  <c:v>0.64910000000000001</c:v>
                </c:pt>
                <c:pt idx="191">
                  <c:v>0.59</c:v>
                </c:pt>
                <c:pt idx="192">
                  <c:v>0.62470000000000003</c:v>
                </c:pt>
                <c:pt idx="193">
                  <c:v>0.68330000000000002</c:v>
                </c:pt>
                <c:pt idx="194">
                  <c:v>0.68720000000000003</c:v>
                </c:pt>
                <c:pt idx="195">
                  <c:v>0.65680000000000005</c:v>
                </c:pt>
                <c:pt idx="196">
                  <c:v>0.69359999999999999</c:v>
                </c:pt>
                <c:pt idx="197">
                  <c:v>0.74080000000000001</c:v>
                </c:pt>
                <c:pt idx="198">
                  <c:v>0.75590000000000002</c:v>
                </c:pt>
                <c:pt idx="199">
                  <c:v>0.79310000000000003</c:v>
                </c:pt>
                <c:pt idx="200">
                  <c:v>0.84030000000000005</c:v>
                </c:pt>
                <c:pt idx="201">
                  <c:v>0.79159999999999997</c:v>
                </c:pt>
                <c:pt idx="202">
                  <c:v>0.81910000000000005</c:v>
                </c:pt>
                <c:pt idx="203">
                  <c:v>0.81540000000000001</c:v>
                </c:pt>
                <c:pt idx="204">
                  <c:v>0.88870000000000005</c:v>
                </c:pt>
                <c:pt idx="205">
                  <c:v>0.85219999999999996</c:v>
                </c:pt>
                <c:pt idx="206">
                  <c:v>0.82199999999999995</c:v>
                </c:pt>
                <c:pt idx="207">
                  <c:v>0.84550000000000003</c:v>
                </c:pt>
                <c:pt idx="208">
                  <c:v>0.8306</c:v>
                </c:pt>
                <c:pt idx="209">
                  <c:v>0.82769999999999999</c:v>
                </c:pt>
                <c:pt idx="210">
                  <c:v>0.80020000000000002</c:v>
                </c:pt>
                <c:pt idx="211">
                  <c:v>0.86760000000000004</c:v>
                </c:pt>
                <c:pt idx="212">
                  <c:v>0.84319999999999995</c:v>
                </c:pt>
                <c:pt idx="213">
                  <c:v>0.82050000000000001</c:v>
                </c:pt>
                <c:pt idx="214">
                  <c:v>0.79790000000000005</c:v>
                </c:pt>
                <c:pt idx="215">
                  <c:v>0.78720000000000001</c:v>
                </c:pt>
                <c:pt idx="216">
                  <c:v>0.77100000000000002</c:v>
                </c:pt>
                <c:pt idx="217">
                  <c:v>0.83909999999999996</c:v>
                </c:pt>
                <c:pt idx="218">
                  <c:v>0.79610000000000003</c:v>
                </c:pt>
                <c:pt idx="219">
                  <c:v>0.71389999999999998</c:v>
                </c:pt>
                <c:pt idx="220">
                  <c:v>0.74990000000000001</c:v>
                </c:pt>
                <c:pt idx="221">
                  <c:v>0.96050000000000002</c:v>
                </c:pt>
                <c:pt idx="222">
                  <c:v>0.96399999999999997</c:v>
                </c:pt>
                <c:pt idx="223">
                  <c:v>1.0119</c:v>
                </c:pt>
                <c:pt idx="224">
                  <c:v>1.1005</c:v>
                </c:pt>
                <c:pt idx="225">
                  <c:v>1.0665</c:v>
                </c:pt>
                <c:pt idx="226">
                  <c:v>1.1186</c:v>
                </c:pt>
                <c:pt idx="227">
                  <c:v>1.129</c:v>
                </c:pt>
                <c:pt idx="228">
                  <c:v>1.091</c:v>
                </c:pt>
                <c:pt idx="229">
                  <c:v>1.0177</c:v>
                </c:pt>
                <c:pt idx="230">
                  <c:v>1.0392999999999999</c:v>
                </c:pt>
                <c:pt idx="231">
                  <c:v>1.1132</c:v>
                </c:pt>
                <c:pt idx="232">
                  <c:v>1.1819999999999999</c:v>
                </c:pt>
                <c:pt idx="233">
                  <c:v>1.1480999999999999</c:v>
                </c:pt>
                <c:pt idx="234">
                  <c:v>1.0948</c:v>
                </c:pt>
                <c:pt idx="235">
                  <c:v>1.2524999999999999</c:v>
                </c:pt>
                <c:pt idx="236">
                  <c:v>1.2156</c:v>
                </c:pt>
                <c:pt idx="237">
                  <c:v>1.2558</c:v>
                </c:pt>
                <c:pt idx="238">
                  <c:v>1.3829</c:v>
                </c:pt>
                <c:pt idx="239">
                  <c:v>1.278</c:v>
                </c:pt>
                <c:pt idx="240">
                  <c:v>1.1196999999999999</c:v>
                </c:pt>
                <c:pt idx="241">
                  <c:v>1.1147</c:v>
                </c:pt>
                <c:pt idx="242">
                  <c:v>1.0321</c:v>
                </c:pt>
                <c:pt idx="243">
                  <c:v>0.97599999999999998</c:v>
                </c:pt>
                <c:pt idx="244">
                  <c:v>1.0408999999999999</c:v>
                </c:pt>
                <c:pt idx="245">
                  <c:v>1.1728000000000001</c:v>
                </c:pt>
                <c:pt idx="246">
                  <c:v>1.2899</c:v>
                </c:pt>
                <c:pt idx="247">
                  <c:v>1.0831999999999999</c:v>
                </c:pt>
                <c:pt idx="248">
                  <c:v>1.0765</c:v>
                </c:pt>
                <c:pt idx="249">
                  <c:v>0.90749999999999997</c:v>
                </c:pt>
                <c:pt idx="250">
                  <c:v>1.0244</c:v>
                </c:pt>
                <c:pt idx="251">
                  <c:v>1.1072</c:v>
                </c:pt>
                <c:pt idx="252">
                  <c:v>1.3223</c:v>
                </c:pt>
                <c:pt idx="253">
                  <c:v>1.1294</c:v>
                </c:pt>
                <c:pt idx="254">
                  <c:v>1.8888</c:v>
                </c:pt>
                <c:pt idx="255">
                  <c:v>1.8508</c:v>
                </c:pt>
                <c:pt idx="256">
                  <c:v>1.9991000000000001</c:v>
                </c:pt>
                <c:pt idx="257">
                  <c:v>1.8574999999999999</c:v>
                </c:pt>
                <c:pt idx="258">
                  <c:v>1.9569000000000001</c:v>
                </c:pt>
                <c:pt idx="259">
                  <c:v>1.9589000000000001</c:v>
                </c:pt>
                <c:pt idx="260">
                  <c:v>1.8169999999999999</c:v>
                </c:pt>
                <c:pt idx="261">
                  <c:v>2.1175000000000002</c:v>
                </c:pt>
                <c:pt idx="262">
                  <c:v>2.0144000000000002</c:v>
                </c:pt>
                <c:pt idx="263">
                  <c:v>2.2646999999999999</c:v>
                </c:pt>
                <c:pt idx="264">
                  <c:v>2.1610999999999998</c:v>
                </c:pt>
                <c:pt idx="265">
                  <c:v>2.1840000000000002</c:v>
                </c:pt>
                <c:pt idx="266">
                  <c:v>2.2187999999999999</c:v>
                </c:pt>
                <c:pt idx="267">
                  <c:v>2.0282</c:v>
                </c:pt>
                <c:pt idx="268">
                  <c:v>1.8319000000000001</c:v>
                </c:pt>
                <c:pt idx="269">
                  <c:v>2.0836000000000001</c:v>
                </c:pt>
                <c:pt idx="270">
                  <c:v>2.0432999999999999</c:v>
                </c:pt>
                <c:pt idx="271">
                  <c:v>2.109</c:v>
                </c:pt>
                <c:pt idx="272">
                  <c:v>2.1511999999999998</c:v>
                </c:pt>
                <c:pt idx="273">
                  <c:v>2.1036999999999999</c:v>
                </c:pt>
                <c:pt idx="274">
                  <c:v>2.1884000000000001</c:v>
                </c:pt>
                <c:pt idx="275">
                  <c:v>2.2069000000000001</c:v>
                </c:pt>
                <c:pt idx="276">
                  <c:v>1.9897</c:v>
                </c:pt>
                <c:pt idx="277">
                  <c:v>1.6396999999999999</c:v>
                </c:pt>
                <c:pt idx="278">
                  <c:v>1.6647000000000001</c:v>
                </c:pt>
                <c:pt idx="279">
                  <c:v>1.8718999999999999</c:v>
                </c:pt>
                <c:pt idx="280">
                  <c:v>1.8239000000000001</c:v>
                </c:pt>
                <c:pt idx="281">
                  <c:v>2.0638000000000001</c:v>
                </c:pt>
                <c:pt idx="282">
                  <c:v>2.1956000000000002</c:v>
                </c:pt>
                <c:pt idx="283">
                  <c:v>2.0811999999999999</c:v>
                </c:pt>
                <c:pt idx="284">
                  <c:v>2.3721000000000001</c:v>
                </c:pt>
                <c:pt idx="285">
                  <c:v>2.3273999999999999</c:v>
                </c:pt>
                <c:pt idx="286">
                  <c:v>2.5089999999999999</c:v>
                </c:pt>
                <c:pt idx="287">
                  <c:v>2.1812999999999998</c:v>
                </c:pt>
                <c:pt idx="288">
                  <c:v>2.1198999999999999</c:v>
                </c:pt>
                <c:pt idx="289">
                  <c:v>2.1741999999999999</c:v>
                </c:pt>
                <c:pt idx="290">
                  <c:v>2.0001000000000002</c:v>
                </c:pt>
                <c:pt idx="291">
                  <c:v>2.0996000000000001</c:v>
                </c:pt>
                <c:pt idx="292">
                  <c:v>2.08</c:v>
                </c:pt>
                <c:pt idx="293">
                  <c:v>1.8672</c:v>
                </c:pt>
                <c:pt idx="294">
                  <c:v>1.8809</c:v>
                </c:pt>
                <c:pt idx="295">
                  <c:v>1.6591</c:v>
                </c:pt>
                <c:pt idx="296">
                  <c:v>1.8031999999999999</c:v>
                </c:pt>
                <c:pt idx="297">
                  <c:v>1.7195</c:v>
                </c:pt>
                <c:pt idx="298">
                  <c:v>1.5535000000000001</c:v>
                </c:pt>
                <c:pt idx="299">
                  <c:v>1.4801</c:v>
                </c:pt>
                <c:pt idx="300">
                  <c:v>1.625</c:v>
                </c:pt>
                <c:pt idx="301">
                  <c:v>1.5777000000000001</c:v>
                </c:pt>
                <c:pt idx="302">
                  <c:v>1.5381</c:v>
                </c:pt>
                <c:pt idx="303">
                  <c:v>1.5266</c:v>
                </c:pt>
                <c:pt idx="304">
                  <c:v>1.5106999999999999</c:v>
                </c:pt>
                <c:pt idx="305">
                  <c:v>1.3908</c:v>
                </c:pt>
                <c:pt idx="306">
                  <c:v>1.3982000000000001</c:v>
                </c:pt>
                <c:pt idx="307">
                  <c:v>1.4470000000000001</c:v>
                </c:pt>
                <c:pt idx="308">
                  <c:v>1.335</c:v>
                </c:pt>
                <c:pt idx="309">
                  <c:v>1.4053</c:v>
                </c:pt>
                <c:pt idx="310">
                  <c:v>1.6571</c:v>
                </c:pt>
                <c:pt idx="311">
                  <c:v>1.4771000000000001</c:v>
                </c:pt>
                <c:pt idx="312">
                  <c:v>1.4100999999999999</c:v>
                </c:pt>
                <c:pt idx="313">
                  <c:v>1.4101999999999999</c:v>
                </c:pt>
                <c:pt idx="314">
                  <c:v>1.3340000000000001</c:v>
                </c:pt>
                <c:pt idx="315">
                  <c:v>1.3245</c:v>
                </c:pt>
                <c:pt idx="316">
                  <c:v>1.3525</c:v>
                </c:pt>
                <c:pt idx="317">
                  <c:v>1.3294999999999999</c:v>
                </c:pt>
                <c:pt idx="318">
                  <c:v>1.2802</c:v>
                </c:pt>
                <c:pt idx="319">
                  <c:v>1.3109999999999999</c:v>
                </c:pt>
                <c:pt idx="320">
                  <c:v>1.3779999999999999</c:v>
                </c:pt>
                <c:pt idx="321">
                  <c:v>1.321</c:v>
                </c:pt>
                <c:pt idx="322">
                  <c:v>1.39</c:v>
                </c:pt>
                <c:pt idx="323">
                  <c:v>1.3069999999999999</c:v>
                </c:pt>
                <c:pt idx="324">
                  <c:v>1.4244000000000001</c:v>
                </c:pt>
                <c:pt idx="325">
                  <c:v>1.3015000000000001</c:v>
                </c:pt>
                <c:pt idx="326">
                  <c:v>1.3111999999999999</c:v>
                </c:pt>
                <c:pt idx="327">
                  <c:v>1.2805</c:v>
                </c:pt>
                <c:pt idx="328">
                  <c:v>1.3285</c:v>
                </c:pt>
                <c:pt idx="329">
                  <c:v>1.2712000000000001</c:v>
                </c:pt>
                <c:pt idx="330">
                  <c:v>1.2171000000000001</c:v>
                </c:pt>
                <c:pt idx="331">
                  <c:v>1.1847000000000001</c:v>
                </c:pt>
                <c:pt idx="332">
                  <c:v>1.2143999999999999</c:v>
                </c:pt>
                <c:pt idx="333">
                  <c:v>1.1247</c:v>
                </c:pt>
                <c:pt idx="334">
                  <c:v>1.1489</c:v>
                </c:pt>
                <c:pt idx="335">
                  <c:v>1.1195999999999999</c:v>
                </c:pt>
                <c:pt idx="336">
                  <c:v>1.0979000000000001</c:v>
                </c:pt>
                <c:pt idx="337">
                  <c:v>1.1956</c:v>
                </c:pt>
                <c:pt idx="338">
                  <c:v>1.0921000000000001</c:v>
                </c:pt>
                <c:pt idx="339">
                  <c:v>1.3115000000000001</c:v>
                </c:pt>
                <c:pt idx="340">
                  <c:v>1.409</c:v>
                </c:pt>
                <c:pt idx="341">
                  <c:v>1.3788</c:v>
                </c:pt>
                <c:pt idx="342">
                  <c:v>1.4871000000000001</c:v>
                </c:pt>
                <c:pt idx="343">
                  <c:v>1.4956</c:v>
                </c:pt>
                <c:pt idx="344">
                  <c:v>1.3007</c:v>
                </c:pt>
                <c:pt idx="345">
                  <c:v>1.2547999999999999</c:v>
                </c:pt>
                <c:pt idx="346">
                  <c:v>1.2719</c:v>
                </c:pt>
                <c:pt idx="347">
                  <c:v>1.1902999999999999</c:v>
                </c:pt>
                <c:pt idx="348">
                  <c:v>1.3157000000000001</c:v>
                </c:pt>
                <c:pt idx="349">
                  <c:v>1.2363</c:v>
                </c:pt>
                <c:pt idx="350">
                  <c:v>1.1757</c:v>
                </c:pt>
                <c:pt idx="351">
                  <c:v>0.88529999999999998</c:v>
                </c:pt>
                <c:pt idx="352">
                  <c:v>0.75219999999999998</c:v>
                </c:pt>
                <c:pt idx="353">
                  <c:v>0.72340000000000004</c:v>
                </c:pt>
                <c:pt idx="354">
                  <c:v>0.55869999999999997</c:v>
                </c:pt>
                <c:pt idx="355">
                  <c:v>0.56389999999999996</c:v>
                </c:pt>
                <c:pt idx="356">
                  <c:v>0.51759999999999995</c:v>
                </c:pt>
                <c:pt idx="357">
                  <c:v>0.44109999999999999</c:v>
                </c:pt>
                <c:pt idx="358">
                  <c:v>0.45300000000000001</c:v>
                </c:pt>
                <c:pt idx="359">
                  <c:v>0.4304</c:v>
                </c:pt>
                <c:pt idx="360">
                  <c:v>0.41639999999999999</c:v>
                </c:pt>
                <c:pt idx="361">
                  <c:v>0.40789999999999998</c:v>
                </c:pt>
                <c:pt idx="362">
                  <c:v>0.42959999999999998</c:v>
                </c:pt>
                <c:pt idx="363">
                  <c:v>0.41249999999999998</c:v>
                </c:pt>
                <c:pt idx="364">
                  <c:v>0.40379999999999999</c:v>
                </c:pt>
                <c:pt idx="365">
                  <c:v>0.39150000000000001</c:v>
                </c:pt>
                <c:pt idx="366">
                  <c:v>0.43319999999999997</c:v>
                </c:pt>
                <c:pt idx="367">
                  <c:v>0.43240000000000001</c:v>
                </c:pt>
                <c:pt idx="368">
                  <c:v>0.45629999999999998</c:v>
                </c:pt>
                <c:pt idx="369">
                  <c:v>0.45100000000000001</c:v>
                </c:pt>
                <c:pt idx="370">
                  <c:v>0.4556</c:v>
                </c:pt>
                <c:pt idx="371">
                  <c:v>0.41889999999999999</c:v>
                </c:pt>
                <c:pt idx="372">
                  <c:v>0.4728</c:v>
                </c:pt>
                <c:pt idx="373">
                  <c:v>0.46929999999999999</c:v>
                </c:pt>
                <c:pt idx="374">
                  <c:v>0.47739999999999999</c:v>
                </c:pt>
                <c:pt idx="375">
                  <c:v>0.43569999999999998</c:v>
                </c:pt>
                <c:pt idx="376">
                  <c:v>0.42499999999999999</c:v>
                </c:pt>
                <c:pt idx="377">
                  <c:v>0.43240000000000001</c:v>
                </c:pt>
                <c:pt idx="378">
                  <c:v>0.42509999999999998</c:v>
                </c:pt>
                <c:pt idx="379">
                  <c:v>0.41510000000000002</c:v>
                </c:pt>
                <c:pt idx="380">
                  <c:v>0.35920000000000002</c:v>
                </c:pt>
                <c:pt idx="381">
                  <c:v>0.36799999999999999</c:v>
                </c:pt>
                <c:pt idx="382">
                  <c:v>0.42699999999999999</c:v>
                </c:pt>
                <c:pt idx="383">
                  <c:v>0.432</c:v>
                </c:pt>
                <c:pt idx="384">
                  <c:v>0.36930000000000002</c:v>
                </c:pt>
                <c:pt idx="385">
                  <c:v>0.3831</c:v>
                </c:pt>
                <c:pt idx="386">
                  <c:v>0.38190000000000002</c:v>
                </c:pt>
                <c:pt idx="387">
                  <c:v>0.35199999999999998</c:v>
                </c:pt>
                <c:pt idx="388">
                  <c:v>0.34329999999999999</c:v>
                </c:pt>
                <c:pt idx="389">
                  <c:v>0.30980000000000002</c:v>
                </c:pt>
                <c:pt idx="390">
                  <c:v>0.2863</c:v>
                </c:pt>
                <c:pt idx="391">
                  <c:v>0.29120000000000001</c:v>
                </c:pt>
                <c:pt idx="392">
                  <c:v>0.2964</c:v>
                </c:pt>
                <c:pt idx="393">
                  <c:v>0.2954</c:v>
                </c:pt>
                <c:pt idx="394">
                  <c:v>0.30249999999999999</c:v>
                </c:pt>
                <c:pt idx="395">
                  <c:v>0.30640000000000001</c:v>
                </c:pt>
                <c:pt idx="396">
                  <c:v>0.29699999999999999</c:v>
                </c:pt>
                <c:pt idx="397">
                  <c:v>0.28670000000000001</c:v>
                </c:pt>
                <c:pt idx="398">
                  <c:v>0.29260000000000003</c:v>
                </c:pt>
                <c:pt idx="399">
                  <c:v>0.2944</c:v>
                </c:pt>
                <c:pt idx="400">
                  <c:v>0.26469999999999999</c:v>
                </c:pt>
                <c:pt idx="401">
                  <c:v>0.30719999999999997</c:v>
                </c:pt>
                <c:pt idx="402">
                  <c:v>0.3044</c:v>
                </c:pt>
                <c:pt idx="403">
                  <c:v>0.32429999999999998</c:v>
                </c:pt>
                <c:pt idx="404">
                  <c:v>0.34050000000000002</c:v>
                </c:pt>
                <c:pt idx="405">
                  <c:v>0.32390000000000002</c:v>
                </c:pt>
                <c:pt idx="406">
                  <c:v>0.3206</c:v>
                </c:pt>
                <c:pt idx="407">
                  <c:v>0.3296</c:v>
                </c:pt>
                <c:pt idx="408">
                  <c:v>0.3054</c:v>
                </c:pt>
                <c:pt idx="409">
                  <c:v>0.30249999999999999</c:v>
                </c:pt>
                <c:pt idx="410">
                  <c:v>0.3014</c:v>
                </c:pt>
                <c:pt idx="411">
                  <c:v>0.29070000000000001</c:v>
                </c:pt>
                <c:pt idx="412">
                  <c:v>0.27379999999999999</c:v>
                </c:pt>
                <c:pt idx="413">
                  <c:v>0.28520000000000001</c:v>
                </c:pt>
                <c:pt idx="414">
                  <c:v>0.30840000000000001</c:v>
                </c:pt>
                <c:pt idx="415">
                  <c:v>0.29909999999999998</c:v>
                </c:pt>
                <c:pt idx="416">
                  <c:v>0.31859999999999999</c:v>
                </c:pt>
                <c:pt idx="417">
                  <c:v>0.33829999999999999</c:v>
                </c:pt>
                <c:pt idx="418">
                  <c:v>0.34150000000000003</c:v>
                </c:pt>
                <c:pt idx="419">
                  <c:v>0.32200000000000001</c:v>
                </c:pt>
                <c:pt idx="420">
                  <c:v>0.34889999999999999</c:v>
                </c:pt>
                <c:pt idx="421">
                  <c:v>0.34449999999999997</c:v>
                </c:pt>
                <c:pt idx="422">
                  <c:v>0.32629999999999998</c:v>
                </c:pt>
                <c:pt idx="423">
                  <c:v>0.3523</c:v>
                </c:pt>
                <c:pt idx="424">
                  <c:v>0.34350000000000003</c:v>
                </c:pt>
                <c:pt idx="425">
                  <c:v>0.3397</c:v>
                </c:pt>
                <c:pt idx="426">
                  <c:v>0.31259999999999999</c:v>
                </c:pt>
                <c:pt idx="427">
                  <c:v>0.30459999999999998</c:v>
                </c:pt>
                <c:pt idx="428">
                  <c:v>0.35520000000000002</c:v>
                </c:pt>
                <c:pt idx="429">
                  <c:v>0.38450000000000001</c:v>
                </c:pt>
                <c:pt idx="430">
                  <c:v>0.36120000000000002</c:v>
                </c:pt>
                <c:pt idx="431">
                  <c:v>0.3196</c:v>
                </c:pt>
                <c:pt idx="432">
                  <c:v>0.32669999999999999</c:v>
                </c:pt>
                <c:pt idx="433">
                  <c:v>0.26600000000000001</c:v>
                </c:pt>
                <c:pt idx="434">
                  <c:v>0.25359999999999999</c:v>
                </c:pt>
                <c:pt idx="435">
                  <c:v>0.25719999999999998</c:v>
                </c:pt>
                <c:pt idx="436">
                  <c:v>0.26579999999999998</c:v>
                </c:pt>
                <c:pt idx="437">
                  <c:v>0.25319999999999998</c:v>
                </c:pt>
                <c:pt idx="438">
                  <c:v>0.25030000000000002</c:v>
                </c:pt>
                <c:pt idx="439">
                  <c:v>0.2515</c:v>
                </c:pt>
                <c:pt idx="440">
                  <c:v>0.25659999999999999</c:v>
                </c:pt>
                <c:pt idx="441">
                  <c:v>0.24840000000000001</c:v>
                </c:pt>
                <c:pt idx="442">
                  <c:v>0.25130000000000002</c:v>
                </c:pt>
                <c:pt idx="443">
                  <c:v>0.25440000000000002</c:v>
                </c:pt>
                <c:pt idx="444">
                  <c:v>0.25140000000000001</c:v>
                </c:pt>
                <c:pt idx="445">
                  <c:v>0.26619999999999999</c:v>
                </c:pt>
                <c:pt idx="446">
                  <c:v>0.25729999999999997</c:v>
                </c:pt>
                <c:pt idx="447">
                  <c:v>0.26740000000000003</c:v>
                </c:pt>
                <c:pt idx="448">
                  <c:v>0.2492</c:v>
                </c:pt>
                <c:pt idx="449">
                  <c:v>0.2359</c:v>
                </c:pt>
                <c:pt idx="450">
                  <c:v>0.2455</c:v>
                </c:pt>
                <c:pt idx="451">
                  <c:v>0.2467</c:v>
                </c:pt>
                <c:pt idx="452">
                  <c:v>0.25269999999999998</c:v>
                </c:pt>
                <c:pt idx="453">
                  <c:v>0.25390000000000001</c:v>
                </c:pt>
                <c:pt idx="454">
                  <c:v>0.2571</c:v>
                </c:pt>
                <c:pt idx="455">
                  <c:v>0.25950000000000001</c:v>
                </c:pt>
                <c:pt idx="456">
                  <c:v>0.26919999999999999</c:v>
                </c:pt>
                <c:pt idx="457">
                  <c:v>0.27750000000000002</c:v>
                </c:pt>
                <c:pt idx="458">
                  <c:v>0.27379999999999999</c:v>
                </c:pt>
                <c:pt idx="459">
                  <c:v>0.2782</c:v>
                </c:pt>
                <c:pt idx="460">
                  <c:v>0.28799999999999998</c:v>
                </c:pt>
                <c:pt idx="461">
                  <c:v>0.27610000000000001</c:v>
                </c:pt>
                <c:pt idx="462">
                  <c:v>0.2828</c:v>
                </c:pt>
                <c:pt idx="463">
                  <c:v>0.28089999999999998</c:v>
                </c:pt>
                <c:pt idx="464">
                  <c:v>0.26350000000000001</c:v>
                </c:pt>
                <c:pt idx="465">
                  <c:v>0.27689999999999998</c:v>
                </c:pt>
                <c:pt idx="466">
                  <c:v>0.27250000000000002</c:v>
                </c:pt>
                <c:pt idx="467">
                  <c:v>0.26950000000000002</c:v>
                </c:pt>
                <c:pt idx="468">
                  <c:v>0.26390000000000002</c:v>
                </c:pt>
                <c:pt idx="469">
                  <c:v>0.2767</c:v>
                </c:pt>
                <c:pt idx="470">
                  <c:v>0.27339999999999998</c:v>
                </c:pt>
                <c:pt idx="471">
                  <c:v>0.28420000000000001</c:v>
                </c:pt>
                <c:pt idx="472">
                  <c:v>0.28770000000000001</c:v>
                </c:pt>
                <c:pt idx="473">
                  <c:v>0.2823</c:v>
                </c:pt>
                <c:pt idx="474">
                  <c:v>0.27289999999999998</c:v>
                </c:pt>
                <c:pt idx="475">
                  <c:v>0.26989999999999997</c:v>
                </c:pt>
                <c:pt idx="476">
                  <c:v>0.2626</c:v>
                </c:pt>
                <c:pt idx="477">
                  <c:v>0.25740000000000002</c:v>
                </c:pt>
                <c:pt idx="478">
                  <c:v>0.25330000000000003</c:v>
                </c:pt>
                <c:pt idx="479">
                  <c:v>0.2712</c:v>
                </c:pt>
                <c:pt idx="480">
                  <c:v>0.27500000000000002</c:v>
                </c:pt>
                <c:pt idx="481">
                  <c:v>0.26590000000000003</c:v>
                </c:pt>
                <c:pt idx="482">
                  <c:v>0.26879999999999998</c:v>
                </c:pt>
                <c:pt idx="483">
                  <c:v>0.27200000000000002</c:v>
                </c:pt>
                <c:pt idx="484">
                  <c:v>0.2833</c:v>
                </c:pt>
                <c:pt idx="485">
                  <c:v>0.27410000000000001</c:v>
                </c:pt>
                <c:pt idx="486">
                  <c:v>0.26860000000000001</c:v>
                </c:pt>
                <c:pt idx="487">
                  <c:v>0.25969999999999999</c:v>
                </c:pt>
                <c:pt idx="488">
                  <c:v>0.26300000000000001</c:v>
                </c:pt>
                <c:pt idx="489">
                  <c:v>0.25580000000000003</c:v>
                </c:pt>
                <c:pt idx="490">
                  <c:v>0.24690000000000001</c:v>
                </c:pt>
                <c:pt idx="491">
                  <c:v>0.2326</c:v>
                </c:pt>
                <c:pt idx="492">
                  <c:v>0.24360000000000001</c:v>
                </c:pt>
                <c:pt idx="493">
                  <c:v>0.23980000000000001</c:v>
                </c:pt>
                <c:pt idx="494">
                  <c:v>0.26269999999999999</c:v>
                </c:pt>
                <c:pt idx="495">
                  <c:v>0.27189999999999998</c:v>
                </c:pt>
                <c:pt idx="496">
                  <c:v>0.27350000000000002</c:v>
                </c:pt>
                <c:pt idx="497">
                  <c:v>0.28120000000000001</c:v>
                </c:pt>
                <c:pt idx="498">
                  <c:v>0.27079999999999999</c:v>
                </c:pt>
                <c:pt idx="499">
                  <c:v>0.27360000000000001</c:v>
                </c:pt>
                <c:pt idx="500">
                  <c:v>0.28470000000000001</c:v>
                </c:pt>
                <c:pt idx="501">
                  <c:v>0.28100000000000003</c:v>
                </c:pt>
                <c:pt idx="502">
                  <c:v>0.29870000000000002</c:v>
                </c:pt>
                <c:pt idx="503">
                  <c:v>0.29310000000000003</c:v>
                </c:pt>
                <c:pt idx="504">
                  <c:v>0.2994</c:v>
                </c:pt>
                <c:pt idx="505">
                  <c:v>0.28549999999999998</c:v>
                </c:pt>
                <c:pt idx="506">
                  <c:v>0.2767</c:v>
                </c:pt>
                <c:pt idx="507">
                  <c:v>0.28439999999999999</c:v>
                </c:pt>
                <c:pt idx="508">
                  <c:v>0.2863</c:v>
                </c:pt>
                <c:pt idx="509">
                  <c:v>0.2646</c:v>
                </c:pt>
                <c:pt idx="510">
                  <c:v>0.28889999999999999</c:v>
                </c:pt>
                <c:pt idx="511">
                  <c:v>0.2732</c:v>
                </c:pt>
                <c:pt idx="512">
                  <c:v>0.33810000000000001</c:v>
                </c:pt>
                <c:pt idx="513">
                  <c:v>0.36480000000000001</c:v>
                </c:pt>
                <c:pt idx="514">
                  <c:v>0.36130000000000001</c:v>
                </c:pt>
                <c:pt idx="515">
                  <c:v>0.36499999999999999</c:v>
                </c:pt>
                <c:pt idx="516">
                  <c:v>0.36649999999999999</c:v>
                </c:pt>
                <c:pt idx="517">
                  <c:v>0.34939999999999999</c:v>
                </c:pt>
                <c:pt idx="518">
                  <c:v>0.33939999999999998</c:v>
                </c:pt>
                <c:pt idx="519">
                  <c:v>0.35659999999999997</c:v>
                </c:pt>
                <c:pt idx="520">
                  <c:v>0.3619</c:v>
                </c:pt>
                <c:pt idx="521">
                  <c:v>0.39250000000000002</c:v>
                </c:pt>
                <c:pt idx="522">
                  <c:v>0.38519999999999999</c:v>
                </c:pt>
                <c:pt idx="523">
                  <c:v>0.40360000000000001</c:v>
                </c:pt>
                <c:pt idx="524">
                  <c:v>0.3715</c:v>
                </c:pt>
                <c:pt idx="525">
                  <c:v>0.3987</c:v>
                </c:pt>
                <c:pt idx="526">
                  <c:v>0.37190000000000001</c:v>
                </c:pt>
                <c:pt idx="527">
                  <c:v>0.39450000000000002</c:v>
                </c:pt>
                <c:pt idx="528">
                  <c:v>0.41189999999999999</c:v>
                </c:pt>
                <c:pt idx="529">
                  <c:v>0.42320000000000002</c:v>
                </c:pt>
                <c:pt idx="530">
                  <c:v>0.41930000000000001</c:v>
                </c:pt>
                <c:pt idx="531">
                  <c:v>0.40739999999999998</c:v>
                </c:pt>
                <c:pt idx="532">
                  <c:v>0.37709999999999999</c:v>
                </c:pt>
                <c:pt idx="533">
                  <c:v>0.38490000000000002</c:v>
                </c:pt>
                <c:pt idx="534">
                  <c:v>0.36809999999999998</c:v>
                </c:pt>
                <c:pt idx="535">
                  <c:v>0.3826</c:v>
                </c:pt>
                <c:pt idx="536">
                  <c:v>0.34799999999999998</c:v>
                </c:pt>
                <c:pt idx="537">
                  <c:v>0.33040000000000003</c:v>
                </c:pt>
                <c:pt idx="538">
                  <c:v>0.31900000000000001</c:v>
                </c:pt>
                <c:pt idx="539">
                  <c:v>0.31569999999999998</c:v>
                </c:pt>
                <c:pt idx="540">
                  <c:v>0.30509999999999998</c:v>
                </c:pt>
                <c:pt idx="541">
                  <c:v>0.307</c:v>
                </c:pt>
                <c:pt idx="542">
                  <c:v>0.30070000000000002</c:v>
                </c:pt>
                <c:pt idx="543">
                  <c:v>0.28839999999999999</c:v>
                </c:pt>
                <c:pt idx="544">
                  <c:v>0.31419999999999998</c:v>
                </c:pt>
                <c:pt idx="545">
                  <c:v>0.29930000000000001</c:v>
                </c:pt>
                <c:pt idx="546">
                  <c:v>0.30009999999999998</c:v>
                </c:pt>
                <c:pt idx="547">
                  <c:v>0.28539999999999999</c:v>
                </c:pt>
                <c:pt idx="548">
                  <c:v>0.27110000000000001</c:v>
                </c:pt>
                <c:pt idx="549">
                  <c:v>0.27100000000000002</c:v>
                </c:pt>
                <c:pt idx="550">
                  <c:v>0.26889999999999997</c:v>
                </c:pt>
                <c:pt idx="551">
                  <c:v>0.27550000000000002</c:v>
                </c:pt>
                <c:pt idx="552">
                  <c:v>0.26700000000000002</c:v>
                </c:pt>
                <c:pt idx="553">
                  <c:v>0.27960000000000002</c:v>
                </c:pt>
                <c:pt idx="554">
                  <c:v>0.2787</c:v>
                </c:pt>
                <c:pt idx="555">
                  <c:v>0.26550000000000001</c:v>
                </c:pt>
                <c:pt idx="556">
                  <c:v>0.25009999999999999</c:v>
                </c:pt>
                <c:pt idx="557">
                  <c:v>0.24779999999999999</c:v>
                </c:pt>
                <c:pt idx="558">
                  <c:v>0.23860000000000001</c:v>
                </c:pt>
                <c:pt idx="559">
                  <c:v>0.24110000000000001</c:v>
                </c:pt>
                <c:pt idx="560">
                  <c:v>0.24129999999999999</c:v>
                </c:pt>
                <c:pt idx="561">
                  <c:v>0.24529999999999999</c:v>
                </c:pt>
                <c:pt idx="562">
                  <c:v>0.24879999999999999</c:v>
                </c:pt>
                <c:pt idx="563">
                  <c:v>0.249</c:v>
                </c:pt>
                <c:pt idx="564">
                  <c:v>0.25109999999999999</c:v>
                </c:pt>
                <c:pt idx="565">
                  <c:v>0.24990000000000001</c:v>
                </c:pt>
                <c:pt idx="566">
                  <c:v>0.25069999999999998</c:v>
                </c:pt>
                <c:pt idx="567">
                  <c:v>0.25480000000000003</c:v>
                </c:pt>
                <c:pt idx="568">
                  <c:v>0.25650000000000001</c:v>
                </c:pt>
                <c:pt idx="569">
                  <c:v>0.2447</c:v>
                </c:pt>
                <c:pt idx="570">
                  <c:v>0.2467</c:v>
                </c:pt>
                <c:pt idx="571">
                  <c:v>0.23530000000000001</c:v>
                </c:pt>
                <c:pt idx="572">
                  <c:v>0.24030000000000001</c:v>
                </c:pt>
                <c:pt idx="573">
                  <c:v>0.22550000000000001</c:v>
                </c:pt>
                <c:pt idx="574">
                  <c:v>0.22919999999999999</c:v>
                </c:pt>
                <c:pt idx="575">
                  <c:v>0.23050000000000001</c:v>
                </c:pt>
                <c:pt idx="576">
                  <c:v>0.2266</c:v>
                </c:pt>
                <c:pt idx="577">
                  <c:v>0.21479999999999999</c:v>
                </c:pt>
                <c:pt idx="578">
                  <c:v>0.20880000000000001</c:v>
                </c:pt>
                <c:pt idx="579">
                  <c:v>0.2031</c:v>
                </c:pt>
                <c:pt idx="580">
                  <c:v>0.215</c:v>
                </c:pt>
                <c:pt idx="581">
                  <c:v>0.2203</c:v>
                </c:pt>
                <c:pt idx="582">
                  <c:v>0.22009999999999999</c:v>
                </c:pt>
                <c:pt idx="583">
                  <c:v>0.22869999999999999</c:v>
                </c:pt>
                <c:pt idx="584">
                  <c:v>0.23230000000000001</c:v>
                </c:pt>
                <c:pt idx="585">
                  <c:v>0.2177</c:v>
                </c:pt>
                <c:pt idx="586">
                  <c:v>0.21779999999999999</c:v>
                </c:pt>
                <c:pt idx="587">
                  <c:v>0.21929999999999999</c:v>
                </c:pt>
                <c:pt idx="588">
                  <c:v>0.22370000000000001</c:v>
                </c:pt>
                <c:pt idx="589">
                  <c:v>0.2248</c:v>
                </c:pt>
                <c:pt idx="590">
                  <c:v>0.21929999999999999</c:v>
                </c:pt>
                <c:pt idx="591">
                  <c:v>0.218</c:v>
                </c:pt>
                <c:pt idx="592">
                  <c:v>0.2215</c:v>
                </c:pt>
                <c:pt idx="593">
                  <c:v>0.22869999999999999</c:v>
                </c:pt>
                <c:pt idx="594">
                  <c:v>0.22509999999999999</c:v>
                </c:pt>
                <c:pt idx="595">
                  <c:v>0.22220000000000001</c:v>
                </c:pt>
                <c:pt idx="596">
                  <c:v>0.25090000000000001</c:v>
                </c:pt>
                <c:pt idx="597">
                  <c:v>0.24690000000000001</c:v>
                </c:pt>
                <c:pt idx="598">
                  <c:v>0.24149999999999999</c:v>
                </c:pt>
                <c:pt idx="599">
                  <c:v>0.2412</c:v>
                </c:pt>
                <c:pt idx="600">
                  <c:v>0.24349999999999999</c:v>
                </c:pt>
                <c:pt idx="601">
                  <c:v>0.24110000000000001</c:v>
                </c:pt>
                <c:pt idx="602">
                  <c:v>0.2492</c:v>
                </c:pt>
                <c:pt idx="603">
                  <c:v>0.2515</c:v>
                </c:pt>
                <c:pt idx="604">
                  <c:v>0.23380000000000001</c:v>
                </c:pt>
                <c:pt idx="605">
                  <c:v>0.2364</c:v>
                </c:pt>
                <c:pt idx="606">
                  <c:v>0.21970000000000001</c:v>
                </c:pt>
                <c:pt idx="607">
                  <c:v>0.21879999999999999</c:v>
                </c:pt>
                <c:pt idx="608">
                  <c:v>0.20119999999999999</c:v>
                </c:pt>
                <c:pt idx="609">
                  <c:v>0.20319999999999999</c:v>
                </c:pt>
                <c:pt idx="610">
                  <c:v>0.19670000000000001</c:v>
                </c:pt>
                <c:pt idx="611">
                  <c:v>0.1943</c:v>
                </c:pt>
                <c:pt idx="612">
                  <c:v>0.1978</c:v>
                </c:pt>
                <c:pt idx="613">
                  <c:v>0.1895</c:v>
                </c:pt>
                <c:pt idx="614">
                  <c:v>0.19919999999999999</c:v>
                </c:pt>
                <c:pt idx="615">
                  <c:v>0.20200000000000001</c:v>
                </c:pt>
                <c:pt idx="616">
                  <c:v>0.18820000000000001</c:v>
                </c:pt>
                <c:pt idx="617">
                  <c:v>0.19919999999999999</c:v>
                </c:pt>
                <c:pt idx="618">
                  <c:v>0.20219999999999999</c:v>
                </c:pt>
                <c:pt idx="619">
                  <c:v>0.20419999999999999</c:v>
                </c:pt>
                <c:pt idx="620">
                  <c:v>0.19939999999999999</c:v>
                </c:pt>
                <c:pt idx="621">
                  <c:v>0.1971</c:v>
                </c:pt>
                <c:pt idx="622">
                  <c:v>0.19800000000000001</c:v>
                </c:pt>
                <c:pt idx="623">
                  <c:v>0.2092</c:v>
                </c:pt>
                <c:pt idx="624">
                  <c:v>0.1923</c:v>
                </c:pt>
                <c:pt idx="625">
                  <c:v>0.18590000000000001</c:v>
                </c:pt>
                <c:pt idx="626">
                  <c:v>0.17680000000000001</c:v>
                </c:pt>
                <c:pt idx="627">
                  <c:v>0.18340000000000001</c:v>
                </c:pt>
                <c:pt idx="628">
                  <c:v>0.1976</c:v>
                </c:pt>
                <c:pt idx="629">
                  <c:v>0.20269999999999999</c:v>
                </c:pt>
                <c:pt idx="630">
                  <c:v>0.18479999999999999</c:v>
                </c:pt>
                <c:pt idx="631">
                  <c:v>0.17760000000000001</c:v>
                </c:pt>
                <c:pt idx="632">
                  <c:v>0.18759999999999999</c:v>
                </c:pt>
                <c:pt idx="633">
                  <c:v>0.183</c:v>
                </c:pt>
                <c:pt idx="634">
                  <c:v>0.1827</c:v>
                </c:pt>
                <c:pt idx="635">
                  <c:v>0.1915</c:v>
                </c:pt>
                <c:pt idx="636">
                  <c:v>0.18160000000000001</c:v>
                </c:pt>
                <c:pt idx="637">
                  <c:v>0.17649999999999999</c:v>
                </c:pt>
                <c:pt idx="638">
                  <c:v>0.18590000000000001</c:v>
                </c:pt>
                <c:pt idx="639">
                  <c:v>0.17380000000000001</c:v>
                </c:pt>
                <c:pt idx="640">
                  <c:v>0.17399999999999999</c:v>
                </c:pt>
                <c:pt idx="641">
                  <c:v>0.1764</c:v>
                </c:pt>
                <c:pt idx="642">
                  <c:v>0.17</c:v>
                </c:pt>
                <c:pt idx="643">
                  <c:v>0.16769999999999999</c:v>
                </c:pt>
                <c:pt idx="644">
                  <c:v>0.159</c:v>
                </c:pt>
                <c:pt idx="645">
                  <c:v>0.156</c:v>
                </c:pt>
                <c:pt idx="646">
                  <c:v>0.15179999999999999</c:v>
                </c:pt>
                <c:pt idx="647">
                  <c:v>0.1482</c:v>
                </c:pt>
                <c:pt idx="648">
                  <c:v>0.15579999999999999</c:v>
                </c:pt>
                <c:pt idx="649">
                  <c:v>0.16270000000000001</c:v>
                </c:pt>
                <c:pt idx="650">
                  <c:v>0.15609999999999999</c:v>
                </c:pt>
                <c:pt idx="651">
                  <c:v>0.15720000000000001</c:v>
                </c:pt>
                <c:pt idx="652">
                  <c:v>0.14810000000000001</c:v>
                </c:pt>
                <c:pt idx="653">
                  <c:v>0.158</c:v>
                </c:pt>
                <c:pt idx="654">
                  <c:v>0.159</c:v>
                </c:pt>
                <c:pt idx="655">
                  <c:v>0.16159999999999999</c:v>
                </c:pt>
                <c:pt idx="656">
                  <c:v>0.1603</c:v>
                </c:pt>
                <c:pt idx="657">
                  <c:v>0.16109999999999999</c:v>
                </c:pt>
                <c:pt idx="658">
                  <c:v>0.17249999999999999</c:v>
                </c:pt>
                <c:pt idx="659">
                  <c:v>0.17199999999999999</c:v>
                </c:pt>
                <c:pt idx="660">
                  <c:v>0.16400000000000001</c:v>
                </c:pt>
                <c:pt idx="661">
                  <c:v>0.1661</c:v>
                </c:pt>
                <c:pt idx="662">
                  <c:v>0.14860000000000001</c:v>
                </c:pt>
                <c:pt idx="663">
                  <c:v>0.14990000000000001</c:v>
                </c:pt>
                <c:pt idx="664">
                  <c:v>0.1492</c:v>
                </c:pt>
                <c:pt idx="665">
                  <c:v>0.14760000000000001</c:v>
                </c:pt>
                <c:pt idx="666">
                  <c:v>0.14710000000000001</c:v>
                </c:pt>
                <c:pt idx="667">
                  <c:v>0.1434</c:v>
                </c:pt>
                <c:pt idx="668">
                  <c:v>0.14130000000000001</c:v>
                </c:pt>
                <c:pt idx="669">
                  <c:v>0.13150000000000001</c:v>
                </c:pt>
                <c:pt idx="670">
                  <c:v>0.1394</c:v>
                </c:pt>
                <c:pt idx="671">
                  <c:v>0.13589999999999999</c:v>
                </c:pt>
                <c:pt idx="672">
                  <c:v>0.1452</c:v>
                </c:pt>
                <c:pt idx="673">
                  <c:v>0.1409</c:v>
                </c:pt>
                <c:pt idx="674">
                  <c:v>0.14460000000000001</c:v>
                </c:pt>
                <c:pt idx="675">
                  <c:v>0.14319999999999999</c:v>
                </c:pt>
                <c:pt idx="676">
                  <c:v>0.126</c:v>
                </c:pt>
                <c:pt idx="677">
                  <c:v>0.13850000000000001</c:v>
                </c:pt>
                <c:pt idx="678">
                  <c:v>0.1419</c:v>
                </c:pt>
                <c:pt idx="679">
                  <c:v>0.14849999999999999</c:v>
                </c:pt>
                <c:pt idx="680">
                  <c:v>0.12640000000000001</c:v>
                </c:pt>
                <c:pt idx="681">
                  <c:v>0.1206</c:v>
                </c:pt>
                <c:pt idx="682">
                  <c:v>0.1094</c:v>
                </c:pt>
                <c:pt idx="683">
                  <c:v>0.1215</c:v>
                </c:pt>
                <c:pt idx="684">
                  <c:v>0.1244</c:v>
                </c:pt>
                <c:pt idx="685">
                  <c:v>0.12989999999999999</c:v>
                </c:pt>
                <c:pt idx="686">
                  <c:v>0.1086</c:v>
                </c:pt>
                <c:pt idx="687">
                  <c:v>0.19520000000000001</c:v>
                </c:pt>
                <c:pt idx="688">
                  <c:v>0.1978</c:v>
                </c:pt>
                <c:pt idx="689">
                  <c:v>0.19189999999999999</c:v>
                </c:pt>
                <c:pt idx="690">
                  <c:v>0.19159999999999999</c:v>
                </c:pt>
                <c:pt idx="691">
                  <c:v>0.2228</c:v>
                </c:pt>
                <c:pt idx="692">
                  <c:v>0.2326</c:v>
                </c:pt>
                <c:pt idx="693">
                  <c:v>0.22750000000000001</c:v>
                </c:pt>
                <c:pt idx="694">
                  <c:v>0.22220000000000001</c:v>
                </c:pt>
                <c:pt idx="695">
                  <c:v>0.22359999999999999</c:v>
                </c:pt>
                <c:pt idx="696">
                  <c:v>0.22439999999999999</c:v>
                </c:pt>
                <c:pt idx="697">
                  <c:v>0.21060000000000001</c:v>
                </c:pt>
                <c:pt idx="698">
                  <c:v>0.2122</c:v>
                </c:pt>
                <c:pt idx="699">
                  <c:v>0.21609999999999999</c:v>
                </c:pt>
                <c:pt idx="700">
                  <c:v>0.21510000000000001</c:v>
                </c:pt>
                <c:pt idx="701">
                  <c:v>0.21510000000000001</c:v>
                </c:pt>
                <c:pt idx="702">
                  <c:v>0.24759999999999999</c:v>
                </c:pt>
                <c:pt idx="703">
                  <c:v>0.2621</c:v>
                </c:pt>
                <c:pt idx="704">
                  <c:v>0.2777</c:v>
                </c:pt>
                <c:pt idx="705">
                  <c:v>0.27039999999999997</c:v>
                </c:pt>
                <c:pt idx="706">
                  <c:v>0.2681</c:v>
                </c:pt>
                <c:pt idx="707">
                  <c:v>0.2656</c:v>
                </c:pt>
                <c:pt idx="708">
                  <c:v>0.26719999999999999</c:v>
                </c:pt>
                <c:pt idx="709">
                  <c:v>0.29049999999999998</c:v>
                </c:pt>
                <c:pt idx="710">
                  <c:v>0.28339999999999999</c:v>
                </c:pt>
                <c:pt idx="711">
                  <c:v>0.27739999999999998</c:v>
                </c:pt>
                <c:pt idx="712">
                  <c:v>0.2883</c:v>
                </c:pt>
                <c:pt idx="713">
                  <c:v>0.32319999999999999</c:v>
                </c:pt>
                <c:pt idx="714">
                  <c:v>0.32240000000000002</c:v>
                </c:pt>
                <c:pt idx="715">
                  <c:v>0.3327</c:v>
                </c:pt>
                <c:pt idx="716">
                  <c:v>0.3322</c:v>
                </c:pt>
                <c:pt idx="717">
                  <c:v>0.31780000000000003</c:v>
                </c:pt>
                <c:pt idx="718">
                  <c:v>0.3226</c:v>
                </c:pt>
                <c:pt idx="719">
                  <c:v>0.30730000000000002</c:v>
                </c:pt>
                <c:pt idx="720">
                  <c:v>0.32090000000000002</c:v>
                </c:pt>
                <c:pt idx="721">
                  <c:v>0.33090000000000003</c:v>
                </c:pt>
                <c:pt idx="722">
                  <c:v>0.32669999999999999</c:v>
                </c:pt>
                <c:pt idx="723">
                  <c:v>0.33189999999999997</c:v>
                </c:pt>
                <c:pt idx="724">
                  <c:v>0.33629999999999999</c:v>
                </c:pt>
                <c:pt idx="725">
                  <c:v>0.30830000000000002</c:v>
                </c:pt>
                <c:pt idx="726">
                  <c:v>0.30590000000000001</c:v>
                </c:pt>
                <c:pt idx="727">
                  <c:v>0.29420000000000002</c:v>
                </c:pt>
                <c:pt idx="728">
                  <c:v>0.29399999999999998</c:v>
                </c:pt>
                <c:pt idx="729">
                  <c:v>0.30409999999999998</c:v>
                </c:pt>
                <c:pt idx="730">
                  <c:v>0.2863</c:v>
                </c:pt>
                <c:pt idx="731">
                  <c:v>0.25219999999999998</c:v>
                </c:pt>
                <c:pt idx="732">
                  <c:v>0.2457</c:v>
                </c:pt>
                <c:pt idx="733">
                  <c:v>0.2344</c:v>
                </c:pt>
                <c:pt idx="734">
                  <c:v>0.23699999999999999</c:v>
                </c:pt>
                <c:pt idx="735">
                  <c:v>0.2369</c:v>
                </c:pt>
                <c:pt idx="736">
                  <c:v>0.249</c:v>
                </c:pt>
                <c:pt idx="737">
                  <c:v>0.25030000000000002</c:v>
                </c:pt>
                <c:pt idx="738">
                  <c:v>0.25230000000000002</c:v>
                </c:pt>
                <c:pt idx="739">
                  <c:v>0.2462</c:v>
                </c:pt>
                <c:pt idx="740">
                  <c:v>0.24610000000000001</c:v>
                </c:pt>
                <c:pt idx="741">
                  <c:v>0.23830000000000001</c:v>
                </c:pt>
                <c:pt idx="742">
                  <c:v>0.22789999999999999</c:v>
                </c:pt>
                <c:pt idx="743">
                  <c:v>0.23350000000000001</c:v>
                </c:pt>
                <c:pt idx="744">
                  <c:v>0.21049999999999999</c:v>
                </c:pt>
                <c:pt idx="745">
                  <c:v>0.18840000000000001</c:v>
                </c:pt>
                <c:pt idx="746">
                  <c:v>0.1913</c:v>
                </c:pt>
                <c:pt idx="747">
                  <c:v>0.1918</c:v>
                </c:pt>
                <c:pt idx="748">
                  <c:v>0.19020000000000001</c:v>
                </c:pt>
                <c:pt idx="749">
                  <c:v>0.17699999999999999</c:v>
                </c:pt>
                <c:pt idx="750">
                  <c:v>0.18110000000000001</c:v>
                </c:pt>
                <c:pt idx="751">
                  <c:v>0.1857</c:v>
                </c:pt>
                <c:pt idx="752">
                  <c:v>0.18260000000000001</c:v>
                </c:pt>
                <c:pt idx="753">
                  <c:v>0.17180000000000001</c:v>
                </c:pt>
                <c:pt idx="754">
                  <c:v>0.1734</c:v>
                </c:pt>
                <c:pt idx="755">
                  <c:v>0.16639999999999999</c:v>
                </c:pt>
                <c:pt idx="756">
                  <c:v>0.15840000000000001</c:v>
                </c:pt>
                <c:pt idx="757">
                  <c:v>0.16059999999999999</c:v>
                </c:pt>
                <c:pt idx="758">
                  <c:v>0.15959999999999999</c:v>
                </c:pt>
                <c:pt idx="759">
                  <c:v>0.1595</c:v>
                </c:pt>
                <c:pt idx="760">
                  <c:v>0.16800000000000001</c:v>
                </c:pt>
                <c:pt idx="761">
                  <c:v>0.1633</c:v>
                </c:pt>
                <c:pt idx="762">
                  <c:v>0.16170000000000001</c:v>
                </c:pt>
                <c:pt idx="763">
                  <c:v>0.158</c:v>
                </c:pt>
                <c:pt idx="764">
                  <c:v>0.15590000000000001</c:v>
                </c:pt>
                <c:pt idx="765">
                  <c:v>0.15559999999999999</c:v>
                </c:pt>
                <c:pt idx="766">
                  <c:v>0.1615</c:v>
                </c:pt>
                <c:pt idx="767">
                  <c:v>0.1661</c:v>
                </c:pt>
                <c:pt idx="768">
                  <c:v>0.16139999999999999</c:v>
                </c:pt>
                <c:pt idx="769">
                  <c:v>0.1636</c:v>
                </c:pt>
                <c:pt idx="770">
                  <c:v>0.16300000000000001</c:v>
                </c:pt>
                <c:pt idx="771">
                  <c:v>0.1583</c:v>
                </c:pt>
                <c:pt idx="772">
                  <c:v>0.155</c:v>
                </c:pt>
                <c:pt idx="773">
                  <c:v>0.17369999999999999</c:v>
                </c:pt>
                <c:pt idx="774">
                  <c:v>0.18720000000000001</c:v>
                </c:pt>
                <c:pt idx="775">
                  <c:v>0.1893</c:v>
                </c:pt>
                <c:pt idx="776">
                  <c:v>0.1933</c:v>
                </c:pt>
                <c:pt idx="777">
                  <c:v>0.19400000000000001</c:v>
                </c:pt>
                <c:pt idx="778">
                  <c:v>0.19889999999999999</c:v>
                </c:pt>
                <c:pt idx="779">
                  <c:v>0.1973</c:v>
                </c:pt>
                <c:pt idx="780">
                  <c:v>0.2019</c:v>
                </c:pt>
                <c:pt idx="781">
                  <c:v>0.2064</c:v>
                </c:pt>
                <c:pt idx="782">
                  <c:v>0.2046</c:v>
                </c:pt>
                <c:pt idx="783">
                  <c:v>0.20480000000000001</c:v>
                </c:pt>
                <c:pt idx="784">
                  <c:v>0.2036</c:v>
                </c:pt>
                <c:pt idx="785">
                  <c:v>0.1966</c:v>
                </c:pt>
                <c:pt idx="786">
                  <c:v>0.20330000000000001</c:v>
                </c:pt>
                <c:pt idx="787">
                  <c:v>0.20780000000000001</c:v>
                </c:pt>
                <c:pt idx="788">
                  <c:v>0.2049</c:v>
                </c:pt>
                <c:pt idx="789">
                  <c:v>0.20960000000000001</c:v>
                </c:pt>
                <c:pt idx="790">
                  <c:v>0.21759999999999999</c:v>
                </c:pt>
                <c:pt idx="791">
                  <c:v>0.2097</c:v>
                </c:pt>
                <c:pt idx="792">
                  <c:v>0.21160000000000001</c:v>
                </c:pt>
                <c:pt idx="793">
                  <c:v>0.21179999999999999</c:v>
                </c:pt>
                <c:pt idx="794">
                  <c:v>0.20880000000000001</c:v>
                </c:pt>
                <c:pt idx="795">
                  <c:v>0.20119999999999999</c:v>
                </c:pt>
                <c:pt idx="796">
                  <c:v>0.215</c:v>
                </c:pt>
                <c:pt idx="797">
                  <c:v>0.2084</c:v>
                </c:pt>
                <c:pt idx="798">
                  <c:v>0.22700000000000001</c:v>
                </c:pt>
                <c:pt idx="799">
                  <c:v>0.24079999999999999</c:v>
                </c:pt>
                <c:pt idx="800">
                  <c:v>0.245</c:v>
                </c:pt>
                <c:pt idx="801">
                  <c:v>0.24970000000000001</c:v>
                </c:pt>
                <c:pt idx="802">
                  <c:v>0.25659999999999999</c:v>
                </c:pt>
                <c:pt idx="803">
                  <c:v>0.25640000000000002</c:v>
                </c:pt>
                <c:pt idx="804">
                  <c:v>0.25850000000000001</c:v>
                </c:pt>
                <c:pt idx="805">
                  <c:v>0.2636</c:v>
                </c:pt>
                <c:pt idx="806">
                  <c:v>0.25779999999999997</c:v>
                </c:pt>
                <c:pt idx="807">
                  <c:v>0.26050000000000001</c:v>
                </c:pt>
                <c:pt idx="808">
                  <c:v>0.25769999999999998</c:v>
                </c:pt>
                <c:pt idx="809">
                  <c:v>0.26690000000000003</c:v>
                </c:pt>
                <c:pt idx="810">
                  <c:v>0.2661</c:v>
                </c:pt>
                <c:pt idx="811">
                  <c:v>0.26490000000000002</c:v>
                </c:pt>
                <c:pt idx="812">
                  <c:v>0.2702</c:v>
                </c:pt>
                <c:pt idx="813">
                  <c:v>0.27939999999999998</c:v>
                </c:pt>
                <c:pt idx="814">
                  <c:v>0.27460000000000001</c:v>
                </c:pt>
                <c:pt idx="815">
                  <c:v>0.27400000000000002</c:v>
                </c:pt>
                <c:pt idx="816">
                  <c:v>0.26840000000000003</c:v>
                </c:pt>
                <c:pt idx="817">
                  <c:v>0.27239999999999998</c:v>
                </c:pt>
                <c:pt idx="818">
                  <c:v>0.27289999999999998</c:v>
                </c:pt>
                <c:pt idx="819">
                  <c:v>0.27189999999999998</c:v>
                </c:pt>
                <c:pt idx="820">
                  <c:v>0.28160000000000002</c:v>
                </c:pt>
                <c:pt idx="821">
                  <c:v>0.2802</c:v>
                </c:pt>
                <c:pt idx="822">
                  <c:v>0.28449999999999998</c:v>
                </c:pt>
                <c:pt idx="823">
                  <c:v>0.27229999999999999</c:v>
                </c:pt>
                <c:pt idx="824">
                  <c:v>0.26869999999999999</c:v>
                </c:pt>
                <c:pt idx="825">
                  <c:v>0.27160000000000001</c:v>
                </c:pt>
                <c:pt idx="826">
                  <c:v>0.25390000000000001</c:v>
                </c:pt>
                <c:pt idx="827">
                  <c:v>0.2535</c:v>
                </c:pt>
                <c:pt idx="828">
                  <c:v>0.26919999999999999</c:v>
                </c:pt>
                <c:pt idx="829">
                  <c:v>0.26889999999999997</c:v>
                </c:pt>
                <c:pt idx="830">
                  <c:v>0.27</c:v>
                </c:pt>
                <c:pt idx="831">
                  <c:v>0.26850000000000002</c:v>
                </c:pt>
                <c:pt idx="832">
                  <c:v>0.27100000000000002</c:v>
                </c:pt>
                <c:pt idx="833">
                  <c:v>0.27629999999999999</c:v>
                </c:pt>
                <c:pt idx="834">
                  <c:v>0.27139999999999997</c:v>
                </c:pt>
                <c:pt idx="835">
                  <c:v>0.27960000000000002</c:v>
                </c:pt>
                <c:pt idx="836">
                  <c:v>0.28439999999999999</c:v>
                </c:pt>
                <c:pt idx="837">
                  <c:v>0.27800000000000002</c:v>
                </c:pt>
                <c:pt idx="838">
                  <c:v>0.26879999999999998</c:v>
                </c:pt>
                <c:pt idx="839">
                  <c:v>0.26950000000000002</c:v>
                </c:pt>
                <c:pt idx="840">
                  <c:v>0.27600000000000002</c:v>
                </c:pt>
                <c:pt idx="841">
                  <c:v>0.27889999999999998</c:v>
                </c:pt>
                <c:pt idx="842">
                  <c:v>0.2752</c:v>
                </c:pt>
                <c:pt idx="843">
                  <c:v>0.28160000000000002</c:v>
                </c:pt>
                <c:pt idx="844">
                  <c:v>0.26750000000000002</c:v>
                </c:pt>
                <c:pt idx="845">
                  <c:v>0.27660000000000001</c:v>
                </c:pt>
                <c:pt idx="846">
                  <c:v>0.26950000000000002</c:v>
                </c:pt>
                <c:pt idx="847">
                  <c:v>0.26989999999999997</c:v>
                </c:pt>
                <c:pt idx="848">
                  <c:v>0.28170000000000001</c:v>
                </c:pt>
                <c:pt idx="849">
                  <c:v>0.26860000000000001</c:v>
                </c:pt>
                <c:pt idx="850">
                  <c:v>0.26540000000000002</c:v>
                </c:pt>
                <c:pt idx="851">
                  <c:v>0.25890000000000002</c:v>
                </c:pt>
                <c:pt idx="852">
                  <c:v>0.26240000000000002</c:v>
                </c:pt>
                <c:pt idx="853">
                  <c:v>0.26329999999999998</c:v>
                </c:pt>
                <c:pt idx="854">
                  <c:v>0.26719999999999999</c:v>
                </c:pt>
                <c:pt idx="855">
                  <c:v>0.26050000000000001</c:v>
                </c:pt>
                <c:pt idx="856">
                  <c:v>0.25380000000000003</c:v>
                </c:pt>
                <c:pt idx="857">
                  <c:v>0.27889999999999998</c:v>
                </c:pt>
                <c:pt idx="858">
                  <c:v>0.27850000000000003</c:v>
                </c:pt>
                <c:pt idx="859">
                  <c:v>0.29399999999999998</c:v>
                </c:pt>
                <c:pt idx="860">
                  <c:v>0.31369999999999998</c:v>
                </c:pt>
                <c:pt idx="861">
                  <c:v>0.29730000000000001</c:v>
                </c:pt>
                <c:pt idx="862">
                  <c:v>0.29730000000000001</c:v>
                </c:pt>
                <c:pt idx="863">
                  <c:v>0.26169999999999999</c:v>
                </c:pt>
                <c:pt idx="864">
                  <c:v>0.2485</c:v>
                </c:pt>
                <c:pt idx="865">
                  <c:v>0.24859999999999999</c:v>
                </c:pt>
                <c:pt idx="866">
                  <c:v>0.24759999999999999</c:v>
                </c:pt>
                <c:pt idx="867">
                  <c:v>0.24110000000000001</c:v>
                </c:pt>
                <c:pt idx="868">
                  <c:v>0.23569999999999999</c:v>
                </c:pt>
                <c:pt idx="869">
                  <c:v>0.23860000000000001</c:v>
                </c:pt>
                <c:pt idx="870">
                  <c:v>0.2384</c:v>
                </c:pt>
                <c:pt idx="871">
                  <c:v>0.23930000000000001</c:v>
                </c:pt>
                <c:pt idx="872">
                  <c:v>0.24440000000000001</c:v>
                </c:pt>
                <c:pt idx="873">
                  <c:v>0.2412</c:v>
                </c:pt>
                <c:pt idx="874">
                  <c:v>0.2306</c:v>
                </c:pt>
                <c:pt idx="875">
                  <c:v>0.24179999999999999</c:v>
                </c:pt>
                <c:pt idx="876">
                  <c:v>0.2462</c:v>
                </c:pt>
                <c:pt idx="877">
                  <c:v>0.24909999999999999</c:v>
                </c:pt>
                <c:pt idx="878">
                  <c:v>0.2485</c:v>
                </c:pt>
                <c:pt idx="879">
                  <c:v>0.2402</c:v>
                </c:pt>
                <c:pt idx="880">
                  <c:v>0.2465</c:v>
                </c:pt>
                <c:pt idx="881">
                  <c:v>0.25219999999999998</c:v>
                </c:pt>
                <c:pt idx="882">
                  <c:v>0.25030000000000002</c:v>
                </c:pt>
                <c:pt idx="883">
                  <c:v>0.2424</c:v>
                </c:pt>
                <c:pt idx="884">
                  <c:v>0.26019999999999999</c:v>
                </c:pt>
                <c:pt idx="885">
                  <c:v>0.26879999999999998</c:v>
                </c:pt>
                <c:pt idx="886">
                  <c:v>0.2666</c:v>
                </c:pt>
                <c:pt idx="887">
                  <c:v>0.2581</c:v>
                </c:pt>
                <c:pt idx="888">
                  <c:v>0.25919999999999999</c:v>
                </c:pt>
                <c:pt idx="889">
                  <c:v>0.2611</c:v>
                </c:pt>
                <c:pt idx="890">
                  <c:v>0.2399</c:v>
                </c:pt>
                <c:pt idx="891">
                  <c:v>0.24940000000000001</c:v>
                </c:pt>
                <c:pt idx="892">
                  <c:v>0.25109999999999999</c:v>
                </c:pt>
                <c:pt idx="893">
                  <c:v>0.2472</c:v>
                </c:pt>
                <c:pt idx="894">
                  <c:v>0.2422</c:v>
                </c:pt>
                <c:pt idx="895">
                  <c:v>0.24129999999999999</c:v>
                </c:pt>
                <c:pt idx="896">
                  <c:v>0.24279999999999999</c:v>
                </c:pt>
                <c:pt idx="897">
                  <c:v>0.23219999999999999</c:v>
                </c:pt>
                <c:pt idx="898">
                  <c:v>0.25669999999999998</c:v>
                </c:pt>
                <c:pt idx="899">
                  <c:v>0.25929999999999997</c:v>
                </c:pt>
                <c:pt idx="900">
                  <c:v>0.26869999999999999</c:v>
                </c:pt>
                <c:pt idx="901">
                  <c:v>0.2611</c:v>
                </c:pt>
                <c:pt idx="902">
                  <c:v>0.2545</c:v>
                </c:pt>
                <c:pt idx="903">
                  <c:v>0.27479999999999999</c:v>
                </c:pt>
                <c:pt idx="904">
                  <c:v>0.27589999999999998</c:v>
                </c:pt>
                <c:pt idx="905">
                  <c:v>0.27879999999999999</c:v>
                </c:pt>
                <c:pt idx="906">
                  <c:v>0.29089999999999999</c:v>
                </c:pt>
                <c:pt idx="907">
                  <c:v>0.28370000000000001</c:v>
                </c:pt>
                <c:pt idx="908">
                  <c:v>0.28320000000000001</c:v>
                </c:pt>
                <c:pt idx="909">
                  <c:v>0.28749999999999998</c:v>
                </c:pt>
                <c:pt idx="910">
                  <c:v>0.28760000000000002</c:v>
                </c:pt>
                <c:pt idx="911">
                  <c:v>0.28999999999999998</c:v>
                </c:pt>
                <c:pt idx="912">
                  <c:v>0.28489999999999999</c:v>
                </c:pt>
                <c:pt idx="913">
                  <c:v>0.28320000000000001</c:v>
                </c:pt>
                <c:pt idx="914">
                  <c:v>0.28439999999999999</c:v>
                </c:pt>
                <c:pt idx="915">
                  <c:v>0.28710000000000002</c:v>
                </c:pt>
                <c:pt idx="916">
                  <c:v>0.29980000000000001</c:v>
                </c:pt>
                <c:pt idx="917">
                  <c:v>0.30380000000000001</c:v>
                </c:pt>
                <c:pt idx="918">
                  <c:v>0.31080000000000002</c:v>
                </c:pt>
                <c:pt idx="919">
                  <c:v>0.2928</c:v>
                </c:pt>
                <c:pt idx="920">
                  <c:v>0.30059999999999998</c:v>
                </c:pt>
                <c:pt idx="921">
                  <c:v>0.31480000000000002</c:v>
                </c:pt>
                <c:pt idx="922">
                  <c:v>0.31879999999999997</c:v>
                </c:pt>
                <c:pt idx="923">
                  <c:v>0.30259999999999998</c:v>
                </c:pt>
                <c:pt idx="924">
                  <c:v>0.30520000000000003</c:v>
                </c:pt>
                <c:pt idx="925">
                  <c:v>0.2863</c:v>
                </c:pt>
                <c:pt idx="926">
                  <c:v>0.26860000000000001</c:v>
                </c:pt>
                <c:pt idx="927">
                  <c:v>0.30940000000000001</c:v>
                </c:pt>
                <c:pt idx="928">
                  <c:v>0.3044</c:v>
                </c:pt>
                <c:pt idx="929">
                  <c:v>0.34539999999999998</c:v>
                </c:pt>
                <c:pt idx="930">
                  <c:v>0.35399999999999998</c:v>
                </c:pt>
                <c:pt idx="931">
                  <c:v>0.34370000000000001</c:v>
                </c:pt>
                <c:pt idx="932">
                  <c:v>0.3654</c:v>
                </c:pt>
                <c:pt idx="933">
                  <c:v>0.39560000000000001</c:v>
                </c:pt>
                <c:pt idx="934">
                  <c:v>0.40329999999999999</c:v>
                </c:pt>
                <c:pt idx="935">
                  <c:v>0.39489999999999997</c:v>
                </c:pt>
                <c:pt idx="936">
                  <c:v>0.38940000000000002</c:v>
                </c:pt>
                <c:pt idx="937">
                  <c:v>0.38300000000000001</c:v>
                </c:pt>
                <c:pt idx="938">
                  <c:v>0.38619999999999999</c:v>
                </c:pt>
                <c:pt idx="939">
                  <c:v>0.40339999999999998</c:v>
                </c:pt>
                <c:pt idx="940">
                  <c:v>0.3987</c:v>
                </c:pt>
                <c:pt idx="941">
                  <c:v>0.40500000000000003</c:v>
                </c:pt>
                <c:pt idx="942">
                  <c:v>0.3906</c:v>
                </c:pt>
                <c:pt idx="943">
                  <c:v>0.42220000000000002</c:v>
                </c:pt>
                <c:pt idx="944">
                  <c:v>0.4153</c:v>
                </c:pt>
                <c:pt idx="945">
                  <c:v>0.40200000000000002</c:v>
                </c:pt>
                <c:pt idx="946">
                  <c:v>0.44719999999999999</c:v>
                </c:pt>
                <c:pt idx="947">
                  <c:v>0.4481</c:v>
                </c:pt>
                <c:pt idx="948">
                  <c:v>0.45789999999999997</c:v>
                </c:pt>
                <c:pt idx="949">
                  <c:v>0.44990000000000002</c:v>
                </c:pt>
                <c:pt idx="950">
                  <c:v>0.46389999999999998</c:v>
                </c:pt>
                <c:pt idx="951">
                  <c:v>0.4239</c:v>
                </c:pt>
                <c:pt idx="952">
                  <c:v>0.41610000000000003</c:v>
                </c:pt>
                <c:pt idx="953">
                  <c:v>0.43419999999999997</c:v>
                </c:pt>
                <c:pt idx="954">
                  <c:v>0.42980000000000002</c:v>
                </c:pt>
                <c:pt idx="955">
                  <c:v>0.43530000000000002</c:v>
                </c:pt>
                <c:pt idx="956">
                  <c:v>0.44440000000000002</c:v>
                </c:pt>
                <c:pt idx="957">
                  <c:v>0.43340000000000001</c:v>
                </c:pt>
                <c:pt idx="958">
                  <c:v>0.42870000000000003</c:v>
                </c:pt>
                <c:pt idx="959">
                  <c:v>0.43719999999999998</c:v>
                </c:pt>
                <c:pt idx="960">
                  <c:v>0.43419999999999997</c:v>
                </c:pt>
                <c:pt idx="961">
                  <c:v>0.4209</c:v>
                </c:pt>
                <c:pt idx="962">
                  <c:v>0.42870000000000003</c:v>
                </c:pt>
                <c:pt idx="963">
                  <c:v>0.40550000000000003</c:v>
                </c:pt>
                <c:pt idx="964">
                  <c:v>0.4284</c:v>
                </c:pt>
                <c:pt idx="965">
                  <c:v>0.44230000000000003</c:v>
                </c:pt>
                <c:pt idx="966">
                  <c:v>0.42180000000000001</c:v>
                </c:pt>
                <c:pt idx="967">
                  <c:v>0.42870000000000003</c:v>
                </c:pt>
                <c:pt idx="968">
                  <c:v>0.42409999999999998</c:v>
                </c:pt>
                <c:pt idx="969">
                  <c:v>0.44419999999999998</c:v>
                </c:pt>
                <c:pt idx="970">
                  <c:v>0.48909999999999998</c:v>
                </c:pt>
                <c:pt idx="971">
                  <c:v>0.47849999999999998</c:v>
                </c:pt>
                <c:pt idx="972">
                  <c:v>0.50800000000000001</c:v>
                </c:pt>
                <c:pt idx="973">
                  <c:v>0.4723</c:v>
                </c:pt>
                <c:pt idx="974">
                  <c:v>0.51139999999999997</c:v>
                </c:pt>
                <c:pt idx="975">
                  <c:v>0.48060000000000003</c:v>
                </c:pt>
                <c:pt idx="976">
                  <c:v>0.43290000000000001</c:v>
                </c:pt>
                <c:pt idx="977">
                  <c:v>0.40570000000000001</c:v>
                </c:pt>
                <c:pt idx="978">
                  <c:v>0.38190000000000002</c:v>
                </c:pt>
                <c:pt idx="979">
                  <c:v>0.38059999999999999</c:v>
                </c:pt>
                <c:pt idx="980">
                  <c:v>0.38590000000000002</c:v>
                </c:pt>
                <c:pt idx="981">
                  <c:v>0.38240000000000002</c:v>
                </c:pt>
                <c:pt idx="982">
                  <c:v>0.41270000000000001</c:v>
                </c:pt>
                <c:pt idx="983">
                  <c:v>0.40260000000000001</c:v>
                </c:pt>
                <c:pt idx="984">
                  <c:v>0.4219</c:v>
                </c:pt>
                <c:pt idx="985">
                  <c:v>0.37980000000000003</c:v>
                </c:pt>
                <c:pt idx="986">
                  <c:v>0.39240000000000003</c:v>
                </c:pt>
                <c:pt idx="987">
                  <c:v>0.41539999999999999</c:v>
                </c:pt>
                <c:pt idx="988">
                  <c:v>0.43980000000000002</c:v>
                </c:pt>
                <c:pt idx="989">
                  <c:v>0.37340000000000001</c:v>
                </c:pt>
                <c:pt idx="990">
                  <c:v>0.33500000000000002</c:v>
                </c:pt>
                <c:pt idx="991">
                  <c:v>0.29970000000000002</c:v>
                </c:pt>
                <c:pt idx="992">
                  <c:v>0.3085</c:v>
                </c:pt>
                <c:pt idx="993">
                  <c:v>0.27839999999999998</c:v>
                </c:pt>
                <c:pt idx="994">
                  <c:v>0.26950000000000002</c:v>
                </c:pt>
                <c:pt idx="995">
                  <c:v>0.27989999999999998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1-46FF-89E0-66076EEADA2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16.794280306572446</c:v>
                </c:pt>
                <c:pt idx="1">
                  <c:v>16.806345736137668</c:v>
                </c:pt>
                <c:pt idx="2">
                  <c:v>16.909760056556514</c:v>
                </c:pt>
                <c:pt idx="3">
                  <c:v>16.847277610556517</c:v>
                </c:pt>
                <c:pt idx="4">
                  <c:v>16.710812513663953</c:v>
                </c:pt>
                <c:pt idx="5">
                  <c:v>16.655449165323926</c:v>
                </c:pt>
                <c:pt idx="6">
                  <c:v>16.682062999597967</c:v>
                </c:pt>
                <c:pt idx="7">
                  <c:v>16.910837808502055</c:v>
                </c:pt>
                <c:pt idx="8">
                  <c:v>17.037380696620385</c:v>
                </c:pt>
                <c:pt idx="9">
                  <c:v>17.085339375220389</c:v>
                </c:pt>
                <c:pt idx="10">
                  <c:v>17.194363010922864</c:v>
                </c:pt>
                <c:pt idx="11">
                  <c:v>17.165318778465576</c:v>
                </c:pt>
                <c:pt idx="12">
                  <c:v>17.168371860870071</c:v>
                </c:pt>
                <c:pt idx="13">
                  <c:v>17.210367203483134</c:v>
                </c:pt>
                <c:pt idx="14">
                  <c:v>17.126561924576883</c:v>
                </c:pt>
                <c:pt idx="15">
                  <c:v>17.298055217039192</c:v>
                </c:pt>
                <c:pt idx="16">
                  <c:v>17.205150737039194</c:v>
                </c:pt>
                <c:pt idx="17">
                  <c:v>17.050898903624855</c:v>
                </c:pt>
                <c:pt idx="18">
                  <c:v>16.887973216936061</c:v>
                </c:pt>
                <c:pt idx="19">
                  <c:v>16.869210296359139</c:v>
                </c:pt>
                <c:pt idx="20">
                  <c:v>16.895008448981201</c:v>
                </c:pt>
                <c:pt idx="21">
                  <c:v>16.987948957640793</c:v>
                </c:pt>
                <c:pt idx="22">
                  <c:v>16.913413028596505</c:v>
                </c:pt>
                <c:pt idx="23">
                  <c:v>16.978316276450432</c:v>
                </c:pt>
                <c:pt idx="24">
                  <c:v>17.180100770731478</c:v>
                </c:pt>
                <c:pt idx="25">
                  <c:v>17.137457169767448</c:v>
                </c:pt>
                <c:pt idx="26">
                  <c:v>17.20790201303668</c:v>
                </c:pt>
                <c:pt idx="27">
                  <c:v>17.119902950373024</c:v>
                </c:pt>
                <c:pt idx="28">
                  <c:v>17.235591160274314</c:v>
                </c:pt>
                <c:pt idx="29">
                  <c:v>17.450888160372838</c:v>
                </c:pt>
                <c:pt idx="30">
                  <c:v>17.503322869803732</c:v>
                </c:pt>
                <c:pt idx="31">
                  <c:v>17.480881545590044</c:v>
                </c:pt>
                <c:pt idx="32">
                  <c:v>17.599527079558793</c:v>
                </c:pt>
                <c:pt idx="33">
                  <c:v>17.497698414498554</c:v>
                </c:pt>
                <c:pt idx="34">
                  <c:v>17.514635230224357</c:v>
                </c:pt>
                <c:pt idx="35">
                  <c:v>17.511016686302245</c:v>
                </c:pt>
                <c:pt idx="36">
                  <c:v>17.390661688576571</c:v>
                </c:pt>
                <c:pt idx="37">
                  <c:v>17.641762710896717</c:v>
                </c:pt>
                <c:pt idx="38">
                  <c:v>17.275098659215846</c:v>
                </c:pt>
                <c:pt idx="39">
                  <c:v>17.162263699463526</c:v>
                </c:pt>
                <c:pt idx="40">
                  <c:v>17.251907671880193</c:v>
                </c:pt>
                <c:pt idx="41">
                  <c:v>17.191907574332216</c:v>
                </c:pt>
                <c:pt idx="42">
                  <c:v>17.272187846840467</c:v>
                </c:pt>
                <c:pt idx="43">
                  <c:v>17.28949247469296</c:v>
                </c:pt>
                <c:pt idx="44">
                  <c:v>17.169455841194864</c:v>
                </c:pt>
                <c:pt idx="45">
                  <c:v>17.076048586308868</c:v>
                </c:pt>
                <c:pt idx="46">
                  <c:v>17.181105425707049</c:v>
                </c:pt>
                <c:pt idx="47">
                  <c:v>17.14006521609415</c:v>
                </c:pt>
                <c:pt idx="48">
                  <c:v>17.134006189319951</c:v>
                </c:pt>
                <c:pt idx="49">
                  <c:v>17.296740472756806</c:v>
                </c:pt>
                <c:pt idx="50">
                  <c:v>17.451112815472406</c:v>
                </c:pt>
                <c:pt idx="51">
                  <c:v>17.387384394649782</c:v>
                </c:pt>
                <c:pt idx="52">
                  <c:v>17.434524481566331</c:v>
                </c:pt>
                <c:pt idx="53">
                  <c:v>17.202364386328238</c:v>
                </c:pt>
                <c:pt idx="54">
                  <c:v>17.225840595773963</c:v>
                </c:pt>
                <c:pt idx="55">
                  <c:v>17.262654370834444</c:v>
                </c:pt>
                <c:pt idx="56">
                  <c:v>17.347454989794539</c:v>
                </c:pt>
                <c:pt idx="57">
                  <c:v>17.014138408492766</c:v>
                </c:pt>
                <c:pt idx="58">
                  <c:v>17.118513503612153</c:v>
                </c:pt>
                <c:pt idx="59">
                  <c:v>16.900092730008719</c:v>
                </c:pt>
                <c:pt idx="60">
                  <c:v>16.732173052882509</c:v>
                </c:pt>
                <c:pt idx="61">
                  <c:v>16.609360683957622</c:v>
                </c:pt>
                <c:pt idx="62">
                  <c:v>16.669678021382047</c:v>
                </c:pt>
                <c:pt idx="63">
                  <c:v>16.959043835979699</c:v>
                </c:pt>
                <c:pt idx="64">
                  <c:v>16.916871757358464</c:v>
                </c:pt>
                <c:pt idx="65">
                  <c:v>16.79136777430223</c:v>
                </c:pt>
                <c:pt idx="66">
                  <c:v>16.415769911103606</c:v>
                </c:pt>
                <c:pt idx="67">
                  <c:v>16.473695879549823</c:v>
                </c:pt>
                <c:pt idx="68">
                  <c:v>16.390758490609102</c:v>
                </c:pt>
                <c:pt idx="69">
                  <c:v>16.316599515014165</c:v>
                </c:pt>
                <c:pt idx="70">
                  <c:v>16.172742540701726</c:v>
                </c:pt>
                <c:pt idx="71">
                  <c:v>16.568633154967689</c:v>
                </c:pt>
                <c:pt idx="72">
                  <c:v>15.912716026352614</c:v>
                </c:pt>
                <c:pt idx="73">
                  <c:v>15.600442123732096</c:v>
                </c:pt>
                <c:pt idx="74">
                  <c:v>15.545521979067562</c:v>
                </c:pt>
                <c:pt idx="75">
                  <c:v>15.545120227558129</c:v>
                </c:pt>
                <c:pt idx="76">
                  <c:v>15.498377714960725</c:v>
                </c:pt>
                <c:pt idx="77">
                  <c:v>15.521926463840035</c:v>
                </c:pt>
                <c:pt idx="78">
                  <c:v>15.453270044126567</c:v>
                </c:pt>
                <c:pt idx="79">
                  <c:v>15.512868024553985</c:v>
                </c:pt>
                <c:pt idx="80">
                  <c:v>15.509348482801409</c:v>
                </c:pt>
                <c:pt idx="81">
                  <c:v>15.362074816704542</c:v>
                </c:pt>
                <c:pt idx="82">
                  <c:v>15.316398641527238</c:v>
                </c:pt>
                <c:pt idx="83">
                  <c:v>15.282460756625277</c:v>
                </c:pt>
                <c:pt idx="84">
                  <c:v>15.207429805437775</c:v>
                </c:pt>
                <c:pt idx="85">
                  <c:v>15.227786600993332</c:v>
                </c:pt>
                <c:pt idx="86">
                  <c:v>15.176273395865126</c:v>
                </c:pt>
                <c:pt idx="87">
                  <c:v>15.100801799403209</c:v>
                </c:pt>
                <c:pt idx="88">
                  <c:v>15.171272186988055</c:v>
                </c:pt>
                <c:pt idx="89">
                  <c:v>14.924336943744812</c:v>
                </c:pt>
                <c:pt idx="90">
                  <c:v>14.678521881124317</c:v>
                </c:pt>
                <c:pt idx="91">
                  <c:v>14.561359569288566</c:v>
                </c:pt>
                <c:pt idx="92">
                  <c:v>14.454323529151893</c:v>
                </c:pt>
                <c:pt idx="93">
                  <c:v>14.542237077333141</c:v>
                </c:pt>
                <c:pt idx="94">
                  <c:v>14.603992544854879</c:v>
                </c:pt>
                <c:pt idx="95">
                  <c:v>14.50731371468653</c:v>
                </c:pt>
                <c:pt idx="96">
                  <c:v>14.533482920608318</c:v>
                </c:pt>
                <c:pt idx="97">
                  <c:v>14.521100247724105</c:v>
                </c:pt>
                <c:pt idx="98">
                  <c:v>14.408085775527063</c:v>
                </c:pt>
                <c:pt idx="99">
                  <c:v>14.429005061143705</c:v>
                </c:pt>
                <c:pt idx="100">
                  <c:v>14.25736946320097</c:v>
                </c:pt>
                <c:pt idx="101">
                  <c:v>14.218145072246196</c:v>
                </c:pt>
                <c:pt idx="102">
                  <c:v>14.155110212510847</c:v>
                </c:pt>
                <c:pt idx="103">
                  <c:v>14.172827645417609</c:v>
                </c:pt>
                <c:pt idx="104">
                  <c:v>14.227293544045576</c:v>
                </c:pt>
                <c:pt idx="105">
                  <c:v>14.298915869722268</c:v>
                </c:pt>
                <c:pt idx="106">
                  <c:v>14.339386842695241</c:v>
                </c:pt>
                <c:pt idx="107">
                  <c:v>14.302322210167954</c:v>
                </c:pt>
                <c:pt idx="108">
                  <c:v>14.376433866099068</c:v>
                </c:pt>
                <c:pt idx="109">
                  <c:v>14.795124954987958</c:v>
                </c:pt>
                <c:pt idx="110">
                  <c:v>15.076719896363816</c:v>
                </c:pt>
                <c:pt idx="111">
                  <c:v>14.879672851836716</c:v>
                </c:pt>
                <c:pt idx="112">
                  <c:v>14.681269510018538</c:v>
                </c:pt>
                <c:pt idx="113">
                  <c:v>14.623882457631087</c:v>
                </c:pt>
                <c:pt idx="114">
                  <c:v>14.5754777396072</c:v>
                </c:pt>
                <c:pt idx="115">
                  <c:v>14.481926820656152</c:v>
                </c:pt>
                <c:pt idx="116">
                  <c:v>14.472464075421495</c:v>
                </c:pt>
                <c:pt idx="117">
                  <c:v>14.816123167167389</c:v>
                </c:pt>
                <c:pt idx="118">
                  <c:v>14.811278480066798</c:v>
                </c:pt>
                <c:pt idx="119">
                  <c:v>14.562500967483279</c:v>
                </c:pt>
                <c:pt idx="120">
                  <c:v>14.381639897030984</c:v>
                </c:pt>
                <c:pt idx="121">
                  <c:v>14.499178389248556</c:v>
                </c:pt>
                <c:pt idx="122">
                  <c:v>14.667533543330551</c:v>
                </c:pt>
                <c:pt idx="123">
                  <c:v>14.825283126338682</c:v>
                </c:pt>
                <c:pt idx="124">
                  <c:v>14.820387993086849</c:v>
                </c:pt>
                <c:pt idx="125">
                  <c:v>14.874703284421098</c:v>
                </c:pt>
                <c:pt idx="126">
                  <c:v>14.95613607207542</c:v>
                </c:pt>
                <c:pt idx="127">
                  <c:v>14.834489675684887</c:v>
                </c:pt>
                <c:pt idx="128">
                  <c:v>14.574618341902834</c:v>
                </c:pt>
                <c:pt idx="129">
                  <c:v>14.763231561991724</c:v>
                </c:pt>
                <c:pt idx="130">
                  <c:v>14.892219165176146</c:v>
                </c:pt>
                <c:pt idx="131">
                  <c:v>15.006738859338645</c:v>
                </c:pt>
                <c:pt idx="132">
                  <c:v>15.071329372042797</c:v>
                </c:pt>
                <c:pt idx="133">
                  <c:v>14.473991280610152</c:v>
                </c:pt>
                <c:pt idx="134">
                  <c:v>14.552798459362412</c:v>
                </c:pt>
                <c:pt idx="135">
                  <c:v>14.478868810352173</c:v>
                </c:pt>
                <c:pt idx="136">
                  <c:v>14.143546507064503</c:v>
                </c:pt>
                <c:pt idx="137">
                  <c:v>14.172117754270054</c:v>
                </c:pt>
                <c:pt idx="138">
                  <c:v>14.1264105763173</c:v>
                </c:pt>
                <c:pt idx="139">
                  <c:v>14.214735492893499</c:v>
                </c:pt>
                <c:pt idx="140">
                  <c:v>14.634660289426451</c:v>
                </c:pt>
                <c:pt idx="141">
                  <c:v>14.557887364593489</c:v>
                </c:pt>
                <c:pt idx="142">
                  <c:v>14.808435715860545</c:v>
                </c:pt>
                <c:pt idx="143">
                  <c:v>14.940480208638146</c:v>
                </c:pt>
                <c:pt idx="144">
                  <c:v>15.245354217425275</c:v>
                </c:pt>
                <c:pt idx="145">
                  <c:v>15.529441718795137</c:v>
                </c:pt>
                <c:pt idx="146">
                  <c:v>14.633115781671757</c:v>
                </c:pt>
                <c:pt idx="147">
                  <c:v>14.652485714376342</c:v>
                </c:pt>
                <c:pt idx="148">
                  <c:v>13.507875041570458</c:v>
                </c:pt>
                <c:pt idx="149">
                  <c:v>13.046298880557652</c:v>
                </c:pt>
                <c:pt idx="150">
                  <c:v>13.054256829199307</c:v>
                </c:pt>
                <c:pt idx="151">
                  <c:v>13.17394926474844</c:v>
                </c:pt>
                <c:pt idx="152">
                  <c:v>13.18279284774844</c:v>
                </c:pt>
                <c:pt idx="153">
                  <c:v>13.234142347427239</c:v>
                </c:pt>
                <c:pt idx="154">
                  <c:v>13.067191055555133</c:v>
                </c:pt>
                <c:pt idx="155">
                  <c:v>13.228271555636283</c:v>
                </c:pt>
                <c:pt idx="156">
                  <c:v>13.069281876545592</c:v>
                </c:pt>
                <c:pt idx="157">
                  <c:v>13.2825164536061</c:v>
                </c:pt>
                <c:pt idx="158">
                  <c:v>13.28687026012936</c:v>
                </c:pt>
                <c:pt idx="159">
                  <c:v>13.257758217913704</c:v>
                </c:pt>
                <c:pt idx="160">
                  <c:v>13.347020397095523</c:v>
                </c:pt>
                <c:pt idx="161">
                  <c:v>13.196259003778598</c:v>
                </c:pt>
                <c:pt idx="162">
                  <c:v>12.969991409114082</c:v>
                </c:pt>
                <c:pt idx="163">
                  <c:v>13.016880026968627</c:v>
                </c:pt>
                <c:pt idx="164">
                  <c:v>13.21417556035559</c:v>
                </c:pt>
                <c:pt idx="165">
                  <c:v>13.424486289659194</c:v>
                </c:pt>
                <c:pt idx="166">
                  <c:v>13.312180725829565</c:v>
                </c:pt>
                <c:pt idx="167">
                  <c:v>13.073449912971096</c:v>
                </c:pt>
                <c:pt idx="168">
                  <c:v>12.846517632376893</c:v>
                </c:pt>
                <c:pt idx="169">
                  <c:v>12.837605637400411</c:v>
                </c:pt>
                <c:pt idx="170">
                  <c:v>12.673035660597028</c:v>
                </c:pt>
                <c:pt idx="171">
                  <c:v>12.494016083584871</c:v>
                </c:pt>
                <c:pt idx="172">
                  <c:v>12.404272697730466</c:v>
                </c:pt>
                <c:pt idx="173">
                  <c:v>12.468255836364539</c:v>
                </c:pt>
                <c:pt idx="174">
                  <c:v>12.429354102881151</c:v>
                </c:pt>
                <c:pt idx="175">
                  <c:v>12.364036617229177</c:v>
                </c:pt>
                <c:pt idx="176">
                  <c:v>12.257403845239079</c:v>
                </c:pt>
                <c:pt idx="177">
                  <c:v>12.197299457770496</c:v>
                </c:pt>
                <c:pt idx="178">
                  <c:v>12.316110226069487</c:v>
                </c:pt>
                <c:pt idx="179">
                  <c:v>12.318083617185827</c:v>
                </c:pt>
                <c:pt idx="180">
                  <c:v>12.453097240044828</c:v>
                </c:pt>
                <c:pt idx="181">
                  <c:v>12.254070916183476</c:v>
                </c:pt>
                <c:pt idx="182">
                  <c:v>12.212975608774705</c:v>
                </c:pt>
                <c:pt idx="183">
                  <c:v>12.219418739507086</c:v>
                </c:pt>
                <c:pt idx="184">
                  <c:v>12.276143754622787</c:v>
                </c:pt>
                <c:pt idx="185">
                  <c:v>12.049192704899879</c:v>
                </c:pt>
                <c:pt idx="186">
                  <c:v>12.203645182281159</c:v>
                </c:pt>
                <c:pt idx="187">
                  <c:v>12.173030554722942</c:v>
                </c:pt>
                <c:pt idx="188">
                  <c:v>12.052337848371675</c:v>
                </c:pt>
                <c:pt idx="189">
                  <c:v>11.931251770992448</c:v>
                </c:pt>
                <c:pt idx="190">
                  <c:v>11.903619763772852</c:v>
                </c:pt>
                <c:pt idx="191">
                  <c:v>11.757570039779401</c:v>
                </c:pt>
                <c:pt idx="192">
                  <c:v>11.8437875269794</c:v>
                </c:pt>
                <c:pt idx="193">
                  <c:v>11.96628206348683</c:v>
                </c:pt>
                <c:pt idx="194">
                  <c:v>12.003531845839847</c:v>
                </c:pt>
                <c:pt idx="195">
                  <c:v>11.989467230520653</c:v>
                </c:pt>
                <c:pt idx="196">
                  <c:v>12.087789585075139</c:v>
                </c:pt>
                <c:pt idx="197">
                  <c:v>12.175113418543837</c:v>
                </c:pt>
                <c:pt idx="198">
                  <c:v>12.117378637083965</c:v>
                </c:pt>
                <c:pt idx="199">
                  <c:v>12.168131696558214</c:v>
                </c:pt>
                <c:pt idx="200">
                  <c:v>12.216064262001609</c:v>
                </c:pt>
                <c:pt idx="201">
                  <c:v>12.147550531343686</c:v>
                </c:pt>
                <c:pt idx="202">
                  <c:v>12.203590155059686</c:v>
                </c:pt>
                <c:pt idx="203">
                  <c:v>12.174591783810605</c:v>
                </c:pt>
                <c:pt idx="204">
                  <c:v>12.261356646045639</c:v>
                </c:pt>
                <c:pt idx="205">
                  <c:v>12.248558385028554</c:v>
                </c:pt>
                <c:pt idx="206">
                  <c:v>12.25093931617042</c:v>
                </c:pt>
                <c:pt idx="207">
                  <c:v>12.318681643571187</c:v>
                </c:pt>
                <c:pt idx="208">
                  <c:v>12.29411979736234</c:v>
                </c:pt>
                <c:pt idx="209">
                  <c:v>12.296987598843042</c:v>
                </c:pt>
                <c:pt idx="210">
                  <c:v>12.191763618287185</c:v>
                </c:pt>
                <c:pt idx="211">
                  <c:v>12.251079081551827</c:v>
                </c:pt>
                <c:pt idx="212">
                  <c:v>12.11635804069174</c:v>
                </c:pt>
                <c:pt idx="213">
                  <c:v>12.172755407982288</c:v>
                </c:pt>
                <c:pt idx="214">
                  <c:v>12.130675034192286</c:v>
                </c:pt>
                <c:pt idx="215">
                  <c:v>12.041404608384392</c:v>
                </c:pt>
                <c:pt idx="216">
                  <c:v>11.95532843991867</c:v>
                </c:pt>
                <c:pt idx="217">
                  <c:v>12.061519109785648</c:v>
                </c:pt>
                <c:pt idx="218">
                  <c:v>11.938358711328547</c:v>
                </c:pt>
                <c:pt idx="219">
                  <c:v>11.834252825867436</c:v>
                </c:pt>
                <c:pt idx="220">
                  <c:v>11.829075096573778</c:v>
                </c:pt>
                <c:pt idx="221">
                  <c:v>12.174785312797788</c:v>
                </c:pt>
                <c:pt idx="222">
                  <c:v>12.090371898478002</c:v>
                </c:pt>
                <c:pt idx="223">
                  <c:v>12.220922422287526</c:v>
                </c:pt>
                <c:pt idx="224">
                  <c:v>12.289021798543297</c:v>
                </c:pt>
                <c:pt idx="225">
                  <c:v>12.266105516227178</c:v>
                </c:pt>
                <c:pt idx="226">
                  <c:v>12.339220228133224</c:v>
                </c:pt>
                <c:pt idx="227">
                  <c:v>12.387315390407856</c:v>
                </c:pt>
                <c:pt idx="228">
                  <c:v>12.300270646514264</c:v>
                </c:pt>
                <c:pt idx="229">
                  <c:v>12.191954918571824</c:v>
                </c:pt>
                <c:pt idx="230">
                  <c:v>12.223343568167371</c:v>
                </c:pt>
                <c:pt idx="231">
                  <c:v>12.349343852231842</c:v>
                </c:pt>
                <c:pt idx="232">
                  <c:v>12.446265741544881</c:v>
                </c:pt>
                <c:pt idx="233">
                  <c:v>12.273768280640336</c:v>
                </c:pt>
                <c:pt idx="234">
                  <c:v>11.88652454735726</c:v>
                </c:pt>
                <c:pt idx="235">
                  <c:v>12.193966827165072</c:v>
                </c:pt>
                <c:pt idx="236">
                  <c:v>12.146942480325364</c:v>
                </c:pt>
                <c:pt idx="237">
                  <c:v>12.311084641695853</c:v>
                </c:pt>
                <c:pt idx="238">
                  <c:v>12.372653664060664</c:v>
                </c:pt>
                <c:pt idx="239">
                  <c:v>12.329737532887927</c:v>
                </c:pt>
                <c:pt idx="240">
                  <c:v>12.129175520746548</c:v>
                </c:pt>
                <c:pt idx="241">
                  <c:v>12.159870871245136</c:v>
                </c:pt>
                <c:pt idx="242">
                  <c:v>11.99276572346993</c:v>
                </c:pt>
                <c:pt idx="243">
                  <c:v>11.93890565335993</c:v>
                </c:pt>
                <c:pt idx="244">
                  <c:v>12.026843913812883</c:v>
                </c:pt>
                <c:pt idx="245">
                  <c:v>12.200501339171064</c:v>
                </c:pt>
                <c:pt idx="246">
                  <c:v>12.318103367500704</c:v>
                </c:pt>
                <c:pt idx="247">
                  <c:v>11.926561377377874</c:v>
                </c:pt>
                <c:pt idx="248">
                  <c:v>11.779034455753616</c:v>
                </c:pt>
                <c:pt idx="249">
                  <c:v>11.358762900230611</c:v>
                </c:pt>
                <c:pt idx="250">
                  <c:v>11.222384671636862</c:v>
                </c:pt>
                <c:pt idx="251">
                  <c:v>11.302507004128254</c:v>
                </c:pt>
                <c:pt idx="252">
                  <c:v>11.449764456372282</c:v>
                </c:pt>
                <c:pt idx="253">
                  <c:v>11.067001576309384</c:v>
                </c:pt>
                <c:pt idx="254">
                  <c:v>11.565397198804147</c:v>
                </c:pt>
                <c:pt idx="255">
                  <c:v>11.66835166133459</c:v>
                </c:pt>
                <c:pt idx="256">
                  <c:v>11.702506147146046</c:v>
                </c:pt>
                <c:pt idx="257">
                  <c:v>11.783857687058719</c:v>
                </c:pt>
                <c:pt idx="258">
                  <c:v>11.890309847004115</c:v>
                </c:pt>
                <c:pt idx="259">
                  <c:v>11.857410003108651</c:v>
                </c:pt>
                <c:pt idx="260">
                  <c:v>11.422713752210417</c:v>
                </c:pt>
                <c:pt idx="261">
                  <c:v>11.611128001549185</c:v>
                </c:pt>
                <c:pt idx="262">
                  <c:v>11.41446416602521</c:v>
                </c:pt>
                <c:pt idx="263">
                  <c:v>11.512323759314841</c:v>
                </c:pt>
                <c:pt idx="264">
                  <c:v>11.272935847354301</c:v>
                </c:pt>
                <c:pt idx="265">
                  <c:v>11.31775750171642</c:v>
                </c:pt>
                <c:pt idx="266">
                  <c:v>11.551691274978406</c:v>
                </c:pt>
                <c:pt idx="267">
                  <c:v>11.273227005765985</c:v>
                </c:pt>
                <c:pt idx="268">
                  <c:v>11.018987866605039</c:v>
                </c:pt>
                <c:pt idx="269">
                  <c:v>11.341157008045471</c:v>
                </c:pt>
                <c:pt idx="270">
                  <c:v>11.420869726965032</c:v>
                </c:pt>
                <c:pt idx="271">
                  <c:v>11.479775000685242</c:v>
                </c:pt>
                <c:pt idx="272">
                  <c:v>11.475327860267633</c:v>
                </c:pt>
                <c:pt idx="273">
                  <c:v>11.291886111042917</c:v>
                </c:pt>
                <c:pt idx="274">
                  <c:v>11.247441247859658</c:v>
                </c:pt>
                <c:pt idx="275">
                  <c:v>11.16235967845623</c:v>
                </c:pt>
                <c:pt idx="276">
                  <c:v>10.850620342207771</c:v>
                </c:pt>
                <c:pt idx="277">
                  <c:v>10.458102067256878</c:v>
                </c:pt>
                <c:pt idx="278">
                  <c:v>10.551655033152054</c:v>
                </c:pt>
                <c:pt idx="279">
                  <c:v>10.864055402147631</c:v>
                </c:pt>
                <c:pt idx="280">
                  <c:v>10.238739345466479</c:v>
                </c:pt>
                <c:pt idx="281">
                  <c:v>10.622394247725854</c:v>
                </c:pt>
                <c:pt idx="282">
                  <c:v>10.943776016274326</c:v>
                </c:pt>
                <c:pt idx="283">
                  <c:v>10.557527013873345</c:v>
                </c:pt>
                <c:pt idx="284">
                  <c:v>11.065148248260751</c:v>
                </c:pt>
                <c:pt idx="285">
                  <c:v>10.314384095142078</c:v>
                </c:pt>
                <c:pt idx="286">
                  <c:v>10.661913812999796</c:v>
                </c:pt>
                <c:pt idx="287">
                  <c:v>10.426677294019497</c:v>
                </c:pt>
                <c:pt idx="288">
                  <c:v>10.333812757233124</c:v>
                </c:pt>
                <c:pt idx="289">
                  <c:v>10.316309659120543</c:v>
                </c:pt>
                <c:pt idx="290">
                  <c:v>10.081023739736905</c:v>
                </c:pt>
                <c:pt idx="291">
                  <c:v>10.164042595579636</c:v>
                </c:pt>
                <c:pt idx="292">
                  <c:v>10.059748498992606</c:v>
                </c:pt>
                <c:pt idx="293">
                  <c:v>9.7603539614143457</c:v>
                </c:pt>
                <c:pt idx="294">
                  <c:v>10.036059864463594</c:v>
                </c:pt>
                <c:pt idx="295">
                  <c:v>9.7561958894560572</c:v>
                </c:pt>
                <c:pt idx="296">
                  <c:v>9.8290371949235968</c:v>
                </c:pt>
                <c:pt idx="297">
                  <c:v>9.6722056935872871</c:v>
                </c:pt>
                <c:pt idx="298">
                  <c:v>9.4538065653141174</c:v>
                </c:pt>
                <c:pt idx="299">
                  <c:v>9.3505851375317626</c:v>
                </c:pt>
                <c:pt idx="300">
                  <c:v>9.5330975285915471</c:v>
                </c:pt>
                <c:pt idx="301">
                  <c:v>9.410536924482269</c:v>
                </c:pt>
                <c:pt idx="302">
                  <c:v>9.4434056644909639</c:v>
                </c:pt>
                <c:pt idx="303">
                  <c:v>9.3018103790951656</c:v>
                </c:pt>
                <c:pt idx="304">
                  <c:v>9.2922346140139638</c:v>
                </c:pt>
                <c:pt idx="305">
                  <c:v>9.0351482605099136</c:v>
                </c:pt>
                <c:pt idx="306">
                  <c:v>9.096112410298538</c:v>
                </c:pt>
                <c:pt idx="307">
                  <c:v>9.1524877337907444</c:v>
                </c:pt>
                <c:pt idx="308">
                  <c:v>9.0532097851364899</c:v>
                </c:pt>
                <c:pt idx="309">
                  <c:v>9.1705279017227586</c:v>
                </c:pt>
                <c:pt idx="310">
                  <c:v>9.5033154721988122</c:v>
                </c:pt>
                <c:pt idx="311">
                  <c:v>9.2549687560824196</c:v>
                </c:pt>
                <c:pt idx="312">
                  <c:v>9.2136207752576471</c:v>
                </c:pt>
                <c:pt idx="313">
                  <c:v>9.1542863579537457</c:v>
                </c:pt>
                <c:pt idx="314">
                  <c:v>9.1374521909667532</c:v>
                </c:pt>
                <c:pt idx="315">
                  <c:v>9.1279762378167533</c:v>
                </c:pt>
                <c:pt idx="316">
                  <c:v>9.2040617011729804</c:v>
                </c:pt>
                <c:pt idx="317">
                  <c:v>9.0995188157211295</c:v>
                </c:pt>
                <c:pt idx="318">
                  <c:v>9.1092066315618059</c:v>
                </c:pt>
                <c:pt idx="319">
                  <c:v>9.1468513133184377</c:v>
                </c:pt>
                <c:pt idx="320">
                  <c:v>9.2895658129615715</c:v>
                </c:pt>
                <c:pt idx="321">
                  <c:v>9.1817455060121631</c:v>
                </c:pt>
                <c:pt idx="322">
                  <c:v>9.3461466995883526</c:v>
                </c:pt>
                <c:pt idx="323">
                  <c:v>9.3797968829987308</c:v>
                </c:pt>
                <c:pt idx="324">
                  <c:v>9.5806207199868183</c:v>
                </c:pt>
                <c:pt idx="325">
                  <c:v>9.2999137009291086</c:v>
                </c:pt>
                <c:pt idx="326">
                  <c:v>9.3913157946233419</c:v>
                </c:pt>
                <c:pt idx="327">
                  <c:v>9.3762616890880537</c:v>
                </c:pt>
                <c:pt idx="328">
                  <c:v>9.6309194689302409</c:v>
                </c:pt>
                <c:pt idx="329">
                  <c:v>9.6526726691878775</c:v>
                </c:pt>
                <c:pt idx="330">
                  <c:v>9.4704935373368766</c:v>
                </c:pt>
                <c:pt idx="331">
                  <c:v>9.4850325948248759</c:v>
                </c:pt>
                <c:pt idx="332">
                  <c:v>9.4592899822980563</c:v>
                </c:pt>
                <c:pt idx="333">
                  <c:v>9.3493388941798887</c:v>
                </c:pt>
                <c:pt idx="334">
                  <c:v>9.2651994138483236</c:v>
                </c:pt>
                <c:pt idx="335">
                  <c:v>9.4067606887173199</c:v>
                </c:pt>
                <c:pt idx="336">
                  <c:v>9.3155661871486686</c:v>
                </c:pt>
                <c:pt idx="337">
                  <c:v>9.6645688124614875</c:v>
                </c:pt>
                <c:pt idx="338">
                  <c:v>9.5658096572231557</c:v>
                </c:pt>
                <c:pt idx="339">
                  <c:v>9.6125671120360092</c:v>
                </c:pt>
                <c:pt idx="340">
                  <c:v>9.2688106613591614</c:v>
                </c:pt>
                <c:pt idx="341">
                  <c:v>9.2046068047775336</c:v>
                </c:pt>
                <c:pt idx="342">
                  <c:v>9.399219549142785</c:v>
                </c:pt>
                <c:pt idx="343">
                  <c:v>9.5006095975262124</c:v>
                </c:pt>
                <c:pt idx="344">
                  <c:v>9.1126644924743196</c:v>
                </c:pt>
                <c:pt idx="345">
                  <c:v>8.8749348014099532</c:v>
                </c:pt>
                <c:pt idx="346">
                  <c:v>9.2112549341690357</c:v>
                </c:pt>
                <c:pt idx="347">
                  <c:v>8.6267887947885722</c:v>
                </c:pt>
                <c:pt idx="348">
                  <c:v>8.8054917352699462</c:v>
                </c:pt>
                <c:pt idx="349">
                  <c:v>8.670459230160704</c:v>
                </c:pt>
                <c:pt idx="350">
                  <c:v>8.2931018237440135</c:v>
                </c:pt>
                <c:pt idx="351">
                  <c:v>7.5378483385362385</c:v>
                </c:pt>
                <c:pt idx="352">
                  <c:v>6.9100190975250158</c:v>
                </c:pt>
                <c:pt idx="353">
                  <c:v>7.0118245604691678</c:v>
                </c:pt>
                <c:pt idx="354">
                  <c:v>6.4404630175819486</c:v>
                </c:pt>
                <c:pt idx="355">
                  <c:v>6.4803885015885196</c:v>
                </c:pt>
                <c:pt idx="356">
                  <c:v>6.4184472144628328</c:v>
                </c:pt>
                <c:pt idx="357">
                  <c:v>6.0309093618874998</c:v>
                </c:pt>
                <c:pt idx="358">
                  <c:v>5.9876988142822363</c:v>
                </c:pt>
                <c:pt idx="359">
                  <c:v>5.8156709156783135</c:v>
                </c:pt>
                <c:pt idx="360">
                  <c:v>5.6725219229787127</c:v>
                </c:pt>
                <c:pt idx="361">
                  <c:v>5.5920882712547995</c:v>
                </c:pt>
                <c:pt idx="362">
                  <c:v>5.7077824520191829</c:v>
                </c:pt>
                <c:pt idx="363">
                  <c:v>5.668663126113052</c:v>
                </c:pt>
                <c:pt idx="364">
                  <c:v>5.6223200179513704</c:v>
                </c:pt>
                <c:pt idx="365">
                  <c:v>5.596987542703455</c:v>
                </c:pt>
                <c:pt idx="366">
                  <c:v>5.7060320958418336</c:v>
                </c:pt>
                <c:pt idx="367">
                  <c:v>5.6107357681762817</c:v>
                </c:pt>
                <c:pt idx="368">
                  <c:v>5.7639630211217359</c:v>
                </c:pt>
                <c:pt idx="369">
                  <c:v>5.8246191729305208</c:v>
                </c:pt>
                <c:pt idx="370">
                  <c:v>5.9169996431210983</c:v>
                </c:pt>
                <c:pt idx="371">
                  <c:v>5.7473866454954825</c:v>
                </c:pt>
                <c:pt idx="372">
                  <c:v>6.1162647194047546</c:v>
                </c:pt>
                <c:pt idx="373">
                  <c:v>5.9593608876214512</c:v>
                </c:pt>
                <c:pt idx="374">
                  <c:v>6.1664322933329743</c:v>
                </c:pt>
                <c:pt idx="375">
                  <c:v>5.8778373301186884</c:v>
                </c:pt>
                <c:pt idx="376">
                  <c:v>5.7567380683854852</c:v>
                </c:pt>
                <c:pt idx="377">
                  <c:v>5.8795012486531384</c:v>
                </c:pt>
                <c:pt idx="378">
                  <c:v>5.7411032596988454</c:v>
                </c:pt>
                <c:pt idx="379">
                  <c:v>5.7550246030028207</c:v>
                </c:pt>
                <c:pt idx="380">
                  <c:v>5.4517158829869565</c:v>
                </c:pt>
                <c:pt idx="381">
                  <c:v>5.5462519535453563</c:v>
                </c:pt>
                <c:pt idx="382">
                  <c:v>5.6435202091478205</c:v>
                </c:pt>
                <c:pt idx="383">
                  <c:v>5.6440355879442068</c:v>
                </c:pt>
                <c:pt idx="384">
                  <c:v>5.5210366550166468</c:v>
                </c:pt>
                <c:pt idx="385">
                  <c:v>5.4729466951202435</c:v>
                </c:pt>
                <c:pt idx="386">
                  <c:v>5.423098219721938</c:v>
                </c:pt>
                <c:pt idx="387">
                  <c:v>5.2354694950157858</c:v>
                </c:pt>
                <c:pt idx="388">
                  <c:v>5.2302910647130227</c:v>
                </c:pt>
                <c:pt idx="389">
                  <c:v>4.8949511085177599</c:v>
                </c:pt>
                <c:pt idx="390">
                  <c:v>4.685451238194104</c:v>
                </c:pt>
                <c:pt idx="391">
                  <c:v>4.6955192256545102</c:v>
                </c:pt>
                <c:pt idx="392">
                  <c:v>4.7571098668477525</c:v>
                </c:pt>
                <c:pt idx="393">
                  <c:v>4.690726472338846</c:v>
                </c:pt>
                <c:pt idx="394">
                  <c:v>4.714960576321455</c:v>
                </c:pt>
                <c:pt idx="395">
                  <c:v>4.6697218049802789</c:v>
                </c:pt>
                <c:pt idx="396">
                  <c:v>4.6726891596840527</c:v>
                </c:pt>
                <c:pt idx="397">
                  <c:v>4.6450915249808711</c:v>
                </c:pt>
                <c:pt idx="398">
                  <c:v>4.7211358400237273</c:v>
                </c:pt>
                <c:pt idx="399">
                  <c:v>4.8118968983666548</c:v>
                </c:pt>
                <c:pt idx="400">
                  <c:v>4.6627696442825703</c:v>
                </c:pt>
                <c:pt idx="401">
                  <c:v>4.8692953739422489</c:v>
                </c:pt>
                <c:pt idx="402">
                  <c:v>4.7965739788792146</c:v>
                </c:pt>
                <c:pt idx="403">
                  <c:v>4.8904108455619522</c:v>
                </c:pt>
                <c:pt idx="404">
                  <c:v>4.9516514361806578</c:v>
                </c:pt>
                <c:pt idx="405">
                  <c:v>4.8822807879199592</c:v>
                </c:pt>
                <c:pt idx="406">
                  <c:v>4.8682271891715718</c:v>
                </c:pt>
                <c:pt idx="407">
                  <c:v>4.9963472708417713</c:v>
                </c:pt>
                <c:pt idx="408">
                  <c:v>4.8856340296382079</c:v>
                </c:pt>
                <c:pt idx="409">
                  <c:v>4.8555965088953519</c:v>
                </c:pt>
                <c:pt idx="410">
                  <c:v>4.8097693750252217</c:v>
                </c:pt>
                <c:pt idx="411">
                  <c:v>4.7566565675668881</c:v>
                </c:pt>
                <c:pt idx="412">
                  <c:v>4.7311083199861743</c:v>
                </c:pt>
                <c:pt idx="413">
                  <c:v>4.7778967253455153</c:v>
                </c:pt>
                <c:pt idx="414">
                  <c:v>4.8863318255399601</c:v>
                </c:pt>
                <c:pt idx="415">
                  <c:v>4.8032489577607489</c:v>
                </c:pt>
                <c:pt idx="416">
                  <c:v>4.8989476481919763</c:v>
                </c:pt>
                <c:pt idx="417">
                  <c:v>4.9301445105712878</c:v>
                </c:pt>
                <c:pt idx="418">
                  <c:v>4.9116046603971411</c:v>
                </c:pt>
                <c:pt idx="419">
                  <c:v>4.874177476386552</c:v>
                </c:pt>
                <c:pt idx="420">
                  <c:v>4.960056589659227</c:v>
                </c:pt>
                <c:pt idx="421">
                  <c:v>4.9026103848891331</c:v>
                </c:pt>
                <c:pt idx="422">
                  <c:v>4.7840038750467846</c:v>
                </c:pt>
                <c:pt idx="423">
                  <c:v>4.9255017880895799</c:v>
                </c:pt>
                <c:pt idx="424">
                  <c:v>4.8873568916785368</c:v>
                </c:pt>
                <c:pt idx="425">
                  <c:v>4.8814133677535363</c:v>
                </c:pt>
                <c:pt idx="426">
                  <c:v>4.7721177667327783</c:v>
                </c:pt>
                <c:pt idx="427">
                  <c:v>4.7001470424632128</c:v>
                </c:pt>
                <c:pt idx="428">
                  <c:v>4.8739554404398682</c:v>
                </c:pt>
                <c:pt idx="429">
                  <c:v>5.0737522551971637</c:v>
                </c:pt>
                <c:pt idx="430">
                  <c:v>5.0945025424016412</c:v>
                </c:pt>
                <c:pt idx="431">
                  <c:v>4.721189764738523</c:v>
                </c:pt>
                <c:pt idx="432">
                  <c:v>4.626812000990209</c:v>
                </c:pt>
                <c:pt idx="433">
                  <c:v>4.2086691997902079</c:v>
                </c:pt>
                <c:pt idx="434">
                  <c:v>4.0826773394723279</c:v>
                </c:pt>
                <c:pt idx="435">
                  <c:v>4.0914111190167723</c:v>
                </c:pt>
                <c:pt idx="436">
                  <c:v>4.115048891213819</c:v>
                </c:pt>
                <c:pt idx="437">
                  <c:v>4.0347846455559244</c:v>
                </c:pt>
                <c:pt idx="438">
                  <c:v>4.0300050384171495</c:v>
                </c:pt>
                <c:pt idx="439">
                  <c:v>4.0425638470075196</c:v>
                </c:pt>
                <c:pt idx="440">
                  <c:v>4.0552852120107454</c:v>
                </c:pt>
                <c:pt idx="441">
                  <c:v>3.9998892094141065</c:v>
                </c:pt>
                <c:pt idx="442">
                  <c:v>4.06766568322083</c:v>
                </c:pt>
                <c:pt idx="443">
                  <c:v>4.1403283148604322</c:v>
                </c:pt>
                <c:pt idx="444">
                  <c:v>4.1242379540687653</c:v>
                </c:pt>
                <c:pt idx="445">
                  <c:v>4.2120621224725312</c:v>
                </c:pt>
                <c:pt idx="446">
                  <c:v>4.1632392782494545</c:v>
                </c:pt>
                <c:pt idx="447">
                  <c:v>4.2510411504994545</c:v>
                </c:pt>
                <c:pt idx="448">
                  <c:v>4.1385640512980322</c:v>
                </c:pt>
                <c:pt idx="449">
                  <c:v>4.0643873279972516</c:v>
                </c:pt>
                <c:pt idx="450">
                  <c:v>4.068761952475028</c:v>
                </c:pt>
                <c:pt idx="451">
                  <c:v>4.0197578423832931</c:v>
                </c:pt>
                <c:pt idx="452">
                  <c:v>4.0546506825640387</c:v>
                </c:pt>
                <c:pt idx="453">
                  <c:v>4.0493212603740387</c:v>
                </c:pt>
                <c:pt idx="454">
                  <c:v>4.0836986330351008</c:v>
                </c:pt>
                <c:pt idx="455">
                  <c:v>4.0620633905379586</c:v>
                </c:pt>
                <c:pt idx="456">
                  <c:v>4.0898893045290032</c:v>
                </c:pt>
                <c:pt idx="457">
                  <c:v>4.1126520364886296</c:v>
                </c:pt>
                <c:pt idx="458">
                  <c:v>4.1273841476304014</c:v>
                </c:pt>
                <c:pt idx="459">
                  <c:v>4.1423814221492137</c:v>
                </c:pt>
                <c:pt idx="460">
                  <c:v>4.1729156556721954</c:v>
                </c:pt>
                <c:pt idx="461">
                  <c:v>4.1323685154855294</c:v>
                </c:pt>
                <c:pt idx="462">
                  <c:v>4.1396826604152812</c:v>
                </c:pt>
                <c:pt idx="463">
                  <c:v>4.1860367537075893</c:v>
                </c:pt>
                <c:pt idx="464">
                  <c:v>4.1500092453898683</c:v>
                </c:pt>
                <c:pt idx="465">
                  <c:v>4.1912741811298675</c:v>
                </c:pt>
                <c:pt idx="466">
                  <c:v>4.1662935133533976</c:v>
                </c:pt>
                <c:pt idx="467">
                  <c:v>4.1635141386533965</c:v>
                </c:pt>
                <c:pt idx="468">
                  <c:v>4.150868351500641</c:v>
                </c:pt>
                <c:pt idx="469">
                  <c:v>4.1882738868947591</c:v>
                </c:pt>
                <c:pt idx="470">
                  <c:v>4.1405161854596448</c:v>
                </c:pt>
                <c:pt idx="471">
                  <c:v>4.1754717096349019</c:v>
                </c:pt>
                <c:pt idx="472">
                  <c:v>4.2015778297363013</c:v>
                </c:pt>
                <c:pt idx="473">
                  <c:v>4.1679082044770421</c:v>
                </c:pt>
                <c:pt idx="474">
                  <c:v>4.1359030672428654</c:v>
                </c:pt>
                <c:pt idx="475">
                  <c:v>4.1972322722512692</c:v>
                </c:pt>
                <c:pt idx="476">
                  <c:v>4.1590058538417445</c:v>
                </c:pt>
                <c:pt idx="477">
                  <c:v>4.1050849208043143</c:v>
                </c:pt>
                <c:pt idx="478">
                  <c:v>4.0596182673643151</c:v>
                </c:pt>
                <c:pt idx="479">
                  <c:v>4.1139591390470072</c:v>
                </c:pt>
                <c:pt idx="480">
                  <c:v>4.1300154702883862</c:v>
                </c:pt>
                <c:pt idx="481">
                  <c:v>4.1017178114161643</c:v>
                </c:pt>
                <c:pt idx="482">
                  <c:v>4.1707448047319531</c:v>
                </c:pt>
                <c:pt idx="483">
                  <c:v>4.1368704004249421</c:v>
                </c:pt>
                <c:pt idx="484">
                  <c:v>4.1628516792049419</c:v>
                </c:pt>
                <c:pt idx="485">
                  <c:v>4.1117580805331277</c:v>
                </c:pt>
                <c:pt idx="486">
                  <c:v>4.0823673715860007</c:v>
                </c:pt>
                <c:pt idx="487">
                  <c:v>4.1015547542407962</c:v>
                </c:pt>
                <c:pt idx="488">
                  <c:v>4.0967275342122242</c:v>
                </c:pt>
                <c:pt idx="489">
                  <c:v>4.0547726106991204</c:v>
                </c:pt>
                <c:pt idx="490">
                  <c:v>4.0118655095982794</c:v>
                </c:pt>
                <c:pt idx="491">
                  <c:v>3.9830867020203136</c:v>
                </c:pt>
                <c:pt idx="492">
                  <c:v>4.0367905980846546</c:v>
                </c:pt>
                <c:pt idx="493">
                  <c:v>3.9965078796355318</c:v>
                </c:pt>
                <c:pt idx="494">
                  <c:v>4.0765363341870309</c:v>
                </c:pt>
                <c:pt idx="495">
                  <c:v>4.0681499653660707</c:v>
                </c:pt>
                <c:pt idx="496">
                  <c:v>4.0839423581380707</c:v>
                </c:pt>
                <c:pt idx="497">
                  <c:v>4.1048493185540131</c:v>
                </c:pt>
                <c:pt idx="498">
                  <c:v>4.0669465921335579</c:v>
                </c:pt>
                <c:pt idx="499">
                  <c:v>4.0937408185950961</c:v>
                </c:pt>
                <c:pt idx="500">
                  <c:v>4.1328560889255304</c:v>
                </c:pt>
                <c:pt idx="501">
                  <c:v>4.1163549830966852</c:v>
                </c:pt>
                <c:pt idx="502">
                  <c:v>4.1528163653395911</c:v>
                </c:pt>
                <c:pt idx="503">
                  <c:v>4.110061391306072</c:v>
                </c:pt>
                <c:pt idx="504">
                  <c:v>4.0983822178822633</c:v>
                </c:pt>
                <c:pt idx="505">
                  <c:v>4.0458518641531622</c:v>
                </c:pt>
                <c:pt idx="506">
                  <c:v>4.0318703140705177</c:v>
                </c:pt>
                <c:pt idx="507">
                  <c:v>4.0556819392470063</c:v>
                </c:pt>
                <c:pt idx="508">
                  <c:v>4.001476988698542</c:v>
                </c:pt>
                <c:pt idx="509">
                  <c:v>3.9405671540977978</c:v>
                </c:pt>
                <c:pt idx="510">
                  <c:v>3.9787089930940795</c:v>
                </c:pt>
                <c:pt idx="511">
                  <c:v>3.8868484025744721</c:v>
                </c:pt>
                <c:pt idx="512">
                  <c:v>4.0150175050304719</c:v>
                </c:pt>
                <c:pt idx="513">
                  <c:v>4.0491841836635416</c:v>
                </c:pt>
                <c:pt idx="514">
                  <c:v>4.059384634537877</c:v>
                </c:pt>
                <c:pt idx="515">
                  <c:v>4.080963006133115</c:v>
                </c:pt>
                <c:pt idx="516">
                  <c:v>4.095254107284763</c:v>
                </c:pt>
                <c:pt idx="517">
                  <c:v>4.0564300961549522</c:v>
                </c:pt>
                <c:pt idx="518">
                  <c:v>4.0224115893531343</c:v>
                </c:pt>
                <c:pt idx="519">
                  <c:v>4.0326533109536458</c:v>
                </c:pt>
                <c:pt idx="520">
                  <c:v>4.0146450654003463</c:v>
                </c:pt>
                <c:pt idx="521">
                  <c:v>4.0626035993976073</c:v>
                </c:pt>
                <c:pt idx="522">
                  <c:v>4.0323207777528367</c:v>
                </c:pt>
                <c:pt idx="523">
                  <c:v>4.0721837667284069</c:v>
                </c:pt>
                <c:pt idx="524">
                  <c:v>3.9747495048029879</c:v>
                </c:pt>
                <c:pt idx="525">
                  <c:v>4.2367062407456011</c:v>
                </c:pt>
                <c:pt idx="526">
                  <c:v>4.1550849171777111</c:v>
                </c:pt>
                <c:pt idx="527">
                  <c:v>4.2005933085777105</c:v>
                </c:pt>
                <c:pt idx="528">
                  <c:v>4.2233158744659463</c:v>
                </c:pt>
                <c:pt idx="529">
                  <c:v>4.2653177279736383</c:v>
                </c:pt>
                <c:pt idx="530">
                  <c:v>4.2796999612970952</c:v>
                </c:pt>
                <c:pt idx="531">
                  <c:v>4.2681355860506223</c:v>
                </c:pt>
                <c:pt idx="532">
                  <c:v>4.1862338089923652</c:v>
                </c:pt>
                <c:pt idx="533">
                  <c:v>4.2535942935210471</c:v>
                </c:pt>
                <c:pt idx="534">
                  <c:v>4.0946093026703911</c:v>
                </c:pt>
                <c:pt idx="535">
                  <c:v>4.3146112723774657</c:v>
                </c:pt>
                <c:pt idx="536">
                  <c:v>4.1754685824303008</c:v>
                </c:pt>
                <c:pt idx="537">
                  <c:v>4.0434463129980429</c:v>
                </c:pt>
                <c:pt idx="538">
                  <c:v>4.0060626979631602</c:v>
                </c:pt>
                <c:pt idx="539">
                  <c:v>4.0279070826507084</c:v>
                </c:pt>
                <c:pt idx="540">
                  <c:v>3.9618954223952536</c:v>
                </c:pt>
                <c:pt idx="541">
                  <c:v>3.9647604763658424</c:v>
                </c:pt>
                <c:pt idx="542">
                  <c:v>3.9381000579761869</c:v>
                </c:pt>
                <c:pt idx="543">
                  <c:v>3.9064289489825219</c:v>
                </c:pt>
                <c:pt idx="544">
                  <c:v>4.0112880689933457</c:v>
                </c:pt>
                <c:pt idx="545">
                  <c:v>3.9330936396806702</c:v>
                </c:pt>
                <c:pt idx="546">
                  <c:v>3.9215422650089717</c:v>
                </c:pt>
                <c:pt idx="547">
                  <c:v>3.8234582549513849</c:v>
                </c:pt>
                <c:pt idx="548">
                  <c:v>3.7801812742077168</c:v>
                </c:pt>
                <c:pt idx="549">
                  <c:v>3.8191207519895345</c:v>
                </c:pt>
                <c:pt idx="550">
                  <c:v>3.7305760311095346</c:v>
                </c:pt>
                <c:pt idx="551">
                  <c:v>3.7889189819998572</c:v>
                </c:pt>
                <c:pt idx="552">
                  <c:v>3.73444453788081</c:v>
                </c:pt>
                <c:pt idx="553">
                  <c:v>3.8069167337049232</c:v>
                </c:pt>
                <c:pt idx="554">
                  <c:v>3.8128602453999227</c:v>
                </c:pt>
                <c:pt idx="555">
                  <c:v>3.7290593920063557</c:v>
                </c:pt>
                <c:pt idx="556">
                  <c:v>3.6325067450690414</c:v>
                </c:pt>
                <c:pt idx="557">
                  <c:v>3.6496492289874092</c:v>
                </c:pt>
                <c:pt idx="558">
                  <c:v>3.6133095292474091</c:v>
                </c:pt>
                <c:pt idx="559">
                  <c:v>3.6315961456374088</c:v>
                </c:pt>
                <c:pt idx="560">
                  <c:v>3.621145801114332</c:v>
                </c:pt>
                <c:pt idx="561">
                  <c:v>3.590802752082074</c:v>
                </c:pt>
                <c:pt idx="562">
                  <c:v>3.6131571180207414</c:v>
                </c:pt>
                <c:pt idx="563">
                  <c:v>3.6187097964603967</c:v>
                </c:pt>
                <c:pt idx="564">
                  <c:v>3.6542546404503047</c:v>
                </c:pt>
                <c:pt idx="565">
                  <c:v>3.6209837630408712</c:v>
                </c:pt>
                <c:pt idx="566">
                  <c:v>3.6102283189143649</c:v>
                </c:pt>
                <c:pt idx="567">
                  <c:v>3.5630349064565041</c:v>
                </c:pt>
                <c:pt idx="568">
                  <c:v>3.6030370902866009</c:v>
                </c:pt>
                <c:pt idx="569">
                  <c:v>3.5341863103866005</c:v>
                </c:pt>
                <c:pt idx="570">
                  <c:v>3.5100693226293189</c:v>
                </c:pt>
                <c:pt idx="571">
                  <c:v>3.4343898364598155</c:v>
                </c:pt>
                <c:pt idx="572">
                  <c:v>3.4209682539368855</c:v>
                </c:pt>
                <c:pt idx="573">
                  <c:v>3.3562220069313908</c:v>
                </c:pt>
                <c:pt idx="574">
                  <c:v>3.3805689043585754</c:v>
                </c:pt>
                <c:pt idx="575">
                  <c:v>3.3796357691594761</c:v>
                </c:pt>
                <c:pt idx="576">
                  <c:v>3.3368743558560277</c:v>
                </c:pt>
                <c:pt idx="577">
                  <c:v>3.2697368842052077</c:v>
                </c:pt>
                <c:pt idx="578">
                  <c:v>3.2362947626536451</c:v>
                </c:pt>
                <c:pt idx="579">
                  <c:v>3.2235768850222404</c:v>
                </c:pt>
                <c:pt idx="580">
                  <c:v>3.2334891011146776</c:v>
                </c:pt>
                <c:pt idx="581">
                  <c:v>3.2408172863617359</c:v>
                </c:pt>
                <c:pt idx="582">
                  <c:v>3.2123235716617362</c:v>
                </c:pt>
                <c:pt idx="583">
                  <c:v>3.2368484990777362</c:v>
                </c:pt>
                <c:pt idx="584">
                  <c:v>3.2482567231027364</c:v>
                </c:pt>
                <c:pt idx="585">
                  <c:v>3.2130451943027363</c:v>
                </c:pt>
                <c:pt idx="586">
                  <c:v>3.2309212460609187</c:v>
                </c:pt>
                <c:pt idx="587">
                  <c:v>3.2161464368388133</c:v>
                </c:pt>
                <c:pt idx="588">
                  <c:v>3.2294025237894979</c:v>
                </c:pt>
                <c:pt idx="589">
                  <c:v>3.2381418026435527</c:v>
                </c:pt>
                <c:pt idx="590">
                  <c:v>3.2243911864661938</c:v>
                </c:pt>
                <c:pt idx="591">
                  <c:v>3.2214284473661943</c:v>
                </c:pt>
                <c:pt idx="592">
                  <c:v>3.1729563529446554</c:v>
                </c:pt>
                <c:pt idx="593">
                  <c:v>3.1938040012406548</c:v>
                </c:pt>
                <c:pt idx="594">
                  <c:v>3.1658065036090766</c:v>
                </c:pt>
                <c:pt idx="595">
                  <c:v>3.2025127461127805</c:v>
                </c:pt>
                <c:pt idx="596">
                  <c:v>3.2766754045043771</c:v>
                </c:pt>
                <c:pt idx="597">
                  <c:v>3.2260818004080805</c:v>
                </c:pt>
                <c:pt idx="598">
                  <c:v>3.1906654945407231</c:v>
                </c:pt>
                <c:pt idx="599">
                  <c:v>3.1716722868340561</c:v>
                </c:pt>
                <c:pt idx="600">
                  <c:v>3.1529397058283091</c:v>
                </c:pt>
                <c:pt idx="601">
                  <c:v>3.1452500147553164</c:v>
                </c:pt>
                <c:pt idx="602">
                  <c:v>3.2010895352321946</c:v>
                </c:pt>
                <c:pt idx="603">
                  <c:v>3.1938689566904861</c:v>
                </c:pt>
                <c:pt idx="604">
                  <c:v>3.0958352162204861</c:v>
                </c:pt>
                <c:pt idx="605">
                  <c:v>3.0870067352884107</c:v>
                </c:pt>
                <c:pt idx="606">
                  <c:v>2.9951395816413524</c:v>
                </c:pt>
                <c:pt idx="607">
                  <c:v>3.1428045504031701</c:v>
                </c:pt>
                <c:pt idx="608">
                  <c:v>3.0260603512791699</c:v>
                </c:pt>
                <c:pt idx="609">
                  <c:v>3.015952766074625</c:v>
                </c:pt>
                <c:pt idx="610">
                  <c:v>2.9690927872202555</c:v>
                </c:pt>
                <c:pt idx="611">
                  <c:v>2.960783740984144</c:v>
                </c:pt>
                <c:pt idx="612">
                  <c:v>2.9513439606801444</c:v>
                </c:pt>
                <c:pt idx="613">
                  <c:v>2.9013542469134777</c:v>
                </c:pt>
                <c:pt idx="614">
                  <c:v>2.9730838409134774</c:v>
                </c:pt>
                <c:pt idx="615">
                  <c:v>3.0303100358245882</c:v>
                </c:pt>
                <c:pt idx="616">
                  <c:v>2.9634049940388745</c:v>
                </c:pt>
                <c:pt idx="617">
                  <c:v>2.9933730242472487</c:v>
                </c:pt>
                <c:pt idx="618">
                  <c:v>3.0084286538169462</c:v>
                </c:pt>
                <c:pt idx="619">
                  <c:v>2.9940898438354653</c:v>
                </c:pt>
                <c:pt idx="620">
                  <c:v>2.9672008493295832</c:v>
                </c:pt>
                <c:pt idx="621">
                  <c:v>2.9868369884614983</c:v>
                </c:pt>
                <c:pt idx="622">
                  <c:v>3.011446264745282</c:v>
                </c:pt>
                <c:pt idx="623">
                  <c:v>3.1291532818597472</c:v>
                </c:pt>
                <c:pt idx="624">
                  <c:v>3.0749831762647921</c:v>
                </c:pt>
                <c:pt idx="625">
                  <c:v>3.0419186341006892</c:v>
                </c:pt>
                <c:pt idx="626">
                  <c:v>2.9889740739387056</c:v>
                </c:pt>
                <c:pt idx="627">
                  <c:v>2.9870661283382027</c:v>
                </c:pt>
                <c:pt idx="628">
                  <c:v>2.9618179832774993</c:v>
                </c:pt>
                <c:pt idx="629">
                  <c:v>3.1877566743413301</c:v>
                </c:pt>
                <c:pt idx="630">
                  <c:v>3.0710786590550234</c:v>
                </c:pt>
                <c:pt idx="631">
                  <c:v>3.0417438400904846</c:v>
                </c:pt>
                <c:pt idx="632">
                  <c:v>3.0995135036935384</c:v>
                </c:pt>
                <c:pt idx="633">
                  <c:v>3.0387665798405967</c:v>
                </c:pt>
                <c:pt idx="634">
                  <c:v>3.0157543363283272</c:v>
                </c:pt>
                <c:pt idx="635">
                  <c:v>3.0554013701819853</c:v>
                </c:pt>
                <c:pt idx="636">
                  <c:v>2.9841648992391283</c:v>
                </c:pt>
                <c:pt idx="637">
                  <c:v>2.9874876217815012</c:v>
                </c:pt>
                <c:pt idx="638">
                  <c:v>3.0535899925115015</c:v>
                </c:pt>
                <c:pt idx="639">
                  <c:v>2.9570767049718785</c:v>
                </c:pt>
                <c:pt idx="640">
                  <c:v>2.8971601904718782</c:v>
                </c:pt>
                <c:pt idx="641">
                  <c:v>2.8413660864126187</c:v>
                </c:pt>
                <c:pt idx="642">
                  <c:v>2.7901128057519449</c:v>
                </c:pt>
                <c:pt idx="643">
                  <c:v>2.7861067738986112</c:v>
                </c:pt>
                <c:pt idx="644">
                  <c:v>2.6698733722725243</c:v>
                </c:pt>
                <c:pt idx="645">
                  <c:v>2.6661398809708294</c:v>
                </c:pt>
                <c:pt idx="646">
                  <c:v>2.6393328979434316</c:v>
                </c:pt>
                <c:pt idx="647">
                  <c:v>2.5964712799281782</c:v>
                </c:pt>
                <c:pt idx="648">
                  <c:v>2.6980274681948448</c:v>
                </c:pt>
                <c:pt idx="649">
                  <c:v>2.7500978012402992</c:v>
                </c:pt>
                <c:pt idx="650">
                  <c:v>2.7145764139691879</c:v>
                </c:pt>
                <c:pt idx="651">
                  <c:v>2.7297938379909268</c:v>
                </c:pt>
                <c:pt idx="652">
                  <c:v>2.636662114589885</c:v>
                </c:pt>
                <c:pt idx="653">
                  <c:v>2.7051264664498849</c:v>
                </c:pt>
                <c:pt idx="654">
                  <c:v>2.7157305534578851</c:v>
                </c:pt>
                <c:pt idx="655">
                  <c:v>2.6936976174578846</c:v>
                </c:pt>
                <c:pt idx="656">
                  <c:v>2.6953108306578843</c:v>
                </c:pt>
                <c:pt idx="657">
                  <c:v>2.6876708373354128</c:v>
                </c:pt>
                <c:pt idx="658">
                  <c:v>2.6949372899882973</c:v>
                </c:pt>
                <c:pt idx="659">
                  <c:v>2.6645119997544944</c:v>
                </c:pt>
                <c:pt idx="660">
                  <c:v>2.6102306373830655</c:v>
                </c:pt>
                <c:pt idx="661">
                  <c:v>2.6584438884109138</c:v>
                </c:pt>
                <c:pt idx="662">
                  <c:v>2.5913879148109142</c:v>
                </c:pt>
                <c:pt idx="663">
                  <c:v>2.5862860312333633</c:v>
                </c:pt>
                <c:pt idx="664">
                  <c:v>2.5734512245004866</c:v>
                </c:pt>
                <c:pt idx="665">
                  <c:v>2.5895782635819677</c:v>
                </c:pt>
                <c:pt idx="666">
                  <c:v>2.6081097445710588</c:v>
                </c:pt>
                <c:pt idx="667">
                  <c:v>2.5560206158331944</c:v>
                </c:pt>
                <c:pt idx="668">
                  <c:v>2.549830347126528</c:v>
                </c:pt>
                <c:pt idx="669">
                  <c:v>2.5274650221940957</c:v>
                </c:pt>
                <c:pt idx="670">
                  <c:v>2.5621332461242026</c:v>
                </c:pt>
                <c:pt idx="671">
                  <c:v>2.5141127541802031</c:v>
                </c:pt>
                <c:pt idx="672">
                  <c:v>2.5656496815361471</c:v>
                </c:pt>
                <c:pt idx="673">
                  <c:v>2.5237122624238184</c:v>
                </c:pt>
                <c:pt idx="674">
                  <c:v>2.5286295266267311</c:v>
                </c:pt>
                <c:pt idx="675">
                  <c:v>2.4789913683576832</c:v>
                </c:pt>
                <c:pt idx="676">
                  <c:v>2.395864603857683</c:v>
                </c:pt>
                <c:pt idx="677">
                  <c:v>2.468166821148186</c:v>
                </c:pt>
                <c:pt idx="678">
                  <c:v>2.5108184433391583</c:v>
                </c:pt>
                <c:pt idx="679">
                  <c:v>2.5611407291710733</c:v>
                </c:pt>
                <c:pt idx="680">
                  <c:v>2.4768157784604585</c:v>
                </c:pt>
                <c:pt idx="681">
                  <c:v>2.4184433070963705</c:v>
                </c:pt>
                <c:pt idx="682">
                  <c:v>2.344167422370564</c:v>
                </c:pt>
                <c:pt idx="683">
                  <c:v>2.2770660804579457</c:v>
                </c:pt>
                <c:pt idx="684">
                  <c:v>2.3468533748579459</c:v>
                </c:pt>
                <c:pt idx="685">
                  <c:v>2.3537222547470082</c:v>
                </c:pt>
                <c:pt idx="686">
                  <c:v>2.0563221419306821</c:v>
                </c:pt>
                <c:pt idx="687">
                  <c:v>2.3601485846166392</c:v>
                </c:pt>
                <c:pt idx="688">
                  <c:v>2.3243514952124062</c:v>
                </c:pt>
                <c:pt idx="689">
                  <c:v>2.2548269257457401</c:v>
                </c:pt>
                <c:pt idx="690">
                  <c:v>2.2011779691315225</c:v>
                </c:pt>
                <c:pt idx="691">
                  <c:v>2.3181729728707152</c:v>
                </c:pt>
                <c:pt idx="692">
                  <c:v>2.3497813278073489</c:v>
                </c:pt>
                <c:pt idx="693">
                  <c:v>2.3145411634573487</c:v>
                </c:pt>
                <c:pt idx="694">
                  <c:v>2.3458925459736752</c:v>
                </c:pt>
                <c:pt idx="695">
                  <c:v>2.3378294133918565</c:v>
                </c:pt>
                <c:pt idx="696">
                  <c:v>2.3319354789918569</c:v>
                </c:pt>
                <c:pt idx="697">
                  <c:v>2.2875264308008454</c:v>
                </c:pt>
                <c:pt idx="698">
                  <c:v>2.3071863711559737</c:v>
                </c:pt>
                <c:pt idx="699">
                  <c:v>2.3594267718299733</c:v>
                </c:pt>
                <c:pt idx="700">
                  <c:v>2.3162534492822466</c:v>
                </c:pt>
                <c:pt idx="701">
                  <c:v>2.3298407114513373</c:v>
                </c:pt>
                <c:pt idx="702">
                  <c:v>2.45076138428783</c:v>
                </c:pt>
                <c:pt idx="703">
                  <c:v>2.5048553670878304</c:v>
                </c:pt>
                <c:pt idx="704">
                  <c:v>2.5256017761758303</c:v>
                </c:pt>
                <c:pt idx="705">
                  <c:v>2.5008636387470013</c:v>
                </c:pt>
                <c:pt idx="706">
                  <c:v>2.4718018455597672</c:v>
                </c:pt>
                <c:pt idx="707">
                  <c:v>2.4795157198081541</c:v>
                </c:pt>
                <c:pt idx="708">
                  <c:v>2.4422617776001543</c:v>
                </c:pt>
                <c:pt idx="709">
                  <c:v>2.4917821598837051</c:v>
                </c:pt>
                <c:pt idx="710">
                  <c:v>2.3621011639591769</c:v>
                </c:pt>
                <c:pt idx="711">
                  <c:v>2.1841396477049022</c:v>
                </c:pt>
                <c:pt idx="712">
                  <c:v>2.1956058466528696</c:v>
                </c:pt>
                <c:pt idx="713">
                  <c:v>2.3054080333146647</c:v>
                </c:pt>
                <c:pt idx="714">
                  <c:v>2.1752496393718075</c:v>
                </c:pt>
                <c:pt idx="715">
                  <c:v>2.287914269109407</c:v>
                </c:pt>
                <c:pt idx="716">
                  <c:v>2.5187326227810019</c:v>
                </c:pt>
                <c:pt idx="717">
                  <c:v>2.3871678611518483</c:v>
                </c:pt>
                <c:pt idx="718">
                  <c:v>2.3753066374687863</c:v>
                </c:pt>
                <c:pt idx="719">
                  <c:v>2.262512071068786</c:v>
                </c:pt>
                <c:pt idx="720">
                  <c:v>2.3039570274054832</c:v>
                </c:pt>
                <c:pt idx="721">
                  <c:v>2.3773135756721495</c:v>
                </c:pt>
                <c:pt idx="722">
                  <c:v>2.4098376455862232</c:v>
                </c:pt>
                <c:pt idx="723">
                  <c:v>2.4826000111782633</c:v>
                </c:pt>
                <c:pt idx="724">
                  <c:v>2.4576571283135964</c:v>
                </c:pt>
                <c:pt idx="725">
                  <c:v>2.4783985461761162</c:v>
                </c:pt>
                <c:pt idx="726">
                  <c:v>2.4652612510087004</c:v>
                </c:pt>
                <c:pt idx="727">
                  <c:v>2.4127642786194148</c:v>
                </c:pt>
                <c:pt idx="728">
                  <c:v>2.3647136351703821</c:v>
                </c:pt>
                <c:pt idx="729">
                  <c:v>2.3179883225767655</c:v>
                </c:pt>
                <c:pt idx="730">
                  <c:v>2.2105098481333005</c:v>
                </c:pt>
                <c:pt idx="731">
                  <c:v>2.098047450207408</c:v>
                </c:pt>
                <c:pt idx="732">
                  <c:v>2.0549035007100631</c:v>
                </c:pt>
                <c:pt idx="733">
                  <c:v>2.0266610566086549</c:v>
                </c:pt>
                <c:pt idx="734">
                  <c:v>2.0195054567508772</c:v>
                </c:pt>
                <c:pt idx="735">
                  <c:v>1.9978028315008771</c:v>
                </c:pt>
                <c:pt idx="736">
                  <c:v>2.0031009510254534</c:v>
                </c:pt>
                <c:pt idx="737">
                  <c:v>2.004892675159117</c:v>
                </c:pt>
                <c:pt idx="738">
                  <c:v>1.980002878979896</c:v>
                </c:pt>
                <c:pt idx="739">
                  <c:v>1.9385026504880778</c:v>
                </c:pt>
                <c:pt idx="740">
                  <c:v>1.8634375814232338</c:v>
                </c:pt>
                <c:pt idx="741">
                  <c:v>1.8337813297044838</c:v>
                </c:pt>
                <c:pt idx="742">
                  <c:v>1.842405526237382</c:v>
                </c:pt>
                <c:pt idx="743">
                  <c:v>1.8262776645607353</c:v>
                </c:pt>
                <c:pt idx="744">
                  <c:v>1.6935576332274018</c:v>
                </c:pt>
                <c:pt idx="745">
                  <c:v>1.6379826219253184</c:v>
                </c:pt>
                <c:pt idx="746">
                  <c:v>1.6438833932744989</c:v>
                </c:pt>
                <c:pt idx="747">
                  <c:v>1.6426539710921462</c:v>
                </c:pt>
                <c:pt idx="748">
                  <c:v>1.6269751608613769</c:v>
                </c:pt>
                <c:pt idx="749">
                  <c:v>1.5597963088080089</c:v>
                </c:pt>
                <c:pt idx="750">
                  <c:v>1.575552084202746</c:v>
                </c:pt>
                <c:pt idx="751">
                  <c:v>1.6106923184221256</c:v>
                </c:pt>
                <c:pt idx="752">
                  <c:v>1.6601360900027708</c:v>
                </c:pt>
                <c:pt idx="753">
                  <c:v>1.5864739765925515</c:v>
                </c:pt>
                <c:pt idx="754">
                  <c:v>1.5706609192896943</c:v>
                </c:pt>
                <c:pt idx="755">
                  <c:v>1.5325837896382377</c:v>
                </c:pt>
                <c:pt idx="756">
                  <c:v>1.4958517826142068</c:v>
                </c:pt>
                <c:pt idx="757">
                  <c:v>1.5060379722808734</c:v>
                </c:pt>
                <c:pt idx="758">
                  <c:v>1.5138114885843217</c:v>
                </c:pt>
                <c:pt idx="759">
                  <c:v>1.5232348753429426</c:v>
                </c:pt>
                <c:pt idx="760">
                  <c:v>1.5522589653989061</c:v>
                </c:pt>
                <c:pt idx="761">
                  <c:v>1.5347499957668671</c:v>
                </c:pt>
                <c:pt idx="762">
                  <c:v>1.5147545001668672</c:v>
                </c:pt>
                <c:pt idx="763">
                  <c:v>1.4809714405176364</c:v>
                </c:pt>
                <c:pt idx="764">
                  <c:v>1.4984841903565254</c:v>
                </c:pt>
                <c:pt idx="765">
                  <c:v>1.480530293664218</c:v>
                </c:pt>
                <c:pt idx="766">
                  <c:v>1.5021239677039773</c:v>
                </c:pt>
                <c:pt idx="767">
                  <c:v>1.5118823052195616</c:v>
                </c:pt>
                <c:pt idx="768">
                  <c:v>1.4809227994052758</c:v>
                </c:pt>
                <c:pt idx="769">
                  <c:v>1.4942114374395616</c:v>
                </c:pt>
                <c:pt idx="770">
                  <c:v>1.4563255174441772</c:v>
                </c:pt>
                <c:pt idx="771">
                  <c:v>1.3958388109893827</c:v>
                </c:pt>
                <c:pt idx="772">
                  <c:v>1.2071511676793056</c:v>
                </c:pt>
                <c:pt idx="773">
                  <c:v>1.2824576215501389</c:v>
                </c:pt>
                <c:pt idx="774">
                  <c:v>1.3183280696791893</c:v>
                </c:pt>
                <c:pt idx="775">
                  <c:v>1.3332863550991889</c:v>
                </c:pt>
                <c:pt idx="776">
                  <c:v>1.3354951043253795</c:v>
                </c:pt>
                <c:pt idx="777">
                  <c:v>1.3217857958977934</c:v>
                </c:pt>
                <c:pt idx="778">
                  <c:v>1.3318433281750086</c:v>
                </c:pt>
                <c:pt idx="779">
                  <c:v>1.3240249509931903</c:v>
                </c:pt>
                <c:pt idx="780">
                  <c:v>1.3359028908357433</c:v>
                </c:pt>
                <c:pt idx="781">
                  <c:v>1.3526138337434357</c:v>
                </c:pt>
                <c:pt idx="782">
                  <c:v>1.3436054873888905</c:v>
                </c:pt>
                <c:pt idx="783">
                  <c:v>1.3475751429256251</c:v>
                </c:pt>
                <c:pt idx="784">
                  <c:v>1.3362890258272646</c:v>
                </c:pt>
                <c:pt idx="785">
                  <c:v>1.3180263373672645</c:v>
                </c:pt>
                <c:pt idx="786">
                  <c:v>1.3388570999576259</c:v>
                </c:pt>
                <c:pt idx="787">
                  <c:v>1.322352161784653</c:v>
                </c:pt>
                <c:pt idx="788">
                  <c:v>1.3239938782547382</c:v>
                </c:pt>
                <c:pt idx="789">
                  <c:v>1.3185443846020251</c:v>
                </c:pt>
                <c:pt idx="790">
                  <c:v>1.3277292460550865</c:v>
                </c:pt>
                <c:pt idx="791">
                  <c:v>1.3105918752582446</c:v>
                </c:pt>
                <c:pt idx="792">
                  <c:v>1.3192662996792972</c:v>
                </c:pt>
                <c:pt idx="793">
                  <c:v>1.308087634476985</c:v>
                </c:pt>
                <c:pt idx="794">
                  <c:v>1.2931934321058509</c:v>
                </c:pt>
                <c:pt idx="795">
                  <c:v>1.2822777690378895</c:v>
                </c:pt>
                <c:pt idx="796">
                  <c:v>1.3012156779506066</c:v>
                </c:pt>
                <c:pt idx="797">
                  <c:v>1.2853452185414462</c:v>
                </c:pt>
                <c:pt idx="798">
                  <c:v>1.2739239756325853</c:v>
                </c:pt>
                <c:pt idx="799">
                  <c:v>1.2856360910263909</c:v>
                </c:pt>
                <c:pt idx="800">
                  <c:v>1.2950367634127544</c:v>
                </c:pt>
                <c:pt idx="801">
                  <c:v>1.2928500924571991</c:v>
                </c:pt>
                <c:pt idx="802">
                  <c:v>1.2984116760167494</c:v>
                </c:pt>
                <c:pt idx="803">
                  <c:v>1.3005214717133011</c:v>
                </c:pt>
                <c:pt idx="804">
                  <c:v>1.3016473289219967</c:v>
                </c:pt>
                <c:pt idx="805">
                  <c:v>1.2972109508274023</c:v>
                </c:pt>
                <c:pt idx="806">
                  <c:v>1.2829953123202078</c:v>
                </c:pt>
                <c:pt idx="807">
                  <c:v>1.2917904202610244</c:v>
                </c:pt>
                <c:pt idx="808">
                  <c:v>1.2901849117772406</c:v>
                </c:pt>
                <c:pt idx="809">
                  <c:v>1.3054943044879845</c:v>
                </c:pt>
                <c:pt idx="810">
                  <c:v>1.3026257221303572</c:v>
                </c:pt>
                <c:pt idx="811">
                  <c:v>1.2947558177095235</c:v>
                </c:pt>
                <c:pt idx="812">
                  <c:v>1.2993741086095236</c:v>
                </c:pt>
                <c:pt idx="813">
                  <c:v>1.3131925219495237</c:v>
                </c:pt>
                <c:pt idx="814">
                  <c:v>1.3127607701795236</c:v>
                </c:pt>
                <c:pt idx="815">
                  <c:v>1.3032186025691788</c:v>
                </c:pt>
                <c:pt idx="816">
                  <c:v>1.283823822127512</c:v>
                </c:pt>
                <c:pt idx="817">
                  <c:v>1.2929993196645486</c:v>
                </c:pt>
                <c:pt idx="818">
                  <c:v>1.297787562964549</c:v>
                </c:pt>
                <c:pt idx="819">
                  <c:v>1.2914710967057257</c:v>
                </c:pt>
                <c:pt idx="820">
                  <c:v>1.3014021933878066</c:v>
                </c:pt>
                <c:pt idx="821">
                  <c:v>1.3077788228229417</c:v>
                </c:pt>
                <c:pt idx="822">
                  <c:v>1.328635967110176</c:v>
                </c:pt>
                <c:pt idx="823">
                  <c:v>1.3255009250699246</c:v>
                </c:pt>
                <c:pt idx="824">
                  <c:v>1.3026008788039671</c:v>
                </c:pt>
                <c:pt idx="825">
                  <c:v>1.3145906757025716</c:v>
                </c:pt>
                <c:pt idx="826">
                  <c:v>1.2780974415133342</c:v>
                </c:pt>
                <c:pt idx="827">
                  <c:v>1.2761345065505889</c:v>
                </c:pt>
                <c:pt idx="828">
                  <c:v>1.2876414637898859</c:v>
                </c:pt>
                <c:pt idx="829">
                  <c:v>1.3054292868608262</c:v>
                </c:pt>
                <c:pt idx="830">
                  <c:v>1.2963075700265794</c:v>
                </c:pt>
                <c:pt idx="831">
                  <c:v>1.2956364547670858</c:v>
                </c:pt>
                <c:pt idx="832">
                  <c:v>1.2976073486375084</c:v>
                </c:pt>
                <c:pt idx="833">
                  <c:v>1.2938918271318902</c:v>
                </c:pt>
                <c:pt idx="834">
                  <c:v>1.2886128684539244</c:v>
                </c:pt>
                <c:pt idx="835">
                  <c:v>1.2948222414358519</c:v>
                </c:pt>
                <c:pt idx="836">
                  <c:v>1.2964096735366519</c:v>
                </c:pt>
                <c:pt idx="837">
                  <c:v>1.286194892474152</c:v>
                </c:pt>
                <c:pt idx="838">
                  <c:v>1.2859206710796769</c:v>
                </c:pt>
                <c:pt idx="839">
                  <c:v>1.2893697330828513</c:v>
                </c:pt>
                <c:pt idx="840">
                  <c:v>1.2963202418717401</c:v>
                </c:pt>
                <c:pt idx="841">
                  <c:v>1.2923828284943815</c:v>
                </c:pt>
                <c:pt idx="842">
                  <c:v>1.2718620283902722</c:v>
                </c:pt>
                <c:pt idx="843">
                  <c:v>1.2822434306600394</c:v>
                </c:pt>
                <c:pt idx="844">
                  <c:v>1.2591596565745471</c:v>
                </c:pt>
                <c:pt idx="845">
                  <c:v>1.2656640366881837</c:v>
                </c:pt>
                <c:pt idx="846">
                  <c:v>1.2565066406081835</c:v>
                </c:pt>
                <c:pt idx="847">
                  <c:v>1.2531988988462788</c:v>
                </c:pt>
                <c:pt idx="848">
                  <c:v>1.2598464109549745</c:v>
                </c:pt>
                <c:pt idx="849">
                  <c:v>1.2317170536549744</c:v>
                </c:pt>
                <c:pt idx="850">
                  <c:v>1.2334255269785412</c:v>
                </c:pt>
                <c:pt idx="851">
                  <c:v>1.2208883633099368</c:v>
                </c:pt>
                <c:pt idx="852">
                  <c:v>1.2176094000824367</c:v>
                </c:pt>
                <c:pt idx="853">
                  <c:v>1.2125734265824364</c:v>
                </c:pt>
                <c:pt idx="854">
                  <c:v>1.2036065007419607</c:v>
                </c:pt>
                <c:pt idx="855">
                  <c:v>1.1770371208342683</c:v>
                </c:pt>
                <c:pt idx="856">
                  <c:v>1.1633734887261602</c:v>
                </c:pt>
                <c:pt idx="857">
                  <c:v>1.1778795542111313</c:v>
                </c:pt>
                <c:pt idx="858">
                  <c:v>1.2063680318152765</c:v>
                </c:pt>
                <c:pt idx="859">
                  <c:v>1.219027042841019</c:v>
                </c:pt>
                <c:pt idx="860">
                  <c:v>1.2386490434949873</c:v>
                </c:pt>
                <c:pt idx="861">
                  <c:v>1.1931313128081951</c:v>
                </c:pt>
                <c:pt idx="862">
                  <c:v>1.1606327570073101</c:v>
                </c:pt>
                <c:pt idx="863">
                  <c:v>1.1380845042995034</c:v>
                </c:pt>
                <c:pt idx="864">
                  <c:v>1.1260549433196752</c:v>
                </c:pt>
                <c:pt idx="865">
                  <c:v>1.1203608941072785</c:v>
                </c:pt>
                <c:pt idx="866">
                  <c:v>1.1097765397072785</c:v>
                </c:pt>
                <c:pt idx="867">
                  <c:v>1.1001181052512783</c:v>
                </c:pt>
                <c:pt idx="868">
                  <c:v>1.092740593906834</c:v>
                </c:pt>
                <c:pt idx="869">
                  <c:v>1.094301099875584</c:v>
                </c:pt>
                <c:pt idx="870">
                  <c:v>1.0919122913180084</c:v>
                </c:pt>
                <c:pt idx="871">
                  <c:v>1.0983873686930083</c:v>
                </c:pt>
                <c:pt idx="872">
                  <c:v>1.096701421064938</c:v>
                </c:pt>
                <c:pt idx="873">
                  <c:v>1.0928937980742837</c:v>
                </c:pt>
                <c:pt idx="874">
                  <c:v>1.0807566960342838</c:v>
                </c:pt>
                <c:pt idx="875">
                  <c:v>1.0976269775776364</c:v>
                </c:pt>
                <c:pt idx="876">
                  <c:v>1.1017175132112997</c:v>
                </c:pt>
                <c:pt idx="877">
                  <c:v>1.1003848037873867</c:v>
                </c:pt>
                <c:pt idx="878">
                  <c:v>1.0974006364005016</c:v>
                </c:pt>
                <c:pt idx="879">
                  <c:v>1.0954289651488236</c:v>
                </c:pt>
                <c:pt idx="880">
                  <c:v>1.1025749699905627</c:v>
                </c:pt>
                <c:pt idx="881">
                  <c:v>1.1039588282762771</c:v>
                </c:pt>
                <c:pt idx="882">
                  <c:v>1.0907408912616703</c:v>
                </c:pt>
                <c:pt idx="883">
                  <c:v>1.0798631091329989</c:v>
                </c:pt>
                <c:pt idx="884">
                  <c:v>1.0967954384373468</c:v>
                </c:pt>
                <c:pt idx="885">
                  <c:v>1.1066627204829467</c:v>
                </c:pt>
                <c:pt idx="886">
                  <c:v>1.1082446151753131</c:v>
                </c:pt>
                <c:pt idx="887">
                  <c:v>1.1105181449174752</c:v>
                </c:pt>
                <c:pt idx="888">
                  <c:v>1.1116764773244523</c:v>
                </c:pt>
                <c:pt idx="889">
                  <c:v>1.119224218804064</c:v>
                </c:pt>
                <c:pt idx="890">
                  <c:v>1.0963451711922989</c:v>
                </c:pt>
                <c:pt idx="891">
                  <c:v>1.0998328218165763</c:v>
                </c:pt>
                <c:pt idx="892">
                  <c:v>1.0929850178741762</c:v>
                </c:pt>
                <c:pt idx="893">
                  <c:v>1.0900002603915677</c:v>
                </c:pt>
                <c:pt idx="894">
                  <c:v>1.0873160427506587</c:v>
                </c:pt>
                <c:pt idx="895">
                  <c:v>1.0896322374852738</c:v>
                </c:pt>
                <c:pt idx="896">
                  <c:v>1.0817953160145137</c:v>
                </c:pt>
                <c:pt idx="897">
                  <c:v>1.0645330998581035</c:v>
                </c:pt>
                <c:pt idx="898">
                  <c:v>1.0926429199003569</c:v>
                </c:pt>
                <c:pt idx="899">
                  <c:v>1.0847857477674159</c:v>
                </c:pt>
                <c:pt idx="900">
                  <c:v>1.0958743760617424</c:v>
                </c:pt>
                <c:pt idx="901">
                  <c:v>1.0874835504479492</c:v>
                </c:pt>
                <c:pt idx="902">
                  <c:v>1.0670564843851584</c:v>
                </c:pt>
                <c:pt idx="903">
                  <c:v>1.0942436637898094</c:v>
                </c:pt>
                <c:pt idx="904">
                  <c:v>1.0861814400845464</c:v>
                </c:pt>
                <c:pt idx="905">
                  <c:v>1.0966876266845462</c:v>
                </c:pt>
                <c:pt idx="906">
                  <c:v>1.1154226644443717</c:v>
                </c:pt>
                <c:pt idx="907">
                  <c:v>1.1159025669121569</c:v>
                </c:pt>
                <c:pt idx="908">
                  <c:v>1.1102277425772054</c:v>
                </c:pt>
                <c:pt idx="909">
                  <c:v>1.1285006792938721</c:v>
                </c:pt>
                <c:pt idx="910">
                  <c:v>1.1372975817438722</c:v>
                </c:pt>
                <c:pt idx="911">
                  <c:v>1.1322634568704024</c:v>
                </c:pt>
                <c:pt idx="912">
                  <c:v>1.1341676635497415</c:v>
                </c:pt>
                <c:pt idx="913">
                  <c:v>1.1301232385885844</c:v>
                </c:pt>
                <c:pt idx="914">
                  <c:v>1.1321711536517425</c:v>
                </c:pt>
                <c:pt idx="915">
                  <c:v>1.1231868623184094</c:v>
                </c:pt>
                <c:pt idx="916">
                  <c:v>1.1484121559467555</c:v>
                </c:pt>
                <c:pt idx="917">
                  <c:v>1.1374842723195879</c:v>
                </c:pt>
                <c:pt idx="918">
                  <c:v>1.1632921698795879</c:v>
                </c:pt>
                <c:pt idx="919">
                  <c:v>1.1234880677985066</c:v>
                </c:pt>
                <c:pt idx="920">
                  <c:v>1.1334573484054031</c:v>
                </c:pt>
                <c:pt idx="921">
                  <c:v>1.1508637133694031</c:v>
                </c:pt>
                <c:pt idx="922">
                  <c:v>1.1549145476988829</c:v>
                </c:pt>
                <c:pt idx="923">
                  <c:v>1.1497554163940396</c:v>
                </c:pt>
                <c:pt idx="924">
                  <c:v>1.1418817685474136</c:v>
                </c:pt>
                <c:pt idx="925">
                  <c:v>1.1023929870755906</c:v>
                </c:pt>
                <c:pt idx="926">
                  <c:v>1.0821929903822569</c:v>
                </c:pt>
                <c:pt idx="927">
                  <c:v>1.1251318034402225</c:v>
                </c:pt>
                <c:pt idx="928">
                  <c:v>1.0892262955731813</c:v>
                </c:pt>
                <c:pt idx="929">
                  <c:v>1.1246135998335376</c:v>
                </c:pt>
                <c:pt idx="930">
                  <c:v>1.1219093636287298</c:v>
                </c:pt>
                <c:pt idx="931">
                  <c:v>1.1078379881137099</c:v>
                </c:pt>
                <c:pt idx="932">
                  <c:v>1.1217275660031079</c:v>
                </c:pt>
                <c:pt idx="933">
                  <c:v>1.150601840388511</c:v>
                </c:pt>
                <c:pt idx="934">
                  <c:v>1.1600935946519724</c:v>
                </c:pt>
                <c:pt idx="935">
                  <c:v>1.1566706390387127</c:v>
                </c:pt>
                <c:pt idx="936">
                  <c:v>1.1457231399387129</c:v>
                </c:pt>
                <c:pt idx="937">
                  <c:v>1.1465763910001163</c:v>
                </c:pt>
                <c:pt idx="938">
                  <c:v>1.1595611296691808</c:v>
                </c:pt>
                <c:pt idx="939">
                  <c:v>1.1812301133037102</c:v>
                </c:pt>
                <c:pt idx="940">
                  <c:v>1.1611809109646856</c:v>
                </c:pt>
                <c:pt idx="941">
                  <c:v>1.1414123281751103</c:v>
                </c:pt>
                <c:pt idx="942">
                  <c:v>1.100417726557906</c:v>
                </c:pt>
                <c:pt idx="943">
                  <c:v>1.1572101341786654</c:v>
                </c:pt>
                <c:pt idx="944">
                  <c:v>1.1115064487745836</c:v>
                </c:pt>
                <c:pt idx="945">
                  <c:v>1.0640414307245836</c:v>
                </c:pt>
                <c:pt idx="946">
                  <c:v>1.1155724605530808</c:v>
                </c:pt>
                <c:pt idx="947">
                  <c:v>1.1643915541947241</c:v>
                </c:pt>
                <c:pt idx="948">
                  <c:v>1.1838602960866837</c:v>
                </c:pt>
                <c:pt idx="949">
                  <c:v>1.1561179804848984</c:v>
                </c:pt>
                <c:pt idx="950">
                  <c:v>1.2250580588313158</c:v>
                </c:pt>
                <c:pt idx="951">
                  <c:v>1.1366367137073627</c:v>
                </c:pt>
                <c:pt idx="952">
                  <c:v>1.1439320210456805</c:v>
                </c:pt>
                <c:pt idx="953">
                  <c:v>1.1564447750523117</c:v>
                </c:pt>
                <c:pt idx="954">
                  <c:v>1.1564447750523117</c:v>
                </c:pt>
                <c:pt idx="955">
                  <c:v>1.1724392111182032</c:v>
                </c:pt>
                <c:pt idx="956">
                  <c:v>1.1872719638096314</c:v>
                </c:pt>
                <c:pt idx="957">
                  <c:v>1.1914342599915109</c:v>
                </c:pt>
                <c:pt idx="958">
                  <c:v>1.1820745039692884</c:v>
                </c:pt>
                <c:pt idx="959">
                  <c:v>1.1693730959677615</c:v>
                </c:pt>
                <c:pt idx="960">
                  <c:v>1.1722114956132161</c:v>
                </c:pt>
                <c:pt idx="961">
                  <c:v>1.1459110961315369</c:v>
                </c:pt>
                <c:pt idx="962">
                  <c:v>1.1365300453361784</c:v>
                </c:pt>
                <c:pt idx="963">
                  <c:v>1.0923867826168798</c:v>
                </c:pt>
                <c:pt idx="964">
                  <c:v>1.1118948524348691</c:v>
                </c:pt>
                <c:pt idx="965">
                  <c:v>1.1339467719516834</c:v>
                </c:pt>
                <c:pt idx="966">
                  <c:v>1.111251065450916</c:v>
                </c:pt>
                <c:pt idx="967">
                  <c:v>1.0905382358160844</c:v>
                </c:pt>
                <c:pt idx="968">
                  <c:v>1.0727170866346989</c:v>
                </c:pt>
                <c:pt idx="969">
                  <c:v>1.0997822701583633</c:v>
                </c:pt>
                <c:pt idx="970">
                  <c:v>1.1992636609205853</c:v>
                </c:pt>
                <c:pt idx="971">
                  <c:v>1.1893041381279026</c:v>
                </c:pt>
                <c:pt idx="972">
                  <c:v>1.2568553599524996</c:v>
                </c:pt>
                <c:pt idx="973">
                  <c:v>1.1285931462367005</c:v>
                </c:pt>
                <c:pt idx="974">
                  <c:v>1.3483305384251576</c:v>
                </c:pt>
                <c:pt idx="975">
                  <c:v>1.3324683535320676</c:v>
                </c:pt>
                <c:pt idx="976">
                  <c:v>1.2169009286691592</c:v>
                </c:pt>
                <c:pt idx="977">
                  <c:v>1.149795649447543</c:v>
                </c:pt>
                <c:pt idx="978">
                  <c:v>1.105654615588691</c:v>
                </c:pt>
                <c:pt idx="979">
                  <c:v>1.1151900672237789</c:v>
                </c:pt>
                <c:pt idx="980">
                  <c:v>1.1578157105212579</c:v>
                </c:pt>
                <c:pt idx="981">
                  <c:v>1.0763793812415654</c:v>
                </c:pt>
                <c:pt idx="982">
                  <c:v>1.1729794594308256</c:v>
                </c:pt>
                <c:pt idx="983">
                  <c:v>1.1798701420604767</c:v>
                </c:pt>
                <c:pt idx="984">
                  <c:v>1.1790600751689599</c:v>
                </c:pt>
                <c:pt idx="985">
                  <c:v>1.079983897360264</c:v>
                </c:pt>
                <c:pt idx="986">
                  <c:v>1.1253997619569913</c:v>
                </c:pt>
                <c:pt idx="987">
                  <c:v>1.1095571630946917</c:v>
                </c:pt>
                <c:pt idx="988">
                  <c:v>1.2113145219904424</c:v>
                </c:pt>
                <c:pt idx="989">
                  <c:v>1.0558333230314536</c:v>
                </c:pt>
                <c:pt idx="990">
                  <c:v>0.85978024096373706</c:v>
                </c:pt>
                <c:pt idx="991">
                  <c:v>0.7812969027383273</c:v>
                </c:pt>
                <c:pt idx="992">
                  <c:v>0.81857194594432703</c:v>
                </c:pt>
                <c:pt idx="993">
                  <c:v>0.74473907022258801</c:v>
                </c:pt>
                <c:pt idx="994">
                  <c:v>0.72643780936732516</c:v>
                </c:pt>
                <c:pt idx="995">
                  <c:v>0.74199653173580982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1-46FF-89E0-66076EEAD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795056"/>
        <c:axId val="96792144"/>
      </c:lineChart>
      <c:dateAx>
        <c:axId val="96795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92144"/>
        <c:crosses val="autoZero"/>
        <c:auto val="1"/>
        <c:lblOffset val="100"/>
        <c:baseTimeUnit val="days"/>
      </c:dateAx>
      <c:valAx>
        <c:axId val="9679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79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053B427-FE1C-4196-A121-2591C548153A}">
  <sheetPr codeName="Chart1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FA2ADD-E799-44A1-BED8-A6A0173A2D4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2.6772999999999998</v>
      </c>
      <c r="D2" s="4">
        <f>MIN(D3:D1912)</f>
        <v>5.3400000000000003E-2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0.80359999999999998</v>
      </c>
      <c r="C5">
        <v>0.81079999999999997</v>
      </c>
      <c r="D5">
        <v>0.79239999999999999</v>
      </c>
      <c r="E5">
        <v>0.79400000000000004</v>
      </c>
      <c r="F5">
        <v>1460552</v>
      </c>
      <c r="G5">
        <v>0.79400000000000004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-0.82608695652173392</v>
      </c>
      <c r="Q5">
        <f t="shared" ref="Q5" si="1">F5*P5</f>
        <v>-1206542.9565217316</v>
      </c>
      <c r="R5">
        <f t="shared" ref="R5" si="2">R6+Q5</f>
        <v>1679428030.6572449</v>
      </c>
      <c r="S5">
        <f t="shared" ref="S5" si="3">R5/100000</f>
        <v>16794.280306572447</v>
      </c>
      <c r="T5">
        <f t="shared" ref="T5" si="4">S5/1000</f>
        <v>16.794280306572446</v>
      </c>
    </row>
    <row r="6" spans="1:20" x14ac:dyDescent="0.25">
      <c r="A6" s="5">
        <v>44587</v>
      </c>
      <c r="B6">
        <v>0.81120000000000003</v>
      </c>
      <c r="C6">
        <v>0.86870000000000003</v>
      </c>
      <c r="D6">
        <v>0.7923</v>
      </c>
      <c r="E6">
        <v>0.80249999999999999</v>
      </c>
      <c r="F6">
        <v>14108668</v>
      </c>
      <c r="G6">
        <v>0.80249999999999999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-0.73298429319371772</v>
      </c>
      <c r="Q6">
        <f t="shared" ref="Q6" si="6">F6*P6</f>
        <v>-10341432.041884823</v>
      </c>
      <c r="R6">
        <f t="shared" ref="R6" si="7">R7+Q6</f>
        <v>1680634573.6137667</v>
      </c>
      <c r="S6">
        <f t="shared" ref="S6" si="8">R6/100000</f>
        <v>16806.345736137668</v>
      </c>
      <c r="T6">
        <f t="shared" ref="T6" si="9">S6/1000</f>
        <v>16.806345736137668</v>
      </c>
    </row>
    <row r="7" spans="1:20" x14ac:dyDescent="0.25">
      <c r="A7" s="5">
        <v>44586</v>
      </c>
      <c r="B7">
        <v>0.79039999999999999</v>
      </c>
      <c r="C7">
        <v>0.82640000000000002</v>
      </c>
      <c r="D7">
        <v>0.77039999999999997</v>
      </c>
      <c r="E7">
        <v>0.81030000000000002</v>
      </c>
      <c r="F7">
        <v>14701752</v>
      </c>
      <c r="G7">
        <v>0.81030000000000002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0.42500000000000038</v>
      </c>
      <c r="Q7">
        <f t="shared" ref="Q7" si="11">F7*P7</f>
        <v>6248244.6000000052</v>
      </c>
      <c r="R7">
        <f t="shared" ref="R7" si="12">R8+Q7</f>
        <v>1690976005.6556516</v>
      </c>
      <c r="S7">
        <f t="shared" ref="S7" si="13">R7/100000</f>
        <v>16909.760056556515</v>
      </c>
      <c r="T7">
        <f t="shared" ref="T7" si="14">S7/1000</f>
        <v>16.909760056556514</v>
      </c>
    </row>
    <row r="8" spans="1:20" x14ac:dyDescent="0.25">
      <c r="A8" s="5">
        <v>44585</v>
      </c>
      <c r="B8">
        <v>0.81530000000000002</v>
      </c>
      <c r="C8">
        <v>0.81530000000000002</v>
      </c>
      <c r="D8">
        <v>0.69430000000000003</v>
      </c>
      <c r="E8">
        <v>0.79059999999999997</v>
      </c>
      <c r="F8">
        <v>23061839</v>
      </c>
      <c r="G8">
        <v>0.79059999999999997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0.59173553719008176</v>
      </c>
      <c r="Q8">
        <f t="shared" ref="Q8" si="16">F8*P8</f>
        <v>13646509.689256178</v>
      </c>
      <c r="R8">
        <f t="shared" ref="R8" si="17">R9+Q8</f>
        <v>1684727761.0556517</v>
      </c>
      <c r="S8">
        <f t="shared" ref="S8" si="18">R8/100000</f>
        <v>16847.277610556517</v>
      </c>
      <c r="T8">
        <f t="shared" ref="T8" si="19">S8/1000</f>
        <v>16.847277610556517</v>
      </c>
    </row>
    <row r="9" spans="1:20" x14ac:dyDescent="0.25">
      <c r="A9" s="5">
        <v>44584</v>
      </c>
      <c r="B9">
        <v>0.78029999999999999</v>
      </c>
      <c r="C9">
        <v>0.84130000000000005</v>
      </c>
      <c r="D9">
        <v>0.76659999999999995</v>
      </c>
      <c r="E9">
        <v>0.81559999999999999</v>
      </c>
      <c r="F9">
        <v>17749537</v>
      </c>
      <c r="G9">
        <v>0.81559999999999999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0.31191432396251617</v>
      </c>
      <c r="Q9">
        <f t="shared" ref="Q9" si="21">F9*P9</f>
        <v>5536334.8340026671</v>
      </c>
      <c r="R9">
        <f t="shared" ref="R9" si="22">R10+Q9</f>
        <v>1671081251.3663955</v>
      </c>
      <c r="S9">
        <f t="shared" ref="S9" si="23">R9/100000</f>
        <v>16710.812513663954</v>
      </c>
      <c r="T9">
        <f t="shared" ref="T9" si="24">S9/1000</f>
        <v>16.710812513663953</v>
      </c>
    </row>
    <row r="10" spans="1:20" x14ac:dyDescent="0.25">
      <c r="A10" s="5">
        <v>44583</v>
      </c>
      <c r="B10">
        <v>0.85660000000000003</v>
      </c>
      <c r="C10">
        <v>0.87839999999999996</v>
      </c>
      <c r="D10">
        <v>0.69579999999999997</v>
      </c>
      <c r="E10">
        <v>0.78</v>
      </c>
      <c r="F10">
        <v>34223141.82</v>
      </c>
      <c r="G10">
        <v>0.78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-7.7765607886089161E-2</v>
      </c>
      <c r="Q10">
        <f t="shared" ref="Q10" si="26">F10*P10</f>
        <v>-2661383.4274041397</v>
      </c>
      <c r="R10">
        <f t="shared" ref="R10" si="27">R11+Q10</f>
        <v>1665544916.5323927</v>
      </c>
      <c r="S10">
        <f t="shared" ref="S10" si="28">R10/100000</f>
        <v>16655.449165323927</v>
      </c>
      <c r="T10">
        <f t="shared" ref="T10" si="29">S10/1000</f>
        <v>16.655449165323926</v>
      </c>
    </row>
    <row r="11" spans="1:20" x14ac:dyDescent="0.25">
      <c r="A11" s="5">
        <v>44582</v>
      </c>
      <c r="B11">
        <v>1.0166999999999999</v>
      </c>
      <c r="C11">
        <v>1.0359</v>
      </c>
      <c r="D11">
        <v>0.83520000000000005</v>
      </c>
      <c r="E11">
        <v>0.85699999999999998</v>
      </c>
      <c r="F11">
        <v>29226673.550000001</v>
      </c>
      <c r="G11">
        <v>0.85699999999999998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-0.78276033881415119</v>
      </c>
      <c r="Q11">
        <f t="shared" ref="Q11" si="31">F11*P11</f>
        <v>-22877480.89040859</v>
      </c>
      <c r="R11">
        <f t="shared" ref="R11" si="32">R12+Q11</f>
        <v>1668206299.9597969</v>
      </c>
      <c r="S11">
        <f t="shared" ref="S11" si="33">R11/100000</f>
        <v>16682.062999597969</v>
      </c>
      <c r="T11">
        <f t="shared" ref="T11" si="34">S11/1000</f>
        <v>16.682062999597967</v>
      </c>
    </row>
    <row r="12" spans="1:20" x14ac:dyDescent="0.25">
      <c r="A12" s="5">
        <v>44581</v>
      </c>
      <c r="B12">
        <v>1.0492999999999999</v>
      </c>
      <c r="C12">
        <v>1.1131</v>
      </c>
      <c r="D12">
        <v>1.01</v>
      </c>
      <c r="E12">
        <v>1.0173000000000001</v>
      </c>
      <c r="F12">
        <v>14741889</v>
      </c>
      <c r="G12">
        <v>1.0173000000000001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-0.85838991270610887</v>
      </c>
      <c r="Q12">
        <f t="shared" ref="Q12" si="36">F12*P12</f>
        <v>-12654288.811833147</v>
      </c>
      <c r="R12">
        <f t="shared" ref="R12" si="37">R13+Q12</f>
        <v>1691083780.8502054</v>
      </c>
      <c r="S12">
        <f t="shared" ref="S12" si="38">R12/100000</f>
        <v>16910.837808502056</v>
      </c>
      <c r="T12">
        <f t="shared" ref="T12" si="39">S12/1000</f>
        <v>16.910837808502055</v>
      </c>
    </row>
    <row r="13" spans="1:20" x14ac:dyDescent="0.25">
      <c r="A13" s="5">
        <v>44580</v>
      </c>
      <c r="B13">
        <v>1.1014999999999999</v>
      </c>
      <c r="C13">
        <v>1.1060000000000001</v>
      </c>
      <c r="D13">
        <v>1.026</v>
      </c>
      <c r="E13">
        <v>1.0491999999999999</v>
      </c>
      <c r="F13">
        <v>11418733</v>
      </c>
      <c r="G13">
        <v>1.0491999999999999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-0.42000000000000332</v>
      </c>
      <c r="Q13">
        <f t="shared" ref="Q13" si="41">F13*P13</f>
        <v>-4795867.8600000376</v>
      </c>
      <c r="R13">
        <f t="shared" ref="R13" si="42">R14+Q13</f>
        <v>1703738069.6620386</v>
      </c>
      <c r="S13">
        <f t="shared" ref="S13" si="43">R13/100000</f>
        <v>17037.380696620385</v>
      </c>
      <c r="T13">
        <f t="shared" ref="T13" si="44">S13/1000</f>
        <v>17.037380696620385</v>
      </c>
    </row>
    <row r="14" spans="1:20" x14ac:dyDescent="0.25">
      <c r="A14" s="5">
        <v>44579</v>
      </c>
      <c r="B14">
        <v>1.1617</v>
      </c>
      <c r="C14">
        <v>1.196</v>
      </c>
      <c r="D14">
        <v>1.075</v>
      </c>
      <c r="E14">
        <v>1.1014999999999999</v>
      </c>
      <c r="F14">
        <v>19399794</v>
      </c>
      <c r="G14">
        <v>1.1014999999999999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-0.56198347107438074</v>
      </c>
      <c r="Q14">
        <f t="shared" ref="Q14" si="46">F14*P14</f>
        <v>-10902363.570247944</v>
      </c>
      <c r="R14">
        <f t="shared" ref="R14" si="47">R15+Q14</f>
        <v>1708533937.5220387</v>
      </c>
      <c r="S14">
        <f t="shared" ref="S14" si="48">R14/100000</f>
        <v>17085.339375220388</v>
      </c>
      <c r="T14">
        <f t="shared" ref="T14" si="49">S14/1000</f>
        <v>17.085339375220389</v>
      </c>
    </row>
    <row r="15" spans="1:20" x14ac:dyDescent="0.25">
      <c r="A15" s="5">
        <v>44578</v>
      </c>
      <c r="B15">
        <v>1.1372</v>
      </c>
      <c r="C15">
        <v>1.1933</v>
      </c>
      <c r="D15">
        <v>1.1172</v>
      </c>
      <c r="E15">
        <v>1.1616</v>
      </c>
      <c r="F15">
        <v>17403670</v>
      </c>
      <c r="G15">
        <v>1.1616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0.16688567674112909</v>
      </c>
      <c r="Q15">
        <f t="shared" ref="Q15" si="51">F15*P15</f>
        <v>2904423.2457292862</v>
      </c>
      <c r="R15">
        <f t="shared" ref="R15" si="52">R16+Q15</f>
        <v>1719436301.0922866</v>
      </c>
      <c r="S15">
        <f t="shared" ref="S15" si="53">R15/100000</f>
        <v>17194.363010922865</v>
      </c>
      <c r="T15">
        <f t="shared" ref="T15" si="54">S15/1000</f>
        <v>17.194363010922864</v>
      </c>
    </row>
    <row r="16" spans="1:20" x14ac:dyDescent="0.25">
      <c r="A16" s="5">
        <v>44577</v>
      </c>
      <c r="B16">
        <v>1.1256999999999999</v>
      </c>
      <c r="C16">
        <v>1.1606000000000001</v>
      </c>
      <c r="D16">
        <v>1.1161000000000001</v>
      </c>
      <c r="E16">
        <v>1.1373</v>
      </c>
      <c r="F16">
        <v>6469627</v>
      </c>
      <c r="G16">
        <v>1.1373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-4.7191011235959854E-2</v>
      </c>
      <c r="Q16">
        <f t="shared" ref="Q16" si="56">F16*P16</f>
        <v>-305308.24044946925</v>
      </c>
      <c r="R16">
        <f t="shared" ref="R16" si="57">R17+Q16</f>
        <v>1716531877.8465574</v>
      </c>
      <c r="S16">
        <f t="shared" ref="S16" si="58">R16/100000</f>
        <v>17165.318778465575</v>
      </c>
      <c r="T16">
        <f t="shared" ref="T16" si="59">S16/1000</f>
        <v>17.165318778465576</v>
      </c>
    </row>
    <row r="17" spans="1:20" x14ac:dyDescent="0.25">
      <c r="A17" s="5">
        <v>44576</v>
      </c>
      <c r="B17">
        <v>1.1224000000000001</v>
      </c>
      <c r="C17">
        <v>1.1557999999999999</v>
      </c>
      <c r="D17">
        <v>1.1160000000000001</v>
      </c>
      <c r="E17">
        <v>1.1256999999999999</v>
      </c>
      <c r="F17">
        <v>8193209</v>
      </c>
      <c r="G17">
        <v>1.1256999999999999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-0.51256281407035875</v>
      </c>
      <c r="Q17">
        <f t="shared" ref="Q17" si="61">F17*P17</f>
        <v>-4199534.2613065904</v>
      </c>
      <c r="R17">
        <f t="shared" ref="R17" si="62">R18+Q17</f>
        <v>1716837186.0870068</v>
      </c>
      <c r="S17">
        <f t="shared" ref="S17" si="63">R17/100000</f>
        <v>17168.371860870069</v>
      </c>
      <c r="T17">
        <f t="shared" ref="T17" si="64">S17/1000</f>
        <v>17.168371860870071</v>
      </c>
    </row>
    <row r="18" spans="1:20" x14ac:dyDescent="0.25">
      <c r="A18" s="5">
        <v>44575</v>
      </c>
      <c r="B18">
        <v>1.1075999999999999</v>
      </c>
      <c r="C18">
        <v>1.1288</v>
      </c>
      <c r="D18">
        <v>1.0775999999999999</v>
      </c>
      <c r="E18">
        <v>1.1223000000000001</v>
      </c>
      <c r="F18">
        <v>11232540</v>
      </c>
      <c r="G18">
        <v>1.1223000000000001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0.74609375000000255</v>
      </c>
      <c r="Q18">
        <f t="shared" ref="Q18" si="66">F18*P18</f>
        <v>8380527.8906250289</v>
      </c>
      <c r="R18">
        <f t="shared" ref="R18" si="67">R19+Q18</f>
        <v>1721036720.3483133</v>
      </c>
      <c r="S18">
        <f t="shared" ref="S18" si="68">R18/100000</f>
        <v>17210.367203483132</v>
      </c>
      <c r="T18">
        <f t="shared" ref="T18" si="69">S18/1000</f>
        <v>17.210367203483134</v>
      </c>
    </row>
    <row r="19" spans="1:20" x14ac:dyDescent="0.25">
      <c r="A19" s="5">
        <v>44574</v>
      </c>
      <c r="B19">
        <v>1.1879</v>
      </c>
      <c r="C19">
        <v>1.2010000000000001</v>
      </c>
      <c r="D19">
        <v>1.1014999999999999</v>
      </c>
      <c r="E19">
        <v>1.1086</v>
      </c>
      <c r="F19">
        <v>20004200</v>
      </c>
      <c r="G19">
        <v>1.1086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-0.85728643216080214</v>
      </c>
      <c r="Q19">
        <f t="shared" ref="Q19" si="71">F19*P19</f>
        <v>-17149329.246231116</v>
      </c>
      <c r="R19">
        <f t="shared" ref="R19" si="72">R20+Q19</f>
        <v>1712656192.4576883</v>
      </c>
      <c r="S19">
        <f t="shared" ref="S19" si="73">R19/100000</f>
        <v>17126.561924576883</v>
      </c>
      <c r="T19">
        <f t="shared" ref="T19" si="74">S19/1000</f>
        <v>17.126561924576883</v>
      </c>
    </row>
    <row r="20" spans="1:20" x14ac:dyDescent="0.25">
      <c r="A20" s="5">
        <v>44573</v>
      </c>
      <c r="B20">
        <v>1.1413</v>
      </c>
      <c r="C20">
        <v>1.1990000000000001</v>
      </c>
      <c r="D20">
        <v>1.1329</v>
      </c>
      <c r="E20">
        <v>1.1882999999999999</v>
      </c>
      <c r="F20">
        <v>13738224</v>
      </c>
      <c r="G20">
        <v>1.1882999999999999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0.67624810892586551</v>
      </c>
      <c r="Q20">
        <f t="shared" ref="Q20" si="76">F20*P20</f>
        <v>9290447.9999999404</v>
      </c>
      <c r="R20">
        <f t="shared" ref="R20" si="77">R21+Q20</f>
        <v>1729805521.7039194</v>
      </c>
      <c r="S20">
        <f t="shared" ref="S20" si="78">R20/100000</f>
        <v>17298.055217039193</v>
      </c>
      <c r="T20">
        <f t="shared" ref="T20" si="79">S20/1000</f>
        <v>17.298055217039192</v>
      </c>
    </row>
    <row r="21" spans="1:20" x14ac:dyDescent="0.25">
      <c r="A21" s="5">
        <v>44572</v>
      </c>
      <c r="B21">
        <v>1.1119000000000001</v>
      </c>
      <c r="C21">
        <v>1.1549</v>
      </c>
      <c r="D21">
        <v>1.0726</v>
      </c>
      <c r="E21">
        <v>1.141</v>
      </c>
      <c r="F21">
        <v>23293442</v>
      </c>
      <c r="G21">
        <v>1.141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0.66221142162818913</v>
      </c>
      <c r="Q21">
        <f t="shared" ref="Q21" si="81">F21*P21</f>
        <v>15425183.341433769</v>
      </c>
      <c r="R21">
        <f t="shared" ref="R21" si="82">R22+Q21</f>
        <v>1720515073.7039194</v>
      </c>
      <c r="S21">
        <f t="shared" ref="S21" si="83">R21/100000</f>
        <v>17205.150737039196</v>
      </c>
      <c r="T21">
        <f t="shared" ref="T21" si="84">S21/1000</f>
        <v>17.205150737039194</v>
      </c>
    </row>
    <row r="22" spans="1:20" x14ac:dyDescent="0.25">
      <c r="A22" s="5">
        <v>44571</v>
      </c>
      <c r="B22">
        <v>1.0709</v>
      </c>
      <c r="C22">
        <v>1.1241000000000001</v>
      </c>
      <c r="D22">
        <v>1.0036</v>
      </c>
      <c r="E22">
        <v>1.1114999999999999</v>
      </c>
      <c r="F22">
        <v>20600782</v>
      </c>
      <c r="G22">
        <v>1.1114999999999999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0.79087136929460311</v>
      </c>
      <c r="Q22">
        <f t="shared" ref="Q22" si="86">F22*P22</f>
        <v>16292568.668879613</v>
      </c>
      <c r="R22">
        <f t="shared" ref="R22" si="87">R23+Q22</f>
        <v>1705089890.3624856</v>
      </c>
      <c r="S22">
        <f t="shared" ref="S22" si="88">R22/100000</f>
        <v>17050.898903624857</v>
      </c>
      <c r="T22">
        <f t="shared" ref="T22" si="89">S22/1000</f>
        <v>17.050898903624855</v>
      </c>
    </row>
    <row r="23" spans="1:20" x14ac:dyDescent="0.25">
      <c r="A23" s="5">
        <v>44570</v>
      </c>
      <c r="B23">
        <v>1.0755999999999999</v>
      </c>
      <c r="C23">
        <v>1.1039000000000001</v>
      </c>
      <c r="D23">
        <v>1.0310999999999999</v>
      </c>
      <c r="E23">
        <v>1.0711999999999999</v>
      </c>
      <c r="F23">
        <v>18458657</v>
      </c>
      <c r="G23">
        <v>1.0711999999999999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0.10164835164834933</v>
      </c>
      <c r="Q23">
        <f t="shared" ref="Q23" si="91">F23*P23</f>
        <v>1876292.0576922649</v>
      </c>
      <c r="R23">
        <f t="shared" ref="R23" si="92">R24+Q23</f>
        <v>1688797321.6936061</v>
      </c>
      <c r="S23">
        <f t="shared" ref="S23" si="93">R23/100000</f>
        <v>16887.973216936061</v>
      </c>
      <c r="T23">
        <f t="shared" ref="T23" si="94">S23/1000</f>
        <v>16.887973216936061</v>
      </c>
    </row>
    <row r="24" spans="1:20" x14ac:dyDescent="0.25">
      <c r="A24" s="5">
        <v>44569</v>
      </c>
      <c r="B24">
        <v>1.1142000000000001</v>
      </c>
      <c r="C24">
        <v>1.1389</v>
      </c>
      <c r="D24">
        <v>1.0283</v>
      </c>
      <c r="E24">
        <v>1.0755999999999999</v>
      </c>
      <c r="F24">
        <v>17832973</v>
      </c>
      <c r="G24">
        <v>1.0755999999999999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-0.14466546112115941</v>
      </c>
      <c r="Q24">
        <f t="shared" ref="Q24" si="96">F24*P24</f>
        <v>-2579815.2622061856</v>
      </c>
      <c r="R24">
        <f t="shared" ref="R24" si="97">R25+Q24</f>
        <v>1686921029.6359138</v>
      </c>
      <c r="S24">
        <f t="shared" ref="S24" si="98">R24/100000</f>
        <v>16869.210296359139</v>
      </c>
      <c r="T24">
        <f t="shared" ref="T24" si="99">S24/1000</f>
        <v>16.869210296359139</v>
      </c>
    </row>
    <row r="25" spans="1:20" x14ac:dyDescent="0.25">
      <c r="A25" s="5">
        <v>44568</v>
      </c>
      <c r="B25">
        <v>1.1837</v>
      </c>
      <c r="C25">
        <v>1.1891</v>
      </c>
      <c r="D25">
        <v>1.0853999999999999</v>
      </c>
      <c r="E25">
        <v>1.1144000000000001</v>
      </c>
      <c r="F25">
        <v>21089564</v>
      </c>
      <c r="G25">
        <v>1.1144000000000001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-0.44069431051108771</v>
      </c>
      <c r="Q25">
        <f t="shared" ref="Q25" si="101">F25*P25</f>
        <v>-9294050.8659594562</v>
      </c>
      <c r="R25">
        <f t="shared" ref="R25" si="102">R26+Q25</f>
        <v>1689500844.8981199</v>
      </c>
      <c r="S25">
        <f t="shared" ref="S25" si="103">R25/100000</f>
        <v>16895.0084489812</v>
      </c>
      <c r="T25">
        <f t="shared" ref="T25" si="104">S25/1000</f>
        <v>16.895008448981201</v>
      </c>
    </row>
    <row r="26" spans="1:20" x14ac:dyDescent="0.25">
      <c r="A26" s="5">
        <v>44567</v>
      </c>
      <c r="B26">
        <v>1.1716</v>
      </c>
      <c r="C26">
        <v>1.2121999999999999</v>
      </c>
      <c r="D26">
        <v>1.1264000000000001</v>
      </c>
      <c r="E26">
        <v>1.1840999999999999</v>
      </c>
      <c r="F26">
        <v>21605347</v>
      </c>
      <c r="G26">
        <v>1.1840999999999999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0.34498834498834374</v>
      </c>
      <c r="Q26">
        <f t="shared" ref="Q26" si="106">F26*P26</f>
        <v>7453592.9044288779</v>
      </c>
      <c r="R26">
        <f t="shared" ref="R26" si="107">R27+Q26</f>
        <v>1698794895.7640793</v>
      </c>
      <c r="S26">
        <f t="shared" ref="S26" si="108">R26/100000</f>
        <v>16987.948957640794</v>
      </c>
      <c r="T26">
        <f t="shared" ref="T26" si="109">S26/1000</f>
        <v>16.987948957640793</v>
      </c>
    </row>
    <row r="27" spans="1:20" x14ac:dyDescent="0.25">
      <c r="A27" s="5">
        <v>44566</v>
      </c>
      <c r="B27">
        <v>1.2787999999999999</v>
      </c>
      <c r="C27">
        <v>1.2972999999999999</v>
      </c>
      <c r="D27">
        <v>1.0973999999999999</v>
      </c>
      <c r="E27">
        <v>1.171</v>
      </c>
      <c r="F27">
        <v>24618898</v>
      </c>
      <c r="G27">
        <v>1.171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-0.26363181590795276</v>
      </c>
      <c r="Q27">
        <f t="shared" ref="Q27" si="111">F27*P27</f>
        <v>-6490324.7853926662</v>
      </c>
      <c r="R27">
        <f t="shared" ref="R27" si="112">R28+Q27</f>
        <v>1691341302.8596504</v>
      </c>
      <c r="S27">
        <f t="shared" ref="S27" si="113">R27/100000</f>
        <v>16913.413028596504</v>
      </c>
      <c r="T27">
        <f t="shared" ref="T27" si="114">S27/1000</f>
        <v>16.913413028596505</v>
      </c>
    </row>
    <row r="28" spans="1:20" x14ac:dyDescent="0.25">
      <c r="A28" s="5">
        <v>44565</v>
      </c>
      <c r="B28">
        <v>1.3847</v>
      </c>
      <c r="C28">
        <v>1.395</v>
      </c>
      <c r="D28">
        <v>1.2726</v>
      </c>
      <c r="E28">
        <v>1.2787999999999999</v>
      </c>
      <c r="F28">
        <v>22453111</v>
      </c>
      <c r="G28">
        <v>1.2787999999999999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-0.8986928104575167</v>
      </c>
      <c r="Q28">
        <f t="shared" ref="Q28" si="116">F28*P28</f>
        <v>-20178449.428104583</v>
      </c>
      <c r="R28">
        <f t="shared" ref="R28" si="117">R29+Q28</f>
        <v>1697831627.6450431</v>
      </c>
      <c r="S28">
        <f t="shared" ref="S28" si="118">R28/100000</f>
        <v>16978.31627645043</v>
      </c>
      <c r="T28">
        <f t="shared" ref="T28" si="119">S28/1000</f>
        <v>16.978316276450432</v>
      </c>
    </row>
    <row r="29" spans="1:20" x14ac:dyDescent="0.25">
      <c r="A29" s="5">
        <v>44564</v>
      </c>
      <c r="B29">
        <v>1.3720000000000001</v>
      </c>
      <c r="C29">
        <v>1.4071</v>
      </c>
      <c r="D29">
        <v>1.3375999999999999</v>
      </c>
      <c r="E29">
        <v>1.3842000000000001</v>
      </c>
      <c r="F29">
        <v>12505191</v>
      </c>
      <c r="G29">
        <v>1.3842000000000001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0.34100719424460774</v>
      </c>
      <c r="Q29">
        <f t="shared" ref="Q29" si="121">F29*P29</f>
        <v>4264360.0964029208</v>
      </c>
      <c r="R29">
        <f t="shared" ref="R29" si="122">R30+Q29</f>
        <v>1718010077.0731478</v>
      </c>
      <c r="S29">
        <f t="shared" ref="S29" si="123">R29/100000</f>
        <v>17180.100770731478</v>
      </c>
      <c r="T29">
        <f t="shared" ref="T29" si="124">S29/1000</f>
        <v>17.180100770731478</v>
      </c>
    </row>
    <row r="30" spans="1:20" x14ac:dyDescent="0.25">
      <c r="A30" s="5">
        <v>44563</v>
      </c>
      <c r="B30">
        <v>1.4108000000000001</v>
      </c>
      <c r="C30">
        <v>1.4139999999999999</v>
      </c>
      <c r="D30">
        <v>1.3620000000000001</v>
      </c>
      <c r="E30">
        <v>1.3723000000000001</v>
      </c>
      <c r="F30">
        <v>11666025</v>
      </c>
      <c r="G30">
        <v>1.3723000000000001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-0.60384615384615348</v>
      </c>
      <c r="Q30">
        <f t="shared" ref="Q30" si="126">F30*P30</f>
        <v>-7044484.3269230723</v>
      </c>
      <c r="R30">
        <f t="shared" ref="R30" si="127">R31+Q30</f>
        <v>1713745716.9767449</v>
      </c>
      <c r="S30">
        <f t="shared" ref="S30" si="128">R30/100000</f>
        <v>17137.457169767447</v>
      </c>
      <c r="T30">
        <f t="shared" ref="T30" si="129">S30/1000</f>
        <v>17.137457169767448</v>
      </c>
    </row>
    <row r="31" spans="1:20" x14ac:dyDescent="0.25">
      <c r="A31" s="5">
        <v>44562</v>
      </c>
      <c r="B31">
        <v>1.3656999999999999</v>
      </c>
      <c r="C31">
        <v>1.4309000000000001</v>
      </c>
      <c r="D31">
        <v>1.3423</v>
      </c>
      <c r="E31">
        <v>1.411</v>
      </c>
      <c r="F31">
        <v>15976879</v>
      </c>
      <c r="G31">
        <v>1.411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0.55079006772008976</v>
      </c>
      <c r="Q31">
        <f t="shared" ref="Q31" si="131">F31*P31</f>
        <v>8799906.2663656808</v>
      </c>
      <c r="R31">
        <f t="shared" ref="R31" si="132">R32+Q31</f>
        <v>1720790201.303668</v>
      </c>
      <c r="S31">
        <f t="shared" ref="S31" si="133">R31/100000</f>
        <v>17207.902013036681</v>
      </c>
      <c r="T31">
        <f t="shared" ref="T31" si="134">S31/1000</f>
        <v>17.20790201303668</v>
      </c>
    </row>
    <row r="32" spans="1:20" x14ac:dyDescent="0.25">
      <c r="A32" s="5">
        <v>44561</v>
      </c>
      <c r="B32">
        <v>1.4266000000000001</v>
      </c>
      <c r="C32">
        <v>1.4658</v>
      </c>
      <c r="D32">
        <v>1.3341000000000001</v>
      </c>
      <c r="E32">
        <v>1.3657999999999999</v>
      </c>
      <c r="F32">
        <v>22307668</v>
      </c>
      <c r="G32">
        <v>1.3657999999999999</v>
      </c>
      <c r="L32" t="s">
        <v>7</v>
      </c>
      <c r="M32" t="s">
        <v>8</v>
      </c>
      <c r="N32" t="s">
        <v>8</v>
      </c>
      <c r="P32">
        <f t="shared" ref="P32" si="135">IF(C32=D32,0,((E32-D32)-(C32-E32))/(C32-D32))</f>
        <v>-0.51860288534548438</v>
      </c>
      <c r="Q32">
        <f t="shared" ref="Q32" si="136">F32*P32</f>
        <v>-11568820.99012913</v>
      </c>
      <c r="R32">
        <f t="shared" ref="R32" si="137">R33+Q32</f>
        <v>1711990295.0373023</v>
      </c>
      <c r="S32">
        <f t="shared" ref="S32" si="138">R32/100000</f>
        <v>17119.902950373023</v>
      </c>
      <c r="T32">
        <f t="shared" ref="T32" si="139">S32/1000</f>
        <v>17.119902950373024</v>
      </c>
    </row>
    <row r="33" spans="1:20" x14ac:dyDescent="0.25">
      <c r="A33" s="5">
        <v>44560</v>
      </c>
      <c r="B33">
        <v>1.4818</v>
      </c>
      <c r="C33">
        <v>1.5394000000000001</v>
      </c>
      <c r="D33">
        <v>1.4176</v>
      </c>
      <c r="E33">
        <v>1.4266000000000001</v>
      </c>
      <c r="F33">
        <v>25263174</v>
      </c>
      <c r="G33">
        <v>1.4266000000000001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-0.85221674876847109</v>
      </c>
      <c r="Q33">
        <f t="shared" ref="Q33" si="141">F33*P33</f>
        <v>-21529700.009852171</v>
      </c>
      <c r="R33">
        <f t="shared" ref="R33" si="142">R34+Q33</f>
        <v>1723559116.0274315</v>
      </c>
      <c r="S33">
        <f t="shared" ref="S33" si="143">R33/100000</f>
        <v>17235.591160274314</v>
      </c>
      <c r="T33">
        <f t="shared" ref="T33" si="144">S33/1000</f>
        <v>17.235591160274314</v>
      </c>
    </row>
    <row r="34" spans="1:20" x14ac:dyDescent="0.25">
      <c r="A34" s="5">
        <v>44559</v>
      </c>
      <c r="B34">
        <v>1.429</v>
      </c>
      <c r="C34">
        <v>1.55</v>
      </c>
      <c r="D34">
        <v>1.427</v>
      </c>
      <c r="E34">
        <v>1.482</v>
      </c>
      <c r="F34">
        <v>49611302</v>
      </c>
      <c r="G34">
        <v>1.482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-0.1056910569105701</v>
      </c>
      <c r="Q34">
        <f t="shared" ref="Q34" si="146">F34*P34</f>
        <v>-5243470.9430894805</v>
      </c>
      <c r="R34">
        <f t="shared" ref="R34" si="147">R35+Q34</f>
        <v>1745088816.0372837</v>
      </c>
      <c r="S34">
        <f t="shared" ref="S34" si="148">R34/100000</f>
        <v>17450.888160372837</v>
      </c>
      <c r="T34">
        <f t="shared" ref="T34" si="149">S34/1000</f>
        <v>17.450888160372838</v>
      </c>
    </row>
    <row r="35" spans="1:20" x14ac:dyDescent="0.25">
      <c r="A35" s="5">
        <v>44558</v>
      </c>
      <c r="B35">
        <v>1.3798999999999999</v>
      </c>
      <c r="C35">
        <v>1.55</v>
      </c>
      <c r="D35">
        <v>1.3001</v>
      </c>
      <c r="E35">
        <v>1.4291</v>
      </c>
      <c r="F35">
        <v>69235641</v>
      </c>
      <c r="G35">
        <v>1.4291</v>
      </c>
      <c r="L35" t="s">
        <v>8</v>
      </c>
      <c r="M35" t="s">
        <v>8</v>
      </c>
      <c r="N35" t="s">
        <v>8</v>
      </c>
      <c r="P35">
        <f t="shared" ref="P35" si="150">IF(C35=D35,0,((E35-D35)-(C35-E35))/(C35-D35))</f>
        <v>3.2412965186074415E-2</v>
      </c>
      <c r="Q35">
        <f t="shared" ref="Q35" si="151">F35*P35</f>
        <v>2244132.4213685463</v>
      </c>
      <c r="R35">
        <f t="shared" ref="R35" si="152">R36+Q35</f>
        <v>1750332286.9803731</v>
      </c>
      <c r="S35">
        <f t="shared" ref="S35" si="153">R35/100000</f>
        <v>17503.322869803731</v>
      </c>
      <c r="T35">
        <f t="shared" ref="T35" si="154">S35/1000</f>
        <v>17.503322869803732</v>
      </c>
    </row>
    <row r="36" spans="1:20" x14ac:dyDescent="0.25">
      <c r="A36" s="5">
        <v>44557</v>
      </c>
      <c r="B36">
        <v>1.3905000000000001</v>
      </c>
      <c r="C36">
        <v>1.431</v>
      </c>
      <c r="D36">
        <v>1.367</v>
      </c>
      <c r="E36">
        <v>1.3793</v>
      </c>
      <c r="F36">
        <v>19272371</v>
      </c>
      <c r="G36">
        <v>1.3793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-0.61562500000000109</v>
      </c>
      <c r="Q36">
        <f t="shared" ref="Q36" si="156">F36*P36</f>
        <v>-11864553.39687502</v>
      </c>
      <c r="R36">
        <f t="shared" ref="R36" si="157">R37+Q36</f>
        <v>1748088154.5590045</v>
      </c>
      <c r="S36">
        <f t="shared" ref="S36" si="158">R36/100000</f>
        <v>17480.881545590044</v>
      </c>
      <c r="T36">
        <f t="shared" ref="T36" si="159">S36/1000</f>
        <v>17.480881545590044</v>
      </c>
    </row>
    <row r="37" spans="1:20" x14ac:dyDescent="0.25">
      <c r="A37" s="5">
        <v>44556</v>
      </c>
      <c r="B37">
        <v>1.3149</v>
      </c>
      <c r="C37">
        <v>1.45</v>
      </c>
      <c r="D37">
        <v>1.2674000000000001</v>
      </c>
      <c r="E37">
        <v>1.3907</v>
      </c>
      <c r="F37">
        <v>29052991</v>
      </c>
      <c r="G37">
        <v>1.3907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0.35049288061336309</v>
      </c>
      <c r="Q37">
        <f t="shared" ref="Q37" si="161">F37*P37</f>
        <v>10182866.506024113</v>
      </c>
      <c r="R37">
        <f t="shared" ref="R37" si="162">R38+Q37</f>
        <v>1759952707.9558794</v>
      </c>
      <c r="S37">
        <f t="shared" ref="S37" si="163">R37/100000</f>
        <v>17599.527079558793</v>
      </c>
      <c r="T37">
        <f t="shared" ref="T37" si="164">S37/1000</f>
        <v>17.599527079558793</v>
      </c>
    </row>
    <row r="38" spans="1:20" x14ac:dyDescent="0.25">
      <c r="A38" s="5">
        <v>44555</v>
      </c>
      <c r="B38">
        <v>1.2853000000000001</v>
      </c>
      <c r="C38">
        <v>1.3689</v>
      </c>
      <c r="D38">
        <v>1.2697000000000001</v>
      </c>
      <c r="E38">
        <v>1.3149999999999999</v>
      </c>
      <c r="F38">
        <v>19536420</v>
      </c>
      <c r="G38">
        <v>1.3149999999999999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-8.669354838709846E-2</v>
      </c>
      <c r="Q38">
        <f t="shared" ref="Q38" si="166">F38*P38</f>
        <v>-1693681.5725806782</v>
      </c>
      <c r="R38">
        <f t="shared" ref="R38" si="167">R39+Q38</f>
        <v>1749769841.4498553</v>
      </c>
      <c r="S38">
        <f t="shared" ref="S38" si="168">R38/100000</f>
        <v>17497.698414498554</v>
      </c>
      <c r="T38">
        <f t="shared" ref="T38" si="169">S38/1000</f>
        <v>17.497698414498554</v>
      </c>
    </row>
    <row r="39" spans="1:20" x14ac:dyDescent="0.25">
      <c r="A39" s="5">
        <v>44554</v>
      </c>
      <c r="B39">
        <v>1.2948</v>
      </c>
      <c r="C39">
        <v>1.3199000000000001</v>
      </c>
      <c r="D39">
        <v>1.248</v>
      </c>
      <c r="E39">
        <v>1.2848999999999999</v>
      </c>
      <c r="F39">
        <v>13693332</v>
      </c>
      <c r="G39">
        <v>1.2848999999999999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2.6425591098745323E-2</v>
      </c>
      <c r="Q39">
        <f t="shared" ref="Q39" si="171">F39*P39</f>
        <v>361854.39221136447</v>
      </c>
      <c r="R39">
        <f t="shared" ref="R39" si="172">R40+Q39</f>
        <v>1751463523.0224359</v>
      </c>
      <c r="S39">
        <f t="shared" ref="S39" si="173">R39/100000</f>
        <v>17514.635230224358</v>
      </c>
      <c r="T39">
        <f t="shared" ref="T39" si="174">S39/1000</f>
        <v>17.514635230224357</v>
      </c>
    </row>
    <row r="40" spans="1:20" x14ac:dyDescent="0.25">
      <c r="A40" s="5">
        <v>44553</v>
      </c>
      <c r="B40">
        <v>1.2713000000000001</v>
      </c>
      <c r="C40">
        <v>1.3127</v>
      </c>
      <c r="D40">
        <v>1.2274</v>
      </c>
      <c r="E40">
        <v>1.2951999999999999</v>
      </c>
      <c r="F40">
        <v>20410102</v>
      </c>
      <c r="G40">
        <v>1.2951999999999999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0.58968347010550792</v>
      </c>
      <c r="Q40">
        <f t="shared" ref="Q40" si="176">F40*P40</f>
        <v>12035499.772567367</v>
      </c>
      <c r="R40">
        <f t="shared" ref="R40" si="177">R41+Q40</f>
        <v>1751101668.6302245</v>
      </c>
      <c r="S40">
        <f t="shared" ref="S40" si="178">R40/100000</f>
        <v>17511.016686302246</v>
      </c>
      <c r="T40">
        <f t="shared" ref="T40" si="179">S40/1000</f>
        <v>17.511016686302245</v>
      </c>
    </row>
    <row r="41" spans="1:20" x14ac:dyDescent="0.25">
      <c r="A41" s="5">
        <v>44552</v>
      </c>
      <c r="B41">
        <v>1.3149</v>
      </c>
      <c r="C41">
        <v>1.3694</v>
      </c>
      <c r="D41">
        <v>1.2582</v>
      </c>
      <c r="E41">
        <v>1.2708999999999999</v>
      </c>
      <c r="F41">
        <v>32543629</v>
      </c>
      <c r="G41">
        <v>1.2708999999999999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-0.77158273381295073</v>
      </c>
      <c r="Q41">
        <f t="shared" ref="Q41" si="181">F41*P41</f>
        <v>-25110102.232014425</v>
      </c>
      <c r="R41">
        <f t="shared" ref="R41" si="182">R42+Q41</f>
        <v>1739066168.8576572</v>
      </c>
      <c r="S41">
        <f t="shared" ref="S41" si="183">R41/100000</f>
        <v>17390.661688576572</v>
      </c>
      <c r="T41">
        <f t="shared" ref="T41" si="184">S41/1000</f>
        <v>17.390661688576571</v>
      </c>
    </row>
    <row r="42" spans="1:20" x14ac:dyDescent="0.25">
      <c r="A42" s="5">
        <v>44551</v>
      </c>
      <c r="B42">
        <v>1.0793999999999999</v>
      </c>
      <c r="C42">
        <v>1.327</v>
      </c>
      <c r="D42">
        <v>1.0688</v>
      </c>
      <c r="E42">
        <v>1.3147</v>
      </c>
      <c r="F42">
        <v>40527679</v>
      </c>
      <c r="G42">
        <v>1.3147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0.90472501936483363</v>
      </c>
      <c r="Q42">
        <f t="shared" ref="Q42" si="186">F42*P42</f>
        <v>36666405.16808676</v>
      </c>
      <c r="R42">
        <f t="shared" ref="R42" si="187">R43+Q42</f>
        <v>1764176271.0896716</v>
      </c>
      <c r="S42">
        <f t="shared" ref="S42" si="188">R42/100000</f>
        <v>17641.762710896717</v>
      </c>
      <c r="T42">
        <f t="shared" ref="T42" si="189">S42/1000</f>
        <v>17.641762710896717</v>
      </c>
    </row>
    <row r="43" spans="1:20" x14ac:dyDescent="0.25">
      <c r="A43" s="5">
        <v>44550</v>
      </c>
      <c r="B43">
        <v>1.0640000000000001</v>
      </c>
      <c r="C43">
        <v>1.0831999999999999</v>
      </c>
      <c r="D43">
        <v>1.0185999999999999</v>
      </c>
      <c r="E43">
        <v>1.0799000000000001</v>
      </c>
      <c r="F43">
        <v>12567480</v>
      </c>
      <c r="G43">
        <v>1.0799000000000001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0.89783281733746567</v>
      </c>
      <c r="Q43">
        <f t="shared" ref="Q43" si="191">F43*P43</f>
        <v>11283495.975232253</v>
      </c>
      <c r="R43">
        <f t="shared" ref="R43" si="192">R44+Q43</f>
        <v>1727509865.9215848</v>
      </c>
      <c r="S43">
        <f t="shared" ref="S43" si="193">R43/100000</f>
        <v>17275.098659215848</v>
      </c>
      <c r="T43">
        <f t="shared" ref="T43" si="194">S43/1000</f>
        <v>17.275098659215846</v>
      </c>
    </row>
    <row r="44" spans="1:20" x14ac:dyDescent="0.25">
      <c r="A44" s="5">
        <v>44549</v>
      </c>
      <c r="B44">
        <v>1.1291</v>
      </c>
      <c r="C44">
        <v>1.1304000000000001</v>
      </c>
      <c r="D44">
        <v>1.0584</v>
      </c>
      <c r="E44">
        <v>1.0641</v>
      </c>
      <c r="F44">
        <v>10650769</v>
      </c>
      <c r="G44">
        <v>1.0641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-0.84166666666666579</v>
      </c>
      <c r="Q44">
        <f t="shared" ref="Q44" si="196">F44*P44</f>
        <v>-8964397.2416666579</v>
      </c>
      <c r="R44">
        <f t="shared" ref="R44" si="197">R45+Q44</f>
        <v>1716226369.9463525</v>
      </c>
      <c r="S44">
        <f t="shared" ref="S44" si="198">R44/100000</f>
        <v>17162.263699463525</v>
      </c>
      <c r="T44">
        <f t="shared" ref="T44" si="199">S44/1000</f>
        <v>17.162263699463526</v>
      </c>
    </row>
    <row r="45" spans="1:20" x14ac:dyDescent="0.25">
      <c r="A45" s="5">
        <v>44548</v>
      </c>
      <c r="B45">
        <v>1.1123000000000001</v>
      </c>
      <c r="C45">
        <v>1.1352</v>
      </c>
      <c r="D45">
        <v>1.0883</v>
      </c>
      <c r="E45">
        <v>1.129</v>
      </c>
      <c r="F45">
        <v>8156535</v>
      </c>
      <c r="G45">
        <v>1.129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0.7356076759061837</v>
      </c>
      <c r="Q45">
        <f t="shared" ref="Q45" si="201">F45*P45</f>
        <v>6000009.7547974437</v>
      </c>
      <c r="R45">
        <f t="shared" ref="R45" si="202">R46+Q45</f>
        <v>1725190767.188019</v>
      </c>
      <c r="S45">
        <f t="shared" ref="S45" si="203">R45/100000</f>
        <v>17251.907671880192</v>
      </c>
      <c r="T45">
        <f t="shared" ref="T45" si="204">S45/1000</f>
        <v>17.251907671880193</v>
      </c>
    </row>
    <row r="46" spans="1:20" x14ac:dyDescent="0.25">
      <c r="A46" s="5">
        <v>44547</v>
      </c>
      <c r="B46">
        <v>1.1379999999999999</v>
      </c>
      <c r="C46">
        <v>1.2015</v>
      </c>
      <c r="D46">
        <v>1.0803</v>
      </c>
      <c r="E46">
        <v>1.1126</v>
      </c>
      <c r="F46">
        <v>17190758</v>
      </c>
      <c r="G46">
        <v>1.1126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-0.46699669966996699</v>
      </c>
      <c r="Q46">
        <f t="shared" ref="Q46" si="206">F46*P46</f>
        <v>-8028027.250825082</v>
      </c>
      <c r="R46">
        <f t="shared" ref="R46" si="207">R47+Q46</f>
        <v>1719190757.4332216</v>
      </c>
      <c r="S46">
        <f t="shared" ref="S46" si="208">R46/100000</f>
        <v>17191.907574332217</v>
      </c>
      <c r="T46">
        <f t="shared" ref="T46" si="209">S46/1000</f>
        <v>17.191907574332216</v>
      </c>
    </row>
    <row r="47" spans="1:20" x14ac:dyDescent="0.25">
      <c r="A47" s="5">
        <v>44546</v>
      </c>
      <c r="B47">
        <v>1.1074999999999999</v>
      </c>
      <c r="C47">
        <v>1.1893</v>
      </c>
      <c r="D47">
        <v>1.0971</v>
      </c>
      <c r="E47">
        <v>1.1384000000000001</v>
      </c>
      <c r="F47">
        <v>16619653</v>
      </c>
      <c r="G47">
        <v>1.1384000000000001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-0.10412147505422803</v>
      </c>
      <c r="Q47">
        <f t="shared" ref="Q47" si="211">F47*P47</f>
        <v>-1730462.785249426</v>
      </c>
      <c r="R47">
        <f t="shared" ref="R47" si="212">R48+Q47</f>
        <v>1727218784.6840467</v>
      </c>
      <c r="S47">
        <f t="shared" ref="S47" si="213">R47/100000</f>
        <v>17272.187846840468</v>
      </c>
      <c r="T47">
        <f t="shared" ref="T47" si="214">S47/1000</f>
        <v>17.272187846840467</v>
      </c>
    </row>
    <row r="48" spans="1:20" x14ac:dyDescent="0.25">
      <c r="A48" s="5">
        <v>44545</v>
      </c>
      <c r="B48">
        <v>1.0605</v>
      </c>
      <c r="C48">
        <v>1.1279999999999999</v>
      </c>
      <c r="D48">
        <v>0.99650000000000005</v>
      </c>
      <c r="E48">
        <v>1.1072</v>
      </c>
      <c r="F48">
        <v>17558195</v>
      </c>
      <c r="G48">
        <v>1.1072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0.68365019011406913</v>
      </c>
      <c r="Q48">
        <f t="shared" ref="Q48" si="216">F48*P48</f>
        <v>12003663.349809898</v>
      </c>
      <c r="R48">
        <f t="shared" ref="R48" si="217">R49+Q48</f>
        <v>1728949247.4692962</v>
      </c>
      <c r="S48">
        <f t="shared" ref="S48" si="218">R48/100000</f>
        <v>17289.492474692961</v>
      </c>
      <c r="T48">
        <f t="shared" ref="T48" si="219">S48/1000</f>
        <v>17.28949247469296</v>
      </c>
    </row>
    <row r="49" spans="1:20" x14ac:dyDescent="0.25">
      <c r="A49" s="5">
        <v>44544</v>
      </c>
      <c r="B49">
        <v>1.0284</v>
      </c>
      <c r="C49">
        <v>1.0697000000000001</v>
      </c>
      <c r="D49">
        <v>1.0083</v>
      </c>
      <c r="E49">
        <v>1.0615000000000001</v>
      </c>
      <c r="F49">
        <v>12744901</v>
      </c>
      <c r="G49">
        <v>1.0615000000000001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0.73289902280130392</v>
      </c>
      <c r="Q49">
        <f t="shared" ref="Q49" si="221">F49*P49</f>
        <v>9340725.4885993619</v>
      </c>
      <c r="R49">
        <f t="shared" ref="R49" si="222">R50+Q49</f>
        <v>1716945584.1194863</v>
      </c>
      <c r="S49">
        <f t="shared" ref="S49" si="223">R49/100000</f>
        <v>17169.455841194864</v>
      </c>
      <c r="T49">
        <f t="shared" ref="T49" si="224">S49/1000</f>
        <v>17.169455841194864</v>
      </c>
    </row>
    <row r="50" spans="1:20" x14ac:dyDescent="0.25">
      <c r="A50" s="5">
        <v>44543</v>
      </c>
      <c r="B50">
        <v>1.1384000000000001</v>
      </c>
      <c r="C50">
        <v>1.1460999999999999</v>
      </c>
      <c r="D50">
        <v>1.0032000000000001</v>
      </c>
      <c r="E50">
        <v>1.0286</v>
      </c>
      <c r="F50">
        <v>16300350</v>
      </c>
      <c r="G50">
        <v>1.0286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-0.64450664800559965</v>
      </c>
      <c r="Q50">
        <f t="shared" ref="Q50" si="226">F50*P50</f>
        <v>-10505683.939818077</v>
      </c>
      <c r="R50">
        <f t="shared" ref="R50" si="227">R51+Q50</f>
        <v>1707604858.630887</v>
      </c>
      <c r="S50">
        <f t="shared" ref="S50" si="228">R50/100000</f>
        <v>17076.048586308869</v>
      </c>
      <c r="T50">
        <f t="shared" ref="T50" si="229">S50/1000</f>
        <v>17.076048586308868</v>
      </c>
    </row>
    <row r="51" spans="1:20" x14ac:dyDescent="0.25">
      <c r="A51" s="5">
        <v>44542</v>
      </c>
      <c r="B51">
        <v>1.1423000000000001</v>
      </c>
      <c r="C51">
        <v>1.153</v>
      </c>
      <c r="D51">
        <v>1.1065</v>
      </c>
      <c r="E51">
        <v>1.1384000000000001</v>
      </c>
      <c r="F51">
        <v>11031039</v>
      </c>
      <c r="G51">
        <v>1.1384000000000001</v>
      </c>
      <c r="L51" t="s">
        <v>7</v>
      </c>
      <c r="M51" t="s">
        <v>8</v>
      </c>
      <c r="N51" t="s">
        <v>7</v>
      </c>
      <c r="P51">
        <f t="shared" ref="P51" si="230">IF(C51=D51,0,((E51-D51)-(C51-E51))/(C51-D51))</f>
        <v>0.37204301075269031</v>
      </c>
      <c r="Q51">
        <f t="shared" ref="Q51" si="231">F51*P51</f>
        <v>4104020.961290346</v>
      </c>
      <c r="R51">
        <f t="shared" ref="R51" si="232">R52+Q51</f>
        <v>1718110542.5707052</v>
      </c>
      <c r="S51">
        <f t="shared" ref="S51" si="233">R51/100000</f>
        <v>17181.10542570705</v>
      </c>
      <c r="T51">
        <f t="shared" ref="T51" si="234">S51/1000</f>
        <v>17.181105425707049</v>
      </c>
    </row>
    <row r="52" spans="1:20" x14ac:dyDescent="0.25">
      <c r="A52" s="5">
        <v>44541</v>
      </c>
      <c r="B52">
        <v>1.1066</v>
      </c>
      <c r="C52">
        <v>1.1358999999999999</v>
      </c>
      <c r="D52">
        <v>1.0863</v>
      </c>
      <c r="E52">
        <v>1.1276999999999999</v>
      </c>
      <c r="F52">
        <v>905204</v>
      </c>
      <c r="G52">
        <v>1.1276999999999999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0.66935483870967716</v>
      </c>
      <c r="Q52">
        <f t="shared" ref="Q52" si="236">F52*P52</f>
        <v>605902.67741935456</v>
      </c>
      <c r="R52">
        <f t="shared" ref="R52" si="237">R53+Q52</f>
        <v>1714006521.6094148</v>
      </c>
      <c r="S52">
        <f t="shared" ref="S52" si="238">R52/100000</f>
        <v>17140.06521609415</v>
      </c>
      <c r="T52">
        <f t="shared" ref="T52" si="239">S52/1000</f>
        <v>17.14006521609415</v>
      </c>
    </row>
    <row r="53" spans="1:20" x14ac:dyDescent="0.25">
      <c r="A53" s="5">
        <v>44540</v>
      </c>
      <c r="B53">
        <v>1.1378999999999999</v>
      </c>
      <c r="C53">
        <v>1.1997</v>
      </c>
      <c r="D53">
        <v>1.1031</v>
      </c>
      <c r="E53">
        <v>1.1084000000000001</v>
      </c>
      <c r="F53">
        <v>18279223</v>
      </c>
      <c r="G53">
        <v>1.1084000000000001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-0.89026915113871463</v>
      </c>
      <c r="Q53">
        <f t="shared" ref="Q53" si="241">F53*P53</f>
        <v>-16273428.343685269</v>
      </c>
      <c r="R53">
        <f t="shared" ref="R53" si="242">R54+Q53</f>
        <v>1713400618.9319954</v>
      </c>
      <c r="S53">
        <f t="shared" ref="S53" si="243">R53/100000</f>
        <v>17134.006189319953</v>
      </c>
      <c r="T53">
        <f t="shared" ref="T53" si="244">S53/1000</f>
        <v>17.134006189319951</v>
      </c>
    </row>
    <row r="54" spans="1:20" x14ac:dyDescent="0.25">
      <c r="A54" s="5">
        <v>44539</v>
      </c>
      <c r="B54">
        <v>1.198</v>
      </c>
      <c r="C54">
        <v>1.236</v>
      </c>
      <c r="D54">
        <v>1.127</v>
      </c>
      <c r="E54">
        <v>1.1380999999999999</v>
      </c>
      <c r="F54">
        <v>19385467</v>
      </c>
      <c r="G54">
        <v>1.1380999999999999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-0.79633027522935984</v>
      </c>
      <c r="Q54">
        <f t="shared" ref="Q54" si="246">F54*P54</f>
        <v>-15437234.271559672</v>
      </c>
      <c r="R54">
        <f t="shared" ref="R54" si="247">R55+Q54</f>
        <v>1729674047.2756808</v>
      </c>
      <c r="S54">
        <f t="shared" ref="S54" si="248">R54/100000</f>
        <v>17296.740472756806</v>
      </c>
      <c r="T54">
        <f t="shared" ref="T54" si="249">S54/1000</f>
        <v>17.296740472756806</v>
      </c>
    </row>
    <row r="55" spans="1:20" x14ac:dyDescent="0.25">
      <c r="A55" s="5">
        <v>44538</v>
      </c>
      <c r="B55">
        <v>1.1726000000000001</v>
      </c>
      <c r="C55">
        <v>1.22</v>
      </c>
      <c r="D55">
        <v>1.1422000000000001</v>
      </c>
      <c r="E55">
        <v>1.1976</v>
      </c>
      <c r="F55">
        <v>15024458</v>
      </c>
      <c r="G55">
        <v>1.1976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0.42416452442159347</v>
      </c>
      <c r="Q55">
        <f t="shared" ref="Q55" si="251">F55*P55</f>
        <v>6372842.082262205</v>
      </c>
      <c r="R55">
        <f t="shared" ref="R55" si="252">R56+Q55</f>
        <v>1745111281.5472405</v>
      </c>
      <c r="S55">
        <f t="shared" ref="S55" si="253">R55/100000</f>
        <v>17451.112815472407</v>
      </c>
      <c r="T55">
        <f t="shared" ref="T55" si="254">S55/1000</f>
        <v>17.451112815472406</v>
      </c>
    </row>
    <row r="56" spans="1:20" x14ac:dyDescent="0.25">
      <c r="A56" s="5">
        <v>44537</v>
      </c>
      <c r="B56">
        <v>1.1680999999999999</v>
      </c>
      <c r="C56">
        <v>1.2161999999999999</v>
      </c>
      <c r="D56">
        <v>1.1455</v>
      </c>
      <c r="E56">
        <v>1.1726000000000001</v>
      </c>
      <c r="F56">
        <v>20198813</v>
      </c>
      <c r="G56">
        <v>1.1726000000000001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-0.2333804809052297</v>
      </c>
      <c r="Q56">
        <f t="shared" ref="Q56" si="256">F56*P56</f>
        <v>-4714008.6916548051</v>
      </c>
      <c r="R56">
        <f t="shared" ref="R56" si="257">R57+Q56</f>
        <v>1738738439.4649782</v>
      </c>
      <c r="S56">
        <f t="shared" ref="S56" si="258">R56/100000</f>
        <v>17387.384394649784</v>
      </c>
      <c r="T56">
        <f t="shared" ref="T56" si="259">S56/1000</f>
        <v>17.387384394649782</v>
      </c>
    </row>
    <row r="57" spans="1:20" x14ac:dyDescent="0.25">
      <c r="A57" s="5">
        <v>44536</v>
      </c>
      <c r="B57">
        <v>1.1504000000000001</v>
      </c>
      <c r="C57">
        <v>1.1753</v>
      </c>
      <c r="D57">
        <v>1.0241</v>
      </c>
      <c r="E57">
        <v>1.1677</v>
      </c>
      <c r="F57">
        <v>25810740</v>
      </c>
      <c r="G57">
        <v>1.1677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0.89947089947089875</v>
      </c>
      <c r="Q57">
        <f t="shared" ref="Q57" si="261">F57*P57</f>
        <v>23216009.523809504</v>
      </c>
      <c r="R57">
        <f t="shared" ref="R57" si="262">R58+Q57</f>
        <v>1743452448.1566331</v>
      </c>
      <c r="S57">
        <f t="shared" ref="S57" si="263">R57/100000</f>
        <v>17434.524481566332</v>
      </c>
      <c r="T57">
        <f t="shared" ref="T57" si="264">S57/1000</f>
        <v>17.434524481566331</v>
      </c>
    </row>
    <row r="58" spans="1:20" x14ac:dyDescent="0.25">
      <c r="A58" s="5">
        <v>44535</v>
      </c>
      <c r="B58">
        <v>1.1896</v>
      </c>
      <c r="C58">
        <v>1.2219</v>
      </c>
      <c r="D58">
        <v>1.0920000000000001</v>
      </c>
      <c r="E58">
        <v>1.1495</v>
      </c>
      <c r="F58">
        <v>20466843</v>
      </c>
      <c r="G58">
        <v>1.1495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-0.11470361816782253</v>
      </c>
      <c r="Q58">
        <f t="shared" ref="Q58" si="266">F58*P58</f>
        <v>-2347620.9445727714</v>
      </c>
      <c r="R58">
        <f t="shared" ref="R58" si="267">R59+Q58</f>
        <v>1720236438.6328237</v>
      </c>
      <c r="S58">
        <f t="shared" ref="S58" si="268">R58/100000</f>
        <v>17202.364386328238</v>
      </c>
      <c r="T58">
        <f t="shared" ref="T58" si="269">S58/1000</f>
        <v>17.202364386328238</v>
      </c>
    </row>
    <row r="59" spans="1:20" x14ac:dyDescent="0.25">
      <c r="A59" s="5">
        <v>44534</v>
      </c>
      <c r="B59">
        <v>1.41</v>
      </c>
      <c r="C59">
        <v>1.41</v>
      </c>
      <c r="D59">
        <v>1.0048999999999999</v>
      </c>
      <c r="E59">
        <v>1.1909000000000001</v>
      </c>
      <c r="F59">
        <v>45055167</v>
      </c>
      <c r="G59">
        <v>1.1909000000000001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-8.170822019254427E-2</v>
      </c>
      <c r="Q59">
        <f t="shared" ref="Q59" si="271">F59*P59</f>
        <v>-3681377.5060478542</v>
      </c>
      <c r="R59">
        <f t="shared" ref="R59" si="272">R60+Q59</f>
        <v>1722584059.5773964</v>
      </c>
      <c r="S59">
        <f t="shared" ref="S59" si="273">R59/100000</f>
        <v>17225.840595773963</v>
      </c>
      <c r="T59">
        <f t="shared" ref="T59" si="274">S59/1000</f>
        <v>17.225840595773963</v>
      </c>
    </row>
    <row r="60" spans="1:20" x14ac:dyDescent="0.25">
      <c r="A60" s="5">
        <v>44533</v>
      </c>
      <c r="B60">
        <v>1.5125</v>
      </c>
      <c r="C60">
        <v>1.5154000000000001</v>
      </c>
      <c r="D60">
        <v>1.35</v>
      </c>
      <c r="E60">
        <v>1.4098999999999999</v>
      </c>
      <c r="F60">
        <v>30758821</v>
      </c>
      <c r="G60">
        <v>1.4098999999999999</v>
      </c>
      <c r="L60" t="s">
        <v>7</v>
      </c>
      <c r="M60" t="s">
        <v>8</v>
      </c>
      <c r="N60" t="s">
        <v>8</v>
      </c>
      <c r="P60">
        <f t="shared" ref="P60" si="275">IF(C60=D60,0,((E60-D60)-(C60-E60))/(C60-D60))</f>
        <v>-0.27569528415961492</v>
      </c>
      <c r="Q60">
        <f t="shared" ref="Q60" si="276">F60*P60</f>
        <v>-8480061.8960097302</v>
      </c>
      <c r="R60">
        <f t="shared" ref="R60" si="277">R61+Q60</f>
        <v>1726265437.0834444</v>
      </c>
      <c r="S60">
        <f t="shared" ref="S60" si="278">R60/100000</f>
        <v>17262.654370834443</v>
      </c>
      <c r="T60">
        <f t="shared" ref="T60" si="279">S60/1000</f>
        <v>17.262654370834444</v>
      </c>
    </row>
    <row r="61" spans="1:20" x14ac:dyDescent="0.25">
      <c r="A61" s="5">
        <v>44532</v>
      </c>
      <c r="B61">
        <v>1.3875</v>
      </c>
      <c r="C61">
        <v>1.5548</v>
      </c>
      <c r="D61">
        <v>1.3351</v>
      </c>
      <c r="E61">
        <v>1.5119</v>
      </c>
      <c r="F61">
        <v>54689808</v>
      </c>
      <c r="G61">
        <v>1.5119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0.60946745562130233</v>
      </c>
      <c r="Q61">
        <f t="shared" ref="Q61" si="281">F61*P61</f>
        <v>33331658.130177546</v>
      </c>
      <c r="R61">
        <f t="shared" ref="R61" si="282">R62+Q61</f>
        <v>1734745498.979454</v>
      </c>
      <c r="S61">
        <f t="shared" ref="S61" si="283">R61/100000</f>
        <v>17347.45498979454</v>
      </c>
      <c r="T61">
        <f t="shared" ref="T61" si="284">S61/1000</f>
        <v>17.347454989794539</v>
      </c>
    </row>
    <row r="62" spans="1:20" x14ac:dyDescent="0.25">
      <c r="A62" s="5">
        <v>44531</v>
      </c>
      <c r="B62">
        <v>1.4516</v>
      </c>
      <c r="C62">
        <v>1.4690000000000001</v>
      </c>
      <c r="D62">
        <v>1.3643000000000001</v>
      </c>
      <c r="E62">
        <v>1.3877999999999999</v>
      </c>
      <c r="F62">
        <v>18939467</v>
      </c>
      <c r="G62">
        <v>1.3877999999999999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-0.55109837631327885</v>
      </c>
      <c r="Q62">
        <f t="shared" ref="Q62" si="286">F62*P62</f>
        <v>-10437509.511938926</v>
      </c>
      <c r="R62">
        <f t="shared" ref="R62" si="287">R63+Q62</f>
        <v>1701413840.8492765</v>
      </c>
      <c r="S62">
        <f t="shared" ref="S62" si="288">R62/100000</f>
        <v>17014.138408492767</v>
      </c>
      <c r="T62">
        <f t="shared" ref="T62" si="289">S62/1000</f>
        <v>17.014138408492766</v>
      </c>
    </row>
    <row r="63" spans="1:20" x14ac:dyDescent="0.25">
      <c r="A63" s="5">
        <v>44530</v>
      </c>
      <c r="B63">
        <v>1.4076</v>
      </c>
      <c r="C63">
        <v>1.454</v>
      </c>
      <c r="D63">
        <v>1.3491</v>
      </c>
      <c r="E63">
        <v>1.4514</v>
      </c>
      <c r="F63">
        <v>22981283</v>
      </c>
      <c r="G63">
        <v>1.4514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0.95042897998093545</v>
      </c>
      <c r="Q63">
        <f t="shared" ref="Q63" si="291">F63*P63</f>
        <v>21842077.36034321</v>
      </c>
      <c r="R63">
        <f t="shared" ref="R63" si="292">R64+Q63</f>
        <v>1711851350.3612154</v>
      </c>
      <c r="S63">
        <f t="shared" ref="S63" si="293">R63/100000</f>
        <v>17118.513503612154</v>
      </c>
      <c r="T63">
        <f t="shared" ref="T63" si="294">S63/1000</f>
        <v>17.118513503612153</v>
      </c>
    </row>
    <row r="64" spans="1:20" x14ac:dyDescent="0.25">
      <c r="A64" s="5">
        <v>44529</v>
      </c>
      <c r="B64">
        <v>1.3446</v>
      </c>
      <c r="C64">
        <v>1.423</v>
      </c>
      <c r="D64">
        <v>1.32</v>
      </c>
      <c r="E64">
        <v>1.4080999999999999</v>
      </c>
      <c r="F64">
        <v>23628042</v>
      </c>
      <c r="G64">
        <v>1.4080999999999999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0.71067961165048277</v>
      </c>
      <c r="Q64">
        <f t="shared" ref="Q64" si="296">F64*P64</f>
        <v>16791967.712621298</v>
      </c>
      <c r="R64">
        <f t="shared" ref="R64" si="297">R65+Q64</f>
        <v>1690009273.0008721</v>
      </c>
      <c r="S64">
        <f t="shared" ref="S64" si="298">R64/100000</f>
        <v>16900.092730008721</v>
      </c>
      <c r="T64">
        <f t="shared" ref="T64" si="299">S64/1000</f>
        <v>16.900092730008719</v>
      </c>
    </row>
    <row r="65" spans="1:20" x14ac:dyDescent="0.25">
      <c r="A65" s="5">
        <v>44528</v>
      </c>
      <c r="B65">
        <v>1.3686</v>
      </c>
      <c r="C65">
        <v>1.3711</v>
      </c>
      <c r="D65">
        <v>1.2353000000000001</v>
      </c>
      <c r="E65">
        <v>1.3456999999999999</v>
      </c>
      <c r="F65">
        <v>19621082</v>
      </c>
      <c r="G65">
        <v>1.3456999999999999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0.62592047128129447</v>
      </c>
      <c r="Q65">
        <f t="shared" ref="Q65" si="301">F65*P65</f>
        <v>12281236.892488923</v>
      </c>
      <c r="R65">
        <f t="shared" ref="R65" si="302">R66+Q65</f>
        <v>1673217305.2882509</v>
      </c>
      <c r="S65">
        <f t="shared" ref="S65" si="303">R65/100000</f>
        <v>16732.17305288251</v>
      </c>
      <c r="T65">
        <f t="shared" ref="T65" si="304">S65/1000</f>
        <v>16.732173052882509</v>
      </c>
    </row>
    <row r="66" spans="1:20" x14ac:dyDescent="0.25">
      <c r="A66" s="5">
        <v>44527</v>
      </c>
      <c r="B66">
        <v>1.367</v>
      </c>
      <c r="C66">
        <v>1.429</v>
      </c>
      <c r="D66">
        <v>1.3463000000000001</v>
      </c>
      <c r="E66">
        <v>1.3698999999999999</v>
      </c>
      <c r="F66">
        <v>14051391</v>
      </c>
      <c r="G66">
        <v>1.3698999999999999</v>
      </c>
      <c r="L66" t="s">
        <v>8</v>
      </c>
      <c r="M66" t="s">
        <v>7</v>
      </c>
      <c r="N66" t="s">
        <v>8</v>
      </c>
      <c r="P66">
        <f t="shared" ref="P66" si="305">IF(C66=D66,0,((E66-D66)-(C66-E66))/(C66-D66))</f>
        <v>-0.42926239419589252</v>
      </c>
      <c r="Q66">
        <f t="shared" ref="Q66" si="306">F66*P66</f>
        <v>-6031733.7424426163</v>
      </c>
      <c r="R66">
        <f t="shared" ref="R66" si="307">R67+Q66</f>
        <v>1660936068.395762</v>
      </c>
      <c r="S66">
        <f t="shared" ref="S66" si="308">R66/100000</f>
        <v>16609.36068395762</v>
      </c>
      <c r="T66">
        <f t="shared" ref="T66" si="309">S66/1000</f>
        <v>16.609360683957622</v>
      </c>
    </row>
    <row r="67" spans="1:20" x14ac:dyDescent="0.25">
      <c r="A67" s="5">
        <v>44526</v>
      </c>
      <c r="B67">
        <v>1.58</v>
      </c>
      <c r="C67">
        <v>1.5883</v>
      </c>
      <c r="D67">
        <v>1.341</v>
      </c>
      <c r="E67">
        <v>1.367</v>
      </c>
      <c r="F67">
        <v>36641150</v>
      </c>
      <c r="G67">
        <v>1.367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-0.78972907399919112</v>
      </c>
      <c r="Q67">
        <f t="shared" ref="Q67" si="311">F67*P67</f>
        <v>-28936581.45976546</v>
      </c>
      <c r="R67">
        <f t="shared" ref="R67" si="312">R68+Q67</f>
        <v>1666967802.1382046</v>
      </c>
      <c r="S67">
        <f t="shared" ref="S67" si="313">R67/100000</f>
        <v>16669.678021382046</v>
      </c>
      <c r="T67">
        <f t="shared" ref="T67" si="314">S67/1000</f>
        <v>16.669678021382047</v>
      </c>
    </row>
    <row r="68" spans="1:20" x14ac:dyDescent="0.25">
      <c r="A68" s="5">
        <v>44525</v>
      </c>
      <c r="B68">
        <v>1.4973000000000001</v>
      </c>
      <c r="C68">
        <v>1.6666000000000001</v>
      </c>
      <c r="D68">
        <v>1.4773000000000001</v>
      </c>
      <c r="E68">
        <v>1.5795999999999999</v>
      </c>
      <c r="F68">
        <v>52177611</v>
      </c>
      <c r="G68">
        <v>1.5795999999999999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8.082408874801715E-2</v>
      </c>
      <c r="Q68">
        <f t="shared" ref="Q68" si="316">F68*P68</f>
        <v>4217207.8621235155</v>
      </c>
      <c r="R68">
        <f t="shared" ref="R68" si="317">R69+Q68</f>
        <v>1695904383.59797</v>
      </c>
      <c r="S68">
        <f t="shared" ref="S68" si="318">R68/100000</f>
        <v>16959.043835979701</v>
      </c>
      <c r="T68">
        <f t="shared" ref="T68" si="319">S68/1000</f>
        <v>16.959043835979699</v>
      </c>
    </row>
    <row r="69" spans="1:20" x14ac:dyDescent="0.25">
      <c r="A69" s="5">
        <v>44524</v>
      </c>
      <c r="B69">
        <v>1.4565999999999999</v>
      </c>
      <c r="C69">
        <v>1.4996</v>
      </c>
      <c r="D69">
        <v>1.3769</v>
      </c>
      <c r="E69">
        <v>1.4965999999999999</v>
      </c>
      <c r="F69">
        <v>13195663</v>
      </c>
      <c r="G69">
        <v>1.4965999999999999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0.95110024449877562</v>
      </c>
      <c r="Q69">
        <f t="shared" ref="Q69" si="321">F69*P69</f>
        <v>12550398.305623448</v>
      </c>
      <c r="R69">
        <f t="shared" ref="R69" si="322">R70+Q69</f>
        <v>1691687175.7358465</v>
      </c>
      <c r="S69">
        <f t="shared" ref="S69" si="323">R69/100000</f>
        <v>16916.871757358465</v>
      </c>
      <c r="T69">
        <f t="shared" ref="T69" si="324">S69/1000</f>
        <v>16.916871757358464</v>
      </c>
    </row>
    <row r="70" spans="1:20" x14ac:dyDescent="0.25">
      <c r="A70" s="5">
        <v>44523</v>
      </c>
      <c r="B70">
        <v>1.4244000000000001</v>
      </c>
      <c r="C70">
        <v>1.4658</v>
      </c>
      <c r="D70">
        <v>1.3494999999999999</v>
      </c>
      <c r="E70">
        <v>1.4564999999999999</v>
      </c>
      <c r="F70">
        <v>44710370</v>
      </c>
      <c r="G70">
        <v>1.4564999999999999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0.84006878761822734</v>
      </c>
      <c r="Q70">
        <f t="shared" ref="Q70" si="326">F70*P70</f>
        <v>37559786.319862366</v>
      </c>
      <c r="R70">
        <f t="shared" ref="R70" si="327">R71+Q70</f>
        <v>1679136777.430223</v>
      </c>
      <c r="S70">
        <f t="shared" ref="S70" si="328">R70/100000</f>
        <v>16791.367774302231</v>
      </c>
      <c r="T70">
        <f t="shared" ref="T70" si="329">S70/1000</f>
        <v>16.79136777430223</v>
      </c>
    </row>
    <row r="71" spans="1:20" x14ac:dyDescent="0.25">
      <c r="A71" s="5">
        <v>44522</v>
      </c>
      <c r="B71">
        <v>1.3502000000000001</v>
      </c>
      <c r="C71">
        <v>1.5685</v>
      </c>
      <c r="D71">
        <v>1.2924</v>
      </c>
      <c r="E71">
        <v>1.4244000000000001</v>
      </c>
      <c r="F71">
        <v>132176528</v>
      </c>
      <c r="G71">
        <v>1.4244000000000001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-4.3824701195218314E-2</v>
      </c>
      <c r="Q71">
        <f t="shared" ref="Q71" si="331">F71*P71</f>
        <v>-5792596.8446214069</v>
      </c>
      <c r="R71">
        <f t="shared" ref="R71" si="332">R72+Q71</f>
        <v>1641576991.1103606</v>
      </c>
      <c r="S71">
        <f t="shared" ref="S71" si="333">R71/100000</f>
        <v>16415.769911103605</v>
      </c>
      <c r="T71">
        <f t="shared" ref="T71" si="334">S71/1000</f>
        <v>16.415769911103606</v>
      </c>
    </row>
    <row r="72" spans="1:20" x14ac:dyDescent="0.25">
      <c r="A72" s="5">
        <v>44521</v>
      </c>
      <c r="B72">
        <v>1.3088</v>
      </c>
      <c r="C72">
        <v>1.383</v>
      </c>
      <c r="D72">
        <v>1.2801</v>
      </c>
      <c r="E72">
        <v>1.3495999999999999</v>
      </c>
      <c r="F72">
        <v>23640602</v>
      </c>
      <c r="G72">
        <v>1.3495999999999999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0.3508260447035938</v>
      </c>
      <c r="Q72">
        <f t="shared" ref="Q72" si="336">F72*P72</f>
        <v>8293738.8940718686</v>
      </c>
      <c r="R72">
        <f t="shared" ref="R72" si="337">R73+Q72</f>
        <v>1647369587.954982</v>
      </c>
      <c r="S72">
        <f t="shared" ref="S72" si="338">R72/100000</f>
        <v>16473.695879549821</v>
      </c>
      <c r="T72">
        <f t="shared" ref="T72" si="339">S72/1000</f>
        <v>16.473695879549823</v>
      </c>
    </row>
    <row r="73" spans="1:20" x14ac:dyDescent="0.25">
      <c r="A73" s="5">
        <v>44520</v>
      </c>
      <c r="B73">
        <v>1.2995000000000001</v>
      </c>
      <c r="C73">
        <v>1.33</v>
      </c>
      <c r="D73">
        <v>1.2509999999999999</v>
      </c>
      <c r="E73">
        <v>1.3088</v>
      </c>
      <c r="F73">
        <v>16006992</v>
      </c>
      <c r="G73">
        <v>1.3088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0.46329113924050486</v>
      </c>
      <c r="Q73">
        <f t="shared" ref="Q73" si="341">F73*P73</f>
        <v>7415897.559493647</v>
      </c>
      <c r="R73">
        <f t="shared" ref="R73" si="342">R74+Q73</f>
        <v>1639075849.0609102</v>
      </c>
      <c r="S73">
        <f t="shared" ref="S73" si="343">R73/100000</f>
        <v>16390.758490609103</v>
      </c>
      <c r="T73">
        <f t="shared" ref="T73" si="344">S73/1000</f>
        <v>16.390758490609102</v>
      </c>
    </row>
    <row r="74" spans="1:20" x14ac:dyDescent="0.25">
      <c r="A74" s="5">
        <v>44519</v>
      </c>
      <c r="B74">
        <v>1.2448999999999999</v>
      </c>
      <c r="C74">
        <v>1.3173999999999999</v>
      </c>
      <c r="D74">
        <v>1.2104999999999999</v>
      </c>
      <c r="E74">
        <v>1.2996000000000001</v>
      </c>
      <c r="F74">
        <v>21568458</v>
      </c>
      <c r="G74">
        <v>1.2996000000000001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0.6669784845650174</v>
      </c>
      <c r="Q74">
        <f t="shared" ref="Q74" si="346">F74*P74</f>
        <v>14385697.431244226</v>
      </c>
      <c r="R74">
        <f t="shared" ref="R74" si="347">R75+Q74</f>
        <v>1631659951.5014167</v>
      </c>
      <c r="S74">
        <f t="shared" ref="S74" si="348">R74/100000</f>
        <v>16316.599515014166</v>
      </c>
      <c r="T74">
        <f t="shared" ref="T74" si="349">S74/1000</f>
        <v>16.316599515014165</v>
      </c>
    </row>
    <row r="75" spans="1:20" x14ac:dyDescent="0.25">
      <c r="A75" s="5">
        <v>44518</v>
      </c>
      <c r="B75">
        <v>1.4448000000000001</v>
      </c>
      <c r="C75">
        <v>1.47</v>
      </c>
      <c r="D75">
        <v>1.2241</v>
      </c>
      <c r="E75">
        <v>1.2455000000000001</v>
      </c>
      <c r="F75">
        <v>47931808</v>
      </c>
      <c r="G75">
        <v>1.2455000000000001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-0.82594550630337471</v>
      </c>
      <c r="Q75">
        <f t="shared" ref="Q75" si="351">F75*P75</f>
        <v>-39589061.42659615</v>
      </c>
      <c r="R75">
        <f t="shared" ref="R75" si="352">R76+Q75</f>
        <v>1617274254.0701725</v>
      </c>
      <c r="S75">
        <f t="shared" ref="S75" si="353">R75/100000</f>
        <v>16172.742540701725</v>
      </c>
      <c r="T75">
        <f t="shared" ref="T75" si="354">S75/1000</f>
        <v>16.172742540701726</v>
      </c>
    </row>
    <row r="76" spans="1:20" x14ac:dyDescent="0.25">
      <c r="A76" s="5">
        <v>44517</v>
      </c>
      <c r="B76">
        <v>1.3471</v>
      </c>
      <c r="C76">
        <v>1.4798</v>
      </c>
      <c r="D76">
        <v>1.2834000000000001</v>
      </c>
      <c r="E76">
        <v>1.4446000000000001</v>
      </c>
      <c r="F76">
        <v>102239781</v>
      </c>
      <c r="G76">
        <v>1.4446000000000001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0.64154786150712917</v>
      </c>
      <c r="Q76">
        <f t="shared" ref="Q76" si="356">F76*P76</f>
        <v>65591712.861507215</v>
      </c>
      <c r="R76">
        <f t="shared" ref="R76" si="357">R77+Q76</f>
        <v>1656863315.4967687</v>
      </c>
      <c r="S76">
        <f t="shared" ref="S76" si="358">R76/100000</f>
        <v>16568.633154967687</v>
      </c>
      <c r="T76">
        <f t="shared" ref="T76" si="359">S76/1000</f>
        <v>16.568633154967689</v>
      </c>
    </row>
    <row r="77" spans="1:20" x14ac:dyDescent="0.25">
      <c r="A77" s="5">
        <v>44516</v>
      </c>
      <c r="B77">
        <v>1.3260000000000001</v>
      </c>
      <c r="C77">
        <v>1.4496</v>
      </c>
      <c r="D77">
        <v>1.1259999999999999</v>
      </c>
      <c r="E77">
        <v>1.3471</v>
      </c>
      <c r="F77">
        <v>85203908</v>
      </c>
      <c r="G77">
        <v>1.3471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0.36650185414091468</v>
      </c>
      <c r="Q77">
        <f t="shared" ref="Q77" si="361">F77*P77</f>
        <v>31227390.262051914</v>
      </c>
      <c r="R77">
        <f t="shared" ref="R77" si="362">R78+Q77</f>
        <v>1591271602.6352615</v>
      </c>
      <c r="S77">
        <f t="shared" ref="S77" si="363">R77/100000</f>
        <v>15912.716026352615</v>
      </c>
      <c r="T77">
        <f t="shared" ref="T77" si="364">S77/1000</f>
        <v>15.912716026352614</v>
      </c>
    </row>
    <row r="78" spans="1:20" x14ac:dyDescent="0.25">
      <c r="A78" s="5">
        <v>44515</v>
      </c>
      <c r="B78">
        <v>1.3041</v>
      </c>
      <c r="C78">
        <v>1.3440000000000001</v>
      </c>
      <c r="D78">
        <v>1.2814000000000001</v>
      </c>
      <c r="E78">
        <v>1.3260000000000001</v>
      </c>
      <c r="F78">
        <v>12924816</v>
      </c>
      <c r="G78">
        <v>1.3260000000000001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0.42492012779552657</v>
      </c>
      <c r="Q78">
        <f t="shared" ref="Q78" si="366">F78*P78</f>
        <v>5492014.4664536668</v>
      </c>
      <c r="R78">
        <f t="shared" ref="R78" si="367">R79+Q78</f>
        <v>1560044212.3732097</v>
      </c>
      <c r="S78">
        <f t="shared" ref="S78" si="368">R78/100000</f>
        <v>15600.442123732097</v>
      </c>
      <c r="T78">
        <f t="shared" ref="T78" si="369">S78/1000</f>
        <v>15.600442123732096</v>
      </c>
    </row>
    <row r="79" spans="1:20" x14ac:dyDescent="0.25">
      <c r="A79" s="5">
        <v>44514</v>
      </c>
      <c r="B79">
        <v>1.3164</v>
      </c>
      <c r="C79">
        <v>1.3282</v>
      </c>
      <c r="D79">
        <v>1.2805</v>
      </c>
      <c r="E79">
        <v>1.3045</v>
      </c>
      <c r="F79">
        <v>6387849</v>
      </c>
      <c r="G79">
        <v>1.3045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6.2893081760999267E-3</v>
      </c>
      <c r="Q79">
        <f t="shared" ref="Q79" si="371">F79*P79</f>
        <v>40175.150943391738</v>
      </c>
      <c r="R79">
        <f t="shared" ref="R79" si="372">R80+Q79</f>
        <v>1554552197.9067562</v>
      </c>
      <c r="S79">
        <f t="shared" ref="S79" si="373">R79/100000</f>
        <v>15545.521979067562</v>
      </c>
      <c r="T79">
        <f t="shared" ref="T79" si="374">S79/1000</f>
        <v>15.545521979067562</v>
      </c>
    </row>
    <row r="80" spans="1:20" x14ac:dyDescent="0.25">
      <c r="A80" s="5">
        <v>44513</v>
      </c>
      <c r="B80">
        <v>1.2837000000000001</v>
      </c>
      <c r="C80">
        <v>1.3371</v>
      </c>
      <c r="D80">
        <v>1.2678</v>
      </c>
      <c r="E80">
        <v>1.3164</v>
      </c>
      <c r="F80">
        <v>11610237</v>
      </c>
      <c r="G80">
        <v>1.3164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0.40259740259740362</v>
      </c>
      <c r="Q80">
        <f t="shared" ref="Q80" si="376">F80*P80</f>
        <v>4674251.2597402716</v>
      </c>
      <c r="R80">
        <f t="shared" ref="R80" si="377">R81+Q80</f>
        <v>1554512022.7558129</v>
      </c>
      <c r="S80">
        <f t="shared" ref="S80" si="378">R80/100000</f>
        <v>15545.120227558129</v>
      </c>
      <c r="T80">
        <f t="shared" ref="T80" si="379">S80/1000</f>
        <v>15.545120227558129</v>
      </c>
    </row>
    <row r="81" spans="1:20" x14ac:dyDescent="0.25">
      <c r="A81" s="5">
        <v>44512</v>
      </c>
      <c r="B81">
        <v>1.3280000000000001</v>
      </c>
      <c r="C81">
        <v>1.3374999999999999</v>
      </c>
      <c r="D81">
        <v>1.2446999999999999</v>
      </c>
      <c r="E81">
        <v>1.2837000000000001</v>
      </c>
      <c r="F81">
        <v>14765702</v>
      </c>
      <c r="G81">
        <v>1.2837000000000001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-0.15948275862068645</v>
      </c>
      <c r="Q81">
        <f t="shared" ref="Q81" si="381">F81*P81</f>
        <v>-2354874.8879309869</v>
      </c>
      <c r="R81">
        <f t="shared" ref="R81" si="382">R82+Q81</f>
        <v>1549837771.4960725</v>
      </c>
      <c r="S81">
        <f t="shared" ref="S81" si="383">R81/100000</f>
        <v>15498.377714960725</v>
      </c>
      <c r="T81">
        <f t="shared" ref="T81" si="384">S81/1000</f>
        <v>15.498377714960725</v>
      </c>
    </row>
    <row r="82" spans="1:20" x14ac:dyDescent="0.25">
      <c r="A82" s="5">
        <v>44511</v>
      </c>
      <c r="B82">
        <v>1.2951999999999999</v>
      </c>
      <c r="C82">
        <v>1.3498000000000001</v>
      </c>
      <c r="D82">
        <v>1.28</v>
      </c>
      <c r="E82">
        <v>1.3297000000000001</v>
      </c>
      <c r="F82">
        <v>16189926</v>
      </c>
      <c r="G82">
        <v>1.3297000000000001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0.42406876790830994</v>
      </c>
      <c r="Q82">
        <f t="shared" ref="Q82" si="386">F82*P82</f>
        <v>6865641.9713467127</v>
      </c>
      <c r="R82">
        <f t="shared" ref="R82" si="387">R83+Q82</f>
        <v>1552192646.3840034</v>
      </c>
      <c r="S82">
        <f t="shared" ref="S82" si="388">R82/100000</f>
        <v>15521.926463840035</v>
      </c>
      <c r="T82">
        <f t="shared" ref="T82" si="389">S82/1000</f>
        <v>15.521926463840035</v>
      </c>
    </row>
    <row r="83" spans="1:20" x14ac:dyDescent="0.25">
      <c r="A83" s="5">
        <v>44510</v>
      </c>
      <c r="B83">
        <v>1.4101999999999999</v>
      </c>
      <c r="C83">
        <v>1.4379999999999999</v>
      </c>
      <c r="D83">
        <v>1.19</v>
      </c>
      <c r="E83">
        <v>1.2957000000000001</v>
      </c>
      <c r="F83">
        <v>40383331</v>
      </c>
      <c r="G83">
        <v>1.2957000000000001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-0.1475806451612893</v>
      </c>
      <c r="Q83">
        <f t="shared" ref="Q83" si="391">F83*P83</f>
        <v>-5959798.0427418938</v>
      </c>
      <c r="R83">
        <f t="shared" ref="R83" si="392">R84+Q83</f>
        <v>1545327004.4126568</v>
      </c>
      <c r="S83">
        <f t="shared" ref="S83" si="393">R83/100000</f>
        <v>15453.270044126568</v>
      </c>
      <c r="T83">
        <f t="shared" ref="T83" si="394">S83/1000</f>
        <v>15.453270044126567</v>
      </c>
    </row>
    <row r="84" spans="1:20" x14ac:dyDescent="0.25">
      <c r="A84" s="5">
        <v>44509</v>
      </c>
      <c r="B84">
        <v>1.3863000000000001</v>
      </c>
      <c r="C84">
        <v>1.4533</v>
      </c>
      <c r="D84">
        <v>1.3660000000000001</v>
      </c>
      <c r="E84">
        <v>1.4100999999999999</v>
      </c>
      <c r="F84">
        <v>34139555</v>
      </c>
      <c r="G84">
        <v>1.4100999999999999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1.0309278350511793E-2</v>
      </c>
      <c r="Q84">
        <f t="shared" ref="Q84" si="396">F84*P84</f>
        <v>351954.17525760666</v>
      </c>
      <c r="R84">
        <f t="shared" ref="R84" si="397">R85+Q84</f>
        <v>1551286802.4553986</v>
      </c>
      <c r="S84">
        <f t="shared" ref="S84" si="398">R84/100000</f>
        <v>15512.868024553985</v>
      </c>
      <c r="T84">
        <f t="shared" ref="T84" si="399">S84/1000</f>
        <v>15.512868024553985</v>
      </c>
    </row>
    <row r="85" spans="1:20" x14ac:dyDescent="0.25">
      <c r="A85" s="5">
        <v>44508</v>
      </c>
      <c r="B85">
        <v>1.3456999999999999</v>
      </c>
      <c r="C85">
        <v>1.3936999999999999</v>
      </c>
      <c r="D85">
        <v>1.3234999999999999</v>
      </c>
      <c r="E85">
        <v>1.3866000000000001</v>
      </c>
      <c r="F85">
        <v>18461806</v>
      </c>
      <c r="G85">
        <v>1.3866000000000001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0.79772079772080118</v>
      </c>
      <c r="Q85">
        <f t="shared" ref="Q85" si="401">F85*P85</f>
        <v>14727366.609686673</v>
      </c>
      <c r="R85">
        <f t="shared" ref="R85" si="402">R86+Q85</f>
        <v>1550934848.2801409</v>
      </c>
      <c r="S85">
        <f t="shared" ref="S85" si="403">R85/100000</f>
        <v>15509.348482801408</v>
      </c>
      <c r="T85">
        <f t="shared" ref="T85" si="404">S85/1000</f>
        <v>15.509348482801409</v>
      </c>
    </row>
    <row r="86" spans="1:20" x14ac:dyDescent="0.25">
      <c r="A86" s="5">
        <v>44507</v>
      </c>
      <c r="B86">
        <v>1.3455999999999999</v>
      </c>
      <c r="C86">
        <v>1.3520000000000001</v>
      </c>
      <c r="D86">
        <v>1.3238000000000001</v>
      </c>
      <c r="E86">
        <v>1.3458000000000001</v>
      </c>
      <c r="F86">
        <v>8152330</v>
      </c>
      <c r="G86">
        <v>1.3458000000000001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0.56028368794326366</v>
      </c>
      <c r="Q86">
        <f t="shared" ref="Q86" si="406">F86*P86</f>
        <v>4567617.5177305071</v>
      </c>
      <c r="R86">
        <f t="shared" ref="R86" si="407">R87+Q86</f>
        <v>1536207481.6704543</v>
      </c>
      <c r="S86">
        <f t="shared" ref="S86" si="408">R86/100000</f>
        <v>15362.074816704542</v>
      </c>
      <c r="T86">
        <f t="shared" ref="T86" si="409">S86/1000</f>
        <v>15.362074816704542</v>
      </c>
    </row>
    <row r="87" spans="1:20" x14ac:dyDescent="0.25">
      <c r="A87" s="5">
        <v>44506</v>
      </c>
      <c r="B87">
        <v>1.3789</v>
      </c>
      <c r="C87">
        <v>1.3789</v>
      </c>
      <c r="D87">
        <v>1.2870999999999999</v>
      </c>
      <c r="E87">
        <v>1.3459000000000001</v>
      </c>
      <c r="F87">
        <v>12075573</v>
      </c>
      <c r="G87">
        <v>1.3459000000000001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0.28104575163398954</v>
      </c>
      <c r="Q87">
        <f t="shared" ref="Q87" si="411">F87*P87</f>
        <v>3393788.4901961097</v>
      </c>
      <c r="R87">
        <f t="shared" ref="R87" si="412">R88+Q87</f>
        <v>1531639864.1527238</v>
      </c>
      <c r="S87">
        <f t="shared" ref="S87" si="413">R87/100000</f>
        <v>15316.398641527237</v>
      </c>
      <c r="T87">
        <f t="shared" ref="T87" si="414">S87/1000</f>
        <v>15.316398641527238</v>
      </c>
    </row>
    <row r="88" spans="1:20" x14ac:dyDescent="0.25">
      <c r="A88" s="5">
        <v>44505</v>
      </c>
      <c r="B88">
        <v>1.3516999999999999</v>
      </c>
      <c r="C88">
        <v>1.395</v>
      </c>
      <c r="D88">
        <v>1.331</v>
      </c>
      <c r="E88">
        <v>1.3784000000000001</v>
      </c>
      <c r="F88">
        <v>15590847</v>
      </c>
      <c r="G88">
        <v>1.3784000000000001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0.48125000000000207</v>
      </c>
      <c r="Q88">
        <f t="shared" ref="Q88" si="416">F88*P88</f>
        <v>7503095.118750032</v>
      </c>
      <c r="R88">
        <f t="shared" ref="R88" si="417">R89+Q88</f>
        <v>1528246075.6625276</v>
      </c>
      <c r="S88">
        <f t="shared" ref="S88" si="418">R88/100000</f>
        <v>15282.460756625276</v>
      </c>
      <c r="T88">
        <f t="shared" ref="T88" si="419">S88/1000</f>
        <v>15.282460756625277</v>
      </c>
    </row>
    <row r="89" spans="1:20" x14ac:dyDescent="0.25">
      <c r="A89" s="5">
        <v>44504</v>
      </c>
      <c r="B89">
        <v>1.3716999999999999</v>
      </c>
      <c r="C89">
        <v>1.3892</v>
      </c>
      <c r="D89">
        <v>1.3217000000000001</v>
      </c>
      <c r="E89">
        <v>1.3516999999999999</v>
      </c>
      <c r="F89">
        <v>18321116</v>
      </c>
      <c r="G89">
        <v>1.3516999999999999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-0.11111111111111549</v>
      </c>
      <c r="Q89">
        <f t="shared" ref="Q89" si="421">F89*P89</f>
        <v>-2035679.5555556358</v>
      </c>
      <c r="R89">
        <f t="shared" ref="R89" si="422">R90+Q89</f>
        <v>1520742980.5437775</v>
      </c>
      <c r="S89">
        <f t="shared" ref="S89" si="423">R89/100000</f>
        <v>15207.429805437774</v>
      </c>
      <c r="T89">
        <f t="shared" ref="T89" si="424">S89/1000</f>
        <v>15.207429805437775</v>
      </c>
    </row>
    <row r="90" spans="1:20" x14ac:dyDescent="0.25">
      <c r="A90" s="5">
        <v>44503</v>
      </c>
      <c r="B90">
        <v>1.4018999999999999</v>
      </c>
      <c r="C90">
        <v>1.41</v>
      </c>
      <c r="D90">
        <v>1.3086</v>
      </c>
      <c r="E90">
        <v>1.3723000000000001</v>
      </c>
      <c r="F90">
        <v>20090150</v>
      </c>
      <c r="G90">
        <v>1.3723000000000001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0.256410256410259</v>
      </c>
      <c r="Q90">
        <f t="shared" ref="Q90" si="426">F90*P90</f>
        <v>5151320.5128205651</v>
      </c>
      <c r="R90">
        <f t="shared" ref="R90" si="427">R91+Q90</f>
        <v>1522778660.099333</v>
      </c>
      <c r="S90">
        <f t="shared" ref="S90" si="428">R90/100000</f>
        <v>15227.786600993331</v>
      </c>
      <c r="T90">
        <f t="shared" ref="T90" si="429">S90/1000</f>
        <v>15.227786600993332</v>
      </c>
    </row>
    <row r="91" spans="1:20" x14ac:dyDescent="0.25">
      <c r="A91" s="5">
        <v>44502</v>
      </c>
      <c r="B91">
        <v>1.4117</v>
      </c>
      <c r="C91">
        <v>1.4137999999999999</v>
      </c>
      <c r="D91">
        <v>1.3731</v>
      </c>
      <c r="E91">
        <v>1.4018999999999999</v>
      </c>
      <c r="F91">
        <v>18175704</v>
      </c>
      <c r="G91">
        <v>1.4018999999999999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0.41523341523341356</v>
      </c>
      <c r="Q91">
        <f t="shared" ref="Q91" si="431">F91*P91</f>
        <v>7547159.6461916156</v>
      </c>
      <c r="R91">
        <f t="shared" ref="R91" si="432">R92+Q91</f>
        <v>1517627339.5865126</v>
      </c>
      <c r="S91">
        <f t="shared" ref="S91" si="433">R91/100000</f>
        <v>15176.273395865126</v>
      </c>
      <c r="T91">
        <f t="shared" ref="T91" si="434">S91/1000</f>
        <v>15.176273395865126</v>
      </c>
    </row>
    <row r="92" spans="1:20" x14ac:dyDescent="0.25">
      <c r="A92" s="5">
        <v>44501</v>
      </c>
      <c r="B92">
        <v>1.4809000000000001</v>
      </c>
      <c r="C92">
        <v>1.4968999999999999</v>
      </c>
      <c r="D92">
        <v>1.3702000000000001</v>
      </c>
      <c r="E92">
        <v>1.4120999999999999</v>
      </c>
      <c r="F92">
        <v>20812583</v>
      </c>
      <c r="G92">
        <v>1.4120999999999999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-0.33859510655090941</v>
      </c>
      <c r="Q92">
        <f t="shared" ref="Q92" si="436">F92*P92</f>
        <v>-7047038.7584846457</v>
      </c>
      <c r="R92">
        <f t="shared" ref="R92" si="437">R93+Q92</f>
        <v>1510080179.940321</v>
      </c>
      <c r="S92">
        <f t="shared" ref="S92" si="438">R92/100000</f>
        <v>15100.801799403209</v>
      </c>
      <c r="T92">
        <f t="shared" ref="T92" si="439">S92/1000</f>
        <v>15.100801799403209</v>
      </c>
    </row>
    <row r="93" spans="1:20" x14ac:dyDescent="0.25">
      <c r="A93" s="5">
        <v>44500</v>
      </c>
      <c r="B93">
        <v>1.4054</v>
      </c>
      <c r="C93">
        <v>1.53</v>
      </c>
      <c r="D93">
        <v>1.3265</v>
      </c>
      <c r="E93">
        <v>1.4795</v>
      </c>
      <c r="F93">
        <v>49025680</v>
      </c>
      <c r="G93">
        <v>1.4795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0.5036855036855038</v>
      </c>
      <c r="Q93">
        <f t="shared" ref="Q93" si="441">F93*P93</f>
        <v>24693524.324324328</v>
      </c>
      <c r="R93">
        <f t="shared" ref="R93" si="442">R94+Q93</f>
        <v>1517127218.6988056</v>
      </c>
      <c r="S93">
        <f t="shared" ref="S93" si="443">R93/100000</f>
        <v>15171.272186988055</v>
      </c>
      <c r="T93">
        <f t="shared" ref="T93" si="444">S93/1000</f>
        <v>15.171272186988055</v>
      </c>
    </row>
    <row r="94" spans="1:20" x14ac:dyDescent="0.25">
      <c r="A94" s="5">
        <v>44499</v>
      </c>
      <c r="B94">
        <v>1.3022</v>
      </c>
      <c r="C94">
        <v>1.4573</v>
      </c>
      <c r="D94">
        <v>1.2436</v>
      </c>
      <c r="E94">
        <v>1.4049</v>
      </c>
      <c r="F94">
        <v>48237538</v>
      </c>
      <c r="G94">
        <v>1.4049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0.50959288722508189</v>
      </c>
      <c r="Q94">
        <f t="shared" ref="Q94" si="446">F94*P94</f>
        <v>24581506.2620496</v>
      </c>
      <c r="R94">
        <f t="shared" ref="R94" si="447">R95+Q94</f>
        <v>1492433694.3744812</v>
      </c>
      <c r="S94">
        <f t="shared" ref="S94" si="448">R94/100000</f>
        <v>14924.336943744813</v>
      </c>
      <c r="T94">
        <f t="shared" ref="T94" si="449">S94/1000</f>
        <v>14.924336943744812</v>
      </c>
    </row>
    <row r="95" spans="1:20" x14ac:dyDescent="0.25">
      <c r="A95" s="5">
        <v>44498</v>
      </c>
      <c r="B95">
        <v>1.252</v>
      </c>
      <c r="C95">
        <v>1.3097000000000001</v>
      </c>
      <c r="D95">
        <v>1.2476</v>
      </c>
      <c r="E95">
        <v>1.3022</v>
      </c>
      <c r="F95">
        <v>15447515</v>
      </c>
      <c r="G95">
        <v>1.3022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0.75845410628019139</v>
      </c>
      <c r="Q95">
        <f t="shared" ref="Q95" si="451">F95*P95</f>
        <v>11716231.18357485</v>
      </c>
      <c r="R95">
        <f t="shared" ref="R95" si="452">R96+Q95</f>
        <v>1467852188.1124315</v>
      </c>
      <c r="S95">
        <f t="shared" ref="S95" si="453">R95/100000</f>
        <v>14678.521881124316</v>
      </c>
      <c r="T95">
        <f t="shared" ref="T95" si="454">S95/1000</f>
        <v>14.678521881124317</v>
      </c>
    </row>
    <row r="96" spans="1:20" x14ac:dyDescent="0.25">
      <c r="A96" s="5">
        <v>44497</v>
      </c>
      <c r="B96">
        <v>1.2009000000000001</v>
      </c>
      <c r="C96">
        <v>1.272</v>
      </c>
      <c r="D96">
        <v>1.1841999999999999</v>
      </c>
      <c r="E96">
        <v>1.2515000000000001</v>
      </c>
      <c r="F96">
        <v>20080693</v>
      </c>
      <c r="G96">
        <v>1.2515000000000001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0.53302961275626559</v>
      </c>
      <c r="Q96">
        <f t="shared" ref="Q96" si="456">F96*P96</f>
        <v>10703604.013667453</v>
      </c>
      <c r="R96">
        <f t="shared" ref="R96" si="457">R97+Q96</f>
        <v>1456135956.9288566</v>
      </c>
      <c r="S96">
        <f t="shared" ref="S96" si="458">R96/100000</f>
        <v>14561.359569288566</v>
      </c>
      <c r="T96">
        <f t="shared" ref="T96" si="459">S96/1000</f>
        <v>14.561359569288566</v>
      </c>
    </row>
    <row r="97" spans="1:20" x14ac:dyDescent="0.25">
      <c r="A97" s="5">
        <v>44496</v>
      </c>
      <c r="B97">
        <v>1.3753</v>
      </c>
      <c r="C97">
        <v>1.3989</v>
      </c>
      <c r="D97">
        <v>1.08</v>
      </c>
      <c r="E97">
        <v>1.2001999999999999</v>
      </c>
      <c r="F97">
        <v>35714179</v>
      </c>
      <c r="G97">
        <v>1.2001999999999999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-0.24615867042960252</v>
      </c>
      <c r="Q97">
        <f t="shared" ref="Q97" si="461">F97*P97</f>
        <v>-8791354.8181248307</v>
      </c>
      <c r="R97">
        <f t="shared" ref="R97" si="462">R98+Q97</f>
        <v>1445432352.9151893</v>
      </c>
      <c r="S97">
        <f t="shared" ref="S97" si="463">R97/100000</f>
        <v>14454.323529151892</v>
      </c>
      <c r="T97">
        <f t="shared" ref="T97" si="464">S97/1000</f>
        <v>14.454323529151893</v>
      </c>
    </row>
    <row r="98" spans="1:20" x14ac:dyDescent="0.25">
      <c r="A98" s="5">
        <v>44495</v>
      </c>
      <c r="B98">
        <v>1.3480000000000001</v>
      </c>
      <c r="C98">
        <v>1.43</v>
      </c>
      <c r="D98">
        <v>1.3380000000000001</v>
      </c>
      <c r="E98">
        <v>1.3743000000000001</v>
      </c>
      <c r="F98">
        <v>29286098</v>
      </c>
      <c r="G98">
        <v>1.3743000000000001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-0.21086956521739011</v>
      </c>
      <c r="Q98">
        <f t="shared" ref="Q98" si="466">F98*P98</f>
        <v>-6175546.7521738783</v>
      </c>
      <c r="R98">
        <f t="shared" ref="R98" si="467">R99+Q98</f>
        <v>1454223707.733314</v>
      </c>
      <c r="S98">
        <f t="shared" ref="S98" si="468">R98/100000</f>
        <v>14542.23707733314</v>
      </c>
      <c r="T98">
        <f t="shared" ref="T98" si="469">S98/1000</f>
        <v>14.542237077333141</v>
      </c>
    </row>
    <row r="99" spans="1:20" x14ac:dyDescent="0.25">
      <c r="A99" s="5">
        <v>44494</v>
      </c>
      <c r="B99">
        <v>1.3044</v>
      </c>
      <c r="C99">
        <v>1.3533999999999999</v>
      </c>
      <c r="D99">
        <v>1.294</v>
      </c>
      <c r="E99">
        <v>1.3481000000000001</v>
      </c>
      <c r="F99">
        <v>11767874</v>
      </c>
      <c r="G99">
        <v>1.3481000000000001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0.82154882154882591</v>
      </c>
      <c r="Q99">
        <f t="shared" ref="Q99" si="471">F99*P99</f>
        <v>9667883.0168350674</v>
      </c>
      <c r="R99">
        <f t="shared" ref="R99" si="472">R100+Q99</f>
        <v>1460399254.4854879</v>
      </c>
      <c r="S99">
        <f t="shared" ref="S99" si="473">R99/100000</f>
        <v>14603.99254485488</v>
      </c>
      <c r="T99">
        <f t="shared" ref="T99" si="474">S99/1000</f>
        <v>14.603992544854879</v>
      </c>
    </row>
    <row r="100" spans="1:20" x14ac:dyDescent="0.25">
      <c r="A100" s="5">
        <v>44493</v>
      </c>
      <c r="B100">
        <v>1.3284</v>
      </c>
      <c r="C100">
        <v>1.3577999999999999</v>
      </c>
      <c r="D100">
        <v>1.2683</v>
      </c>
      <c r="E100">
        <v>1.3052999999999999</v>
      </c>
      <c r="F100">
        <v>15110606</v>
      </c>
      <c r="G100">
        <v>1.3052999999999999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-0.1731843575419004</v>
      </c>
      <c r="Q100">
        <f t="shared" ref="Q100" si="476">F100*P100</f>
        <v>-2616920.5921787852</v>
      </c>
      <c r="R100">
        <f t="shared" ref="R100" si="477">R101+Q100</f>
        <v>1450731371.468653</v>
      </c>
      <c r="S100">
        <f t="shared" ref="S100" si="478">R100/100000</f>
        <v>14507.31371468653</v>
      </c>
      <c r="T100">
        <f t="shared" ref="T100" si="479">S100/1000</f>
        <v>14.50731371468653</v>
      </c>
    </row>
    <row r="101" spans="1:20" x14ac:dyDescent="0.25">
      <c r="A101" s="5">
        <v>44492</v>
      </c>
      <c r="B101">
        <v>1.3486</v>
      </c>
      <c r="C101">
        <v>1.35</v>
      </c>
      <c r="D101">
        <v>1.3025</v>
      </c>
      <c r="E101">
        <v>1.3284</v>
      </c>
      <c r="F101">
        <v>13678534</v>
      </c>
      <c r="G101">
        <v>1.3284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9.0526315789472872E-2</v>
      </c>
      <c r="Q101">
        <f t="shared" ref="Q101" si="481">F101*P101</f>
        <v>1238267.2884210416</v>
      </c>
      <c r="R101">
        <f t="shared" ref="R101" si="482">R102+Q101</f>
        <v>1453348292.0608318</v>
      </c>
      <c r="S101">
        <f t="shared" ref="S101" si="483">R101/100000</f>
        <v>14533.482920608318</v>
      </c>
      <c r="T101">
        <f t="shared" ref="T101" si="484">S101/1000</f>
        <v>14.533482920608318</v>
      </c>
    </row>
    <row r="102" spans="1:20" x14ac:dyDescent="0.25">
      <c r="A102" s="5">
        <v>44491</v>
      </c>
      <c r="B102">
        <v>1.2828999999999999</v>
      </c>
      <c r="C102">
        <v>1.3798999999999999</v>
      </c>
      <c r="D102">
        <v>1.2784</v>
      </c>
      <c r="E102">
        <v>1.3486</v>
      </c>
      <c r="F102">
        <v>29488352</v>
      </c>
      <c r="G102">
        <v>1.3486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0.38325123152709545</v>
      </c>
      <c r="Q102">
        <f t="shared" ref="Q102" si="486">F102*P102</f>
        <v>11301447.219704488</v>
      </c>
      <c r="R102">
        <f t="shared" ref="R102" si="487">R103+Q102</f>
        <v>1452110024.7724106</v>
      </c>
      <c r="S102">
        <f t="shared" ref="S102" si="488">R102/100000</f>
        <v>14521.100247724105</v>
      </c>
      <c r="T102">
        <f t="shared" ref="T102" si="489">S102/1000</f>
        <v>14.521100247724105</v>
      </c>
    </row>
    <row r="103" spans="1:20" x14ac:dyDescent="0.25">
      <c r="A103" s="5">
        <v>44490</v>
      </c>
      <c r="B103">
        <v>1.3032999999999999</v>
      </c>
      <c r="C103">
        <v>1.3199000000000001</v>
      </c>
      <c r="D103">
        <v>1.2525999999999999</v>
      </c>
      <c r="E103">
        <v>1.2831999999999999</v>
      </c>
      <c r="F103">
        <v>23079802</v>
      </c>
      <c r="G103">
        <v>1.2831999999999999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-9.0638930163450288E-2</v>
      </c>
      <c r="Q103">
        <f t="shared" ref="Q103" si="491">F103*P103</f>
        <v>-2091928.5616642602</v>
      </c>
      <c r="R103">
        <f t="shared" ref="R103" si="492">R104+Q103</f>
        <v>1440808577.5527062</v>
      </c>
      <c r="S103">
        <f t="shared" ref="S103" si="493">R103/100000</f>
        <v>14408.085775527063</v>
      </c>
      <c r="T103">
        <f t="shared" ref="T103" si="494">S103/1000</f>
        <v>14.408085775527063</v>
      </c>
    </row>
    <row r="104" spans="1:20" x14ac:dyDescent="0.25">
      <c r="A104" s="5">
        <v>44489</v>
      </c>
      <c r="B104">
        <v>1.246</v>
      </c>
      <c r="C104">
        <v>1.32</v>
      </c>
      <c r="D104">
        <v>1.2257</v>
      </c>
      <c r="E104">
        <v>1.3038000000000001</v>
      </c>
      <c r="F104">
        <v>26147394</v>
      </c>
      <c r="G104">
        <v>1.3038000000000001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0.65641569459172888</v>
      </c>
      <c r="Q104">
        <f t="shared" ref="Q104" si="496">F104*P104</f>
        <v>17163559.794273604</v>
      </c>
      <c r="R104">
        <f t="shared" ref="R104" si="497">R105+Q104</f>
        <v>1442900506.1143706</v>
      </c>
      <c r="S104">
        <f t="shared" ref="S104" si="498">R104/100000</f>
        <v>14429.005061143705</v>
      </c>
      <c r="T104">
        <f t="shared" ref="T104" si="499">S104/1000</f>
        <v>14.429005061143705</v>
      </c>
    </row>
    <row r="105" spans="1:20" x14ac:dyDescent="0.25">
      <c r="A105" s="5">
        <v>44488</v>
      </c>
      <c r="B105">
        <v>1.2437</v>
      </c>
      <c r="C105">
        <v>1.2583</v>
      </c>
      <c r="D105">
        <v>1.2184999999999999</v>
      </c>
      <c r="E105">
        <v>1.2465999999999999</v>
      </c>
      <c r="F105">
        <v>9519090</v>
      </c>
      <c r="G105">
        <v>1.2465999999999999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0.41206030150753636</v>
      </c>
      <c r="Q105">
        <f t="shared" ref="Q105" si="501">F105*P105</f>
        <v>3922439.0954773743</v>
      </c>
      <c r="R105">
        <f t="shared" ref="R105" si="502">R106+Q105</f>
        <v>1425736946.320097</v>
      </c>
      <c r="S105">
        <f t="shared" ref="S105" si="503">R105/100000</f>
        <v>14257.36946320097</v>
      </c>
      <c r="T105">
        <f t="shared" ref="T105" si="504">S105/1000</f>
        <v>14.25736946320097</v>
      </c>
    </row>
    <row r="106" spans="1:20" x14ac:dyDescent="0.25">
      <c r="A106" s="5">
        <v>44487</v>
      </c>
      <c r="B106">
        <v>1.2544</v>
      </c>
      <c r="C106">
        <v>1.2586999999999999</v>
      </c>
      <c r="D106">
        <v>1.2058</v>
      </c>
      <c r="E106">
        <v>1.2444999999999999</v>
      </c>
      <c r="F106">
        <v>13610384</v>
      </c>
      <c r="G106">
        <v>1.2444999999999999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0.46313799621928148</v>
      </c>
      <c r="Q106">
        <f t="shared" ref="Q106" si="506">F106*P106</f>
        <v>6303485.9735349687</v>
      </c>
      <c r="R106">
        <f t="shared" ref="R106" si="507">R107+Q106</f>
        <v>1421814507.2246196</v>
      </c>
      <c r="S106">
        <f t="shared" ref="S106" si="508">R106/100000</f>
        <v>14218.145072246196</v>
      </c>
      <c r="T106">
        <f t="shared" ref="T106" si="509">S106/1000</f>
        <v>14.218145072246196</v>
      </c>
    </row>
    <row r="107" spans="1:20" x14ac:dyDescent="0.25">
      <c r="A107" s="5">
        <v>44486</v>
      </c>
      <c r="B107">
        <v>1.3002</v>
      </c>
      <c r="C107">
        <v>1.3141</v>
      </c>
      <c r="D107">
        <v>1.2047000000000001</v>
      </c>
      <c r="E107">
        <v>1.2534000000000001</v>
      </c>
      <c r="F107">
        <v>16152393</v>
      </c>
      <c r="G107">
        <v>1.2534000000000001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-0.10968921389396726</v>
      </c>
      <c r="Q107">
        <f t="shared" ref="Q107" si="511">F107*P107</f>
        <v>-1771743.2906764194</v>
      </c>
      <c r="R107">
        <f t="shared" ref="R107" si="512">R108+Q107</f>
        <v>1415511021.2510846</v>
      </c>
      <c r="S107">
        <f t="shared" ref="S107" si="513">R107/100000</f>
        <v>14155.110212510846</v>
      </c>
      <c r="T107">
        <f t="shared" ref="T107" si="514">S107/1000</f>
        <v>14.155110212510847</v>
      </c>
    </row>
    <row r="108" spans="1:20" x14ac:dyDescent="0.25">
      <c r="A108" s="5">
        <v>44485</v>
      </c>
      <c r="B108">
        <v>1.2930999999999999</v>
      </c>
      <c r="C108">
        <v>1.3492</v>
      </c>
      <c r="D108">
        <v>1.2734000000000001</v>
      </c>
      <c r="E108">
        <v>1.3</v>
      </c>
      <c r="F108">
        <v>18267766</v>
      </c>
      <c r="G108">
        <v>1.3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-0.29815303430079149</v>
      </c>
      <c r="Q108">
        <f t="shared" ref="Q108" si="516">F108*P108</f>
        <v>-5446589.8627968328</v>
      </c>
      <c r="R108">
        <f t="shared" ref="R108" si="517">R109+Q108</f>
        <v>1417282764.5417609</v>
      </c>
      <c r="S108">
        <f t="shared" ref="S108" si="518">R108/100000</f>
        <v>14172.827645417608</v>
      </c>
      <c r="T108">
        <f t="shared" ref="T108" si="519">S108/1000</f>
        <v>14.172827645417609</v>
      </c>
    </row>
    <row r="109" spans="1:20" x14ac:dyDescent="0.25">
      <c r="A109" s="5">
        <v>44484</v>
      </c>
      <c r="B109">
        <v>1.3601000000000001</v>
      </c>
      <c r="C109">
        <v>1.3635999999999999</v>
      </c>
      <c r="D109">
        <v>1.2572000000000001</v>
      </c>
      <c r="E109">
        <v>1.2938000000000001</v>
      </c>
      <c r="F109">
        <v>22953661</v>
      </c>
      <c r="G109">
        <v>1.2938000000000001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-0.31203007518796944</v>
      </c>
      <c r="Q109">
        <f t="shared" ref="Q109" si="521">F109*P109</f>
        <v>-7162232.5676691616</v>
      </c>
      <c r="R109">
        <f t="shared" ref="R109" si="522">R110+Q109</f>
        <v>1422729354.4045577</v>
      </c>
      <c r="S109">
        <f t="shared" ref="S109" si="523">R109/100000</f>
        <v>14227.293544045577</v>
      </c>
      <c r="T109">
        <f t="shared" ref="T109" si="524">S109/1000</f>
        <v>14.227293544045576</v>
      </c>
    </row>
    <row r="110" spans="1:20" x14ac:dyDescent="0.25">
      <c r="A110" s="5">
        <v>44483</v>
      </c>
      <c r="B110">
        <v>1.3715999999999999</v>
      </c>
      <c r="C110">
        <v>1.3977999999999999</v>
      </c>
      <c r="D110">
        <v>1.3386</v>
      </c>
      <c r="E110">
        <v>1.3607</v>
      </c>
      <c r="F110">
        <v>15972544</v>
      </c>
      <c r="G110">
        <v>1.3607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-0.25337837837837707</v>
      </c>
      <c r="Q110">
        <f t="shared" ref="Q110" si="526">F110*P110</f>
        <v>-4047097.2972972766</v>
      </c>
      <c r="R110">
        <f t="shared" ref="R110" si="527">R111+Q110</f>
        <v>1429891586.9722269</v>
      </c>
      <c r="S110">
        <f t="shared" ref="S110" si="528">R110/100000</f>
        <v>14298.915869722268</v>
      </c>
      <c r="T110">
        <f t="shared" ref="T110" si="529">S110/1000</f>
        <v>14.298915869722268</v>
      </c>
    </row>
    <row r="111" spans="1:20" x14ac:dyDescent="0.25">
      <c r="A111" s="5">
        <v>44482</v>
      </c>
      <c r="B111">
        <v>1.3472999999999999</v>
      </c>
      <c r="C111">
        <v>1.42</v>
      </c>
      <c r="D111">
        <v>1.3008999999999999</v>
      </c>
      <c r="E111">
        <v>1.3718999999999999</v>
      </c>
      <c r="F111">
        <v>19276846</v>
      </c>
      <c r="G111">
        <v>1.3718999999999999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0.19227539882451658</v>
      </c>
      <c r="Q111">
        <f t="shared" ref="Q111" si="531">F111*P111</f>
        <v>3706463.2527287873</v>
      </c>
      <c r="R111">
        <f t="shared" ref="R111" si="532">R112+Q111</f>
        <v>1433938684.2695241</v>
      </c>
      <c r="S111">
        <f t="shared" ref="S111" si="533">R111/100000</f>
        <v>14339.386842695241</v>
      </c>
      <c r="T111">
        <f t="shared" ref="T111" si="534">S111/1000</f>
        <v>14.339386842695241</v>
      </c>
    </row>
    <row r="112" spans="1:20" x14ac:dyDescent="0.25">
      <c r="A112" s="5">
        <v>44481</v>
      </c>
      <c r="B112">
        <v>1.4499</v>
      </c>
      <c r="C112">
        <v>1.4513</v>
      </c>
      <c r="D112">
        <v>1.28</v>
      </c>
      <c r="E112">
        <v>1.3465</v>
      </c>
      <c r="F112">
        <v>33147067</v>
      </c>
      <c r="G112">
        <v>1.3465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-0.2235843549328663</v>
      </c>
      <c r="Q112">
        <f t="shared" ref="Q112" si="536">F112*P112</f>
        <v>-7411165.5931114992</v>
      </c>
      <c r="R112">
        <f t="shared" ref="R112" si="537">R113+Q112</f>
        <v>1430232221.0167954</v>
      </c>
      <c r="S112">
        <f t="shared" ref="S112" si="538">R112/100000</f>
        <v>14302.322210167955</v>
      </c>
      <c r="T112">
        <f t="shared" ref="T112" si="539">S112/1000</f>
        <v>14.302322210167954</v>
      </c>
    </row>
    <row r="113" spans="1:20" x14ac:dyDescent="0.25">
      <c r="A113" s="5">
        <v>44480</v>
      </c>
      <c r="B113">
        <v>1.4103000000000001</v>
      </c>
      <c r="C113">
        <v>1.62</v>
      </c>
      <c r="D113">
        <v>1.4013</v>
      </c>
      <c r="E113">
        <v>1.4499</v>
      </c>
      <c r="F113">
        <v>75364396</v>
      </c>
      <c r="G113">
        <v>1.4499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-0.55555555555555602</v>
      </c>
      <c r="Q113">
        <f t="shared" ref="Q113" si="541">F113*P113</f>
        <v>-41869108.888888925</v>
      </c>
      <c r="R113">
        <f t="shared" ref="R113" si="542">R114+Q113</f>
        <v>1437643386.6099069</v>
      </c>
      <c r="S113">
        <f t="shared" ref="S113" si="543">R113/100000</f>
        <v>14376.433866099069</v>
      </c>
      <c r="T113">
        <f t="shared" ref="T113" si="544">S113/1000</f>
        <v>14.376433866099068</v>
      </c>
    </row>
    <row r="114" spans="1:20" x14ac:dyDescent="0.25">
      <c r="A114" s="5">
        <v>44479</v>
      </c>
      <c r="B114">
        <v>1.3936999999999999</v>
      </c>
      <c r="C114">
        <v>1.5299</v>
      </c>
      <c r="D114">
        <v>1.37</v>
      </c>
      <c r="E114">
        <v>1.4104000000000001</v>
      </c>
      <c r="F114">
        <v>56924186</v>
      </c>
      <c r="G114">
        <v>1.4104000000000001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-0.49468417761100675</v>
      </c>
      <c r="Q114">
        <f t="shared" ref="Q114" si="546">F114*P114</f>
        <v>-28159494.137585983</v>
      </c>
      <c r="R114">
        <f t="shared" ref="R114" si="547">R115+Q114</f>
        <v>1479512495.4987957</v>
      </c>
      <c r="S114">
        <f t="shared" ref="S114" si="548">R114/100000</f>
        <v>14795.124954987958</v>
      </c>
      <c r="T114">
        <f t="shared" ref="T114" si="549">S114/1000</f>
        <v>14.795124954987958</v>
      </c>
    </row>
    <row r="115" spans="1:20" x14ac:dyDescent="0.25">
      <c r="A115" s="5">
        <v>44478</v>
      </c>
      <c r="B115">
        <v>1.3478000000000001</v>
      </c>
      <c r="C115">
        <v>1.4</v>
      </c>
      <c r="D115">
        <v>1.3059000000000001</v>
      </c>
      <c r="E115">
        <v>1.3932</v>
      </c>
      <c r="F115">
        <v>23033698</v>
      </c>
      <c r="G115">
        <v>1.3932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0.85547290116897068</v>
      </c>
      <c r="Q115">
        <f t="shared" ref="Q115" si="551">F115*P115</f>
        <v>19704704.452709917</v>
      </c>
      <c r="R115">
        <f t="shared" ref="R115" si="552">R116+Q115</f>
        <v>1507671989.6363816</v>
      </c>
      <c r="S115">
        <f t="shared" ref="S115" si="553">R115/100000</f>
        <v>15076.719896363817</v>
      </c>
      <c r="T115">
        <f t="shared" ref="T115" si="554">S115/1000</f>
        <v>15.076719896363816</v>
      </c>
    </row>
    <row r="116" spans="1:20" x14ac:dyDescent="0.25">
      <c r="A116" s="5">
        <v>44477</v>
      </c>
      <c r="B116">
        <v>1.2910999999999999</v>
      </c>
      <c r="C116">
        <v>1.3580000000000001</v>
      </c>
      <c r="D116">
        <v>1.2755000000000001</v>
      </c>
      <c r="E116">
        <v>1.3472</v>
      </c>
      <c r="F116">
        <v>26877300</v>
      </c>
      <c r="G116">
        <v>1.3472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0.73818181818181483</v>
      </c>
      <c r="Q116">
        <f t="shared" ref="Q116" si="556">F116*P116</f>
        <v>19840334.18181809</v>
      </c>
      <c r="R116">
        <f t="shared" ref="R116" si="557">R117+Q116</f>
        <v>1487967285.1836717</v>
      </c>
      <c r="S116">
        <f t="shared" ref="S116" si="558">R116/100000</f>
        <v>14879.672851836716</v>
      </c>
      <c r="T116">
        <f t="shared" ref="T116" si="559">S116/1000</f>
        <v>14.879672851836716</v>
      </c>
    </row>
    <row r="117" spans="1:20" x14ac:dyDescent="0.25">
      <c r="A117" s="5">
        <v>44476</v>
      </c>
      <c r="B117">
        <v>1.2981</v>
      </c>
      <c r="C117">
        <v>1.3219000000000001</v>
      </c>
      <c r="D117">
        <v>1.2485999999999999</v>
      </c>
      <c r="E117">
        <v>1.292</v>
      </c>
      <c r="F117">
        <v>31159044</v>
      </c>
      <c r="G117">
        <v>1.292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0.1841746248294685</v>
      </c>
      <c r="Q117">
        <f t="shared" ref="Q117" si="561">F117*P117</f>
        <v>5738705.2387449015</v>
      </c>
      <c r="R117">
        <f t="shared" ref="R117" si="562">R118+Q117</f>
        <v>1468126951.0018537</v>
      </c>
      <c r="S117">
        <f t="shared" ref="S117" si="563">R117/100000</f>
        <v>14681.269510018537</v>
      </c>
      <c r="T117">
        <f t="shared" ref="T117" si="564">S117/1000</f>
        <v>14.681269510018538</v>
      </c>
    </row>
    <row r="118" spans="1:20" x14ac:dyDescent="0.25">
      <c r="A118" s="5">
        <v>44475</v>
      </c>
      <c r="B118">
        <v>1.2317</v>
      </c>
      <c r="C118">
        <v>1.38</v>
      </c>
      <c r="D118">
        <v>1.1958</v>
      </c>
      <c r="E118">
        <v>1.2969999999999999</v>
      </c>
      <c r="F118">
        <v>48989830</v>
      </c>
      <c r="G118">
        <v>1.2969999999999999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9.8805646036916411E-2</v>
      </c>
      <c r="Q118">
        <f t="shared" ref="Q118" si="566">F118*P118</f>
        <v>4840471.802388709</v>
      </c>
      <c r="R118">
        <f t="shared" ref="R118" si="567">R119+Q118</f>
        <v>1462388245.7631087</v>
      </c>
      <c r="S118">
        <f t="shared" ref="S118" si="568">R118/100000</f>
        <v>14623.882457631087</v>
      </c>
      <c r="T118">
        <f t="shared" ref="T118" si="569">S118/1000</f>
        <v>14.623882457631087</v>
      </c>
    </row>
    <row r="119" spans="1:20" x14ac:dyDescent="0.25">
      <c r="A119" s="5">
        <v>44474</v>
      </c>
      <c r="B119">
        <v>1.1989000000000001</v>
      </c>
      <c r="C119">
        <v>1.248</v>
      </c>
      <c r="D119">
        <v>1.1765000000000001</v>
      </c>
      <c r="E119">
        <v>1.2307999999999999</v>
      </c>
      <c r="F119">
        <v>18029355</v>
      </c>
      <c r="G119">
        <v>1.2307999999999999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0.51888111888111532</v>
      </c>
      <c r="Q119">
        <f t="shared" ref="Q119" si="571">F119*P119</f>
        <v>9355091.8951048311</v>
      </c>
      <c r="R119">
        <f t="shared" ref="R119" si="572">R120+Q119</f>
        <v>1457547773.9607201</v>
      </c>
      <c r="S119">
        <f t="shared" ref="S119" si="573">R119/100000</f>
        <v>14575.4777396072</v>
      </c>
      <c r="T119">
        <f t="shared" ref="T119" si="574">S119/1000</f>
        <v>14.5754777396072</v>
      </c>
    </row>
    <row r="120" spans="1:20" x14ac:dyDescent="0.25">
      <c r="A120" s="5">
        <v>44473</v>
      </c>
      <c r="B120">
        <v>1.2317</v>
      </c>
      <c r="C120">
        <v>1.2461</v>
      </c>
      <c r="D120">
        <v>1.163</v>
      </c>
      <c r="E120">
        <v>1.2059</v>
      </c>
      <c r="F120">
        <v>29124227</v>
      </c>
      <c r="G120">
        <v>1.2059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3.2490974729240993E-2</v>
      </c>
      <c r="Q120">
        <f t="shared" ref="Q120" si="576">F120*P120</f>
        <v>946274.52346567821</v>
      </c>
      <c r="R120">
        <f t="shared" ref="R120" si="577">R121+Q120</f>
        <v>1448192682.0656152</v>
      </c>
      <c r="S120">
        <f t="shared" ref="S120" si="578">R120/100000</f>
        <v>14481.926820656152</v>
      </c>
      <c r="T120">
        <f t="shared" ref="T120" si="579">S120/1000</f>
        <v>14.481926820656152</v>
      </c>
    </row>
    <row r="121" spans="1:20" x14ac:dyDescent="0.25">
      <c r="A121" s="5">
        <v>44472</v>
      </c>
      <c r="B121">
        <v>1.2704</v>
      </c>
      <c r="C121">
        <v>1.3368</v>
      </c>
      <c r="D121">
        <v>1.2211000000000001</v>
      </c>
      <c r="E121">
        <v>1.2219</v>
      </c>
      <c r="F121">
        <v>34847815</v>
      </c>
      <c r="G121">
        <v>1.2219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-0.98617113223854946</v>
      </c>
      <c r="Q121">
        <f t="shared" ref="Q121" si="581">F121*P121</f>
        <v>-34365909.174589507</v>
      </c>
      <c r="R121">
        <f t="shared" ref="R121" si="582">R122+Q121</f>
        <v>1447246407.5421495</v>
      </c>
      <c r="S121">
        <f t="shared" ref="S121" si="583">R121/100000</f>
        <v>14472.464075421496</v>
      </c>
      <c r="T121">
        <f t="shared" ref="T121" si="584">S121/1000</f>
        <v>14.472464075421495</v>
      </c>
    </row>
    <row r="122" spans="1:20" x14ac:dyDescent="0.25">
      <c r="A122" s="5">
        <v>44471</v>
      </c>
      <c r="B122">
        <v>1.3225</v>
      </c>
      <c r="C122">
        <v>1.3544</v>
      </c>
      <c r="D122">
        <v>1.1854</v>
      </c>
      <c r="E122">
        <v>1.2704</v>
      </c>
      <c r="F122">
        <v>81875212</v>
      </c>
      <c r="G122">
        <v>1.2704</v>
      </c>
      <c r="L122" t="s">
        <v>7</v>
      </c>
      <c r="M122" t="s">
        <v>8</v>
      </c>
      <c r="N122" t="s">
        <v>7</v>
      </c>
      <c r="P122">
        <f t="shared" ref="P122" si="585">IF(C122=D122,0,((E122-D122)-(C122-E122))/(C122-D122))</f>
        <v>5.9171597633129562E-3</v>
      </c>
      <c r="Q122">
        <f t="shared" ref="Q122" si="586">F122*P122</f>
        <v>484468.71005911811</v>
      </c>
      <c r="R122">
        <f t="shared" ref="R122" si="587">R123+Q122</f>
        <v>1481612316.7167389</v>
      </c>
      <c r="S122">
        <f t="shared" ref="S122" si="588">R122/100000</f>
        <v>14816.123167167389</v>
      </c>
      <c r="T122">
        <f t="shared" ref="T122" si="589">S122/1000</f>
        <v>14.816123167167389</v>
      </c>
    </row>
    <row r="123" spans="1:20" x14ac:dyDescent="0.25">
      <c r="A123" s="5">
        <v>44470</v>
      </c>
      <c r="B123">
        <v>1.1521999999999999</v>
      </c>
      <c r="C123">
        <v>1.3646</v>
      </c>
      <c r="D123">
        <v>1.1400999999999999</v>
      </c>
      <c r="E123">
        <v>1.3241000000000001</v>
      </c>
      <c r="F123">
        <v>38920245</v>
      </c>
      <c r="G123">
        <v>1.3241000000000001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0.63919821826280665</v>
      </c>
      <c r="Q123">
        <f t="shared" ref="Q123" si="591">F123*P123</f>
        <v>24877751.258351911</v>
      </c>
      <c r="R123">
        <f t="shared" ref="R123" si="592">R124+Q123</f>
        <v>1481127848.0066798</v>
      </c>
      <c r="S123">
        <f t="shared" ref="S123" si="593">R123/100000</f>
        <v>14811.278480066798</v>
      </c>
      <c r="T123">
        <f t="shared" ref="T123" si="594">S123/1000</f>
        <v>14.811278480066798</v>
      </c>
    </row>
    <row r="124" spans="1:20" x14ac:dyDescent="0.25">
      <c r="A124" s="5">
        <v>44469</v>
      </c>
      <c r="B124">
        <v>1.0491999999999999</v>
      </c>
      <c r="C124">
        <v>1.1775</v>
      </c>
      <c r="D124">
        <v>1.036</v>
      </c>
      <c r="E124">
        <v>1.1521999999999999</v>
      </c>
      <c r="F124">
        <v>28153841</v>
      </c>
      <c r="G124">
        <v>1.1521999999999999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0.64240282685512218</v>
      </c>
      <c r="Q124">
        <f t="shared" ref="Q124" si="596">F124*P124</f>
        <v>18086107.04522964</v>
      </c>
      <c r="R124">
        <f t="shared" ref="R124" si="597">R125+Q124</f>
        <v>1456250096.748328</v>
      </c>
      <c r="S124">
        <f t="shared" ref="S124" si="598">R124/100000</f>
        <v>14562.50096748328</v>
      </c>
      <c r="T124">
        <f t="shared" ref="T124" si="599">S124/1000</f>
        <v>14.562500967483279</v>
      </c>
    </row>
    <row r="125" spans="1:20" x14ac:dyDescent="0.25">
      <c r="A125" s="5">
        <v>44468</v>
      </c>
      <c r="B125">
        <v>1.0507</v>
      </c>
      <c r="C125">
        <v>1.1186</v>
      </c>
      <c r="D125">
        <v>1.0229999999999999</v>
      </c>
      <c r="E125">
        <v>1.0491999999999999</v>
      </c>
      <c r="F125">
        <v>26010833</v>
      </c>
      <c r="G125">
        <v>1.0491999999999999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-0.45188284518828525</v>
      </c>
      <c r="Q125">
        <f t="shared" ref="Q125" si="601">F125*P125</f>
        <v>-11753849.221757341</v>
      </c>
      <c r="R125">
        <f t="shared" ref="R125" si="602">R126+Q125</f>
        <v>1438163989.7030983</v>
      </c>
      <c r="S125">
        <f t="shared" ref="S125" si="603">R125/100000</f>
        <v>14381.639897030984</v>
      </c>
      <c r="T125">
        <f t="shared" ref="T125" si="604">S125/1000</f>
        <v>14.381639897030984</v>
      </c>
    </row>
    <row r="126" spans="1:20" x14ac:dyDescent="0.25">
      <c r="A126" s="5">
        <v>44467</v>
      </c>
      <c r="B126">
        <v>1.139</v>
      </c>
      <c r="C126">
        <v>1.1608000000000001</v>
      </c>
      <c r="D126">
        <v>1.0486</v>
      </c>
      <c r="E126">
        <v>1.0510999999999999</v>
      </c>
      <c r="F126">
        <v>17620754</v>
      </c>
      <c r="G126">
        <v>1.0510999999999999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-0.9554367201426035</v>
      </c>
      <c r="Q126">
        <f t="shared" ref="Q126" si="606">F126*P126</f>
        <v>-16835515.40819966</v>
      </c>
      <c r="R126">
        <f t="shared" ref="R126" si="607">R127+Q126</f>
        <v>1449917838.9248557</v>
      </c>
      <c r="S126">
        <f t="shared" ref="S126" si="608">R126/100000</f>
        <v>14499.178389248556</v>
      </c>
      <c r="T126">
        <f t="shared" ref="T126" si="609">S126/1000</f>
        <v>14.499178389248556</v>
      </c>
    </row>
    <row r="127" spans="1:20" x14ac:dyDescent="0.25">
      <c r="A127" s="5">
        <v>44466</v>
      </c>
      <c r="B127">
        <v>1.1768000000000001</v>
      </c>
      <c r="C127">
        <v>1.2236</v>
      </c>
      <c r="D127">
        <v>1.1375</v>
      </c>
      <c r="E127">
        <v>1.1389</v>
      </c>
      <c r="F127">
        <v>16305209</v>
      </c>
      <c r="G127">
        <v>1.1389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-0.96747967479674646</v>
      </c>
      <c r="Q127">
        <f t="shared" ref="Q127" si="611">F127*P127</f>
        <v>-15774958.300812984</v>
      </c>
      <c r="R127">
        <f t="shared" ref="R127" si="612">R128+Q127</f>
        <v>1466753354.3330553</v>
      </c>
      <c r="S127">
        <f t="shared" ref="S127" si="613">R127/100000</f>
        <v>14667.533543330552</v>
      </c>
      <c r="T127">
        <f t="shared" ref="T127" si="614">S127/1000</f>
        <v>14.667533543330551</v>
      </c>
    </row>
    <row r="128" spans="1:20" x14ac:dyDescent="0.25">
      <c r="A128" s="5">
        <v>44465</v>
      </c>
      <c r="B128">
        <v>1.2312000000000001</v>
      </c>
      <c r="C128">
        <v>1.2373000000000001</v>
      </c>
      <c r="D128">
        <v>1.1146</v>
      </c>
      <c r="E128">
        <v>1.1772</v>
      </c>
      <c r="F128">
        <v>24025314</v>
      </c>
      <c r="G128">
        <v>1.1772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2.0374898125508932E-2</v>
      </c>
      <c r="Q128">
        <f t="shared" ref="Q128" si="616">F128*P128</f>
        <v>489513.32518336351</v>
      </c>
      <c r="R128">
        <f t="shared" ref="R128" si="617">R129+Q128</f>
        <v>1482528312.6338682</v>
      </c>
      <c r="S128">
        <f t="shared" ref="S128" si="618">R128/100000</f>
        <v>14825.283126338682</v>
      </c>
      <c r="T128">
        <f t="shared" ref="T128" si="619">S128/1000</f>
        <v>14.825283126338682</v>
      </c>
    </row>
    <row r="129" spans="1:20" x14ac:dyDescent="0.25">
      <c r="A129" s="5">
        <v>44464</v>
      </c>
      <c r="B129">
        <v>1.2643</v>
      </c>
      <c r="C129">
        <v>1.2806</v>
      </c>
      <c r="D129">
        <v>1.2079</v>
      </c>
      <c r="E129">
        <v>1.2318</v>
      </c>
      <c r="F129">
        <v>15858320</v>
      </c>
      <c r="G129">
        <v>1.2318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-0.34250343878954509</v>
      </c>
      <c r="Q129">
        <f t="shared" ref="Q129" si="621">F129*P129</f>
        <v>-5431529.1334250188</v>
      </c>
      <c r="R129">
        <f t="shared" ref="R129" si="622">R130+Q129</f>
        <v>1482038799.3086848</v>
      </c>
      <c r="S129">
        <f t="shared" ref="S129" si="623">R129/100000</f>
        <v>14820.387993086848</v>
      </c>
      <c r="T129">
        <f t="shared" ref="T129" si="624">S129/1000</f>
        <v>14.820387993086849</v>
      </c>
    </row>
    <row r="130" spans="1:20" x14ac:dyDescent="0.25">
      <c r="A130" s="5">
        <v>44463</v>
      </c>
      <c r="B130">
        <v>1.3907</v>
      </c>
      <c r="C130">
        <v>1.41</v>
      </c>
      <c r="D130">
        <v>1.1832</v>
      </c>
      <c r="E130">
        <v>1.264</v>
      </c>
      <c r="F130">
        <v>28326620</v>
      </c>
      <c r="G130">
        <v>1.264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-0.28747795414462063</v>
      </c>
      <c r="Q130">
        <f t="shared" ref="Q130" si="626">F130*P130</f>
        <v>-8143278.7654320933</v>
      </c>
      <c r="R130">
        <f t="shared" ref="R130" si="627">R131+Q130</f>
        <v>1487470328.4421098</v>
      </c>
      <c r="S130">
        <f t="shared" ref="S130" si="628">R130/100000</f>
        <v>14874.703284421099</v>
      </c>
      <c r="T130">
        <f t="shared" ref="T130" si="629">S130/1000</f>
        <v>14.874703284421098</v>
      </c>
    </row>
    <row r="131" spans="1:20" x14ac:dyDescent="0.25">
      <c r="A131" s="5">
        <v>44462</v>
      </c>
      <c r="B131">
        <v>1.3653</v>
      </c>
      <c r="C131">
        <v>1.4079999999999999</v>
      </c>
      <c r="D131">
        <v>1.3234999999999999</v>
      </c>
      <c r="E131">
        <v>1.3906000000000001</v>
      </c>
      <c r="F131">
        <v>20682335</v>
      </c>
      <c r="G131">
        <v>1.3906000000000001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0.58816568047337614</v>
      </c>
      <c r="Q131">
        <f t="shared" ref="Q131" si="631">F131*P131</f>
        <v>12164639.639053324</v>
      </c>
      <c r="R131">
        <f t="shared" ref="R131" si="632">R132+Q131</f>
        <v>1495613607.2075419</v>
      </c>
      <c r="S131">
        <f t="shared" ref="S131" si="633">R131/100000</f>
        <v>14956.13607207542</v>
      </c>
      <c r="T131">
        <f t="shared" ref="T131" si="634">S131/1000</f>
        <v>14.95613607207542</v>
      </c>
    </row>
    <row r="132" spans="1:20" x14ac:dyDescent="0.25">
      <c r="A132" s="5">
        <v>44461</v>
      </c>
      <c r="B132">
        <v>1.2232000000000001</v>
      </c>
      <c r="C132">
        <v>1.3872</v>
      </c>
      <c r="D132">
        <v>1.2</v>
      </c>
      <c r="E132">
        <v>1.3653</v>
      </c>
      <c r="F132">
        <v>33924626</v>
      </c>
      <c r="G132">
        <v>1.3653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0.76602564102564075</v>
      </c>
      <c r="Q132">
        <f t="shared" ref="Q132" si="636">F132*P132</f>
        <v>25987133.378205121</v>
      </c>
      <c r="R132">
        <f t="shared" ref="R132" si="637">R133+Q132</f>
        <v>1483448967.5684886</v>
      </c>
      <c r="S132">
        <f t="shared" ref="S132" si="638">R132/100000</f>
        <v>14834.489675684887</v>
      </c>
      <c r="T132">
        <f t="shared" ref="T132" si="639">S132/1000</f>
        <v>14.834489675684887</v>
      </c>
    </row>
    <row r="133" spans="1:20" x14ac:dyDescent="0.25">
      <c r="A133" s="5">
        <v>44460</v>
      </c>
      <c r="B133">
        <v>1.3018000000000001</v>
      </c>
      <c r="C133">
        <v>1.36</v>
      </c>
      <c r="D133">
        <v>1.18</v>
      </c>
      <c r="E133">
        <v>1.2203999999999999</v>
      </c>
      <c r="F133">
        <v>34224173</v>
      </c>
      <c r="G133">
        <v>1.2203999999999999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-0.55111111111111155</v>
      </c>
      <c r="Q133">
        <f t="shared" ref="Q133" si="641">F133*P133</f>
        <v>-18861322.008888904</v>
      </c>
      <c r="R133">
        <f t="shared" ref="R133" si="642">R134+Q133</f>
        <v>1457461834.1902835</v>
      </c>
      <c r="S133">
        <f t="shared" ref="S133" si="643">R133/100000</f>
        <v>14574.618341902835</v>
      </c>
      <c r="T133">
        <f t="shared" ref="T133" si="644">S133/1000</f>
        <v>14.574618341902834</v>
      </c>
    </row>
    <row r="134" spans="1:20" x14ac:dyDescent="0.25">
      <c r="A134" s="5">
        <v>44459</v>
      </c>
      <c r="B134">
        <v>1.5347999999999999</v>
      </c>
      <c r="C134">
        <v>1.5387999999999999</v>
      </c>
      <c r="D134">
        <v>1.3642000000000001</v>
      </c>
      <c r="E134">
        <v>1.3826000000000001</v>
      </c>
      <c r="F134">
        <v>16343422</v>
      </c>
      <c r="G134">
        <v>1.3826000000000001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-0.78923253150057293</v>
      </c>
      <c r="Q134">
        <f t="shared" ref="Q134" si="646">F134*P134</f>
        <v>-12898760.318442157</v>
      </c>
      <c r="R134">
        <f t="shared" ref="R134" si="647">R135+Q134</f>
        <v>1476323156.1991725</v>
      </c>
      <c r="S134">
        <f t="shared" ref="S134" si="648">R134/100000</f>
        <v>14763.231561991724</v>
      </c>
      <c r="T134">
        <f t="shared" ref="T134" si="649">S134/1000</f>
        <v>14.763231561991724</v>
      </c>
    </row>
    <row r="135" spans="1:20" x14ac:dyDescent="0.25">
      <c r="A135" s="5">
        <v>44458</v>
      </c>
      <c r="B135">
        <v>1.6655</v>
      </c>
      <c r="C135">
        <v>1.6660999999999999</v>
      </c>
      <c r="D135">
        <v>1.5061</v>
      </c>
      <c r="E135">
        <v>1.5344</v>
      </c>
      <c r="F135">
        <v>17720649</v>
      </c>
      <c r="G135">
        <v>1.5344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-0.64624999999999988</v>
      </c>
      <c r="Q135">
        <f t="shared" ref="Q135" si="651">F135*P135</f>
        <v>-11451969.416249998</v>
      </c>
      <c r="R135">
        <f t="shared" ref="R135" si="652">R136+Q135</f>
        <v>1489221916.5176146</v>
      </c>
      <c r="S135">
        <f t="shared" ref="S135" si="653">R135/100000</f>
        <v>14892.219165176146</v>
      </c>
      <c r="T135">
        <f t="shared" ref="T135" si="654">S135/1000</f>
        <v>14.892219165176146</v>
      </c>
    </row>
    <row r="136" spans="1:20" x14ac:dyDescent="0.25">
      <c r="A136" s="5">
        <v>44457</v>
      </c>
      <c r="B136">
        <v>1.7464</v>
      </c>
      <c r="C136">
        <v>1.7574000000000001</v>
      </c>
      <c r="D136">
        <v>1.6080000000000001</v>
      </c>
      <c r="E136">
        <v>1.6657999999999999</v>
      </c>
      <c r="F136">
        <v>28549771</v>
      </c>
      <c r="G136">
        <v>1.6657999999999999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-0.2262382864792522</v>
      </c>
      <c r="Q136">
        <f t="shared" ref="Q136" si="656">F136*P136</f>
        <v>-6459051.2704150463</v>
      </c>
      <c r="R136">
        <f t="shared" ref="R136" si="657">R137+Q136</f>
        <v>1500673885.9338646</v>
      </c>
      <c r="S136">
        <f t="shared" ref="S136" si="658">R136/100000</f>
        <v>15006.738859338646</v>
      </c>
      <c r="T136">
        <f t="shared" ref="T136" si="659">S136/1000</f>
        <v>15.006738859338645</v>
      </c>
    </row>
    <row r="137" spans="1:20" x14ac:dyDescent="0.25">
      <c r="A137" s="5">
        <v>44456</v>
      </c>
      <c r="B137">
        <v>1.5229999999999999</v>
      </c>
      <c r="C137">
        <v>1.7664</v>
      </c>
      <c r="D137">
        <v>1.4858</v>
      </c>
      <c r="E137">
        <v>1.7462</v>
      </c>
      <c r="F137">
        <v>69780628</v>
      </c>
      <c r="G137">
        <v>1.7462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0.85602280826799715</v>
      </c>
      <c r="Q137">
        <f t="shared" ref="Q137" si="661">F137*P137</f>
        <v>59733809.143264435</v>
      </c>
      <c r="R137">
        <f t="shared" ref="R137" si="662">R138+Q137</f>
        <v>1507132937.2042797</v>
      </c>
      <c r="S137">
        <f t="shared" ref="S137" si="663">R137/100000</f>
        <v>15071.329372042797</v>
      </c>
      <c r="T137">
        <f t="shared" ref="T137" si="664">S137/1000</f>
        <v>15.071329372042797</v>
      </c>
    </row>
    <row r="138" spans="1:20" x14ac:dyDescent="0.25">
      <c r="A138" s="5">
        <v>44455</v>
      </c>
      <c r="B138">
        <v>1.6082000000000001</v>
      </c>
      <c r="C138">
        <v>1.6367</v>
      </c>
      <c r="D138">
        <v>1.4708000000000001</v>
      </c>
      <c r="E138">
        <v>1.5229999999999999</v>
      </c>
      <c r="F138">
        <v>21258717</v>
      </c>
      <c r="G138">
        <v>1.5229999999999999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-0.37070524412296779</v>
      </c>
      <c r="Q138">
        <f t="shared" ref="Q138" si="666">F138*P138</f>
        <v>-7880717.8752260851</v>
      </c>
      <c r="R138">
        <f t="shared" ref="R138" si="667">R139+Q138</f>
        <v>1447399128.0610151</v>
      </c>
      <c r="S138">
        <f t="shared" ref="S138" si="668">R138/100000</f>
        <v>14473.991280610151</v>
      </c>
      <c r="T138">
        <f t="shared" ref="T138" si="669">S138/1000</f>
        <v>14.473991280610152</v>
      </c>
    </row>
    <row r="139" spans="1:20" x14ac:dyDescent="0.25">
      <c r="A139" s="5">
        <v>44454</v>
      </c>
      <c r="B139">
        <v>1.5609999999999999</v>
      </c>
      <c r="C139">
        <v>1.6629</v>
      </c>
      <c r="D139">
        <v>1.5164</v>
      </c>
      <c r="E139">
        <v>1.6073999999999999</v>
      </c>
      <c r="F139">
        <v>30508996</v>
      </c>
      <c r="G139">
        <v>1.6073999999999999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0.24232081911262693</v>
      </c>
      <c r="Q139">
        <f t="shared" ref="Q139" si="671">F139*P139</f>
        <v>7392964.9010238582</v>
      </c>
      <c r="R139">
        <f t="shared" ref="R139" si="672">R140+Q139</f>
        <v>1455279845.9362411</v>
      </c>
      <c r="S139">
        <f t="shared" ref="S139" si="673">R139/100000</f>
        <v>14552.798459362411</v>
      </c>
      <c r="T139">
        <f t="shared" ref="T139" si="674">S139/1000</f>
        <v>14.552798459362412</v>
      </c>
    </row>
    <row r="140" spans="1:20" x14ac:dyDescent="0.25">
      <c r="A140" s="5">
        <v>44453</v>
      </c>
      <c r="B140">
        <v>1.4012</v>
      </c>
      <c r="C140">
        <v>1.57</v>
      </c>
      <c r="D140">
        <v>1.3802000000000001</v>
      </c>
      <c r="E140">
        <v>1.5609</v>
      </c>
      <c r="F140">
        <v>37088679</v>
      </c>
      <c r="G140">
        <v>1.5609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0.90410958904109473</v>
      </c>
      <c r="Q140">
        <f t="shared" ref="Q140" si="676">F140*P140</f>
        <v>33532230.32876708</v>
      </c>
      <c r="R140">
        <f t="shared" ref="R140" si="677">R141+Q140</f>
        <v>1447886881.0352173</v>
      </c>
      <c r="S140">
        <f t="shared" ref="S140" si="678">R140/100000</f>
        <v>14478.868810352173</v>
      </c>
      <c r="T140">
        <f t="shared" ref="T140" si="679">S140/1000</f>
        <v>14.478868810352173</v>
      </c>
    </row>
    <row r="141" spans="1:20" x14ac:dyDescent="0.25">
      <c r="A141" s="5">
        <v>44452</v>
      </c>
      <c r="B141">
        <v>1.512</v>
      </c>
      <c r="C141">
        <v>1.5258</v>
      </c>
      <c r="D141">
        <v>1.3025</v>
      </c>
      <c r="E141">
        <v>1.4020999999999999</v>
      </c>
      <c r="F141">
        <v>26472861</v>
      </c>
      <c r="G141">
        <v>1.4020999999999999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-0.10792655620241928</v>
      </c>
      <c r="Q141">
        <f t="shared" ref="Q141" si="681">F141*P141</f>
        <v>-2857124.7205553334</v>
      </c>
      <c r="R141">
        <f t="shared" ref="R141" si="682">R142+Q141</f>
        <v>1414354650.7064502</v>
      </c>
      <c r="S141">
        <f t="shared" ref="S141" si="683">R141/100000</f>
        <v>14143.546507064502</v>
      </c>
      <c r="T141">
        <f t="shared" ref="T141" si="684">S141/1000</f>
        <v>14.143546507064503</v>
      </c>
    </row>
    <row r="142" spans="1:20" x14ac:dyDescent="0.25">
      <c r="A142" s="5">
        <v>44451</v>
      </c>
      <c r="B142">
        <v>1.5051000000000001</v>
      </c>
      <c r="C142">
        <v>1.5516000000000001</v>
      </c>
      <c r="D142">
        <v>1.45</v>
      </c>
      <c r="E142">
        <v>1.5119</v>
      </c>
      <c r="F142">
        <v>20918240</v>
      </c>
      <c r="G142">
        <v>1.5119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0.21850393700787371</v>
      </c>
      <c r="Q142">
        <f t="shared" ref="Q142" si="686">F142*P142</f>
        <v>4570717.7952755839</v>
      </c>
      <c r="R142">
        <f t="shared" ref="R142" si="687">R143+Q142</f>
        <v>1417211775.4270055</v>
      </c>
      <c r="S142">
        <f t="shared" ref="S142" si="688">R142/100000</f>
        <v>14172.117754270055</v>
      </c>
      <c r="T142">
        <f t="shared" ref="T142" si="689">S142/1000</f>
        <v>14.172117754270054</v>
      </c>
    </row>
    <row r="143" spans="1:20" x14ac:dyDescent="0.25">
      <c r="A143" s="5">
        <v>44450</v>
      </c>
      <c r="B143">
        <v>1.5401</v>
      </c>
      <c r="C143">
        <v>1.571</v>
      </c>
      <c r="D143">
        <v>1.4752000000000001</v>
      </c>
      <c r="E143">
        <v>1.5049999999999999</v>
      </c>
      <c r="F143">
        <v>23374384</v>
      </c>
      <c r="G143">
        <v>1.5049999999999999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-0.37787056367432437</v>
      </c>
      <c r="Q143">
        <f t="shared" ref="Q143" si="691">F143*P143</f>
        <v>-8832491.6576201096</v>
      </c>
      <c r="R143">
        <f t="shared" ref="R143" si="692">R144+Q143</f>
        <v>1412641057.6317298</v>
      </c>
      <c r="S143">
        <f t="shared" ref="S143" si="693">R143/100000</f>
        <v>14126.410576317299</v>
      </c>
      <c r="T143">
        <f t="shared" ref="T143" si="694">S143/1000</f>
        <v>14.1264105763173</v>
      </c>
    </row>
    <row r="144" spans="1:20" x14ac:dyDescent="0.25">
      <c r="A144" s="5">
        <v>44449</v>
      </c>
      <c r="B144">
        <v>1.5672999999999999</v>
      </c>
      <c r="C144">
        <v>1.77</v>
      </c>
      <c r="D144">
        <v>1.4907999999999999</v>
      </c>
      <c r="E144">
        <v>1.5375000000000001</v>
      </c>
      <c r="F144">
        <v>63101724</v>
      </c>
      <c r="G144">
        <v>1.5375000000000001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-0.66547277936962634</v>
      </c>
      <c r="Q144">
        <f t="shared" ref="Q144" si="696">F144*P144</f>
        <v>-41992479.653295055</v>
      </c>
      <c r="R144">
        <f t="shared" ref="R144" si="697">R145+Q144</f>
        <v>1421473549.28935</v>
      </c>
      <c r="S144">
        <f t="shared" ref="S144" si="698">R144/100000</f>
        <v>14214.7354928935</v>
      </c>
      <c r="T144">
        <f t="shared" ref="T144" si="699">S144/1000</f>
        <v>14.214735492893499</v>
      </c>
    </row>
    <row r="145" spans="1:20" x14ac:dyDescent="0.25">
      <c r="A145" s="5">
        <v>44448</v>
      </c>
      <c r="B145">
        <v>1.5197000000000001</v>
      </c>
      <c r="C145">
        <v>1.6233</v>
      </c>
      <c r="D145">
        <v>1.4885999999999999</v>
      </c>
      <c r="E145">
        <v>1.5671999999999999</v>
      </c>
      <c r="F145">
        <v>45961391</v>
      </c>
      <c r="G145">
        <v>1.5671999999999999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0.16703786191536718</v>
      </c>
      <c r="Q145">
        <f t="shared" ref="Q145" si="701">F145*P145</f>
        <v>7677292.4832961997</v>
      </c>
      <c r="R145">
        <f t="shared" ref="R145" si="702">R146+Q145</f>
        <v>1463466028.9426451</v>
      </c>
      <c r="S145">
        <f t="shared" ref="S145" si="703">R145/100000</f>
        <v>14634.660289426451</v>
      </c>
      <c r="T145">
        <f t="shared" ref="T145" si="704">S145/1000</f>
        <v>14.634660289426451</v>
      </c>
    </row>
    <row r="146" spans="1:20" x14ac:dyDescent="0.25">
      <c r="A146" s="5">
        <v>44447</v>
      </c>
      <c r="B146">
        <v>1.5179</v>
      </c>
      <c r="C146">
        <v>1.73</v>
      </c>
      <c r="D146">
        <v>1.4221999999999999</v>
      </c>
      <c r="E146">
        <v>1.5197000000000001</v>
      </c>
      <c r="F146">
        <v>68367715</v>
      </c>
      <c r="G146">
        <v>1.5197000000000001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-0.36647173489278673</v>
      </c>
      <c r="Q146">
        <f t="shared" ref="Q146" si="706">F146*P146</f>
        <v>-25054835.126705598</v>
      </c>
      <c r="R146">
        <f t="shared" ref="R146" si="707">R147+Q146</f>
        <v>1455788736.4593489</v>
      </c>
      <c r="S146">
        <f t="shared" ref="S146" si="708">R146/100000</f>
        <v>14557.887364593489</v>
      </c>
      <c r="T146">
        <f t="shared" ref="T146" si="709">S146/1000</f>
        <v>14.557887364593489</v>
      </c>
    </row>
    <row r="147" spans="1:20" x14ac:dyDescent="0.25">
      <c r="A147" s="5">
        <v>44446</v>
      </c>
      <c r="B147">
        <v>1.8015000000000001</v>
      </c>
      <c r="C147">
        <v>1.8817999999999999</v>
      </c>
      <c r="D147">
        <v>1.2532000000000001</v>
      </c>
      <c r="E147">
        <v>1.518</v>
      </c>
      <c r="F147">
        <v>83841584</v>
      </c>
      <c r="G147">
        <v>1.518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-0.15749284123448934</v>
      </c>
      <c r="Q147">
        <f t="shared" ref="Q147" si="711">F147*P147</f>
        <v>-13204449.277760101</v>
      </c>
      <c r="R147">
        <f t="shared" ref="R147" si="712">R148+Q147</f>
        <v>1480843571.5860546</v>
      </c>
      <c r="S147">
        <f t="shared" ref="S147" si="713">R147/100000</f>
        <v>14808.435715860545</v>
      </c>
      <c r="T147">
        <f t="shared" ref="T147" si="714">S147/1000</f>
        <v>14.808435715860545</v>
      </c>
    </row>
    <row r="148" spans="1:20" x14ac:dyDescent="0.25">
      <c r="A148" s="5">
        <v>44445</v>
      </c>
      <c r="B148">
        <v>1.8009999999999999</v>
      </c>
      <c r="C148">
        <v>1.9822</v>
      </c>
      <c r="D148">
        <v>1.7398</v>
      </c>
      <c r="E148">
        <v>1.8015000000000001</v>
      </c>
      <c r="F148">
        <v>62102067</v>
      </c>
      <c r="G148">
        <v>1.8015000000000001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-0.49092409240924006</v>
      </c>
      <c r="Q148">
        <f t="shared" ref="Q148" si="716">F148*P148</f>
        <v>-30487400.878712818</v>
      </c>
      <c r="R148">
        <f t="shared" ref="R148" si="717">R149+Q148</f>
        <v>1494048020.8638146</v>
      </c>
      <c r="S148">
        <f t="shared" ref="S148" si="718">R148/100000</f>
        <v>14940.480208638146</v>
      </c>
      <c r="T148">
        <f t="shared" ref="T148" si="719">S148/1000</f>
        <v>14.940480208638146</v>
      </c>
    </row>
    <row r="149" spans="1:20" x14ac:dyDescent="0.25">
      <c r="A149" s="5">
        <v>44444</v>
      </c>
      <c r="B149">
        <v>1.9837</v>
      </c>
      <c r="C149">
        <v>1.9882</v>
      </c>
      <c r="D149">
        <v>1.7254</v>
      </c>
      <c r="E149">
        <v>1.8008</v>
      </c>
      <c r="F149">
        <v>66659103</v>
      </c>
      <c r="G149">
        <v>1.8008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-0.42617960426179657</v>
      </c>
      <c r="Q149">
        <f t="shared" ref="Q149" si="721">F149*P149</f>
        <v>-28408750.136986338</v>
      </c>
      <c r="R149">
        <f t="shared" ref="R149" si="722">R150+Q149</f>
        <v>1524535421.7425275</v>
      </c>
      <c r="S149">
        <f t="shared" ref="S149" si="723">R149/100000</f>
        <v>15245.354217425274</v>
      </c>
      <c r="T149">
        <f t="shared" ref="T149" si="724">S149/1000</f>
        <v>15.245354217425275</v>
      </c>
    </row>
    <row r="150" spans="1:20" x14ac:dyDescent="0.25">
      <c r="A150" s="5">
        <v>44443</v>
      </c>
      <c r="B150">
        <v>1.5746</v>
      </c>
      <c r="C150">
        <v>2.08</v>
      </c>
      <c r="D150">
        <v>1.5475000000000001</v>
      </c>
      <c r="E150">
        <v>1.9835</v>
      </c>
      <c r="F150">
        <v>140587205.16</v>
      </c>
      <c r="G150">
        <v>1.9835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0.63755868544600924</v>
      </c>
      <c r="Q150">
        <f t="shared" ref="Q150" si="726">F150*P150</f>
        <v>89632593.712338001</v>
      </c>
      <c r="R150">
        <f t="shared" ref="R150" si="727">R151+Q150</f>
        <v>1552944171.8795137</v>
      </c>
      <c r="S150">
        <f t="shared" ref="S150" si="728">R150/100000</f>
        <v>15529.441718795137</v>
      </c>
      <c r="T150">
        <f t="shared" ref="T150" si="729">S150/1000</f>
        <v>15.529441718795137</v>
      </c>
    </row>
    <row r="151" spans="1:20" x14ac:dyDescent="0.25">
      <c r="A151" s="5">
        <v>44442</v>
      </c>
      <c r="B151">
        <v>1.5466</v>
      </c>
      <c r="C151">
        <v>1.6624000000000001</v>
      </c>
      <c r="D151">
        <v>1.4901</v>
      </c>
      <c r="E151">
        <v>1.5744</v>
      </c>
      <c r="F151">
        <v>90201065</v>
      </c>
      <c r="G151">
        <v>1.5744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-2.1474172954149936E-2</v>
      </c>
      <c r="Q151">
        <f t="shared" ref="Q151" si="731">F151*P151</f>
        <v>-1936993.2704585204</v>
      </c>
      <c r="R151">
        <f t="shared" ref="R151" si="732">R152+Q151</f>
        <v>1463311578.1671758</v>
      </c>
      <c r="S151">
        <f t="shared" ref="S151" si="733">R151/100000</f>
        <v>14633.115781671757</v>
      </c>
      <c r="T151">
        <f t="shared" ref="T151" si="734">S151/1000</f>
        <v>14.633115781671757</v>
      </c>
    </row>
    <row r="152" spans="1:20" x14ac:dyDescent="0.25">
      <c r="A152" s="5">
        <v>44441</v>
      </c>
      <c r="B152">
        <v>1.1335999999999999</v>
      </c>
      <c r="C152">
        <v>1.68</v>
      </c>
      <c r="D152">
        <v>1.1226</v>
      </c>
      <c r="E152">
        <v>1.5463</v>
      </c>
      <c r="F152">
        <v>220002065.18000001</v>
      </c>
      <c r="G152">
        <v>1.5463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0.5202726946537497</v>
      </c>
      <c r="Q152">
        <f t="shared" ref="Q152" si="736">F152*P152</f>
        <v>114461067.28058848</v>
      </c>
      <c r="R152">
        <f t="shared" ref="R152" si="737">R153+Q152</f>
        <v>1465248571.4376342</v>
      </c>
      <c r="S152">
        <f t="shared" ref="S152" si="738">R152/100000</f>
        <v>14652.485714376342</v>
      </c>
      <c r="T152">
        <f t="shared" ref="T152" si="739">S152/1000</f>
        <v>14.652485714376342</v>
      </c>
    </row>
    <row r="153" spans="1:20" x14ac:dyDescent="0.25">
      <c r="A153" s="5">
        <v>44440</v>
      </c>
      <c r="B153">
        <v>0.98919999999999997</v>
      </c>
      <c r="C153">
        <v>1.1483000000000001</v>
      </c>
      <c r="D153">
        <v>0.96089999999999998</v>
      </c>
      <c r="E153">
        <v>1.1333</v>
      </c>
      <c r="F153">
        <v>54955128.700000003</v>
      </c>
      <c r="G153">
        <v>1.1333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0.8399146211312688</v>
      </c>
      <c r="Q153">
        <f t="shared" ref="Q153" si="741">F153*P153</f>
        <v>46157616.101280622</v>
      </c>
      <c r="R153">
        <f t="shared" ref="R153" si="742">R154+Q153</f>
        <v>1350787504.1570458</v>
      </c>
      <c r="S153">
        <f t="shared" ref="S153" si="743">R153/100000</f>
        <v>13507.875041570458</v>
      </c>
      <c r="T153">
        <f t="shared" ref="T153" si="744">S153/1000</f>
        <v>13.507875041570458</v>
      </c>
    </row>
    <row r="154" spans="1:20" x14ac:dyDescent="0.25">
      <c r="A154" s="5">
        <v>44439</v>
      </c>
      <c r="B154">
        <v>0.96550000000000002</v>
      </c>
      <c r="C154">
        <v>1.0295000000000001</v>
      </c>
      <c r="D154">
        <v>0.95220000000000005</v>
      </c>
      <c r="E154">
        <v>0.98909999999999998</v>
      </c>
      <c r="F154">
        <v>17575698</v>
      </c>
      <c r="G154">
        <v>0.98909999999999998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-4.5278137128074616E-2</v>
      </c>
      <c r="Q154">
        <f t="shared" ref="Q154" si="746">F154*P154</f>
        <v>-795794.86416562682</v>
      </c>
      <c r="R154">
        <f t="shared" ref="R154" si="747">R155+Q154</f>
        <v>1304629888.0557652</v>
      </c>
      <c r="S154">
        <f t="shared" ref="S154" si="748">R154/100000</f>
        <v>13046.298880557652</v>
      </c>
      <c r="T154">
        <f t="shared" ref="T154" si="749">S154/1000</f>
        <v>13.046298880557652</v>
      </c>
    </row>
    <row r="155" spans="1:20" x14ac:dyDescent="0.25">
      <c r="A155" s="5">
        <v>44438</v>
      </c>
      <c r="B155">
        <v>1.0044999999999999</v>
      </c>
      <c r="C155">
        <v>1.024</v>
      </c>
      <c r="D155">
        <v>0.95479999999999998</v>
      </c>
      <c r="E155">
        <v>0.96560000000000001</v>
      </c>
      <c r="F155">
        <v>17400665</v>
      </c>
      <c r="G155">
        <v>0.96560000000000001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-0.68786127167629985</v>
      </c>
      <c r="Q155">
        <f t="shared" ref="Q155" si="751">F155*P155</f>
        <v>-11969243.554913282</v>
      </c>
      <c r="R155">
        <f t="shared" ref="R155" si="752">R156+Q155</f>
        <v>1305425682.9199307</v>
      </c>
      <c r="S155">
        <f t="shared" ref="S155" si="753">R155/100000</f>
        <v>13054.256829199307</v>
      </c>
      <c r="T155">
        <f t="shared" ref="T155" si="754">S155/1000</f>
        <v>13.054256829199307</v>
      </c>
    </row>
    <row r="156" spans="1:20" x14ac:dyDescent="0.25">
      <c r="A156" s="5">
        <v>44437</v>
      </c>
      <c r="B156">
        <v>1.0137</v>
      </c>
      <c r="C156">
        <v>1.0356000000000001</v>
      </c>
      <c r="D156">
        <v>0.97760000000000002</v>
      </c>
      <c r="E156">
        <v>1.0044999999999999</v>
      </c>
      <c r="F156">
        <v>12212567</v>
      </c>
      <c r="G156">
        <v>1.0044999999999999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-7.2413793103451723E-2</v>
      </c>
      <c r="Q156">
        <f t="shared" ref="Q156" si="756">F156*P156</f>
        <v>-884358.30000004207</v>
      </c>
      <c r="R156">
        <f t="shared" ref="R156" si="757">R157+Q156</f>
        <v>1317394926.474844</v>
      </c>
      <c r="S156">
        <f t="shared" ref="S156" si="758">R156/100000</f>
        <v>13173.94926474844</v>
      </c>
      <c r="T156">
        <f t="shared" ref="T156" si="759">S156/1000</f>
        <v>13.17394926474844</v>
      </c>
    </row>
    <row r="157" spans="1:20" x14ac:dyDescent="0.25">
      <c r="A157" s="5">
        <v>44436</v>
      </c>
      <c r="B157">
        <v>1.0417000000000001</v>
      </c>
      <c r="C157">
        <v>1.0476000000000001</v>
      </c>
      <c r="D157">
        <v>1.0008999999999999</v>
      </c>
      <c r="E157">
        <v>1.0135000000000001</v>
      </c>
      <c r="F157">
        <v>11153589</v>
      </c>
      <c r="G157">
        <v>1.0135000000000001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-0.46038543897215778</v>
      </c>
      <c r="Q157">
        <f t="shared" ref="Q157" si="761">F157*P157</f>
        <v>-5134949.9678800302</v>
      </c>
      <c r="R157">
        <f t="shared" ref="R157" si="762">R158+Q157</f>
        <v>1318279284.7748439</v>
      </c>
      <c r="S157">
        <f t="shared" ref="S157" si="763">R157/100000</f>
        <v>13182.79284774844</v>
      </c>
      <c r="T157">
        <f t="shared" ref="T157" si="764">S157/1000</f>
        <v>13.18279284774844</v>
      </c>
    </row>
    <row r="158" spans="1:20" x14ac:dyDescent="0.25">
      <c r="A158" s="5">
        <v>44435</v>
      </c>
      <c r="B158">
        <v>0.97130000000000005</v>
      </c>
      <c r="C158">
        <v>1.05</v>
      </c>
      <c r="D158">
        <v>0.93600000000000005</v>
      </c>
      <c r="E158">
        <v>1.0412999999999999</v>
      </c>
      <c r="F158">
        <v>19702326.370000001</v>
      </c>
      <c r="G158">
        <v>1.0412999999999999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0.84736842105262888</v>
      </c>
      <c r="Q158">
        <f t="shared" ref="Q158" si="766">F158*P158</f>
        <v>16695129.187210474</v>
      </c>
      <c r="R158">
        <f t="shared" ref="R158" si="767">R159+Q158</f>
        <v>1323414234.7427239</v>
      </c>
      <c r="S158">
        <f t="shared" ref="S158" si="768">R158/100000</f>
        <v>13234.14234742724</v>
      </c>
      <c r="T158">
        <f t="shared" ref="T158" si="769">S158/1000</f>
        <v>13.234142347427239</v>
      </c>
    </row>
    <row r="159" spans="1:20" x14ac:dyDescent="0.25">
      <c r="A159" s="5">
        <v>44434</v>
      </c>
      <c r="B159">
        <v>1.0817000000000001</v>
      </c>
      <c r="C159">
        <v>1.0927</v>
      </c>
      <c r="D159">
        <v>0.95899999999999996</v>
      </c>
      <c r="E159">
        <v>0.97270000000000001</v>
      </c>
      <c r="F159">
        <v>20260077.949999999</v>
      </c>
      <c r="G159">
        <v>0.97270000000000001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-0.79506357516828663</v>
      </c>
      <c r="Q159">
        <f t="shared" ref="Q159" si="771">F159*P159</f>
        <v>-16108050.008115171</v>
      </c>
      <c r="R159">
        <f t="shared" ref="R159" si="772">R160+Q159</f>
        <v>1306719105.5555134</v>
      </c>
      <c r="S159">
        <f t="shared" ref="S159" si="773">R159/100000</f>
        <v>13067.191055555133</v>
      </c>
      <c r="T159">
        <f t="shared" ref="T159" si="774">S159/1000</f>
        <v>13.067191055555133</v>
      </c>
    </row>
    <row r="160" spans="1:20" x14ac:dyDescent="0.25">
      <c r="A160" s="5">
        <v>44433</v>
      </c>
      <c r="B160">
        <v>1.0567</v>
      </c>
      <c r="C160">
        <v>1.1000000000000001</v>
      </c>
      <c r="D160">
        <v>1.0033000000000001</v>
      </c>
      <c r="E160">
        <v>1.0832999999999999</v>
      </c>
      <c r="F160">
        <v>24287996.789999999</v>
      </c>
      <c r="G160">
        <v>1.0832999999999999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0.65460186142709087</v>
      </c>
      <c r="Q160">
        <f t="shared" ref="Q160" si="776">F160*P160</f>
        <v>15898967.909069207</v>
      </c>
      <c r="R160">
        <f t="shared" ref="R160" si="777">R161+Q160</f>
        <v>1322827155.5636284</v>
      </c>
      <c r="S160">
        <f t="shared" ref="S160" si="778">R160/100000</f>
        <v>13228.271555636284</v>
      </c>
      <c r="T160">
        <f t="shared" ref="T160" si="779">S160/1000</f>
        <v>13.228271555636283</v>
      </c>
    </row>
    <row r="161" spans="1:20" x14ac:dyDescent="0.25">
      <c r="A161" s="5">
        <v>44432</v>
      </c>
      <c r="B161">
        <v>1.1556999999999999</v>
      </c>
      <c r="C161">
        <v>1.1767000000000001</v>
      </c>
      <c r="D161">
        <v>1.0510999999999999</v>
      </c>
      <c r="E161">
        <v>1.0567</v>
      </c>
      <c r="F161">
        <v>23411068.949999999</v>
      </c>
      <c r="G161">
        <v>1.0567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-0.91082802547770636</v>
      </c>
      <c r="Q161">
        <f t="shared" ref="Q161" si="781">F161*P161</f>
        <v>-21323457.70605094</v>
      </c>
      <c r="R161">
        <f t="shared" ref="R161" si="782">R162+Q161</f>
        <v>1306928187.6545591</v>
      </c>
      <c r="S161">
        <f t="shared" ref="S161" si="783">R161/100000</f>
        <v>13069.281876545592</v>
      </c>
      <c r="T161">
        <f t="shared" ref="T161" si="784">S161/1000</f>
        <v>13.069281876545592</v>
      </c>
    </row>
    <row r="162" spans="1:20" x14ac:dyDescent="0.25">
      <c r="A162" s="5">
        <v>44431</v>
      </c>
      <c r="B162">
        <v>1.1672</v>
      </c>
      <c r="C162">
        <v>1.19</v>
      </c>
      <c r="D162">
        <v>1.1237999999999999</v>
      </c>
      <c r="E162">
        <v>1.1563000000000001</v>
      </c>
      <c r="F162">
        <v>24018499.32</v>
      </c>
      <c r="G162">
        <v>1.1563000000000001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-1.8126888217517297E-2</v>
      </c>
      <c r="Q162">
        <f t="shared" ref="Q162" si="786">F162*P162</f>
        <v>-435380.65232615522</v>
      </c>
      <c r="R162">
        <f t="shared" ref="R162" si="787">R163+Q162</f>
        <v>1328251645.36061</v>
      </c>
      <c r="S162">
        <f t="shared" ref="S162" si="788">R162/100000</f>
        <v>13282.5164536061</v>
      </c>
      <c r="T162">
        <f t="shared" ref="T162" si="789">S162/1000</f>
        <v>13.2825164536061</v>
      </c>
    </row>
    <row r="163" spans="1:20" x14ac:dyDescent="0.25">
      <c r="A163" s="5">
        <v>44430</v>
      </c>
      <c r="B163">
        <v>1.0722</v>
      </c>
      <c r="C163">
        <v>1.0895999999999999</v>
      </c>
      <c r="D163">
        <v>1.05</v>
      </c>
      <c r="E163">
        <v>1.0889</v>
      </c>
      <c r="F163">
        <v>3017897.57</v>
      </c>
      <c r="G163">
        <v>1.0889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0.96464646464646842</v>
      </c>
      <c r="Q163">
        <f t="shared" ref="Q163" si="791">F163*P163</f>
        <v>2911204.221565668</v>
      </c>
      <c r="R163">
        <f t="shared" ref="R163" si="792">R164+Q163</f>
        <v>1328687026.0129361</v>
      </c>
      <c r="S163">
        <f t="shared" ref="S163" si="793">R163/100000</f>
        <v>13286.870260129361</v>
      </c>
      <c r="T163">
        <f t="shared" ref="T163" si="794">S163/1000</f>
        <v>13.28687026012936</v>
      </c>
    </row>
    <row r="164" spans="1:20" x14ac:dyDescent="0.25">
      <c r="A164" s="5">
        <v>44429</v>
      </c>
      <c r="B164">
        <v>1.1084000000000001</v>
      </c>
      <c r="C164">
        <v>1.1201000000000001</v>
      </c>
      <c r="D164">
        <v>1.0585</v>
      </c>
      <c r="E164">
        <v>1.0725</v>
      </c>
      <c r="F164">
        <v>16364732.85</v>
      </c>
      <c r="G164">
        <v>1.0725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-0.54545454545454575</v>
      </c>
      <c r="Q164">
        <f t="shared" ref="Q164" si="796">F164*P164</f>
        <v>-8926217.9181818236</v>
      </c>
      <c r="R164">
        <f t="shared" ref="R164" si="797">R165+Q164</f>
        <v>1325775821.7913704</v>
      </c>
      <c r="S164">
        <f t="shared" ref="S164" si="798">R164/100000</f>
        <v>13257.758217913704</v>
      </c>
      <c r="T164">
        <f t="shared" ref="T164" si="799">S164/1000</f>
        <v>13.257758217913704</v>
      </c>
    </row>
    <row r="165" spans="1:20" x14ac:dyDescent="0.25">
      <c r="A165" s="5">
        <v>44428</v>
      </c>
      <c r="B165">
        <v>1.0595000000000001</v>
      </c>
      <c r="C165">
        <v>1.121</v>
      </c>
      <c r="D165">
        <v>1.0365</v>
      </c>
      <c r="E165">
        <v>1.1084000000000001</v>
      </c>
      <c r="F165">
        <v>21482862.960000001</v>
      </c>
      <c r="G165">
        <v>1.1084000000000001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0.70177514792899542</v>
      </c>
      <c r="Q165">
        <f t="shared" ref="Q165" si="801">F165*P165</f>
        <v>15076139.331692338</v>
      </c>
      <c r="R165">
        <f t="shared" ref="R165" si="802">R166+Q165</f>
        <v>1334702039.7095523</v>
      </c>
      <c r="S165">
        <f t="shared" ref="S165" si="803">R165/100000</f>
        <v>13347.020397095523</v>
      </c>
      <c r="T165">
        <f t="shared" ref="T165" si="804">S165/1000</f>
        <v>13.347020397095523</v>
      </c>
    </row>
    <row r="166" spans="1:20" x14ac:dyDescent="0.25">
      <c r="A166" s="5">
        <v>44427</v>
      </c>
      <c r="B166">
        <v>1.0002</v>
      </c>
      <c r="C166">
        <v>1.06</v>
      </c>
      <c r="D166">
        <v>0.95150000000000001</v>
      </c>
      <c r="E166">
        <v>1.0592999999999999</v>
      </c>
      <c r="F166">
        <v>22922534.100000001</v>
      </c>
      <c r="G166">
        <v>1.0592999999999999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0.98709677419354569</v>
      </c>
      <c r="Q166">
        <f t="shared" ref="Q166" si="806">F166*P166</f>
        <v>22626759.466451552</v>
      </c>
      <c r="R166">
        <f t="shared" ref="R166" si="807">R167+Q166</f>
        <v>1319625900.3778598</v>
      </c>
      <c r="S166">
        <f t="shared" ref="S166" si="808">R166/100000</f>
        <v>13196.259003778598</v>
      </c>
      <c r="T166">
        <f t="shared" ref="T166" si="809">S166/1000</f>
        <v>13.196259003778598</v>
      </c>
    </row>
    <row r="167" spans="1:20" x14ac:dyDescent="0.25">
      <c r="A167" s="5">
        <v>44426</v>
      </c>
      <c r="B167">
        <v>1.0189999999999999</v>
      </c>
      <c r="C167">
        <v>1.0583</v>
      </c>
      <c r="D167">
        <v>0.9637</v>
      </c>
      <c r="E167">
        <v>1.0003</v>
      </c>
      <c r="F167">
        <v>20727398.359999999</v>
      </c>
      <c r="G167">
        <v>1.0003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-0.22621564482029685</v>
      </c>
      <c r="Q167">
        <f t="shared" ref="Q167" si="811">F167*P167</f>
        <v>-4688861.7854545629</v>
      </c>
      <c r="R167">
        <f t="shared" ref="R167" si="812">R168+Q167</f>
        <v>1296999140.9114082</v>
      </c>
      <c r="S167">
        <f t="shared" ref="S167" si="813">R167/100000</f>
        <v>12969.991409114082</v>
      </c>
      <c r="T167">
        <f t="shared" ref="T167" si="814">S167/1000</f>
        <v>12.969991409114082</v>
      </c>
    </row>
    <row r="168" spans="1:20" x14ac:dyDescent="0.25">
      <c r="A168" s="5">
        <v>44425</v>
      </c>
      <c r="B168">
        <v>1.1059000000000001</v>
      </c>
      <c r="C168">
        <v>1.1442000000000001</v>
      </c>
      <c r="D168">
        <v>1</v>
      </c>
      <c r="E168">
        <v>1.0185</v>
      </c>
      <c r="F168">
        <v>26539193.949999999</v>
      </c>
      <c r="G168">
        <v>1.0185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-0.74341192787794808</v>
      </c>
      <c r="Q168">
        <f t="shared" ref="Q168" si="816">F168*P168</f>
        <v>-19729553.338696275</v>
      </c>
      <c r="R168">
        <f t="shared" ref="R168" si="817">R169+Q168</f>
        <v>1301688002.6968627</v>
      </c>
      <c r="S168">
        <f t="shared" ref="S168" si="818">R168/100000</f>
        <v>13016.880026968627</v>
      </c>
      <c r="T168">
        <f t="shared" ref="T168" si="819">S168/1000</f>
        <v>13.016880026968627</v>
      </c>
    </row>
    <row r="169" spans="1:20" x14ac:dyDescent="0.25">
      <c r="A169" s="5">
        <v>44424</v>
      </c>
      <c r="B169">
        <v>1.1726000000000001</v>
      </c>
      <c r="C169">
        <v>1.224</v>
      </c>
      <c r="D169">
        <v>1.0964</v>
      </c>
      <c r="E169">
        <v>1.1061000000000001</v>
      </c>
      <c r="F169">
        <v>24801893.77</v>
      </c>
      <c r="G169">
        <v>1.1061000000000001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-0.84796238244514033</v>
      </c>
      <c r="Q169">
        <f t="shared" ref="Q169" si="821">F169*P169</f>
        <v>-21031072.930360481</v>
      </c>
      <c r="R169">
        <f t="shared" ref="R169" si="822">R170+Q169</f>
        <v>1321417556.0355589</v>
      </c>
      <c r="S169">
        <f t="shared" ref="S169" si="823">R169/100000</f>
        <v>13214.17556035559</v>
      </c>
      <c r="T169">
        <f t="shared" ref="T169" si="824">S169/1000</f>
        <v>13.21417556035559</v>
      </c>
    </row>
    <row r="170" spans="1:20" x14ac:dyDescent="0.25">
      <c r="A170" s="5">
        <v>44423</v>
      </c>
      <c r="B170">
        <v>1.1634</v>
      </c>
      <c r="C170">
        <v>1.1840999999999999</v>
      </c>
      <c r="D170">
        <v>1.1031</v>
      </c>
      <c r="E170">
        <v>1.1718</v>
      </c>
      <c r="F170">
        <v>16128990.550000001</v>
      </c>
      <c r="G170">
        <v>1.1718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0.69629629629629675</v>
      </c>
      <c r="Q170">
        <f t="shared" ref="Q170" si="826">F170*P170</f>
        <v>11230556.38296297</v>
      </c>
      <c r="R170">
        <f t="shared" ref="R170" si="827">R171+Q170</f>
        <v>1342448628.9659195</v>
      </c>
      <c r="S170">
        <f t="shared" ref="S170" si="828">R170/100000</f>
        <v>13424.486289659195</v>
      </c>
      <c r="T170">
        <f t="shared" ref="T170" si="829">S170/1000</f>
        <v>13.424486289659194</v>
      </c>
    </row>
    <row r="171" spans="1:20" x14ac:dyDescent="0.25">
      <c r="A171" s="5">
        <v>44422</v>
      </c>
      <c r="B171">
        <v>1.1136999999999999</v>
      </c>
      <c r="C171">
        <v>1.1725000000000001</v>
      </c>
      <c r="D171">
        <v>1.081</v>
      </c>
      <c r="E171">
        <v>1.1634</v>
      </c>
      <c r="F171">
        <v>29800640.350000001</v>
      </c>
      <c r="G171">
        <v>1.1634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0.80109289617486135</v>
      </c>
      <c r="Q171">
        <f t="shared" ref="Q171" si="831">F171*P171</f>
        <v>23873081.285846934</v>
      </c>
      <c r="R171">
        <f t="shared" ref="R171" si="832">R172+Q171</f>
        <v>1331218072.5829566</v>
      </c>
      <c r="S171">
        <f t="shared" ref="S171" si="833">R171/100000</f>
        <v>13312.180725829565</v>
      </c>
      <c r="T171">
        <f t="shared" ref="T171" si="834">S171/1000</f>
        <v>13.312180725829565</v>
      </c>
    </row>
    <row r="172" spans="1:20" x14ac:dyDescent="0.25">
      <c r="A172" s="5">
        <v>44421</v>
      </c>
      <c r="B172">
        <v>1.0518000000000001</v>
      </c>
      <c r="C172">
        <v>1.1198999999999999</v>
      </c>
      <c r="D172">
        <v>1.0370999999999999</v>
      </c>
      <c r="E172">
        <v>1.1138999999999999</v>
      </c>
      <c r="F172">
        <v>26539537.899999999</v>
      </c>
      <c r="G172">
        <v>1.1138999999999999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0.85507246376811574</v>
      </c>
      <c r="Q172">
        <f t="shared" ref="Q172" si="836">F172*P172</f>
        <v>22693228.059420284</v>
      </c>
      <c r="R172">
        <f t="shared" ref="R172" si="837">R173+Q172</f>
        <v>1307344991.2971096</v>
      </c>
      <c r="S172">
        <f t="shared" ref="S172" si="838">R172/100000</f>
        <v>13073.449912971097</v>
      </c>
      <c r="T172">
        <f t="shared" ref="T172" si="839">S172/1000</f>
        <v>13.073449912971096</v>
      </c>
    </row>
    <row r="173" spans="1:20" x14ac:dyDescent="0.25">
      <c r="A173" s="5">
        <v>44420</v>
      </c>
      <c r="B173">
        <v>1.0556000000000001</v>
      </c>
      <c r="C173">
        <v>1.121</v>
      </c>
      <c r="D173">
        <v>0.97770000000000001</v>
      </c>
      <c r="E173">
        <v>1.0518000000000001</v>
      </c>
      <c r="F173">
        <v>26063038.370000001</v>
      </c>
      <c r="G173">
        <v>1.0518000000000001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3.4193998604327473E-2</v>
      </c>
      <c r="Q173">
        <f t="shared" ref="Q173" si="841">F173*P173</f>
        <v>891199.49764831341</v>
      </c>
      <c r="R173">
        <f t="shared" ref="R173" si="842">R174+Q173</f>
        <v>1284651763.2376893</v>
      </c>
      <c r="S173">
        <f t="shared" ref="S173" si="843">R173/100000</f>
        <v>12846.517632376892</v>
      </c>
      <c r="T173">
        <f t="shared" ref="T173" si="844">S173/1000</f>
        <v>12.846517632376893</v>
      </c>
    </row>
    <row r="174" spans="1:20" x14ac:dyDescent="0.25">
      <c r="A174" s="5">
        <v>44419</v>
      </c>
      <c r="B174">
        <v>0.97860000000000003</v>
      </c>
      <c r="C174">
        <v>1.0896999999999999</v>
      </c>
      <c r="D174">
        <v>0.96840000000000004</v>
      </c>
      <c r="E174">
        <v>1.0562</v>
      </c>
      <c r="F174">
        <v>36763053.75</v>
      </c>
      <c r="G174">
        <v>1.0562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0.44765045342127119</v>
      </c>
      <c r="Q174">
        <f t="shared" ref="Q174" si="846">F174*P174</f>
        <v>16456997.680338064</v>
      </c>
      <c r="R174">
        <f t="shared" ref="R174" si="847">R175+Q174</f>
        <v>1283760563.740041</v>
      </c>
      <c r="S174">
        <f t="shared" ref="S174" si="848">R174/100000</f>
        <v>12837.605637400411</v>
      </c>
      <c r="T174">
        <f t="shared" ref="T174" si="849">S174/1000</f>
        <v>12.837605637400411</v>
      </c>
    </row>
    <row r="175" spans="1:20" x14ac:dyDescent="0.25">
      <c r="A175" s="5">
        <v>44418</v>
      </c>
      <c r="B175">
        <v>0.91910000000000003</v>
      </c>
      <c r="C175">
        <v>1</v>
      </c>
      <c r="D175">
        <v>0.90129999999999999</v>
      </c>
      <c r="E175">
        <v>0.97809999999999997</v>
      </c>
      <c r="F175">
        <v>32184393.899999999</v>
      </c>
      <c r="G175">
        <v>0.97809999999999997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0.55623100303951312</v>
      </c>
      <c r="Q175">
        <f t="shared" ref="Q175" si="851">F175*P175</f>
        <v>17901957.701215785</v>
      </c>
      <c r="R175">
        <f t="shared" ref="R175" si="852">R176+Q175</f>
        <v>1267303566.0597029</v>
      </c>
      <c r="S175">
        <f t="shared" ref="S175" si="853">R175/100000</f>
        <v>12673.035660597028</v>
      </c>
      <c r="T175">
        <f t="shared" ref="T175" si="854">S175/1000</f>
        <v>12.673035660597028</v>
      </c>
    </row>
    <row r="176" spans="1:20" x14ac:dyDescent="0.25">
      <c r="A176" s="5">
        <v>44417</v>
      </c>
      <c r="B176">
        <v>0.87919999999999998</v>
      </c>
      <c r="C176">
        <v>0.93500000000000005</v>
      </c>
      <c r="D176">
        <v>0.85209999999999997</v>
      </c>
      <c r="E176">
        <v>0.91910000000000003</v>
      </c>
      <c r="F176">
        <v>14559152.029999999</v>
      </c>
      <c r="G176">
        <v>0.91910000000000003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0.61640530759951728</v>
      </c>
      <c r="Q176">
        <f t="shared" ref="Q176" si="856">F176*P176</f>
        <v>8974338.5854402855</v>
      </c>
      <c r="R176">
        <f t="shared" ref="R176" si="857">R177+Q176</f>
        <v>1249401608.3584871</v>
      </c>
      <c r="S176">
        <f t="shared" ref="S176" si="858">R176/100000</f>
        <v>12494.016083584871</v>
      </c>
      <c r="T176">
        <f t="shared" ref="T176" si="859">S176/1000</f>
        <v>12.494016083584871</v>
      </c>
    </row>
    <row r="177" spans="1:20" x14ac:dyDescent="0.25">
      <c r="A177" s="5">
        <v>44416</v>
      </c>
      <c r="B177">
        <v>0.9395</v>
      </c>
      <c r="C177">
        <v>0.94630000000000003</v>
      </c>
      <c r="D177">
        <v>0.85619999999999996</v>
      </c>
      <c r="E177">
        <v>0.87939999999999996</v>
      </c>
      <c r="F177">
        <v>13191946.890000001</v>
      </c>
      <c r="G177">
        <v>0.87939999999999996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-0.48501664816870188</v>
      </c>
      <c r="Q177">
        <f t="shared" ref="Q177" si="861">F177*P177</f>
        <v>-6398313.8634073315</v>
      </c>
      <c r="R177">
        <f t="shared" ref="R177" si="862">R178+Q177</f>
        <v>1240427269.7730467</v>
      </c>
      <c r="S177">
        <f t="shared" ref="S177" si="863">R177/100000</f>
        <v>12404.272697730466</v>
      </c>
      <c r="T177">
        <f t="shared" ref="T177" si="864">S177/1000</f>
        <v>12.404272697730466</v>
      </c>
    </row>
    <row r="178" spans="1:20" x14ac:dyDescent="0.25">
      <c r="A178" s="5">
        <v>44415</v>
      </c>
      <c r="B178">
        <v>0.91959999999999997</v>
      </c>
      <c r="C178">
        <v>0.96209999999999996</v>
      </c>
      <c r="D178">
        <v>0.90310000000000001</v>
      </c>
      <c r="E178">
        <v>0.93940000000000001</v>
      </c>
      <c r="F178">
        <v>16876487.32</v>
      </c>
      <c r="G178">
        <v>0.93940000000000001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0.23050847457627238</v>
      </c>
      <c r="Q178">
        <f t="shared" ref="Q178" si="866">F178*P178</f>
        <v>3890173.3483390035</v>
      </c>
      <c r="R178">
        <f t="shared" ref="R178" si="867">R179+Q178</f>
        <v>1246825583.6364541</v>
      </c>
      <c r="S178">
        <f t="shared" ref="S178" si="868">R178/100000</f>
        <v>12468.25583636454</v>
      </c>
      <c r="T178">
        <f t="shared" ref="T178" si="869">S178/1000</f>
        <v>12.468255836364539</v>
      </c>
    </row>
    <row r="179" spans="1:20" x14ac:dyDescent="0.25">
      <c r="A179" s="5">
        <v>44414</v>
      </c>
      <c r="B179">
        <v>0.87980000000000003</v>
      </c>
      <c r="C179">
        <v>0.94879999999999998</v>
      </c>
      <c r="D179">
        <v>0.85009999999999997</v>
      </c>
      <c r="E179">
        <v>0.91969999999999996</v>
      </c>
      <c r="F179">
        <v>15918113.17</v>
      </c>
      <c r="G179">
        <v>0.91969999999999996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0.41033434650455902</v>
      </c>
      <c r="Q179">
        <f t="shared" ref="Q179" si="871">F179*P179</f>
        <v>6531748.5651975647</v>
      </c>
      <c r="R179">
        <f t="shared" ref="R179" si="872">R180+Q179</f>
        <v>1242935410.288115</v>
      </c>
      <c r="S179">
        <f t="shared" ref="S179" si="873">R179/100000</f>
        <v>12429.354102881151</v>
      </c>
      <c r="T179">
        <f t="shared" ref="T179" si="874">S179/1000</f>
        <v>12.429354102881151</v>
      </c>
    </row>
    <row r="180" spans="1:20" x14ac:dyDescent="0.25">
      <c r="A180" s="5">
        <v>44413</v>
      </c>
      <c r="B180">
        <v>0.875</v>
      </c>
      <c r="C180">
        <v>0.88639999999999997</v>
      </c>
      <c r="D180">
        <v>0.82379999999999998</v>
      </c>
      <c r="E180">
        <v>0.88</v>
      </c>
      <c r="F180">
        <v>13404039.210000001</v>
      </c>
      <c r="G180">
        <v>0.88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0.795527156549522</v>
      </c>
      <c r="Q180">
        <f t="shared" ref="Q180" si="876">F180*P180</f>
        <v>10663277.199009601</v>
      </c>
      <c r="R180">
        <f t="shared" ref="R180" si="877">R181+Q180</f>
        <v>1236403661.7229176</v>
      </c>
      <c r="S180">
        <f t="shared" ref="S180" si="878">R180/100000</f>
        <v>12364.036617229176</v>
      </c>
      <c r="T180">
        <f t="shared" ref="T180" si="879">S180/1000</f>
        <v>12.364036617229177</v>
      </c>
    </row>
    <row r="181" spans="1:20" x14ac:dyDescent="0.25">
      <c r="A181" s="5">
        <v>44412</v>
      </c>
      <c r="B181">
        <v>0.85099999999999998</v>
      </c>
      <c r="C181">
        <v>0.88749999999999996</v>
      </c>
      <c r="D181">
        <v>0.83530000000000004</v>
      </c>
      <c r="E181">
        <v>0.87509999999999999</v>
      </c>
      <c r="F181">
        <v>11450543.890000001</v>
      </c>
      <c r="G181">
        <v>0.87509999999999999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0.52490421455938752</v>
      </c>
      <c r="Q181">
        <f t="shared" ref="Q181" si="881">F181*P181</f>
        <v>6010438.7468582438</v>
      </c>
      <c r="R181">
        <f t="shared" ref="R181" si="882">R182+Q181</f>
        <v>1225740384.5239079</v>
      </c>
      <c r="S181">
        <f t="shared" ref="S181" si="883">R181/100000</f>
        <v>12257.40384523908</v>
      </c>
      <c r="T181">
        <f t="shared" ref="T181" si="884">S181/1000</f>
        <v>12.257403845239079</v>
      </c>
    </row>
    <row r="182" spans="1:20" x14ac:dyDescent="0.25">
      <c r="A182" s="5">
        <v>44411</v>
      </c>
      <c r="B182">
        <v>0.89570000000000005</v>
      </c>
      <c r="C182">
        <v>0.90669999999999995</v>
      </c>
      <c r="D182">
        <v>0.84730000000000005</v>
      </c>
      <c r="E182">
        <v>0.85119999999999996</v>
      </c>
      <c r="F182">
        <v>13677053.560000001</v>
      </c>
      <c r="G182">
        <v>0.85119999999999996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-0.86868686868687173</v>
      </c>
      <c r="Q182">
        <f t="shared" ref="Q182" si="886">F182*P182</f>
        <v>-11881076.829899032</v>
      </c>
      <c r="R182">
        <f t="shared" ref="R182" si="887">R183+Q182</f>
        <v>1219729945.7770495</v>
      </c>
      <c r="S182">
        <f t="shared" ref="S182" si="888">R182/100000</f>
        <v>12197.299457770496</v>
      </c>
      <c r="T182">
        <f t="shared" ref="T182" si="889">S182/1000</f>
        <v>12.197299457770496</v>
      </c>
    </row>
    <row r="183" spans="1:20" x14ac:dyDescent="0.25">
      <c r="A183" s="5">
        <v>44410</v>
      </c>
      <c r="B183">
        <v>0.87360000000000004</v>
      </c>
      <c r="C183">
        <v>0.93220000000000003</v>
      </c>
      <c r="D183">
        <v>0.86</v>
      </c>
      <c r="E183">
        <v>0.89549999999999996</v>
      </c>
      <c r="F183">
        <v>11873236.550000001</v>
      </c>
      <c r="G183">
        <v>0.89549999999999996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-1.6620498614959685E-2</v>
      </c>
      <c r="Q183">
        <f t="shared" ref="Q183" si="891">F183*P183</f>
        <v>-197339.11163436371</v>
      </c>
      <c r="R183">
        <f t="shared" ref="R183" si="892">R184+Q183</f>
        <v>1231611022.6069486</v>
      </c>
      <c r="S183">
        <f t="shared" ref="S183" si="893">R183/100000</f>
        <v>12316.110226069486</v>
      </c>
      <c r="T183">
        <f t="shared" ref="T183" si="894">S183/1000</f>
        <v>12.316110226069487</v>
      </c>
    </row>
    <row r="184" spans="1:20" x14ac:dyDescent="0.25">
      <c r="A184" s="5">
        <v>44409</v>
      </c>
      <c r="B184">
        <v>0.93079999999999996</v>
      </c>
      <c r="C184">
        <v>0.96</v>
      </c>
      <c r="D184">
        <v>0.86</v>
      </c>
      <c r="E184">
        <v>0.87350000000000005</v>
      </c>
      <c r="F184">
        <v>18495016.829999998</v>
      </c>
      <c r="G184">
        <v>0.87350000000000005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-0.72999999999999854</v>
      </c>
      <c r="Q184">
        <f t="shared" ref="Q184" si="896">F184*P184</f>
        <v>-13501362.285899973</v>
      </c>
      <c r="R184">
        <f t="shared" ref="R184" si="897">R185+Q184</f>
        <v>1231808361.7185829</v>
      </c>
      <c r="S184">
        <f t="shared" ref="S184" si="898">R184/100000</f>
        <v>12318.083617185828</v>
      </c>
      <c r="T184">
        <f t="shared" ref="T184" si="899">S184/1000</f>
        <v>12.318083617185827</v>
      </c>
    </row>
    <row r="185" spans="1:20" x14ac:dyDescent="0.25">
      <c r="A185" s="5">
        <v>44408</v>
      </c>
      <c r="B185">
        <v>0.83460000000000001</v>
      </c>
      <c r="C185">
        <v>0.9375</v>
      </c>
      <c r="D185">
        <v>0.82210000000000005</v>
      </c>
      <c r="E185">
        <v>0.93179999999999996</v>
      </c>
      <c r="F185">
        <v>22084267.09</v>
      </c>
      <c r="G185">
        <v>0.93179999999999996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0.90121317157712233</v>
      </c>
      <c r="Q185">
        <f t="shared" ref="Q185" si="901">F185*P185</f>
        <v>19902632.386135165</v>
      </c>
      <c r="R185">
        <f t="shared" ref="R185" si="902">R186+Q185</f>
        <v>1245309724.0044827</v>
      </c>
      <c r="S185">
        <f t="shared" ref="S185" si="903">R185/100000</f>
        <v>12453.097240044828</v>
      </c>
      <c r="T185">
        <f t="shared" ref="T185" si="904">S185/1000</f>
        <v>12.453097240044828</v>
      </c>
    </row>
    <row r="186" spans="1:20" x14ac:dyDescent="0.25">
      <c r="A186" s="5">
        <v>44407</v>
      </c>
      <c r="B186">
        <v>0.84950000000000003</v>
      </c>
      <c r="C186">
        <v>0.86229999999999996</v>
      </c>
      <c r="D186">
        <v>0.78820000000000001</v>
      </c>
      <c r="E186">
        <v>0.83520000000000005</v>
      </c>
      <c r="F186">
        <v>15302323.01</v>
      </c>
      <c r="G186">
        <v>0.83520000000000005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0.26855600539811275</v>
      </c>
      <c r="Q186">
        <f t="shared" ref="Q186" si="906">F186*P186</f>
        <v>4109530.7408772251</v>
      </c>
      <c r="R186">
        <f t="shared" ref="R186" si="907">R187+Q186</f>
        <v>1225407091.6183476</v>
      </c>
      <c r="S186">
        <f t="shared" ref="S186" si="908">R186/100000</f>
        <v>12254.070916183477</v>
      </c>
      <c r="T186">
        <f t="shared" ref="T186" si="909">S186/1000</f>
        <v>12.254070916183476</v>
      </c>
    </row>
    <row r="187" spans="1:20" x14ac:dyDescent="0.25">
      <c r="A187" s="5">
        <v>44406</v>
      </c>
      <c r="B187">
        <v>0.84099999999999997</v>
      </c>
      <c r="C187">
        <v>0.88300000000000001</v>
      </c>
      <c r="D187">
        <v>0.82</v>
      </c>
      <c r="E187">
        <v>0.84960000000000002</v>
      </c>
      <c r="F187">
        <v>10682032.529999999</v>
      </c>
      <c r="G187">
        <v>0.84960000000000002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-6.031746031745891E-2</v>
      </c>
      <c r="Q187">
        <f t="shared" ref="Q187" si="911">F187*P187</f>
        <v>-644313.07323808013</v>
      </c>
      <c r="R187">
        <f t="shared" ref="R187" si="912">R188+Q187</f>
        <v>1221297560.8774705</v>
      </c>
      <c r="S187">
        <f t="shared" ref="S187" si="913">R187/100000</f>
        <v>12212.975608774705</v>
      </c>
      <c r="T187">
        <f t="shared" ref="T187" si="914">S187/1000</f>
        <v>12.212975608774705</v>
      </c>
    </row>
    <row r="188" spans="1:20" x14ac:dyDescent="0.25">
      <c r="A188" s="5">
        <v>44405</v>
      </c>
      <c r="B188">
        <v>0.87870000000000004</v>
      </c>
      <c r="C188">
        <v>0.88370000000000004</v>
      </c>
      <c r="D188">
        <v>0.82509999999999994</v>
      </c>
      <c r="E188">
        <v>0.84230000000000005</v>
      </c>
      <c r="F188">
        <v>13735892.09</v>
      </c>
      <c r="G188">
        <v>0.84230000000000005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-0.41296928327644794</v>
      </c>
      <c r="Q188">
        <f t="shared" ref="Q188" si="916">F188*P188</f>
        <v>-5672501.5115699302</v>
      </c>
      <c r="R188">
        <f t="shared" ref="R188" si="917">R189+Q188</f>
        <v>1221941873.9507086</v>
      </c>
      <c r="S188">
        <f t="shared" ref="S188" si="918">R188/100000</f>
        <v>12219.418739507086</v>
      </c>
      <c r="T188">
        <f t="shared" ref="T188" si="919">S188/1000</f>
        <v>12.219418739507086</v>
      </c>
    </row>
    <row r="189" spans="1:20" x14ac:dyDescent="0.25">
      <c r="A189" s="5">
        <v>44404</v>
      </c>
      <c r="B189">
        <v>0.75570000000000004</v>
      </c>
      <c r="C189">
        <v>0.89829999999999999</v>
      </c>
      <c r="D189">
        <v>0.7359</v>
      </c>
      <c r="E189">
        <v>0.87960000000000005</v>
      </c>
      <c r="F189">
        <v>29485480.379999999</v>
      </c>
      <c r="G189">
        <v>0.87960000000000005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0.7697044334975377</v>
      </c>
      <c r="Q189">
        <f t="shared" ref="Q189" si="921">F189*P189</f>
        <v>22695104.972290661</v>
      </c>
      <c r="R189">
        <f t="shared" ref="R189" si="922">R190+Q189</f>
        <v>1227614375.4622786</v>
      </c>
      <c r="S189">
        <f t="shared" ref="S189" si="923">R189/100000</f>
        <v>12276.143754622786</v>
      </c>
      <c r="T189">
        <f t="shared" ref="T189" si="924">S189/1000</f>
        <v>12.276143754622787</v>
      </c>
    </row>
    <row r="190" spans="1:20" x14ac:dyDescent="0.25">
      <c r="A190" s="5">
        <v>44403</v>
      </c>
      <c r="B190">
        <v>0.74199999999999999</v>
      </c>
      <c r="C190">
        <v>0.8347</v>
      </c>
      <c r="D190">
        <v>0.73480000000000001</v>
      </c>
      <c r="E190">
        <v>0.75690000000000002</v>
      </c>
      <c r="F190">
        <v>27701620.27</v>
      </c>
      <c r="G190">
        <v>0.75690000000000002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-0.55755755755755732</v>
      </c>
      <c r="Q190">
        <f t="shared" ref="Q190" si="926">F190*P190</f>
        <v>-15445247.738128122</v>
      </c>
      <c r="R190">
        <f t="shared" ref="R190" si="927">R191+Q190</f>
        <v>1204919270.4899879</v>
      </c>
      <c r="S190">
        <f t="shared" ref="S190" si="928">R190/100000</f>
        <v>12049.192704899879</v>
      </c>
      <c r="T190">
        <f t="shared" ref="T190" si="929">S190/1000</f>
        <v>12.049192704899879</v>
      </c>
    </row>
    <row r="191" spans="1:20" x14ac:dyDescent="0.25">
      <c r="A191" s="5">
        <v>44402</v>
      </c>
      <c r="B191">
        <v>0.7329</v>
      </c>
      <c r="C191">
        <v>0.76490000000000002</v>
      </c>
      <c r="D191">
        <v>0.70650000000000002</v>
      </c>
      <c r="E191">
        <v>0.74270000000000003</v>
      </c>
      <c r="F191">
        <v>12770673.210000001</v>
      </c>
      <c r="G191">
        <v>0.74270000000000003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0.23972602739726045</v>
      </c>
      <c r="Q191">
        <f t="shared" ref="Q191" si="931">F191*P191</f>
        <v>3061462.7558219205</v>
      </c>
      <c r="R191">
        <f t="shared" ref="R191" si="932">R192+Q191</f>
        <v>1220364518.228116</v>
      </c>
      <c r="S191">
        <f t="shared" ref="S191" si="933">R191/100000</f>
        <v>12203.64518228116</v>
      </c>
      <c r="T191">
        <f t="shared" ref="T191:T197" si="934">S191/1000</f>
        <v>12.203645182281159</v>
      </c>
    </row>
    <row r="192" spans="1:20" x14ac:dyDescent="0.25">
      <c r="A192" s="5">
        <v>44401</v>
      </c>
      <c r="B192">
        <v>0.68589999999999995</v>
      </c>
      <c r="C192">
        <v>0.74350000000000005</v>
      </c>
      <c r="D192">
        <v>0.68030000000000002</v>
      </c>
      <c r="E192">
        <v>0.7329</v>
      </c>
      <c r="F192">
        <v>18161378.670000002</v>
      </c>
      <c r="G192">
        <v>0.7329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0.66455696202531489</v>
      </c>
      <c r="Q192">
        <f t="shared" ref="Q192" si="936">F192*P192</f>
        <v>12069270.635126555</v>
      </c>
      <c r="R192">
        <f t="shared" ref="R192" si="937">R193+Q192</f>
        <v>1217303055.4722941</v>
      </c>
      <c r="S192">
        <f t="shared" ref="S192" si="938">R192/100000</f>
        <v>12173.030554722942</v>
      </c>
      <c r="T192">
        <f t="shared" si="934"/>
        <v>12.173030554722942</v>
      </c>
    </row>
    <row r="193" spans="1:20" x14ac:dyDescent="0.25">
      <c r="A193" s="5">
        <v>44400</v>
      </c>
      <c r="B193">
        <v>0.65149999999999997</v>
      </c>
      <c r="C193">
        <v>0.69159999999999999</v>
      </c>
      <c r="D193">
        <v>0.64249999999999996</v>
      </c>
      <c r="E193">
        <v>0.68520000000000003</v>
      </c>
      <c r="F193">
        <v>16378309.640000001</v>
      </c>
      <c r="G193">
        <v>0.68520000000000003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0.73930753564154961</v>
      </c>
      <c r="Q193">
        <f t="shared" ref="Q193" si="940">F193*P193</f>
        <v>12108607.737922637</v>
      </c>
      <c r="R193">
        <f t="shared" ref="R193" si="941">R194+Q193</f>
        <v>1205233784.8371675</v>
      </c>
      <c r="S193">
        <f t="shared" ref="S193" si="942">R193/100000</f>
        <v>12052.337848371675</v>
      </c>
      <c r="T193">
        <f t="shared" si="934"/>
        <v>12.052337848371675</v>
      </c>
    </row>
    <row r="194" spans="1:20" x14ac:dyDescent="0.25">
      <c r="A194" s="5">
        <v>44399</v>
      </c>
      <c r="B194">
        <v>0.6492</v>
      </c>
      <c r="C194">
        <v>0.6643</v>
      </c>
      <c r="D194">
        <v>0.62960000000000005</v>
      </c>
      <c r="E194">
        <v>0.65129999999999999</v>
      </c>
      <c r="F194">
        <v>11021041.960000001</v>
      </c>
      <c r="G194">
        <v>0.65129999999999999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0.25072046109509921</v>
      </c>
      <c r="Q194">
        <f t="shared" ref="Q194" si="944">F194*P194</f>
        <v>2763200.7219596361</v>
      </c>
      <c r="R194">
        <f t="shared" ref="R194" si="945">R195+Q194</f>
        <v>1193125177.0992448</v>
      </c>
      <c r="S194">
        <f t="shared" ref="S194" si="946">R194/100000</f>
        <v>11931.251770992449</v>
      </c>
      <c r="T194">
        <f t="shared" si="934"/>
        <v>11.931251770992448</v>
      </c>
    </row>
    <row r="195" spans="1:20" x14ac:dyDescent="0.25">
      <c r="A195" s="5">
        <v>44398</v>
      </c>
      <c r="B195">
        <v>0.59</v>
      </c>
      <c r="C195">
        <v>0.65469999999999995</v>
      </c>
      <c r="D195">
        <v>0.57530000000000003</v>
      </c>
      <c r="E195">
        <v>0.64910000000000001</v>
      </c>
      <c r="F195">
        <v>17003442.940000001</v>
      </c>
      <c r="G195">
        <v>0.64910000000000001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0.85894206549118524</v>
      </c>
      <c r="Q195">
        <f t="shared" ref="Q195" si="948">F195*P195</f>
        <v>14604972.399345113</v>
      </c>
      <c r="R195">
        <f t="shared" ref="R195" si="949">R196+Q195</f>
        <v>1190361976.3772852</v>
      </c>
      <c r="S195">
        <f t="shared" ref="S195" si="950">R195/100000</f>
        <v>11903.619763772853</v>
      </c>
      <c r="T195">
        <f t="shared" si="934"/>
        <v>11.903619763772852</v>
      </c>
    </row>
    <row r="196" spans="1:20" x14ac:dyDescent="0.25">
      <c r="A196" s="5">
        <v>44397</v>
      </c>
      <c r="B196">
        <v>0.62480000000000002</v>
      </c>
      <c r="C196">
        <v>0.63859999999999995</v>
      </c>
      <c r="D196">
        <v>0.57379999999999998</v>
      </c>
      <c r="E196">
        <v>0.59</v>
      </c>
      <c r="F196">
        <v>17243497.440000001</v>
      </c>
      <c r="G196">
        <v>0.59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</v>
      </c>
      <c r="Q196">
        <f t="shared" ref="Q196" si="952">F196*P196</f>
        <v>-8621748.7200000007</v>
      </c>
      <c r="R196">
        <f t="shared" ref="R196" si="953">R197+Q196</f>
        <v>1175757003.9779401</v>
      </c>
      <c r="S196">
        <f t="shared" ref="S196" si="954">R196/100000</f>
        <v>11757.570039779401</v>
      </c>
      <c r="T196">
        <f t="shared" si="934"/>
        <v>11.757570039779401</v>
      </c>
    </row>
    <row r="197" spans="1:20" x14ac:dyDescent="0.25">
      <c r="A197" s="5">
        <v>44396</v>
      </c>
      <c r="B197">
        <v>0.68340000000000001</v>
      </c>
      <c r="C197">
        <v>0.69</v>
      </c>
      <c r="D197">
        <v>0.62</v>
      </c>
      <c r="E197">
        <v>0.62470000000000003</v>
      </c>
      <c r="F197">
        <v>14149533.92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-0.86571428571428455</v>
      </c>
      <c r="Q197">
        <f t="shared" ref="Q197" si="956">F197*P197</f>
        <v>-12249453.65074284</v>
      </c>
      <c r="R197">
        <f t="shared" ref="R197" si="957">R198+Q197</f>
        <v>1184378752.6979401</v>
      </c>
      <c r="S197">
        <f t="shared" ref="S197" si="958">R197/100000</f>
        <v>11843.7875269794</v>
      </c>
      <c r="T197">
        <f t="shared" si="934"/>
        <v>11.8437875269794</v>
      </c>
    </row>
    <row r="198" spans="1:20" x14ac:dyDescent="0.25">
      <c r="A198" s="5">
        <v>44395</v>
      </c>
      <c r="B198">
        <v>0.6875</v>
      </c>
      <c r="C198">
        <v>0.72</v>
      </c>
      <c r="D198">
        <v>0.6653</v>
      </c>
      <c r="E198">
        <v>0.68330000000000002</v>
      </c>
      <c r="F198">
        <v>10896059.33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-0.3418647166361965</v>
      </c>
      <c r="Q198">
        <f t="shared" ref="Q198:Q261" si="960">F198*P198</f>
        <v>-3724978.2353016352</v>
      </c>
      <c r="R198">
        <f t="shared" ref="R198:R261" si="961">R199+Q198</f>
        <v>1196628206.3486829</v>
      </c>
      <c r="S198">
        <f t="shared" ref="S198:S261" si="962">R198/100000</f>
        <v>11966.282063486829</v>
      </c>
      <c r="T198">
        <f t="shared" ref="T198:T261" si="963">S198/1000</f>
        <v>11.96628206348683</v>
      </c>
    </row>
    <row r="199" spans="1:20" x14ac:dyDescent="0.25">
      <c r="A199" s="5">
        <v>44394</v>
      </c>
      <c r="B199">
        <v>0.65680000000000005</v>
      </c>
      <c r="C199">
        <v>0.71989999999999998</v>
      </c>
      <c r="D199">
        <v>0.64800000000000002</v>
      </c>
      <c r="E199">
        <v>0.68720000000000003</v>
      </c>
      <c r="F199">
        <v>15557628.33</v>
      </c>
      <c r="G199">
        <v>0</v>
      </c>
      <c r="L199" t="s">
        <v>8</v>
      </c>
      <c r="M199" t="s">
        <v>7</v>
      </c>
      <c r="N199" t="s">
        <v>7</v>
      </c>
      <c r="P199">
        <f t="shared" si="959"/>
        <v>9.040333796940285E-2</v>
      </c>
      <c r="Q199">
        <f t="shared" si="960"/>
        <v>1406461.5319193464</v>
      </c>
      <c r="R199">
        <f t="shared" si="961"/>
        <v>1200353184.5839846</v>
      </c>
      <c r="S199">
        <f t="shared" si="962"/>
        <v>12003.531845839847</v>
      </c>
      <c r="T199">
        <f t="shared" si="963"/>
        <v>12.003531845839847</v>
      </c>
    </row>
    <row r="200" spans="1:20" x14ac:dyDescent="0.25">
      <c r="A200" s="5">
        <v>44393</v>
      </c>
      <c r="B200">
        <v>0.69379999999999997</v>
      </c>
      <c r="C200">
        <v>0.71460000000000001</v>
      </c>
      <c r="D200">
        <v>0.6522</v>
      </c>
      <c r="E200">
        <v>0.65680000000000005</v>
      </c>
      <c r="F200">
        <v>11532546.85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-0.85256410256410109</v>
      </c>
      <c r="Q200">
        <f t="shared" si="960"/>
        <v>-9832235.4554487001</v>
      </c>
      <c r="R200">
        <f t="shared" si="961"/>
        <v>1198946723.0520654</v>
      </c>
      <c r="S200">
        <f t="shared" si="962"/>
        <v>11989.467230520653</v>
      </c>
      <c r="T200">
        <f t="shared" si="963"/>
        <v>11.989467230520653</v>
      </c>
    </row>
    <row r="201" spans="1:20" x14ac:dyDescent="0.25">
      <c r="A201" s="5">
        <v>44392</v>
      </c>
      <c r="B201">
        <v>0.74019999999999997</v>
      </c>
      <c r="C201">
        <v>0.75539999999999996</v>
      </c>
      <c r="D201">
        <v>0.68320000000000003</v>
      </c>
      <c r="E201">
        <v>0.69359999999999999</v>
      </c>
      <c r="F201">
        <v>12266110.460000001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-0.71191135734072097</v>
      </c>
      <c r="Q201">
        <f t="shared" si="960"/>
        <v>-8732383.3468698151</v>
      </c>
      <c r="R201">
        <f t="shared" si="961"/>
        <v>1208778958.507514</v>
      </c>
      <c r="S201">
        <f t="shared" si="962"/>
        <v>12087.789585075139</v>
      </c>
      <c r="T201">
        <f t="shared" si="963"/>
        <v>12.087789585075139</v>
      </c>
    </row>
    <row r="202" spans="1:20" x14ac:dyDescent="0.25">
      <c r="A202" s="5">
        <v>44391</v>
      </c>
      <c r="B202">
        <v>0.75590000000000002</v>
      </c>
      <c r="C202">
        <v>0.75860000000000005</v>
      </c>
      <c r="D202">
        <v>0.69579999999999997</v>
      </c>
      <c r="E202">
        <v>0.74080000000000001</v>
      </c>
      <c r="F202">
        <v>13329942.189999999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0.43312101910827977</v>
      </c>
      <c r="Q202">
        <f t="shared" si="960"/>
        <v>5773478.1459872546</v>
      </c>
      <c r="R202">
        <f t="shared" si="961"/>
        <v>1217511341.8543837</v>
      </c>
      <c r="S202">
        <f t="shared" si="962"/>
        <v>12175.113418543837</v>
      </c>
      <c r="T202">
        <f t="shared" si="963"/>
        <v>12.175113418543837</v>
      </c>
    </row>
    <row r="203" spans="1:20" x14ac:dyDescent="0.25">
      <c r="A203" s="5">
        <v>44390</v>
      </c>
      <c r="B203">
        <v>0.79300000000000004</v>
      </c>
      <c r="C203">
        <v>0.81200000000000006</v>
      </c>
      <c r="D203">
        <v>0.73199999999999998</v>
      </c>
      <c r="E203">
        <v>0.75590000000000002</v>
      </c>
      <c r="F203">
        <v>12609455.77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-0.40249999999999975</v>
      </c>
      <c r="Q203">
        <f t="shared" si="960"/>
        <v>-5075305.9474249966</v>
      </c>
      <c r="R203">
        <f t="shared" si="961"/>
        <v>1211737863.7083964</v>
      </c>
      <c r="S203">
        <f t="shared" si="962"/>
        <v>12117.378637083964</v>
      </c>
      <c r="T203">
        <f t="shared" si="963"/>
        <v>12.117378637083965</v>
      </c>
    </row>
    <row r="204" spans="1:20" x14ac:dyDescent="0.25">
      <c r="A204" s="5">
        <v>44389</v>
      </c>
      <c r="B204">
        <v>0.84050000000000002</v>
      </c>
      <c r="C204">
        <v>0.84499999999999997</v>
      </c>
      <c r="D204">
        <v>0.78139999999999998</v>
      </c>
      <c r="E204">
        <v>0.79310000000000003</v>
      </c>
      <c r="F204">
        <v>7583361.0999999996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-0.63207547169811173</v>
      </c>
      <c r="Q204">
        <f t="shared" si="960"/>
        <v>-4793256.5443396112</v>
      </c>
      <c r="R204">
        <f t="shared" si="961"/>
        <v>1216813169.6558213</v>
      </c>
      <c r="S204">
        <f t="shared" si="962"/>
        <v>12168.131696558214</v>
      </c>
      <c r="T204">
        <f t="shared" si="963"/>
        <v>12.168131696558214</v>
      </c>
    </row>
    <row r="205" spans="1:20" x14ac:dyDescent="0.25">
      <c r="A205" s="5">
        <v>44388</v>
      </c>
      <c r="B205">
        <v>0.79120000000000001</v>
      </c>
      <c r="C205">
        <v>0.85129999999999995</v>
      </c>
      <c r="D205">
        <v>0.77810000000000001</v>
      </c>
      <c r="E205">
        <v>0.84030000000000005</v>
      </c>
      <c r="F205">
        <v>9795322.4299999997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0.69945355191257075</v>
      </c>
      <c r="Q205">
        <f t="shared" si="960"/>
        <v>6851373.0657923734</v>
      </c>
      <c r="R205">
        <f t="shared" si="961"/>
        <v>1221606426.200161</v>
      </c>
      <c r="S205">
        <f t="shared" si="962"/>
        <v>12216.06426200161</v>
      </c>
      <c r="T205">
        <f t="shared" si="963"/>
        <v>12.216064262001609</v>
      </c>
    </row>
    <row r="206" spans="1:20" x14ac:dyDescent="0.25">
      <c r="A206" s="5">
        <v>44387</v>
      </c>
      <c r="B206">
        <v>0.81979999999999997</v>
      </c>
      <c r="C206">
        <v>0.85599999999999998</v>
      </c>
      <c r="D206">
        <v>0.77600000000000002</v>
      </c>
      <c r="E206">
        <v>0.79159999999999997</v>
      </c>
      <c r="F206">
        <v>9186823.5600000005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-0.6100000000000011</v>
      </c>
      <c r="Q206">
        <f t="shared" si="960"/>
        <v>-5603962.3716000104</v>
      </c>
      <c r="R206">
        <f t="shared" si="961"/>
        <v>1214755053.1343687</v>
      </c>
      <c r="S206">
        <f t="shared" si="962"/>
        <v>12147.550531343686</v>
      </c>
      <c r="T206">
        <f t="shared" si="963"/>
        <v>12.147550531343686</v>
      </c>
    </row>
    <row r="207" spans="1:20" x14ac:dyDescent="0.25">
      <c r="A207" s="5">
        <v>44386</v>
      </c>
      <c r="B207">
        <v>0.81510000000000005</v>
      </c>
      <c r="C207">
        <v>0.84289999999999998</v>
      </c>
      <c r="D207">
        <v>0.77769999999999995</v>
      </c>
      <c r="E207">
        <v>0.81910000000000005</v>
      </c>
      <c r="F207">
        <v>10742578.439999999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0.26993865030675096</v>
      </c>
      <c r="Q207">
        <f t="shared" si="960"/>
        <v>2899837.1249080021</v>
      </c>
      <c r="R207">
        <f t="shared" si="961"/>
        <v>1220359015.5059686</v>
      </c>
      <c r="S207">
        <f t="shared" si="962"/>
        <v>12203.590155059686</v>
      </c>
      <c r="T207">
        <f t="shared" si="963"/>
        <v>12.203590155059686</v>
      </c>
    </row>
    <row r="208" spans="1:20" x14ac:dyDescent="0.25">
      <c r="A208" s="5">
        <v>44385</v>
      </c>
      <c r="B208">
        <v>0.88819999999999999</v>
      </c>
      <c r="C208">
        <v>0.89200000000000002</v>
      </c>
      <c r="D208">
        <v>0.80179999999999996</v>
      </c>
      <c r="E208">
        <v>0.81540000000000001</v>
      </c>
      <c r="F208">
        <v>12422524.720000001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-0.69844789356984371</v>
      </c>
      <c r="Q208">
        <f t="shared" si="960"/>
        <v>-8676486.223503314</v>
      </c>
      <c r="R208">
        <f t="shared" si="961"/>
        <v>1217459178.3810606</v>
      </c>
      <c r="S208">
        <f t="shared" si="962"/>
        <v>12174.591783810605</v>
      </c>
      <c r="T208">
        <f t="shared" si="963"/>
        <v>12.174591783810605</v>
      </c>
    </row>
    <row r="209" spans="1:20" x14ac:dyDescent="0.25">
      <c r="A209" s="5">
        <v>44384</v>
      </c>
      <c r="B209">
        <v>0.85150000000000003</v>
      </c>
      <c r="C209">
        <v>0.93379999999999996</v>
      </c>
      <c r="D209">
        <v>0.83779999999999999</v>
      </c>
      <c r="E209">
        <v>0.88870000000000005</v>
      </c>
      <c r="F209">
        <v>21183328.579999998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6.0416666666668124E-2</v>
      </c>
      <c r="Q209">
        <f t="shared" si="960"/>
        <v>1279826.1017083642</v>
      </c>
      <c r="R209">
        <f t="shared" si="961"/>
        <v>1226135664.604564</v>
      </c>
      <c r="S209">
        <f t="shared" si="962"/>
        <v>12261.356646045639</v>
      </c>
      <c r="T209">
        <f t="shared" si="963"/>
        <v>12.261356646045639</v>
      </c>
    </row>
    <row r="210" spans="1:20" x14ac:dyDescent="0.25">
      <c r="A210" s="5">
        <v>44383</v>
      </c>
      <c r="B210">
        <v>0.82289999999999996</v>
      </c>
      <c r="C210">
        <v>0.88439999999999996</v>
      </c>
      <c r="D210">
        <v>0.82110000000000005</v>
      </c>
      <c r="E210">
        <v>0.85219999999999996</v>
      </c>
      <c r="F210">
        <v>13701176.48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-1.7377567140601933E-2</v>
      </c>
      <c r="Q210">
        <f t="shared" si="960"/>
        <v>-238093.11418643605</v>
      </c>
      <c r="R210">
        <f t="shared" si="961"/>
        <v>1224855838.5028555</v>
      </c>
      <c r="S210">
        <f t="shared" si="962"/>
        <v>12248.558385028555</v>
      </c>
      <c r="T210">
        <f t="shared" si="963"/>
        <v>12.248558385028554</v>
      </c>
    </row>
    <row r="211" spans="1:20" x14ac:dyDescent="0.25">
      <c r="A211" s="5">
        <v>44382</v>
      </c>
      <c r="B211">
        <v>0.84489999999999998</v>
      </c>
      <c r="C211">
        <v>0.86950000000000005</v>
      </c>
      <c r="D211">
        <v>0.8044</v>
      </c>
      <c r="E211">
        <v>0.82199999999999995</v>
      </c>
      <c r="F211">
        <v>14749249.210000001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-0.45929339477726772</v>
      </c>
      <c r="Q211">
        <f t="shared" si="960"/>
        <v>-6774232.7400768343</v>
      </c>
      <c r="R211">
        <f t="shared" si="961"/>
        <v>1225093931.6170421</v>
      </c>
      <c r="S211">
        <f t="shared" si="962"/>
        <v>12250.939316170421</v>
      </c>
      <c r="T211">
        <f t="shared" si="963"/>
        <v>12.25093931617042</v>
      </c>
    </row>
    <row r="212" spans="1:20" x14ac:dyDescent="0.25">
      <c r="A212" s="5">
        <v>44381</v>
      </c>
      <c r="B212">
        <v>0.83069999999999999</v>
      </c>
      <c r="C212">
        <v>0.87990000000000002</v>
      </c>
      <c r="D212">
        <v>0.7974</v>
      </c>
      <c r="E212">
        <v>0.84550000000000003</v>
      </c>
      <c r="F212">
        <v>14790892.789999999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0.16606060606060657</v>
      </c>
      <c r="Q212">
        <f t="shared" si="960"/>
        <v>2456184.6208848557</v>
      </c>
      <c r="R212">
        <f t="shared" si="961"/>
        <v>1231868164.3571188</v>
      </c>
      <c r="S212">
        <f t="shared" si="962"/>
        <v>12318.681643571188</v>
      </c>
      <c r="T212">
        <f t="shared" si="963"/>
        <v>12.318681643571187</v>
      </c>
    </row>
    <row r="213" spans="1:20" x14ac:dyDescent="0.25">
      <c r="A213" s="5">
        <v>44380</v>
      </c>
      <c r="B213">
        <v>0.82720000000000005</v>
      </c>
      <c r="C213">
        <v>0.86409999999999998</v>
      </c>
      <c r="D213">
        <v>0.79879999999999995</v>
      </c>
      <c r="E213">
        <v>0.8306</v>
      </c>
      <c r="F213">
        <v>11015731.57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-2.6033690658498056E-2</v>
      </c>
      <c r="Q213">
        <f t="shared" si="960"/>
        <v>-286780.14807043114</v>
      </c>
      <c r="R213">
        <f t="shared" si="961"/>
        <v>1229411979.7362339</v>
      </c>
      <c r="S213">
        <f t="shared" si="962"/>
        <v>12294.11979736234</v>
      </c>
      <c r="T213">
        <f t="shared" si="963"/>
        <v>12.29411979736234</v>
      </c>
    </row>
    <row r="214" spans="1:20" x14ac:dyDescent="0.25">
      <c r="A214" s="5">
        <v>44379</v>
      </c>
      <c r="B214">
        <v>0.8</v>
      </c>
      <c r="C214">
        <v>0.83560000000000001</v>
      </c>
      <c r="D214">
        <v>0.76219999999999999</v>
      </c>
      <c r="E214">
        <v>0.82769999999999999</v>
      </c>
      <c r="F214">
        <v>13408750.300000001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0.78474114441416853</v>
      </c>
      <c r="Q214">
        <f t="shared" si="960"/>
        <v>10522398.055585826</v>
      </c>
      <c r="R214">
        <f t="shared" si="961"/>
        <v>1229698759.8843043</v>
      </c>
      <c r="S214">
        <f t="shared" si="962"/>
        <v>12296.987598843043</v>
      </c>
      <c r="T214">
        <f t="shared" si="963"/>
        <v>12.296987598843042</v>
      </c>
    </row>
    <row r="215" spans="1:20" x14ac:dyDescent="0.25">
      <c r="A215" s="5">
        <v>44378</v>
      </c>
      <c r="B215">
        <v>0.86839999999999995</v>
      </c>
      <c r="C215">
        <v>0.86919999999999997</v>
      </c>
      <c r="D215">
        <v>0.77700000000000002</v>
      </c>
      <c r="E215">
        <v>0.80020000000000002</v>
      </c>
      <c r="F215">
        <v>11940798.5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-0.49674620390455509</v>
      </c>
      <c r="Q215">
        <f t="shared" si="960"/>
        <v>-5931546.326464206</v>
      </c>
      <c r="R215">
        <f t="shared" si="961"/>
        <v>1219176361.8287184</v>
      </c>
      <c r="S215">
        <f t="shared" si="962"/>
        <v>12191.763618287185</v>
      </c>
      <c r="T215">
        <f t="shared" si="963"/>
        <v>12.191763618287185</v>
      </c>
    </row>
    <row r="216" spans="1:20" x14ac:dyDescent="0.25">
      <c r="A216" s="5">
        <v>44377</v>
      </c>
      <c r="B216">
        <v>0.84289999999999998</v>
      </c>
      <c r="C216">
        <v>0.87719999999999998</v>
      </c>
      <c r="D216">
        <v>0.78500000000000003</v>
      </c>
      <c r="E216">
        <v>0.86760000000000004</v>
      </c>
      <c r="F216">
        <v>17015452.010000002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0.79175704989154128</v>
      </c>
      <c r="Q216">
        <f t="shared" si="960"/>
        <v>13472104.086008698</v>
      </c>
      <c r="R216">
        <f t="shared" si="961"/>
        <v>1225107908.1551826</v>
      </c>
      <c r="S216">
        <f t="shared" si="962"/>
        <v>12251.079081551827</v>
      </c>
      <c r="T216">
        <f t="shared" si="963"/>
        <v>12.251079081551827</v>
      </c>
    </row>
    <row r="217" spans="1:20" x14ac:dyDescent="0.25">
      <c r="A217" s="5">
        <v>44376</v>
      </c>
      <c r="B217">
        <v>0.82010000000000005</v>
      </c>
      <c r="C217">
        <v>0.89580000000000004</v>
      </c>
      <c r="D217">
        <v>0.8175</v>
      </c>
      <c r="E217">
        <v>0.84319999999999995</v>
      </c>
      <c r="F217">
        <v>16416036.65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-0.34355044699872456</v>
      </c>
      <c r="Q217">
        <f t="shared" si="960"/>
        <v>-5639736.7290549446</v>
      </c>
      <c r="R217">
        <f t="shared" si="961"/>
        <v>1211635804.0691738</v>
      </c>
      <c r="S217">
        <f t="shared" si="962"/>
        <v>12116.358040691739</v>
      </c>
      <c r="T217">
        <f t="shared" si="963"/>
        <v>12.11635804069174</v>
      </c>
    </row>
    <row r="218" spans="1:20" x14ac:dyDescent="0.25">
      <c r="A218" s="5">
        <v>44375</v>
      </c>
      <c r="B218">
        <v>0.79779999999999995</v>
      </c>
      <c r="C218">
        <v>0.83740000000000003</v>
      </c>
      <c r="D218">
        <v>0.78539999999999999</v>
      </c>
      <c r="E218">
        <v>0.82050000000000001</v>
      </c>
      <c r="F218">
        <v>12022963.939999999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0.34999999999999959</v>
      </c>
      <c r="Q218">
        <f t="shared" si="960"/>
        <v>4208037.3789999951</v>
      </c>
      <c r="R218">
        <f t="shared" si="961"/>
        <v>1217275540.7982287</v>
      </c>
      <c r="S218">
        <f t="shared" si="962"/>
        <v>12172.755407982288</v>
      </c>
      <c r="T218">
        <f t="shared" si="963"/>
        <v>12.172755407982288</v>
      </c>
    </row>
    <row r="219" spans="1:20" x14ac:dyDescent="0.25">
      <c r="A219" s="5">
        <v>44374</v>
      </c>
      <c r="B219">
        <v>0.78800000000000003</v>
      </c>
      <c r="C219">
        <v>0.80189999999999995</v>
      </c>
      <c r="D219">
        <v>0.74109999999999998</v>
      </c>
      <c r="E219">
        <v>0.79790000000000005</v>
      </c>
      <c r="F219">
        <v>10279624.789999999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0.86842105263158242</v>
      </c>
      <c r="Q219">
        <f t="shared" si="960"/>
        <v>8927042.5807895083</v>
      </c>
      <c r="R219">
        <f t="shared" si="961"/>
        <v>1213067503.4192288</v>
      </c>
      <c r="S219">
        <f t="shared" si="962"/>
        <v>12130.675034192287</v>
      </c>
      <c r="T219">
        <f t="shared" si="963"/>
        <v>12.130675034192286</v>
      </c>
    </row>
    <row r="220" spans="1:20" x14ac:dyDescent="0.25">
      <c r="A220" s="5">
        <v>44373</v>
      </c>
      <c r="B220">
        <v>0.77039999999999997</v>
      </c>
      <c r="C220">
        <v>0.79969999999999997</v>
      </c>
      <c r="D220">
        <v>0.72909999999999997</v>
      </c>
      <c r="E220">
        <v>0.78720000000000001</v>
      </c>
      <c r="F220">
        <v>13326705.029999999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0.64589235127478872</v>
      </c>
      <c r="Q220">
        <f t="shared" si="960"/>
        <v>8607616.8465722539</v>
      </c>
      <c r="R220">
        <f t="shared" si="961"/>
        <v>1204140460.8384392</v>
      </c>
      <c r="S220">
        <f t="shared" si="962"/>
        <v>12041.404608384391</v>
      </c>
      <c r="T220">
        <f t="shared" si="963"/>
        <v>12.041404608384392</v>
      </c>
    </row>
    <row r="221" spans="1:20" x14ac:dyDescent="0.25">
      <c r="A221" s="5">
        <v>44372</v>
      </c>
      <c r="B221">
        <v>0.83950000000000002</v>
      </c>
      <c r="C221">
        <v>0.86180000000000001</v>
      </c>
      <c r="D221">
        <v>0.754</v>
      </c>
      <c r="E221">
        <v>0.77100000000000002</v>
      </c>
      <c r="F221">
        <v>15511320.07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-0.68460111317254146</v>
      </c>
      <c r="Q221">
        <f t="shared" si="960"/>
        <v>-10619066.986697584</v>
      </c>
      <c r="R221">
        <f t="shared" si="961"/>
        <v>1195532843.9918671</v>
      </c>
      <c r="S221">
        <f t="shared" si="962"/>
        <v>11955.32843991867</v>
      </c>
      <c r="T221">
        <f t="shared" si="963"/>
        <v>11.95532843991867</v>
      </c>
    </row>
    <row r="222" spans="1:20" x14ac:dyDescent="0.25">
      <c r="A222" s="5">
        <v>44371</v>
      </c>
      <c r="B222">
        <v>0.79710000000000003</v>
      </c>
      <c r="C222">
        <v>0.84930000000000005</v>
      </c>
      <c r="D222">
        <v>0.74580000000000002</v>
      </c>
      <c r="E222">
        <v>0.83909999999999996</v>
      </c>
      <c r="F222">
        <v>15339472.01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0.8028985507246359</v>
      </c>
      <c r="Q222">
        <f t="shared" si="960"/>
        <v>12316039.845710117</v>
      </c>
      <c r="R222">
        <f t="shared" si="961"/>
        <v>1206151910.9785647</v>
      </c>
      <c r="S222">
        <f t="shared" si="962"/>
        <v>12061.519109785648</v>
      </c>
      <c r="T222">
        <f t="shared" si="963"/>
        <v>12.061519109785648</v>
      </c>
    </row>
    <row r="223" spans="1:20" x14ac:dyDescent="0.25">
      <c r="A223" s="5">
        <v>44370</v>
      </c>
      <c r="B223">
        <v>0.71399999999999997</v>
      </c>
      <c r="C223">
        <v>0.83579999999999999</v>
      </c>
      <c r="D223">
        <v>0.68459999999999999</v>
      </c>
      <c r="E223">
        <v>0.79610000000000003</v>
      </c>
      <c r="F223">
        <v>21923133.539999999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0.47486772486772544</v>
      </c>
      <c r="Q223">
        <f t="shared" si="960"/>
        <v>10410588.546111124</v>
      </c>
      <c r="R223">
        <f t="shared" si="961"/>
        <v>1193835871.1328547</v>
      </c>
      <c r="S223">
        <f t="shared" si="962"/>
        <v>11938.358711328547</v>
      </c>
      <c r="T223">
        <f t="shared" si="963"/>
        <v>11.938358711328547</v>
      </c>
    </row>
    <row r="224" spans="1:20" x14ac:dyDescent="0.25">
      <c r="A224" s="5">
        <v>44369</v>
      </c>
      <c r="B224">
        <v>0.74990000000000001</v>
      </c>
      <c r="C224">
        <v>0.80610000000000004</v>
      </c>
      <c r="D224">
        <v>0.62</v>
      </c>
      <c r="E224">
        <v>0.71389999999999998</v>
      </c>
      <c r="F224">
        <v>56680907.149999999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9.1348737238039941E-3</v>
      </c>
      <c r="Q224">
        <f t="shared" si="960"/>
        <v>517772.9293659089</v>
      </c>
      <c r="R224">
        <f t="shared" si="961"/>
        <v>1183425282.5867436</v>
      </c>
      <c r="S224">
        <f t="shared" si="962"/>
        <v>11834.252825867436</v>
      </c>
      <c r="T224">
        <f t="shared" si="963"/>
        <v>11.834252825867436</v>
      </c>
    </row>
    <row r="225" spans="1:20" x14ac:dyDescent="0.25">
      <c r="A225" s="5">
        <v>44368</v>
      </c>
      <c r="B225">
        <v>0.96140000000000003</v>
      </c>
      <c r="C225">
        <v>0.96730000000000005</v>
      </c>
      <c r="D225">
        <v>0.74280000000000002</v>
      </c>
      <c r="E225">
        <v>0.74990000000000001</v>
      </c>
      <c r="F225">
        <v>36905346.43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-0.93674832962138088</v>
      </c>
      <c r="Q225">
        <f t="shared" si="960"/>
        <v>-34571021.622400895</v>
      </c>
      <c r="R225">
        <f t="shared" si="961"/>
        <v>1182907509.6573777</v>
      </c>
      <c r="S225">
        <f t="shared" si="962"/>
        <v>11829.075096573777</v>
      </c>
      <c r="T225">
        <f t="shared" si="963"/>
        <v>11.829075096573778</v>
      </c>
    </row>
    <row r="226" spans="1:20" x14ac:dyDescent="0.25">
      <c r="A226" s="5">
        <v>44367</v>
      </c>
      <c r="B226">
        <v>0.96450000000000002</v>
      </c>
      <c r="C226">
        <v>0.99770000000000003</v>
      </c>
      <c r="D226">
        <v>0.87639999999999996</v>
      </c>
      <c r="E226">
        <v>0.96050000000000002</v>
      </c>
      <c r="F226">
        <v>21832296.710000001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0.38664468260511148</v>
      </c>
      <c r="Q226">
        <f t="shared" si="960"/>
        <v>8441341.4319785703</v>
      </c>
      <c r="R226">
        <f t="shared" si="961"/>
        <v>1217478531.2797787</v>
      </c>
      <c r="S226">
        <f t="shared" si="962"/>
        <v>12174.785312797787</v>
      </c>
      <c r="T226">
        <f t="shared" si="963"/>
        <v>12.174785312797788</v>
      </c>
    </row>
    <row r="227" spans="1:20" x14ac:dyDescent="0.25">
      <c r="A227" s="5">
        <v>44366</v>
      </c>
      <c r="B227">
        <v>1.0118</v>
      </c>
      <c r="C227">
        <v>1.0337000000000001</v>
      </c>
      <c r="D227">
        <v>0.96230000000000004</v>
      </c>
      <c r="E227">
        <v>0.96399999999999997</v>
      </c>
      <c r="F227">
        <v>13707805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-0.95238095238095455</v>
      </c>
      <c r="Q227">
        <f t="shared" si="960"/>
        <v>-13055052.38095241</v>
      </c>
      <c r="R227">
        <f t="shared" si="961"/>
        <v>1209037189.8478003</v>
      </c>
      <c r="S227">
        <f t="shared" si="962"/>
        <v>12090.371898478003</v>
      </c>
      <c r="T227">
        <f t="shared" si="963"/>
        <v>12.090371898478002</v>
      </c>
    </row>
    <row r="228" spans="1:20" x14ac:dyDescent="0.25">
      <c r="A228" s="5">
        <v>44365</v>
      </c>
      <c r="B228">
        <v>1.1002000000000001</v>
      </c>
      <c r="C228">
        <v>1.1002000000000001</v>
      </c>
      <c r="D228">
        <v>0.98760000000000003</v>
      </c>
      <c r="E228">
        <v>1.0119</v>
      </c>
      <c r="F228">
        <v>11981234.01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-0.56838365896980492</v>
      </c>
      <c r="Q228">
        <f t="shared" si="960"/>
        <v>-6809937.6255772682</v>
      </c>
      <c r="R228">
        <f t="shared" si="961"/>
        <v>1222092242.2287526</v>
      </c>
      <c r="S228">
        <f t="shared" si="962"/>
        <v>12220.922422287525</v>
      </c>
      <c r="T228">
        <f t="shared" si="963"/>
        <v>12.220922422287526</v>
      </c>
    </row>
    <row r="229" spans="1:20" x14ac:dyDescent="0.25">
      <c r="A229" s="5">
        <v>44364</v>
      </c>
      <c r="B229">
        <v>1.0666</v>
      </c>
      <c r="C229">
        <v>1.1236999999999999</v>
      </c>
      <c r="D229">
        <v>1.0598000000000001</v>
      </c>
      <c r="E229">
        <v>1.1005</v>
      </c>
      <c r="F229">
        <v>8367716.7999999998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0.27386541471048692</v>
      </c>
      <c r="Q229">
        <f t="shared" si="960"/>
        <v>2291628.2316119084</v>
      </c>
      <c r="R229">
        <f t="shared" si="961"/>
        <v>1228902179.8543298</v>
      </c>
      <c r="S229">
        <f t="shared" si="962"/>
        <v>12289.021798543297</v>
      </c>
      <c r="T229">
        <f t="shared" si="963"/>
        <v>12.289021798543297</v>
      </c>
    </row>
    <row r="230" spans="1:20" x14ac:dyDescent="0.25">
      <c r="A230" s="5">
        <v>44363</v>
      </c>
      <c r="B230">
        <v>1.1185</v>
      </c>
      <c r="C230">
        <v>1.1288</v>
      </c>
      <c r="D230">
        <v>1.0527</v>
      </c>
      <c r="E230">
        <v>1.0665</v>
      </c>
      <c r="F230">
        <v>11472225.93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-0.63731931668856701</v>
      </c>
      <c r="Q230">
        <f t="shared" si="960"/>
        <v>-7311471.1906044595</v>
      </c>
      <c r="R230">
        <f t="shared" si="961"/>
        <v>1226610551.6227179</v>
      </c>
      <c r="S230">
        <f t="shared" si="962"/>
        <v>12266.105516227179</v>
      </c>
      <c r="T230">
        <f t="shared" si="963"/>
        <v>12.266105516227178</v>
      </c>
    </row>
    <row r="231" spans="1:20" x14ac:dyDescent="0.25">
      <c r="A231" s="5">
        <v>44362</v>
      </c>
      <c r="B231">
        <v>1.1296999999999999</v>
      </c>
      <c r="C231">
        <v>1.175</v>
      </c>
      <c r="D231">
        <v>1.093</v>
      </c>
      <c r="E231">
        <v>1.1186</v>
      </c>
      <c r="F231">
        <v>12804556.189999999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-0.37560975609755987</v>
      </c>
      <c r="Q231">
        <f t="shared" si="960"/>
        <v>-4809516.2274634</v>
      </c>
      <c r="R231">
        <f t="shared" si="961"/>
        <v>1233922022.8133223</v>
      </c>
      <c r="S231">
        <f t="shared" si="962"/>
        <v>12339.220228133223</v>
      </c>
      <c r="T231">
        <f t="shared" si="963"/>
        <v>12.339220228133224</v>
      </c>
    </row>
    <row r="232" spans="1:20" x14ac:dyDescent="0.25">
      <c r="A232" s="5">
        <v>44361</v>
      </c>
      <c r="B232">
        <v>1.0907</v>
      </c>
      <c r="C232">
        <v>1.1440999999999999</v>
      </c>
      <c r="D232">
        <v>1.0598000000000001</v>
      </c>
      <c r="E232">
        <v>1.129</v>
      </c>
      <c r="F232">
        <v>13563534.029999999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0.64175563463819874</v>
      </c>
      <c r="Q232">
        <f t="shared" si="960"/>
        <v>8704474.3893594556</v>
      </c>
      <c r="R232">
        <f t="shared" si="961"/>
        <v>1238731539.0407858</v>
      </c>
      <c r="S232">
        <f t="shared" si="962"/>
        <v>12387.315390407857</v>
      </c>
      <c r="T232">
        <f t="shared" si="963"/>
        <v>12.387315390407856</v>
      </c>
    </row>
    <row r="233" spans="1:20" x14ac:dyDescent="0.25">
      <c r="A233" s="5">
        <v>44360</v>
      </c>
      <c r="B233">
        <v>1.0186999999999999</v>
      </c>
      <c r="C233">
        <v>1.1091</v>
      </c>
      <c r="D233">
        <v>1</v>
      </c>
      <c r="E233">
        <v>1.091</v>
      </c>
      <c r="F233">
        <v>16210213.880000001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0.66819431714023814</v>
      </c>
      <c r="Q233">
        <f t="shared" si="960"/>
        <v>10831572.794243811</v>
      </c>
      <c r="R233">
        <f t="shared" si="961"/>
        <v>1230027064.6514263</v>
      </c>
      <c r="S233">
        <f t="shared" si="962"/>
        <v>12300.270646514264</v>
      </c>
      <c r="T233">
        <f t="shared" si="963"/>
        <v>12.300270646514264</v>
      </c>
    </row>
    <row r="234" spans="1:20" x14ac:dyDescent="0.25">
      <c r="A234" s="5">
        <v>44359</v>
      </c>
      <c r="B234">
        <v>1.04</v>
      </c>
      <c r="C234">
        <v>1.0742</v>
      </c>
      <c r="D234">
        <v>0.97540000000000004</v>
      </c>
      <c r="E234">
        <v>1.0177</v>
      </c>
      <c r="F234">
        <v>21839426.620000001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-0.14372469635627522</v>
      </c>
      <c r="Q234">
        <f t="shared" si="960"/>
        <v>-3138864.9595546541</v>
      </c>
      <c r="R234">
        <f t="shared" si="961"/>
        <v>1219195491.8571825</v>
      </c>
      <c r="S234">
        <f t="shared" si="962"/>
        <v>12191.954918571824</v>
      </c>
      <c r="T234">
        <f t="shared" si="963"/>
        <v>12.191954918571824</v>
      </c>
    </row>
    <row r="235" spans="1:20" x14ac:dyDescent="0.25">
      <c r="A235" s="5">
        <v>44358</v>
      </c>
      <c r="B235">
        <v>1.1103000000000001</v>
      </c>
      <c r="C235">
        <v>1.1641999999999999</v>
      </c>
      <c r="D235">
        <v>1.0201</v>
      </c>
      <c r="E235">
        <v>1.0392999999999999</v>
      </c>
      <c r="F235">
        <v>17177522.170000002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-0.73351839000694108</v>
      </c>
      <c r="Q235">
        <f t="shared" si="960"/>
        <v>-12600028.406446937</v>
      </c>
      <c r="R235">
        <f t="shared" si="961"/>
        <v>1222334356.8167372</v>
      </c>
      <c r="S235">
        <f t="shared" si="962"/>
        <v>12223.343568167371</v>
      </c>
      <c r="T235">
        <f t="shared" si="963"/>
        <v>12.223343568167371</v>
      </c>
    </row>
    <row r="236" spans="1:20" x14ac:dyDescent="0.25">
      <c r="A236" s="5">
        <v>44357</v>
      </c>
      <c r="B236">
        <v>1.1819</v>
      </c>
      <c r="C236">
        <v>1.1886000000000001</v>
      </c>
      <c r="D236">
        <v>1.0843</v>
      </c>
      <c r="E236">
        <v>1.1132</v>
      </c>
      <c r="F236">
        <v>21739683.989999998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-0.44582933844678985</v>
      </c>
      <c r="Q236">
        <f t="shared" si="960"/>
        <v>-9692188.9313039687</v>
      </c>
      <c r="R236">
        <f t="shared" si="961"/>
        <v>1234934385.2231841</v>
      </c>
      <c r="S236">
        <f t="shared" si="962"/>
        <v>12349.343852231841</v>
      </c>
      <c r="T236">
        <f t="shared" si="963"/>
        <v>12.349343852231842</v>
      </c>
    </row>
    <row r="237" spans="1:20" x14ac:dyDescent="0.25">
      <c r="A237" s="5">
        <v>44356</v>
      </c>
      <c r="B237">
        <v>1.1462000000000001</v>
      </c>
      <c r="C237">
        <v>1.2109000000000001</v>
      </c>
      <c r="D237">
        <v>1.0657000000000001</v>
      </c>
      <c r="E237">
        <v>1.1819999999999999</v>
      </c>
      <c r="F237">
        <v>28657472.91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0.6019283746556453</v>
      </c>
      <c r="Q237">
        <f t="shared" si="960"/>
        <v>17249746.090454485</v>
      </c>
      <c r="R237">
        <f t="shared" si="961"/>
        <v>1244626574.1544881</v>
      </c>
      <c r="S237">
        <f t="shared" si="962"/>
        <v>12446.265741544881</v>
      </c>
      <c r="T237">
        <f t="shared" si="963"/>
        <v>12.446265741544881</v>
      </c>
    </row>
    <row r="238" spans="1:20" x14ac:dyDescent="0.25">
      <c r="A238" s="5">
        <v>44355</v>
      </c>
      <c r="B238">
        <v>1.0949</v>
      </c>
      <c r="C238">
        <v>1.155</v>
      </c>
      <c r="D238">
        <v>1.0185</v>
      </c>
      <c r="E238">
        <v>1.1480999999999999</v>
      </c>
      <c r="F238">
        <v>43079681.82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0.89890109890109704</v>
      </c>
      <c r="Q238">
        <f t="shared" si="960"/>
        <v>38724373.328307614</v>
      </c>
      <c r="R238">
        <f t="shared" si="961"/>
        <v>1227376828.0640335</v>
      </c>
      <c r="S238">
        <f t="shared" si="962"/>
        <v>12273.768280640335</v>
      </c>
      <c r="T238">
        <f t="shared" si="963"/>
        <v>12.273768280640336</v>
      </c>
    </row>
    <row r="239" spans="1:20" x14ac:dyDescent="0.25">
      <c r="A239" s="5">
        <v>44354</v>
      </c>
      <c r="B239">
        <v>1.2516</v>
      </c>
      <c r="C239">
        <v>1.3285</v>
      </c>
      <c r="D239">
        <v>1.0852999999999999</v>
      </c>
      <c r="E239">
        <v>1.0948</v>
      </c>
      <c r="F239">
        <v>33349671.030000001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-0.92187499999999956</v>
      </c>
      <c r="Q239">
        <f t="shared" si="960"/>
        <v>-30744227.980781235</v>
      </c>
      <c r="R239">
        <f t="shared" si="961"/>
        <v>1188652454.7357259</v>
      </c>
      <c r="S239">
        <f t="shared" si="962"/>
        <v>11886.52454735726</v>
      </c>
      <c r="T239">
        <f t="shared" si="963"/>
        <v>11.88652454735726</v>
      </c>
    </row>
    <row r="240" spans="1:20" x14ac:dyDescent="0.25">
      <c r="A240" s="5">
        <v>44353</v>
      </c>
      <c r="B240">
        <v>1.2165999999999999</v>
      </c>
      <c r="C240">
        <v>1.2749999999999999</v>
      </c>
      <c r="D240">
        <v>1.2070000000000001</v>
      </c>
      <c r="E240">
        <v>1.2524999999999999</v>
      </c>
      <c r="F240">
        <v>13902850.369999999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0.33823529411764652</v>
      </c>
      <c r="Q240">
        <f t="shared" si="960"/>
        <v>4702434.6839705808</v>
      </c>
      <c r="R240">
        <f t="shared" si="961"/>
        <v>1219396682.7165072</v>
      </c>
      <c r="S240">
        <f t="shared" si="962"/>
        <v>12193.966827165072</v>
      </c>
      <c r="T240">
        <f t="shared" si="963"/>
        <v>12.193966827165072</v>
      </c>
    </row>
    <row r="241" spans="1:20" x14ac:dyDescent="0.25">
      <c r="A241" s="5">
        <v>44352</v>
      </c>
      <c r="B241">
        <v>1.2533000000000001</v>
      </c>
      <c r="C241">
        <v>1.3712</v>
      </c>
      <c r="D241">
        <v>1.1689000000000001</v>
      </c>
      <c r="E241">
        <v>1.2156</v>
      </c>
      <c r="F241">
        <v>30492157.25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-0.53830944142362847</v>
      </c>
      <c r="Q241">
        <f t="shared" si="960"/>
        <v>-16414216.137048943</v>
      </c>
      <c r="R241">
        <f t="shared" si="961"/>
        <v>1214694248.0325365</v>
      </c>
      <c r="S241">
        <f t="shared" si="962"/>
        <v>12146.942480325364</v>
      </c>
      <c r="T241">
        <f t="shared" si="963"/>
        <v>12.146942480325364</v>
      </c>
    </row>
    <row r="242" spans="1:20" x14ac:dyDescent="0.25">
      <c r="A242" s="5">
        <v>44351</v>
      </c>
      <c r="B242">
        <v>1.3831</v>
      </c>
      <c r="C242">
        <v>1.3837999999999999</v>
      </c>
      <c r="D242">
        <v>1.1700999999999999</v>
      </c>
      <c r="E242">
        <v>1.2558</v>
      </c>
      <c r="F242">
        <v>31104728.32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-0.1979410388394936</v>
      </c>
      <c r="Q242">
        <f t="shared" si="960"/>
        <v>-6156902.2364810165</v>
      </c>
      <c r="R242">
        <f t="shared" si="961"/>
        <v>1231108464.1695855</v>
      </c>
      <c r="S242">
        <f t="shared" si="962"/>
        <v>12311.084641695854</v>
      </c>
      <c r="T242">
        <f t="shared" si="963"/>
        <v>12.311084641695853</v>
      </c>
    </row>
    <row r="243" spans="1:20" x14ac:dyDescent="0.25">
      <c r="A243" s="5">
        <v>44350</v>
      </c>
      <c r="B243">
        <v>1.276</v>
      </c>
      <c r="C243">
        <v>1.48</v>
      </c>
      <c r="D243">
        <v>1.2603</v>
      </c>
      <c r="E243">
        <v>1.3829</v>
      </c>
      <c r="F243">
        <v>36975192.229999997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0.116067364588075</v>
      </c>
      <c r="Q243">
        <f t="shared" si="960"/>
        <v>4291613.1172735672</v>
      </c>
      <c r="R243">
        <f t="shared" si="961"/>
        <v>1237265366.4060664</v>
      </c>
      <c r="S243">
        <f t="shared" si="962"/>
        <v>12372.653664060665</v>
      </c>
      <c r="T243">
        <f t="shared" si="963"/>
        <v>12.372653664060664</v>
      </c>
    </row>
    <row r="244" spans="1:20" x14ac:dyDescent="0.25">
      <c r="A244" s="5">
        <v>44349</v>
      </c>
      <c r="B244">
        <v>1.1214999999999999</v>
      </c>
      <c r="C244">
        <v>1.3149999999999999</v>
      </c>
      <c r="D244">
        <v>1.1004</v>
      </c>
      <c r="E244">
        <v>1.278</v>
      </c>
      <c r="F244">
        <v>30612096.59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0.65517241379310398</v>
      </c>
      <c r="Q244">
        <f t="shared" si="960"/>
        <v>20056201.214137949</v>
      </c>
      <c r="R244">
        <f t="shared" si="961"/>
        <v>1232973753.2887928</v>
      </c>
      <c r="S244">
        <f t="shared" si="962"/>
        <v>12329.737532887928</v>
      </c>
      <c r="T244">
        <f t="shared" si="963"/>
        <v>12.329737532887927</v>
      </c>
    </row>
    <row r="245" spans="1:20" x14ac:dyDescent="0.25">
      <c r="A245" s="5">
        <v>44348</v>
      </c>
      <c r="B245">
        <v>1.1155999999999999</v>
      </c>
      <c r="C245">
        <v>1.1738</v>
      </c>
      <c r="D245">
        <v>1.0817000000000001</v>
      </c>
      <c r="E245">
        <v>1.1196999999999999</v>
      </c>
      <c r="F245">
        <v>17559265.719999999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-0.17480998914223944</v>
      </c>
      <c r="Q245">
        <f t="shared" si="960"/>
        <v>-3069535.049858897</v>
      </c>
      <c r="R245">
        <f t="shared" si="961"/>
        <v>1212917552.0746548</v>
      </c>
      <c r="S245">
        <f t="shared" si="962"/>
        <v>12129.175520746549</v>
      </c>
      <c r="T245">
        <f t="shared" si="963"/>
        <v>12.129175520746548</v>
      </c>
    </row>
    <row r="246" spans="1:20" x14ac:dyDescent="0.25">
      <c r="A246" s="5">
        <v>44347</v>
      </c>
      <c r="B246">
        <v>1.0321</v>
      </c>
      <c r="C246">
        <v>1.1248</v>
      </c>
      <c r="D246">
        <v>0.98040000000000005</v>
      </c>
      <c r="E246">
        <v>1.1147</v>
      </c>
      <c r="F246">
        <v>19428327.969999999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0.86011080332409973</v>
      </c>
      <c r="Q246">
        <f t="shared" si="960"/>
        <v>16710514.777520774</v>
      </c>
      <c r="R246">
        <f t="shared" si="961"/>
        <v>1215987087.1245136</v>
      </c>
      <c r="S246">
        <f t="shared" si="962"/>
        <v>12159.870871245137</v>
      </c>
      <c r="T246">
        <f t="shared" si="963"/>
        <v>12.159870871245136</v>
      </c>
    </row>
    <row r="247" spans="1:20" x14ac:dyDescent="0.25">
      <c r="A247" s="5">
        <v>44346</v>
      </c>
      <c r="B247">
        <v>0.97689999999999999</v>
      </c>
      <c r="C247">
        <v>1.0963000000000001</v>
      </c>
      <c r="D247">
        <v>0.9163</v>
      </c>
      <c r="E247">
        <v>1.0321</v>
      </c>
      <c r="F247">
        <v>18788396.550000001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0.28666666666666646</v>
      </c>
      <c r="Q247">
        <f t="shared" si="960"/>
        <v>5386007.0109999962</v>
      </c>
      <c r="R247">
        <f t="shared" si="961"/>
        <v>1199276572.346993</v>
      </c>
      <c r="S247">
        <f t="shared" si="962"/>
        <v>11992.765723469929</v>
      </c>
      <c r="T247">
        <f t="shared" si="963"/>
        <v>11.99276572346993</v>
      </c>
    </row>
    <row r="248" spans="1:20" x14ac:dyDescent="0.25">
      <c r="A248" s="5">
        <v>44345</v>
      </c>
      <c r="B248">
        <v>1.0415000000000001</v>
      </c>
      <c r="C248">
        <v>1.1173999999999999</v>
      </c>
      <c r="D248">
        <v>0.92100000000000004</v>
      </c>
      <c r="E248">
        <v>0.97599999999999998</v>
      </c>
      <c r="F248">
        <v>19989669.390000001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-0.43991853360488836</v>
      </c>
      <c r="Q248">
        <f t="shared" si="960"/>
        <v>-8793826.0452953242</v>
      </c>
      <c r="R248">
        <f t="shared" si="961"/>
        <v>1193890565.3359931</v>
      </c>
      <c r="S248">
        <f t="shared" si="962"/>
        <v>11938.905653359931</v>
      </c>
      <c r="T248">
        <f t="shared" si="963"/>
        <v>11.93890565335993</v>
      </c>
    </row>
    <row r="249" spans="1:20" x14ac:dyDescent="0.25">
      <c r="A249" s="5">
        <v>44344</v>
      </c>
      <c r="B249">
        <v>1.1740999999999999</v>
      </c>
      <c r="C249">
        <v>1.2141</v>
      </c>
      <c r="D249">
        <v>0.98860000000000003</v>
      </c>
      <c r="E249">
        <v>1.0408999999999999</v>
      </c>
      <c r="F249">
        <v>32390198.030000001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-0.53614190687361485</v>
      </c>
      <c r="Q249">
        <f t="shared" si="960"/>
        <v>-17365742.535818204</v>
      </c>
      <c r="R249">
        <f t="shared" si="961"/>
        <v>1202684391.3812883</v>
      </c>
      <c r="S249">
        <f t="shared" si="962"/>
        <v>12026.843913812883</v>
      </c>
      <c r="T249">
        <f t="shared" si="963"/>
        <v>12.026843913812883</v>
      </c>
    </row>
    <row r="250" spans="1:20" x14ac:dyDescent="0.25">
      <c r="A250" s="5">
        <v>44343</v>
      </c>
      <c r="B250">
        <v>1.2899</v>
      </c>
      <c r="C250">
        <v>1.2926</v>
      </c>
      <c r="D250">
        <v>1.1266</v>
      </c>
      <c r="E250">
        <v>1.1728000000000001</v>
      </c>
      <c r="F250">
        <v>26524370.52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-0.44337349397590314</v>
      </c>
      <c r="Q250">
        <f t="shared" si="960"/>
        <v>-11760202.832963843</v>
      </c>
      <c r="R250">
        <f t="shared" si="961"/>
        <v>1220050133.9171064</v>
      </c>
      <c r="S250">
        <f t="shared" si="962"/>
        <v>12200.501339171064</v>
      </c>
      <c r="T250">
        <f t="shared" si="963"/>
        <v>12.200501339171064</v>
      </c>
    </row>
    <row r="251" spans="1:20" x14ac:dyDescent="0.25">
      <c r="A251" s="5">
        <v>44342</v>
      </c>
      <c r="B251">
        <v>1.0841000000000001</v>
      </c>
      <c r="C251">
        <v>1.29</v>
      </c>
      <c r="D251">
        <v>1.0666</v>
      </c>
      <c r="E251">
        <v>1.2899</v>
      </c>
      <c r="F251">
        <v>39189283.420000002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0.99910474485228296</v>
      </c>
      <c r="Q251">
        <f t="shared" si="960"/>
        <v>39154199.012282908</v>
      </c>
      <c r="R251">
        <f t="shared" si="961"/>
        <v>1231810336.7500703</v>
      </c>
      <c r="S251">
        <f t="shared" si="962"/>
        <v>12318.103367500704</v>
      </c>
      <c r="T251">
        <f t="shared" si="963"/>
        <v>12.318103367500704</v>
      </c>
    </row>
    <row r="252" spans="1:20" x14ac:dyDescent="0.25">
      <c r="A252" s="5">
        <v>44341</v>
      </c>
      <c r="B252">
        <v>1.0765</v>
      </c>
      <c r="C252">
        <v>1.1267</v>
      </c>
      <c r="D252">
        <v>0.97460000000000002</v>
      </c>
      <c r="E252">
        <v>1.0831999999999999</v>
      </c>
      <c r="F252">
        <v>34468271.549999997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0.42800788954634988</v>
      </c>
      <c r="Q252">
        <f t="shared" si="960"/>
        <v>14752692.162425993</v>
      </c>
      <c r="R252">
        <f t="shared" si="961"/>
        <v>1192656137.7377875</v>
      </c>
      <c r="S252">
        <f t="shared" si="962"/>
        <v>11926.561377377875</v>
      </c>
      <c r="T252">
        <f t="shared" si="963"/>
        <v>11.926561377377874</v>
      </c>
    </row>
    <row r="253" spans="1:20" x14ac:dyDescent="0.25">
      <c r="A253" s="5">
        <v>44340</v>
      </c>
      <c r="B253">
        <v>0.90739999999999998</v>
      </c>
      <c r="C253">
        <v>1.0998000000000001</v>
      </c>
      <c r="D253">
        <v>0.87290000000000001</v>
      </c>
      <c r="E253">
        <v>1.0765</v>
      </c>
      <c r="F253">
        <v>52889415.390000001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0.79462318201850957</v>
      </c>
      <c r="Q253">
        <f t="shared" si="960"/>
        <v>42027155.552300535</v>
      </c>
      <c r="R253">
        <f t="shared" si="961"/>
        <v>1177903445.5753615</v>
      </c>
      <c r="S253">
        <f t="shared" si="962"/>
        <v>11779.034455753615</v>
      </c>
      <c r="T253">
        <f t="shared" si="963"/>
        <v>11.779034455753616</v>
      </c>
    </row>
    <row r="254" spans="1:20" x14ac:dyDescent="0.25">
      <c r="A254" s="5">
        <v>44339</v>
      </c>
      <c r="B254">
        <v>1.0237000000000001</v>
      </c>
      <c r="C254">
        <v>1.0673999999999999</v>
      </c>
      <c r="D254">
        <v>0.67379999999999995</v>
      </c>
      <c r="E254">
        <v>0.90749999999999997</v>
      </c>
      <c r="F254">
        <v>72735055.25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0.18750000000000025</v>
      </c>
      <c r="Q254">
        <f t="shared" si="960"/>
        <v>13637822.859375019</v>
      </c>
      <c r="R254">
        <f t="shared" si="961"/>
        <v>1135876290.023061</v>
      </c>
      <c r="S254">
        <f t="shared" si="962"/>
        <v>11358.762900230611</v>
      </c>
      <c r="T254">
        <f t="shared" si="963"/>
        <v>11.358762900230611</v>
      </c>
    </row>
    <row r="255" spans="1:20" x14ac:dyDescent="0.25">
      <c r="A255" s="5">
        <v>44338</v>
      </c>
      <c r="B255">
        <v>1.1071</v>
      </c>
      <c r="C255">
        <v>1.1369</v>
      </c>
      <c r="D255">
        <v>0.94869999999999999</v>
      </c>
      <c r="E255">
        <v>1.0244</v>
      </c>
      <c r="F255">
        <v>40975605.909999996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-0.19553666312433607</v>
      </c>
      <c r="Q255">
        <f t="shared" si="960"/>
        <v>-8012233.2491392232</v>
      </c>
      <c r="R255">
        <f t="shared" si="961"/>
        <v>1122238467.163686</v>
      </c>
      <c r="S255">
        <f t="shared" si="962"/>
        <v>11222.384671636861</v>
      </c>
      <c r="T255">
        <f t="shared" si="963"/>
        <v>11.222384671636862</v>
      </c>
    </row>
    <row r="256" spans="1:20" x14ac:dyDescent="0.25">
      <c r="A256" s="5">
        <v>44337</v>
      </c>
      <c r="B256">
        <v>1.3229</v>
      </c>
      <c r="C256">
        <v>1.4026000000000001</v>
      </c>
      <c r="D256">
        <v>0.91200000000000003</v>
      </c>
      <c r="E256">
        <v>1.1072</v>
      </c>
      <c r="F256">
        <v>72100305.459999993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-0.2042397064818593</v>
      </c>
      <c r="Q256">
        <f t="shared" si="960"/>
        <v>-14725745.224402796</v>
      </c>
      <c r="R256">
        <f t="shared" si="961"/>
        <v>1130250700.4128253</v>
      </c>
      <c r="S256">
        <f t="shared" si="962"/>
        <v>11302.507004128254</v>
      </c>
      <c r="T256">
        <f t="shared" si="963"/>
        <v>11.302507004128254</v>
      </c>
    </row>
    <row r="257" spans="1:20" x14ac:dyDescent="0.25">
      <c r="A257" s="5">
        <v>44336</v>
      </c>
      <c r="B257">
        <v>1.1293</v>
      </c>
      <c r="C257">
        <v>1.3968</v>
      </c>
      <c r="D257">
        <v>1.0111000000000001</v>
      </c>
      <c r="E257">
        <v>1.3223</v>
      </c>
      <c r="F257">
        <v>62370782.780000001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0.61368939590355187</v>
      </c>
      <c r="Q257">
        <f t="shared" si="960"/>
        <v>38276288.006289855</v>
      </c>
      <c r="R257">
        <f t="shared" si="961"/>
        <v>1144976445.6372283</v>
      </c>
      <c r="S257">
        <f t="shared" si="962"/>
        <v>11449.764456372282</v>
      </c>
      <c r="T257">
        <f t="shared" si="963"/>
        <v>11.449764456372282</v>
      </c>
    </row>
    <row r="258" spans="1:20" x14ac:dyDescent="0.25">
      <c r="A258" s="5">
        <v>44335</v>
      </c>
      <c r="B258">
        <v>1.8862000000000001</v>
      </c>
      <c r="C258">
        <v>1.911</v>
      </c>
      <c r="D258">
        <v>0.83</v>
      </c>
      <c r="E258">
        <v>1.1294</v>
      </c>
      <c r="F258">
        <v>111730748.22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-0.44606845513413512</v>
      </c>
      <c r="Q258">
        <f t="shared" si="960"/>
        <v>-49839562.249476418</v>
      </c>
      <c r="R258">
        <f t="shared" si="961"/>
        <v>1106700157.6309383</v>
      </c>
      <c r="S258">
        <f t="shared" si="962"/>
        <v>11067.001576309383</v>
      </c>
      <c r="T258">
        <f t="shared" si="963"/>
        <v>11.067001576309384</v>
      </c>
    </row>
    <row r="259" spans="1:20" x14ac:dyDescent="0.25">
      <c r="A259" s="5">
        <v>44334</v>
      </c>
      <c r="B259">
        <v>1.8506</v>
      </c>
      <c r="C259">
        <v>2.0299</v>
      </c>
      <c r="D259">
        <v>1.8223</v>
      </c>
      <c r="E259">
        <v>1.8888</v>
      </c>
      <c r="F259">
        <v>28650598.420000002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-0.35934489402697495</v>
      </c>
      <c r="Q259">
        <f t="shared" si="960"/>
        <v>-10295446.253044317</v>
      </c>
      <c r="R259">
        <f t="shared" si="961"/>
        <v>1156539719.8804147</v>
      </c>
      <c r="S259">
        <f t="shared" si="962"/>
        <v>11565.397198804147</v>
      </c>
      <c r="T259">
        <f t="shared" si="963"/>
        <v>11.565397198804147</v>
      </c>
    </row>
    <row r="260" spans="1:20" x14ac:dyDescent="0.25">
      <c r="A260" s="5">
        <v>44333</v>
      </c>
      <c r="B260">
        <v>1.9992000000000001</v>
      </c>
      <c r="C260">
        <v>2.0030999999999999</v>
      </c>
      <c r="D260">
        <v>1.722</v>
      </c>
      <c r="E260">
        <v>1.8508</v>
      </c>
      <c r="F260">
        <v>40854578.560000002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-8.3600142298114063E-2</v>
      </c>
      <c r="Q260">
        <f t="shared" si="960"/>
        <v>-3415448.5811454803</v>
      </c>
      <c r="R260">
        <f t="shared" si="961"/>
        <v>1166835166.1334591</v>
      </c>
      <c r="S260">
        <f t="shared" si="962"/>
        <v>11668.351661334591</v>
      </c>
      <c r="T260">
        <f t="shared" si="963"/>
        <v>11.66835166133459</v>
      </c>
    </row>
    <row r="261" spans="1:20" x14ac:dyDescent="0.25">
      <c r="A261" s="5">
        <v>44332</v>
      </c>
      <c r="B261">
        <v>1.8579000000000001</v>
      </c>
      <c r="C261">
        <v>2.2090000000000001</v>
      </c>
      <c r="D261">
        <v>1.8333999999999999</v>
      </c>
      <c r="E261">
        <v>1.9991000000000001</v>
      </c>
      <c r="F261">
        <v>69130403.599999994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-0.11767838125665542</v>
      </c>
      <c r="Q261">
        <f t="shared" si="960"/>
        <v>-8135153.9912672639</v>
      </c>
      <c r="R261">
        <f t="shared" si="961"/>
        <v>1170250614.7146046</v>
      </c>
      <c r="S261">
        <f t="shared" si="962"/>
        <v>11702.506147146047</v>
      </c>
      <c r="T261">
        <f t="shared" si="963"/>
        <v>11.702506147146046</v>
      </c>
    </row>
    <row r="262" spans="1:20" x14ac:dyDescent="0.25">
      <c r="A262" s="5">
        <v>44331</v>
      </c>
      <c r="B262">
        <v>1.9569000000000001</v>
      </c>
      <c r="C262">
        <v>1.9838</v>
      </c>
      <c r="D262">
        <v>1.8110999999999999</v>
      </c>
      <c r="E262">
        <v>1.8574999999999999</v>
      </c>
      <c r="F262">
        <v>23009121.43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-0.46265199768384507</v>
      </c>
      <c r="Q262">
        <f t="shared" ref="Q262:Q325" si="965">F262*P262</f>
        <v>-10645215.994539671</v>
      </c>
      <c r="R262">
        <f t="shared" ref="R262:R325" si="966">R263+Q262</f>
        <v>1178385768.7058718</v>
      </c>
      <c r="S262">
        <f t="shared" ref="S262:S325" si="967">R262/100000</f>
        <v>11783.857687058719</v>
      </c>
      <c r="T262">
        <f t="shared" ref="T262:T325" si="968">S262/1000</f>
        <v>11.783857687058719</v>
      </c>
    </row>
    <row r="263" spans="1:20" x14ac:dyDescent="0.25">
      <c r="A263" s="5">
        <v>44330</v>
      </c>
      <c r="B263">
        <v>1.9589000000000001</v>
      </c>
      <c r="C263">
        <v>2.0234999999999999</v>
      </c>
      <c r="D263">
        <v>1.8692</v>
      </c>
      <c r="E263">
        <v>1.9569000000000001</v>
      </c>
      <c r="F263">
        <v>24058985.370000001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0.13674659753726739</v>
      </c>
      <c r="Q263">
        <f t="shared" si="965"/>
        <v>3289984.3895463943</v>
      </c>
      <c r="R263">
        <f t="shared" si="966"/>
        <v>1189030984.7004116</v>
      </c>
      <c r="S263">
        <f t="shared" si="967"/>
        <v>11890.309847004115</v>
      </c>
      <c r="T263">
        <f t="shared" si="968"/>
        <v>11.890309847004115</v>
      </c>
    </row>
    <row r="264" spans="1:20" x14ac:dyDescent="0.25">
      <c r="A264" s="5">
        <v>44329</v>
      </c>
      <c r="B264">
        <v>1.8169</v>
      </c>
      <c r="C264">
        <v>2</v>
      </c>
      <c r="D264">
        <v>1.66</v>
      </c>
      <c r="E264">
        <v>1.9589000000000001</v>
      </c>
      <c r="F264">
        <v>57329994.299999997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0.75823529411764767</v>
      </c>
      <c r="Q264">
        <f t="shared" si="965"/>
        <v>43469625.089823559</v>
      </c>
      <c r="R264">
        <f t="shared" si="966"/>
        <v>1185741000.3108652</v>
      </c>
      <c r="S264">
        <f t="shared" si="967"/>
        <v>11857.410003108651</v>
      </c>
      <c r="T264">
        <f t="shared" si="968"/>
        <v>11.857410003108651</v>
      </c>
    </row>
    <row r="265" spans="1:20" x14ac:dyDescent="0.25">
      <c r="A265" s="5">
        <v>44328</v>
      </c>
      <c r="B265">
        <v>2.1154000000000002</v>
      </c>
      <c r="C265">
        <v>2.1766999999999999</v>
      </c>
      <c r="D265">
        <v>1.7386999999999999</v>
      </c>
      <c r="E265">
        <v>1.8169999999999999</v>
      </c>
      <c r="F265">
        <v>29326738.170000002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-0.64246575342465728</v>
      </c>
      <c r="Q265">
        <f t="shared" si="965"/>
        <v>-18841424.933876704</v>
      </c>
      <c r="R265">
        <f t="shared" si="966"/>
        <v>1142271375.2210417</v>
      </c>
      <c r="S265">
        <f t="shared" si="967"/>
        <v>11422.713752210417</v>
      </c>
      <c r="T265">
        <f t="shared" si="968"/>
        <v>11.422713752210417</v>
      </c>
    </row>
    <row r="266" spans="1:20" x14ac:dyDescent="0.25">
      <c r="A266" s="5">
        <v>44327</v>
      </c>
      <c r="B266">
        <v>2.0145</v>
      </c>
      <c r="C266">
        <v>2.12</v>
      </c>
      <c r="D266">
        <v>1.9448000000000001</v>
      </c>
      <c r="E266">
        <v>2.1175000000000002</v>
      </c>
      <c r="F266">
        <v>20244126.899999999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0.9714611872146125</v>
      </c>
      <c r="Q266">
        <f t="shared" si="965"/>
        <v>19666383.55239727</v>
      </c>
      <c r="R266">
        <f t="shared" si="966"/>
        <v>1161112800.1549184</v>
      </c>
      <c r="S266">
        <f t="shared" si="967"/>
        <v>11611.128001549185</v>
      </c>
      <c r="T266">
        <f t="shared" si="968"/>
        <v>11.611128001549185</v>
      </c>
    </row>
    <row r="267" spans="1:20" x14ac:dyDescent="0.25">
      <c r="A267" s="5">
        <v>44326</v>
      </c>
      <c r="B267">
        <v>2.2646999999999999</v>
      </c>
      <c r="C267">
        <v>2.3098999999999998</v>
      </c>
      <c r="D267">
        <v>1.85</v>
      </c>
      <c r="E267">
        <v>2.0144000000000002</v>
      </c>
      <c r="F267">
        <v>34329234.899999999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-0.28506196999347599</v>
      </c>
      <c r="Q267">
        <f t="shared" si="965"/>
        <v>-9785959.328962788</v>
      </c>
      <c r="R267">
        <f t="shared" si="966"/>
        <v>1141446416.6025212</v>
      </c>
      <c r="S267">
        <f t="shared" si="967"/>
        <v>11414.464166025211</v>
      </c>
      <c r="T267">
        <f t="shared" si="968"/>
        <v>11.41446416602521</v>
      </c>
    </row>
    <row r="268" spans="1:20" x14ac:dyDescent="0.25">
      <c r="A268" s="5">
        <v>44325</v>
      </c>
      <c r="B268">
        <v>2.1625999999999999</v>
      </c>
      <c r="C268">
        <v>2.2719</v>
      </c>
      <c r="D268">
        <v>2.0489000000000002</v>
      </c>
      <c r="E268">
        <v>2.2646999999999999</v>
      </c>
      <c r="F268">
        <v>25591325.199999999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0.93542600896860895</v>
      </c>
      <c r="Q268">
        <f t="shared" si="965"/>
        <v>23938791.196053788</v>
      </c>
      <c r="R268">
        <f t="shared" si="966"/>
        <v>1151232375.931484</v>
      </c>
      <c r="S268">
        <f t="shared" si="967"/>
        <v>11512.323759314841</v>
      </c>
      <c r="T268">
        <f t="shared" si="968"/>
        <v>11.512323759314841</v>
      </c>
    </row>
    <row r="269" spans="1:20" x14ac:dyDescent="0.25">
      <c r="A269" s="5">
        <v>44324</v>
      </c>
      <c r="B269">
        <v>2.1848000000000001</v>
      </c>
      <c r="C269">
        <v>2.2481</v>
      </c>
      <c r="D269">
        <v>2.1044999999999998</v>
      </c>
      <c r="E269">
        <v>2.1610999999999998</v>
      </c>
      <c r="F269">
        <v>21172334.100000001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-0.21169916434540506</v>
      </c>
      <c r="Q269">
        <f t="shared" si="965"/>
        <v>-4482165.4362117238</v>
      </c>
      <c r="R269">
        <f t="shared" si="966"/>
        <v>1127293584.7354302</v>
      </c>
      <c r="S269">
        <f t="shared" si="967"/>
        <v>11272.935847354302</v>
      </c>
      <c r="T269">
        <f t="shared" si="968"/>
        <v>11.272935847354301</v>
      </c>
    </row>
    <row r="270" spans="1:20" x14ac:dyDescent="0.25">
      <c r="A270" s="5">
        <v>44323</v>
      </c>
      <c r="B270">
        <v>2.2195999999999998</v>
      </c>
      <c r="C270">
        <v>2.39</v>
      </c>
      <c r="D270">
        <v>2.0909</v>
      </c>
      <c r="E270">
        <v>2.1840000000000002</v>
      </c>
      <c r="F270">
        <v>61974837.539999999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-0.37746573052490712</v>
      </c>
      <c r="Q270">
        <f t="shared" si="965"/>
        <v>-23393377.326198537</v>
      </c>
      <c r="R270">
        <f t="shared" si="966"/>
        <v>1131775750.1716421</v>
      </c>
      <c r="S270">
        <f t="shared" si="967"/>
        <v>11317.75750171642</v>
      </c>
      <c r="T270">
        <f t="shared" si="968"/>
        <v>11.31775750171642</v>
      </c>
    </row>
    <row r="271" spans="1:20" x14ac:dyDescent="0.25">
      <c r="A271" s="5">
        <v>44322</v>
      </c>
      <c r="B271">
        <v>2.0282</v>
      </c>
      <c r="C271">
        <v>2.3281000000000001</v>
      </c>
      <c r="D271">
        <v>1.9866999999999999</v>
      </c>
      <c r="E271">
        <v>2.2187999999999999</v>
      </c>
      <c r="F271">
        <v>77416695.040000007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0.35969537199765594</v>
      </c>
      <c r="Q271">
        <f t="shared" si="965"/>
        <v>27846426.921241887</v>
      </c>
      <c r="R271">
        <f t="shared" si="966"/>
        <v>1155169127.4978406</v>
      </c>
      <c r="S271">
        <f t="shared" si="967"/>
        <v>11551.691274978406</v>
      </c>
      <c r="T271">
        <f t="shared" si="968"/>
        <v>11.551691274978406</v>
      </c>
    </row>
    <row r="272" spans="1:20" x14ac:dyDescent="0.25">
      <c r="A272" s="5">
        <v>44321</v>
      </c>
      <c r="B272">
        <v>1.8303</v>
      </c>
      <c r="C272">
        <v>2.0529000000000002</v>
      </c>
      <c r="D272">
        <v>1.8122</v>
      </c>
      <c r="E272">
        <v>2.0282</v>
      </c>
      <c r="F272">
        <v>31989211.079999998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0.79476526796842417</v>
      </c>
      <c r="Q272">
        <f t="shared" si="965"/>
        <v>25423913.916094683</v>
      </c>
      <c r="R272">
        <f t="shared" si="966"/>
        <v>1127322700.5765986</v>
      </c>
      <c r="S272">
        <f t="shared" si="967"/>
        <v>11273.227005765986</v>
      </c>
      <c r="T272">
        <f t="shared" si="968"/>
        <v>11.273227005765985</v>
      </c>
    </row>
    <row r="273" spans="1:20" x14ac:dyDescent="0.25">
      <c r="A273" s="5">
        <v>44320</v>
      </c>
      <c r="B273">
        <v>2.0825999999999998</v>
      </c>
      <c r="C273">
        <v>2.0937999999999999</v>
      </c>
      <c r="D273">
        <v>1.8069</v>
      </c>
      <c r="E273">
        <v>1.8319000000000001</v>
      </c>
      <c r="F273">
        <v>39016600.539999999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-0.82572324851864665</v>
      </c>
      <c r="Q273">
        <f t="shared" si="965"/>
        <v>-32216914.144043181</v>
      </c>
      <c r="R273">
        <f t="shared" si="966"/>
        <v>1101898786.6605039</v>
      </c>
      <c r="S273">
        <f t="shared" si="967"/>
        <v>11018.987866605039</v>
      </c>
      <c r="T273">
        <f t="shared" si="968"/>
        <v>11.018987866605039</v>
      </c>
    </row>
    <row r="274" spans="1:20" x14ac:dyDescent="0.25">
      <c r="A274" s="5">
        <v>44319</v>
      </c>
      <c r="B274">
        <v>2.0430999999999999</v>
      </c>
      <c r="C274">
        <v>2.17</v>
      </c>
      <c r="D274">
        <v>2.0381</v>
      </c>
      <c r="E274">
        <v>2.0836000000000001</v>
      </c>
      <c r="F274">
        <v>25706864.609999999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-0.31008339651250755</v>
      </c>
      <c r="Q274">
        <f t="shared" si="965"/>
        <v>-7971271.8919559773</v>
      </c>
      <c r="R274">
        <f t="shared" si="966"/>
        <v>1134115700.8045471</v>
      </c>
      <c r="S274">
        <f t="shared" si="967"/>
        <v>11341.157008045471</v>
      </c>
      <c r="T274">
        <f t="shared" si="968"/>
        <v>11.341157008045471</v>
      </c>
    </row>
    <row r="275" spans="1:20" x14ac:dyDescent="0.25">
      <c r="A275" s="5">
        <v>44318</v>
      </c>
      <c r="B275">
        <v>2.1097999999999999</v>
      </c>
      <c r="C275">
        <v>2.12</v>
      </c>
      <c r="D275">
        <v>2.0051999999999999</v>
      </c>
      <c r="E275">
        <v>2.0432999999999999</v>
      </c>
      <c r="F275">
        <v>17518977.780000001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-0.33623693379791036</v>
      </c>
      <c r="Q275">
        <f t="shared" si="965"/>
        <v>-5890527.3720209235</v>
      </c>
      <c r="R275">
        <f t="shared" si="966"/>
        <v>1142086972.6965032</v>
      </c>
      <c r="S275">
        <f t="shared" si="967"/>
        <v>11420.869726965031</v>
      </c>
      <c r="T275">
        <f t="shared" si="968"/>
        <v>11.420869726965032</v>
      </c>
    </row>
    <row r="276" spans="1:20" x14ac:dyDescent="0.25">
      <c r="A276" s="5">
        <v>44317</v>
      </c>
      <c r="B276">
        <v>2.1511999999999998</v>
      </c>
      <c r="C276">
        <v>2.1555</v>
      </c>
      <c r="D276">
        <v>2.0600999999999998</v>
      </c>
      <c r="E276">
        <v>2.109</v>
      </c>
      <c r="F276">
        <v>17677383.16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2.5157232704404359E-2</v>
      </c>
      <c r="Q276">
        <f t="shared" si="965"/>
        <v>444714.04176103888</v>
      </c>
      <c r="R276">
        <f t="shared" si="966"/>
        <v>1147977500.0685241</v>
      </c>
      <c r="S276">
        <f t="shared" si="967"/>
        <v>11479.775000685242</v>
      </c>
      <c r="T276">
        <f t="shared" si="968"/>
        <v>11.479775000685242</v>
      </c>
    </row>
    <row r="277" spans="1:20" x14ac:dyDescent="0.25">
      <c r="A277" s="5">
        <v>44316</v>
      </c>
      <c r="B277">
        <v>2.1036999999999999</v>
      </c>
      <c r="C277">
        <v>2.17</v>
      </c>
      <c r="D277">
        <v>2.0470000000000002</v>
      </c>
      <c r="E277">
        <v>2.1511999999999998</v>
      </c>
      <c r="F277">
        <v>26420767.16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0.69430894308942792</v>
      </c>
      <c r="Q277">
        <f t="shared" si="965"/>
        <v>18344174.922471467</v>
      </c>
      <c r="R277">
        <f t="shared" si="966"/>
        <v>1147532786.0267632</v>
      </c>
      <c r="S277">
        <f t="shared" si="967"/>
        <v>11475.327860267633</v>
      </c>
      <c r="T277">
        <f t="shared" si="968"/>
        <v>11.475327860267633</v>
      </c>
    </row>
    <row r="278" spans="1:20" x14ac:dyDescent="0.25">
      <c r="A278" s="5">
        <v>44315</v>
      </c>
      <c r="B278">
        <v>2.1861000000000002</v>
      </c>
      <c r="C278">
        <v>2.1996000000000002</v>
      </c>
      <c r="D278">
        <v>1.9750000000000001</v>
      </c>
      <c r="E278">
        <v>2.1036999999999999</v>
      </c>
      <c r="F278">
        <v>30433891.07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0.14603739982190328</v>
      </c>
      <c r="Q278">
        <f t="shared" si="965"/>
        <v>4444486.3183258418</v>
      </c>
      <c r="R278">
        <f t="shared" si="966"/>
        <v>1129188611.1042917</v>
      </c>
      <c r="S278">
        <f t="shared" si="967"/>
        <v>11291.886111042917</v>
      </c>
      <c r="T278">
        <f t="shared" si="968"/>
        <v>11.291886111042917</v>
      </c>
    </row>
    <row r="279" spans="1:20" x14ac:dyDescent="0.25">
      <c r="A279" s="5">
        <v>44314</v>
      </c>
      <c r="B279">
        <v>2.2084999999999999</v>
      </c>
      <c r="C279">
        <v>2.2999999999999998</v>
      </c>
      <c r="D279">
        <v>2.02</v>
      </c>
      <c r="E279">
        <v>2.1884000000000001</v>
      </c>
      <c r="F279">
        <v>41941618.719999999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0.20285714285714446</v>
      </c>
      <c r="Q279">
        <f t="shared" si="965"/>
        <v>8508156.9403429236</v>
      </c>
      <c r="R279">
        <f t="shared" si="966"/>
        <v>1124744124.7859659</v>
      </c>
      <c r="S279">
        <f t="shared" si="967"/>
        <v>11247.441247859659</v>
      </c>
      <c r="T279">
        <f t="shared" si="968"/>
        <v>11.247441247859658</v>
      </c>
    </row>
    <row r="280" spans="1:20" x14ac:dyDescent="0.25">
      <c r="A280" s="5">
        <v>44313</v>
      </c>
      <c r="B280">
        <v>1.9897</v>
      </c>
      <c r="C280">
        <v>2.2242999999999999</v>
      </c>
      <c r="D280">
        <v>1.9418</v>
      </c>
      <c r="E280">
        <v>2.2069000000000001</v>
      </c>
      <c r="F280">
        <v>35553638.469999999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0.87681415929203643</v>
      </c>
      <c r="Q280">
        <f t="shared" si="965"/>
        <v>31173933.624846052</v>
      </c>
      <c r="R280">
        <f t="shared" si="966"/>
        <v>1116235967.845623</v>
      </c>
      <c r="S280">
        <f t="shared" si="967"/>
        <v>11162.359678456231</v>
      </c>
      <c r="T280">
        <f t="shared" si="968"/>
        <v>11.16235967845623</v>
      </c>
    </row>
    <row r="281" spans="1:20" x14ac:dyDescent="0.25">
      <c r="A281" s="5">
        <v>44312</v>
      </c>
      <c r="B281">
        <v>1.6396999999999999</v>
      </c>
      <c r="C281">
        <v>2.0495999999999999</v>
      </c>
      <c r="D281">
        <v>1.6122000000000001</v>
      </c>
      <c r="E281">
        <v>1.9897</v>
      </c>
      <c r="F281">
        <v>54057775.020000003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0.72610882487425754</v>
      </c>
      <c r="Q281">
        <f t="shared" si="965"/>
        <v>39251827.495089196</v>
      </c>
      <c r="R281">
        <f t="shared" si="966"/>
        <v>1085062034.220777</v>
      </c>
      <c r="S281">
        <f t="shared" si="967"/>
        <v>10850.620342207771</v>
      </c>
      <c r="T281">
        <f t="shared" si="968"/>
        <v>10.850620342207771</v>
      </c>
    </row>
    <row r="282" spans="1:20" x14ac:dyDescent="0.25">
      <c r="A282" s="5">
        <v>44311</v>
      </c>
      <c r="B282">
        <v>1.6644000000000001</v>
      </c>
      <c r="C282">
        <v>1.8199000000000001</v>
      </c>
      <c r="D282">
        <v>1.5297000000000001</v>
      </c>
      <c r="E282">
        <v>1.6396999999999999</v>
      </c>
      <c r="F282">
        <v>38673889.890000001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-0.24190213645761632</v>
      </c>
      <c r="Q282">
        <f t="shared" si="965"/>
        <v>-9355296.5895176083</v>
      </c>
      <c r="R282">
        <f t="shared" si="966"/>
        <v>1045810206.7256877</v>
      </c>
      <c r="S282">
        <f t="shared" si="967"/>
        <v>10458.102067256877</v>
      </c>
      <c r="T282">
        <f t="shared" si="968"/>
        <v>10.458102067256878</v>
      </c>
    </row>
    <row r="283" spans="1:20" x14ac:dyDescent="0.25">
      <c r="A283" s="5">
        <v>44310</v>
      </c>
      <c r="B283">
        <v>1.8746</v>
      </c>
      <c r="C283">
        <v>1.8778999999999999</v>
      </c>
      <c r="D283">
        <v>1.6427</v>
      </c>
      <c r="E283">
        <v>1.6647000000000001</v>
      </c>
      <c r="F283">
        <v>38429166.729999997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-0.81292517006802689</v>
      </c>
      <c r="Q283">
        <f t="shared" si="965"/>
        <v>-31240036.899557807</v>
      </c>
      <c r="R283">
        <f t="shared" si="966"/>
        <v>1055165503.3152053</v>
      </c>
      <c r="S283">
        <f t="shared" si="967"/>
        <v>10551.655033152054</v>
      </c>
      <c r="T283">
        <f t="shared" si="968"/>
        <v>10.551655033152054</v>
      </c>
    </row>
    <row r="284" spans="1:20" x14ac:dyDescent="0.25">
      <c r="A284" s="5">
        <v>44309</v>
      </c>
      <c r="B284">
        <v>1.8242</v>
      </c>
      <c r="C284">
        <v>1.9288000000000001</v>
      </c>
      <c r="D284">
        <v>1.5277000000000001</v>
      </c>
      <c r="E284">
        <v>1.8718999999999999</v>
      </c>
      <c r="F284">
        <v>87300476.969999999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0.71628022936923375</v>
      </c>
      <c r="Q284">
        <f t="shared" si="965"/>
        <v>62531605.668115109</v>
      </c>
      <c r="R284">
        <f t="shared" si="966"/>
        <v>1086405540.2147632</v>
      </c>
      <c r="S284">
        <f t="shared" si="967"/>
        <v>10864.055402147631</v>
      </c>
      <c r="T284">
        <f t="shared" si="968"/>
        <v>10.864055402147631</v>
      </c>
    </row>
    <row r="285" spans="1:20" x14ac:dyDescent="0.25">
      <c r="A285" s="5">
        <v>44308</v>
      </c>
      <c r="B285">
        <v>2.0640999999999998</v>
      </c>
      <c r="C285">
        <v>2.1621999999999999</v>
      </c>
      <c r="D285">
        <v>1.76</v>
      </c>
      <c r="E285">
        <v>1.8239000000000001</v>
      </c>
      <c r="F285">
        <v>56233965.630000003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-0.68224763799104882</v>
      </c>
      <c r="Q285">
        <f t="shared" si="965"/>
        <v>-38365490.225937322</v>
      </c>
      <c r="R285">
        <f t="shared" si="966"/>
        <v>1023873934.546648</v>
      </c>
      <c r="S285">
        <f t="shared" si="967"/>
        <v>10238.73934546648</v>
      </c>
      <c r="T285">
        <f t="shared" si="968"/>
        <v>10.238739345466479</v>
      </c>
    </row>
    <row r="286" spans="1:20" x14ac:dyDescent="0.25">
      <c r="A286" s="5">
        <v>44307</v>
      </c>
      <c r="B286">
        <v>2.1930999999999998</v>
      </c>
      <c r="C286">
        <v>2.2915999999999999</v>
      </c>
      <c r="D286">
        <v>2.0331000000000001</v>
      </c>
      <c r="E286">
        <v>2.0638000000000001</v>
      </c>
      <c r="F286">
        <v>42149765.18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-0.7624758220502903</v>
      </c>
      <c r="Q286">
        <f t="shared" si="965"/>
        <v>-32138176.8548472</v>
      </c>
      <c r="R286">
        <f t="shared" si="966"/>
        <v>1062239424.7725854</v>
      </c>
      <c r="S286">
        <f t="shared" si="967"/>
        <v>10622.394247725853</v>
      </c>
      <c r="T286">
        <f t="shared" si="968"/>
        <v>10.622394247725854</v>
      </c>
    </row>
    <row r="287" spans="1:20" x14ac:dyDescent="0.25">
      <c r="A287" s="5">
        <v>44306</v>
      </c>
      <c r="B287">
        <v>2.0855999999999999</v>
      </c>
      <c r="C287">
        <v>2.2999999999999998</v>
      </c>
      <c r="D287">
        <v>1.831</v>
      </c>
      <c r="E287">
        <v>2.1956000000000002</v>
      </c>
      <c r="F287">
        <v>69619824.030000001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0.55479744136460707</v>
      </c>
      <c r="Q287">
        <f t="shared" si="965"/>
        <v>38624900.240098186</v>
      </c>
      <c r="R287">
        <f t="shared" si="966"/>
        <v>1094377601.6274326</v>
      </c>
      <c r="S287">
        <f t="shared" si="967"/>
        <v>10943.776016274325</v>
      </c>
      <c r="T287">
        <f t="shared" si="968"/>
        <v>10.943776016274326</v>
      </c>
    </row>
    <row r="288" spans="1:20" x14ac:dyDescent="0.25">
      <c r="A288" s="5">
        <v>44305</v>
      </c>
      <c r="B288">
        <v>2.3721999999999999</v>
      </c>
      <c r="C288">
        <v>2.4887999999999999</v>
      </c>
      <c r="D288">
        <v>2.0529000000000002</v>
      </c>
      <c r="E288">
        <v>2.0811999999999999</v>
      </c>
      <c r="F288">
        <v>58336961.789999999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-0.87015370497820699</v>
      </c>
      <c r="Q288">
        <f t="shared" si="965"/>
        <v>-50762123.438740596</v>
      </c>
      <c r="R288">
        <f t="shared" si="966"/>
        <v>1055752701.3873345</v>
      </c>
      <c r="S288">
        <f t="shared" si="967"/>
        <v>10557.527013873345</v>
      </c>
      <c r="T288">
        <f t="shared" si="968"/>
        <v>10.557527013873345</v>
      </c>
    </row>
    <row r="289" spans="1:20" x14ac:dyDescent="0.25">
      <c r="A289" s="5">
        <v>44304</v>
      </c>
      <c r="B289">
        <v>2.3302</v>
      </c>
      <c r="C289">
        <v>2.4499</v>
      </c>
      <c r="D289">
        <v>1.6</v>
      </c>
      <c r="E289">
        <v>2.3721000000000001</v>
      </c>
      <c r="F289">
        <v>91901836.920000002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0.81691963760442432</v>
      </c>
      <c r="Q289">
        <f t="shared" si="965"/>
        <v>75076415.311867312</v>
      </c>
      <c r="R289">
        <f t="shared" si="966"/>
        <v>1106514824.8260751</v>
      </c>
      <c r="S289">
        <f t="shared" si="967"/>
        <v>11065.148248260752</v>
      </c>
      <c r="T289">
        <f t="shared" si="968"/>
        <v>11.065148248260751</v>
      </c>
    </row>
    <row r="290" spans="1:20" x14ac:dyDescent="0.25">
      <c r="A290" s="5">
        <v>44303</v>
      </c>
      <c r="B290">
        <v>2.5072999999999999</v>
      </c>
      <c r="C290">
        <v>2.6124000000000001</v>
      </c>
      <c r="D290">
        <v>2.3144</v>
      </c>
      <c r="E290">
        <v>2.3273999999999999</v>
      </c>
      <c r="F290">
        <v>38074947.030000001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-0.91275167785234967</v>
      </c>
      <c r="Q290">
        <f t="shared" si="965"/>
        <v>-34752971.785771839</v>
      </c>
      <c r="R290">
        <f t="shared" si="966"/>
        <v>1031438409.5142077</v>
      </c>
      <c r="S290">
        <f t="shared" si="967"/>
        <v>10314.384095142077</v>
      </c>
      <c r="T290">
        <f t="shared" si="968"/>
        <v>10.314384095142078</v>
      </c>
    </row>
    <row r="291" spans="1:20" x14ac:dyDescent="0.25">
      <c r="A291" s="5">
        <v>44302</v>
      </c>
      <c r="B291">
        <v>2.1823999999999999</v>
      </c>
      <c r="C291">
        <v>2.6772999999999998</v>
      </c>
      <c r="D291">
        <v>2.1549999999999998</v>
      </c>
      <c r="E291">
        <v>2.5089999999999999</v>
      </c>
      <c r="F291">
        <v>66162646.130000003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0.35554279149913881</v>
      </c>
      <c r="Q291">
        <f t="shared" si="965"/>
        <v>23523651.898029894</v>
      </c>
      <c r="R291">
        <f t="shared" si="966"/>
        <v>1066191381.2999796</v>
      </c>
      <c r="S291">
        <f t="shared" si="967"/>
        <v>10661.913812999795</v>
      </c>
      <c r="T291">
        <f t="shared" si="968"/>
        <v>10.661913812999796</v>
      </c>
    </row>
    <row r="292" spans="1:20" x14ac:dyDescent="0.25">
      <c r="A292" s="5">
        <v>44301</v>
      </c>
      <c r="B292">
        <v>2.1198999999999999</v>
      </c>
      <c r="C292">
        <v>2.2195</v>
      </c>
      <c r="D292">
        <v>2.0609999999999999</v>
      </c>
      <c r="E292">
        <v>2.1812999999999998</v>
      </c>
      <c r="F292">
        <v>17928171.84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0.51798107255520232</v>
      </c>
      <c r="Q292">
        <f t="shared" si="965"/>
        <v>9286453.6786371749</v>
      </c>
      <c r="R292">
        <f t="shared" si="966"/>
        <v>1042667729.4019496</v>
      </c>
      <c r="S292">
        <f t="shared" si="967"/>
        <v>10426.677294019497</v>
      </c>
      <c r="T292">
        <f t="shared" si="968"/>
        <v>10.426677294019497</v>
      </c>
    </row>
    <row r="293" spans="1:20" x14ac:dyDescent="0.25">
      <c r="A293" s="5">
        <v>44300</v>
      </c>
      <c r="B293">
        <v>2.1724999999999999</v>
      </c>
      <c r="C293">
        <v>2.25</v>
      </c>
      <c r="D293">
        <v>1.9750000000000001</v>
      </c>
      <c r="E293">
        <v>2.1198999999999999</v>
      </c>
      <c r="F293">
        <v>32522648.52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5.3818181818180752E-2</v>
      </c>
      <c r="Q293">
        <f t="shared" si="965"/>
        <v>1750309.811258147</v>
      </c>
      <c r="R293">
        <f t="shared" si="966"/>
        <v>1033381275.7233125</v>
      </c>
      <c r="S293">
        <f t="shared" si="967"/>
        <v>10333.812757233125</v>
      </c>
      <c r="T293">
        <f t="shared" si="968"/>
        <v>10.333812757233124</v>
      </c>
    </row>
    <row r="294" spans="1:20" x14ac:dyDescent="0.25">
      <c r="A294" s="5">
        <v>44299</v>
      </c>
      <c r="B294">
        <v>1.9984999999999999</v>
      </c>
      <c r="C294">
        <v>2.2081</v>
      </c>
      <c r="D294">
        <v>1.9440999999999999</v>
      </c>
      <c r="E294">
        <v>2.1741999999999999</v>
      </c>
      <c r="F294">
        <v>31659267.440000001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0.74318181818181783</v>
      </c>
      <c r="Q294">
        <f t="shared" si="965"/>
        <v>23528591.938363627</v>
      </c>
      <c r="R294">
        <f t="shared" si="966"/>
        <v>1031630965.9120543</v>
      </c>
      <c r="S294">
        <f t="shared" si="967"/>
        <v>10316.309659120543</v>
      </c>
      <c r="T294">
        <f t="shared" si="968"/>
        <v>10.316309659120543</v>
      </c>
    </row>
    <row r="295" spans="1:20" x14ac:dyDescent="0.25">
      <c r="A295" s="5">
        <v>44298</v>
      </c>
      <c r="B295">
        <v>2.0966</v>
      </c>
      <c r="C295">
        <v>2.1048</v>
      </c>
      <c r="D295">
        <v>1.9582999999999999</v>
      </c>
      <c r="E295">
        <v>2.0001000000000002</v>
      </c>
      <c r="F295">
        <v>19335870.239999998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-0.42935153583617391</v>
      </c>
      <c r="Q295">
        <f t="shared" si="965"/>
        <v>-8301885.5842729677</v>
      </c>
      <c r="R295">
        <f t="shared" si="966"/>
        <v>1008102373.9736906</v>
      </c>
      <c r="S295">
        <f t="shared" si="967"/>
        <v>10081.023739736906</v>
      </c>
      <c r="T295">
        <f t="shared" si="968"/>
        <v>10.081023739736905</v>
      </c>
    </row>
    <row r="296" spans="1:20" x14ac:dyDescent="0.25">
      <c r="A296" s="5">
        <v>44297</v>
      </c>
      <c r="B296">
        <v>2.08</v>
      </c>
      <c r="C296">
        <v>2.1488999999999998</v>
      </c>
      <c r="D296">
        <v>1.9901</v>
      </c>
      <c r="E296">
        <v>2.0996000000000001</v>
      </c>
      <c r="F296">
        <v>27511466.010000002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0.3790931989924467</v>
      </c>
      <c r="Q296">
        <f t="shared" si="965"/>
        <v>10429409.658702863</v>
      </c>
      <c r="R296">
        <f t="shared" si="966"/>
        <v>1016404259.5579636</v>
      </c>
      <c r="S296">
        <f t="shared" si="967"/>
        <v>10164.042595579636</v>
      </c>
      <c r="T296">
        <f t="shared" si="968"/>
        <v>10.164042595579636</v>
      </c>
    </row>
    <row r="297" spans="1:20" x14ac:dyDescent="0.25">
      <c r="A297" s="5">
        <v>44296</v>
      </c>
      <c r="B297">
        <v>1.865</v>
      </c>
      <c r="C297">
        <v>2.1139000000000001</v>
      </c>
      <c r="D297">
        <v>1.8540000000000001</v>
      </c>
      <c r="E297">
        <v>2.08</v>
      </c>
      <c r="F297">
        <v>40506319.789999999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0.73913043478260843</v>
      </c>
      <c r="Q297">
        <f t="shared" si="965"/>
        <v>29939453.757826075</v>
      </c>
      <c r="R297">
        <f t="shared" si="966"/>
        <v>1005974849.8992608</v>
      </c>
      <c r="S297">
        <f t="shared" si="967"/>
        <v>10059.748498992607</v>
      </c>
      <c r="T297">
        <f t="shared" si="968"/>
        <v>10.059748498992606</v>
      </c>
    </row>
    <row r="298" spans="1:20" x14ac:dyDescent="0.25">
      <c r="A298" s="5">
        <v>44295</v>
      </c>
      <c r="B298">
        <v>1.8808</v>
      </c>
      <c r="C298">
        <v>2.0038</v>
      </c>
      <c r="D298">
        <v>1.8575999999999999</v>
      </c>
      <c r="E298">
        <v>1.8672</v>
      </c>
      <c r="F298">
        <v>31738742.539999999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-0.86867305061559441</v>
      </c>
      <c r="Q298">
        <f t="shared" si="965"/>
        <v>-27570590.304924738</v>
      </c>
      <c r="R298">
        <f t="shared" si="966"/>
        <v>976035396.14143467</v>
      </c>
      <c r="S298">
        <f t="shared" si="967"/>
        <v>9760.3539614143465</v>
      </c>
      <c r="T298">
        <f t="shared" si="968"/>
        <v>9.7603539614143457</v>
      </c>
    </row>
    <row r="299" spans="1:20" x14ac:dyDescent="0.25">
      <c r="A299" s="5">
        <v>44294</v>
      </c>
      <c r="B299">
        <v>1.6589</v>
      </c>
      <c r="C299">
        <v>1.94</v>
      </c>
      <c r="D299">
        <v>1.6400999999999999</v>
      </c>
      <c r="E299">
        <v>1.8809</v>
      </c>
      <c r="F299">
        <v>46192188.280000001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0.605868622874292</v>
      </c>
      <c r="Q299">
        <f t="shared" si="965"/>
        <v>27986397.500753611</v>
      </c>
      <c r="R299">
        <f t="shared" si="966"/>
        <v>1003605986.4463594</v>
      </c>
      <c r="S299">
        <f t="shared" si="967"/>
        <v>10036.059864463594</v>
      </c>
      <c r="T299">
        <f t="shared" si="968"/>
        <v>10.036059864463594</v>
      </c>
    </row>
    <row r="300" spans="1:20" x14ac:dyDescent="0.25">
      <c r="A300" s="5">
        <v>44293</v>
      </c>
      <c r="B300">
        <v>1.8031999999999999</v>
      </c>
      <c r="C300">
        <v>1.82</v>
      </c>
      <c r="D300">
        <v>1.56</v>
      </c>
      <c r="E300">
        <v>1.6591</v>
      </c>
      <c r="F300">
        <v>30645209.420000002</v>
      </c>
      <c r="G300">
        <v>0</v>
      </c>
      <c r="L300" t="s">
        <v>7</v>
      </c>
      <c r="M300" t="s">
        <v>8</v>
      </c>
      <c r="N300" t="s">
        <v>8</v>
      </c>
      <c r="P300">
        <f t="shared" si="964"/>
        <v>-0.23769230769230798</v>
      </c>
      <c r="Q300">
        <f t="shared" si="965"/>
        <v>-7284130.5467538554</v>
      </c>
      <c r="R300">
        <f t="shared" si="966"/>
        <v>975619588.94560575</v>
      </c>
      <c r="S300">
        <f t="shared" si="967"/>
        <v>9756.1958894560576</v>
      </c>
      <c r="T300">
        <f t="shared" si="968"/>
        <v>9.7561958894560572</v>
      </c>
    </row>
    <row r="301" spans="1:20" x14ac:dyDescent="0.25">
      <c r="A301" s="5">
        <v>44292</v>
      </c>
      <c r="B301">
        <v>1.7201</v>
      </c>
      <c r="C301">
        <v>1.8572</v>
      </c>
      <c r="D301">
        <v>1.66</v>
      </c>
      <c r="E301">
        <v>1.8031999999999999</v>
      </c>
      <c r="F301">
        <v>34671717.560000002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0.45233265720081101</v>
      </c>
      <c r="Q301">
        <f t="shared" si="965"/>
        <v>15683150.13363082</v>
      </c>
      <c r="R301">
        <f t="shared" si="966"/>
        <v>982903719.49235964</v>
      </c>
      <c r="S301">
        <f t="shared" si="967"/>
        <v>9829.037194923596</v>
      </c>
      <c r="T301">
        <f t="shared" si="968"/>
        <v>9.8290371949235968</v>
      </c>
    </row>
    <row r="302" spans="1:20" x14ac:dyDescent="0.25">
      <c r="A302" s="5">
        <v>44291</v>
      </c>
      <c r="B302">
        <v>1.5522</v>
      </c>
      <c r="C302">
        <v>1.78</v>
      </c>
      <c r="D302">
        <v>1.5135000000000001</v>
      </c>
      <c r="E302">
        <v>1.7195</v>
      </c>
      <c r="F302">
        <v>40002314.560000002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0.54596622889305813</v>
      </c>
      <c r="Q302">
        <f t="shared" si="965"/>
        <v>21839912.827317074</v>
      </c>
      <c r="R302">
        <f t="shared" si="966"/>
        <v>967220569.35872877</v>
      </c>
      <c r="S302">
        <f t="shared" si="967"/>
        <v>9672.2056935872879</v>
      </c>
      <c r="T302">
        <f t="shared" si="968"/>
        <v>9.6722056935872871</v>
      </c>
    </row>
    <row r="303" spans="1:20" x14ac:dyDescent="0.25">
      <c r="A303" s="5">
        <v>44290</v>
      </c>
      <c r="B303">
        <v>1.4779</v>
      </c>
      <c r="C303">
        <v>1.5672999999999999</v>
      </c>
      <c r="D303">
        <v>1.45</v>
      </c>
      <c r="E303">
        <v>1.5535000000000001</v>
      </c>
      <c r="F303">
        <v>13498186.710000001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0.76470588235294434</v>
      </c>
      <c r="Q303">
        <f t="shared" si="965"/>
        <v>10322142.778235337</v>
      </c>
      <c r="R303">
        <f t="shared" si="966"/>
        <v>945380656.53141165</v>
      </c>
      <c r="S303">
        <f t="shared" si="967"/>
        <v>9453.8065653141166</v>
      </c>
      <c r="T303">
        <f t="shared" si="968"/>
        <v>9.4538065653141174</v>
      </c>
    </row>
    <row r="304" spans="1:20" x14ac:dyDescent="0.25">
      <c r="A304" s="5">
        <v>44289</v>
      </c>
      <c r="B304">
        <v>1.6251</v>
      </c>
      <c r="C304">
        <v>1.6384000000000001</v>
      </c>
      <c r="D304">
        <v>1.4728000000000001</v>
      </c>
      <c r="E304">
        <v>1.4801</v>
      </c>
      <c r="F304">
        <v>20015928.449999999</v>
      </c>
      <c r="G304">
        <v>0</v>
      </c>
      <c r="L304" t="s">
        <v>7</v>
      </c>
      <c r="M304" t="s">
        <v>8</v>
      </c>
      <c r="N304" t="s">
        <v>7</v>
      </c>
      <c r="P304">
        <f t="shared" si="964"/>
        <v>-0.91183574879227214</v>
      </c>
      <c r="Q304">
        <f t="shared" si="965"/>
        <v>-18251239.105978291</v>
      </c>
      <c r="R304">
        <f t="shared" si="966"/>
        <v>935058513.75317633</v>
      </c>
      <c r="S304">
        <f t="shared" si="967"/>
        <v>9350.5851375317634</v>
      </c>
      <c r="T304">
        <f t="shared" si="968"/>
        <v>9.3505851375317626</v>
      </c>
    </row>
    <row r="305" spans="1:20" x14ac:dyDescent="0.25">
      <c r="A305" s="5">
        <v>44288</v>
      </c>
      <c r="B305">
        <v>1.5788</v>
      </c>
      <c r="C305">
        <v>1.639</v>
      </c>
      <c r="D305">
        <v>1.5463</v>
      </c>
      <c r="E305">
        <v>1.625</v>
      </c>
      <c r="F305">
        <v>17560074.190000001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0.69795037756202782</v>
      </c>
      <c r="Q305">
        <f t="shared" si="965"/>
        <v>12256060.41092772</v>
      </c>
      <c r="R305">
        <f t="shared" si="966"/>
        <v>953309752.85915458</v>
      </c>
      <c r="S305">
        <f t="shared" si="967"/>
        <v>9533.0975285915465</v>
      </c>
      <c r="T305">
        <f t="shared" si="968"/>
        <v>9.5330975285915471</v>
      </c>
    </row>
    <row r="306" spans="1:20" x14ac:dyDescent="0.25">
      <c r="A306" s="5">
        <v>44287</v>
      </c>
      <c r="B306">
        <v>1.5381</v>
      </c>
      <c r="C306">
        <v>1.6466000000000001</v>
      </c>
      <c r="D306">
        <v>1.5246999999999999</v>
      </c>
      <c r="E306">
        <v>1.5777000000000001</v>
      </c>
      <c r="F306">
        <v>25199367.34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-0.1304347826086939</v>
      </c>
      <c r="Q306">
        <f t="shared" si="965"/>
        <v>-3286874.0008695209</v>
      </c>
      <c r="R306">
        <f t="shared" si="966"/>
        <v>941053692.44822681</v>
      </c>
      <c r="S306">
        <f t="shared" si="967"/>
        <v>9410.5369244822687</v>
      </c>
      <c r="T306">
        <f t="shared" si="968"/>
        <v>9.410536924482269</v>
      </c>
    </row>
    <row r="307" spans="1:20" x14ac:dyDescent="0.25">
      <c r="A307" s="5">
        <v>44286</v>
      </c>
      <c r="B307">
        <v>1.5266999999999999</v>
      </c>
      <c r="C307">
        <v>1.5601</v>
      </c>
      <c r="D307">
        <v>1.415</v>
      </c>
      <c r="E307">
        <v>1.5381</v>
      </c>
      <c r="F307">
        <v>20321934.629999999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0.69676085458304593</v>
      </c>
      <c r="Q307">
        <f t="shared" si="965"/>
        <v>14159528.539579595</v>
      </c>
      <c r="R307">
        <f t="shared" si="966"/>
        <v>944340566.44909632</v>
      </c>
      <c r="S307">
        <f t="shared" si="967"/>
        <v>9443.4056644909633</v>
      </c>
      <c r="T307">
        <f t="shared" si="968"/>
        <v>9.4434056644909639</v>
      </c>
    </row>
    <row r="308" spans="1:20" x14ac:dyDescent="0.25">
      <c r="A308" s="5">
        <v>44285</v>
      </c>
      <c r="B308">
        <v>1.5083</v>
      </c>
      <c r="C308">
        <v>1.5790999999999999</v>
      </c>
      <c r="D308">
        <v>1.4695</v>
      </c>
      <c r="E308">
        <v>1.5266</v>
      </c>
      <c r="F308">
        <v>22815301.149999999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4.1970802919707492E-2</v>
      </c>
      <c r="Q308">
        <f t="shared" si="965"/>
        <v>957576.50812042563</v>
      </c>
      <c r="R308">
        <f t="shared" si="966"/>
        <v>930181037.90951669</v>
      </c>
      <c r="S308">
        <f t="shared" si="967"/>
        <v>9301.8103790951664</v>
      </c>
      <c r="T308">
        <f t="shared" si="968"/>
        <v>9.3018103790951656</v>
      </c>
    </row>
    <row r="309" spans="1:20" x14ac:dyDescent="0.25">
      <c r="A309" s="5">
        <v>44284</v>
      </c>
      <c r="B309">
        <v>1.3905000000000001</v>
      </c>
      <c r="C309">
        <v>1.5114000000000001</v>
      </c>
      <c r="D309">
        <v>1.3656999999999999</v>
      </c>
      <c r="E309">
        <v>1.5106999999999999</v>
      </c>
      <c r="F309">
        <v>25958060.780000001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0.99039121482498083</v>
      </c>
      <c r="Q309">
        <f t="shared" si="965"/>
        <v>25708635.350404892</v>
      </c>
      <c r="R309">
        <f t="shared" si="966"/>
        <v>929223461.40139627</v>
      </c>
      <c r="S309">
        <f t="shared" si="967"/>
        <v>9292.2346140139634</v>
      </c>
      <c r="T309">
        <f t="shared" si="968"/>
        <v>9.2922346140139638</v>
      </c>
    </row>
    <row r="310" spans="1:20" x14ac:dyDescent="0.25">
      <c r="A310" s="5">
        <v>44283</v>
      </c>
      <c r="B310">
        <v>1.3976999999999999</v>
      </c>
      <c r="C310">
        <v>1.4484999999999999</v>
      </c>
      <c r="D310">
        <v>1.365</v>
      </c>
      <c r="E310">
        <v>1.3908</v>
      </c>
      <c r="F310">
        <v>15957700.65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-0.38203592814371079</v>
      </c>
      <c r="Q310">
        <f t="shared" si="965"/>
        <v>-6096414.9788622474</v>
      </c>
      <c r="R310">
        <f t="shared" si="966"/>
        <v>903514826.05099142</v>
      </c>
      <c r="S310">
        <f t="shared" si="967"/>
        <v>9035.1482605099136</v>
      </c>
      <c r="T310">
        <f t="shared" si="968"/>
        <v>9.0351482605099136</v>
      </c>
    </row>
    <row r="311" spans="1:20" x14ac:dyDescent="0.25">
      <c r="A311" s="5">
        <v>44282</v>
      </c>
      <c r="B311">
        <v>1.4474</v>
      </c>
      <c r="C311">
        <v>1.476</v>
      </c>
      <c r="D311">
        <v>1.3528</v>
      </c>
      <c r="E311">
        <v>1.3982000000000001</v>
      </c>
      <c r="F311">
        <v>21436542.760000002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-0.2629870129870111</v>
      </c>
      <c r="Q311">
        <f t="shared" si="965"/>
        <v>-5637532.3492207397</v>
      </c>
      <c r="R311">
        <f t="shared" si="966"/>
        <v>909611241.0298537</v>
      </c>
      <c r="S311">
        <f t="shared" si="967"/>
        <v>9096.1124102985377</v>
      </c>
      <c r="T311">
        <f t="shared" si="968"/>
        <v>9.096112410298538</v>
      </c>
    </row>
    <row r="312" spans="1:20" x14ac:dyDescent="0.25">
      <c r="A312" s="5">
        <v>44281</v>
      </c>
      <c r="B312">
        <v>1.3351999999999999</v>
      </c>
      <c r="C312">
        <v>1.5</v>
      </c>
      <c r="D312">
        <v>1.3343</v>
      </c>
      <c r="E312">
        <v>1.4470000000000001</v>
      </c>
      <c r="F312">
        <v>27555035.329999998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0.3602896801448407</v>
      </c>
      <c r="Q312">
        <f t="shared" si="965"/>
        <v>9927794.8654254843</v>
      </c>
      <c r="R312">
        <f t="shared" si="966"/>
        <v>915248773.37907445</v>
      </c>
      <c r="S312">
        <f t="shared" si="967"/>
        <v>9152.4877337907437</v>
      </c>
      <c r="T312">
        <f t="shared" si="968"/>
        <v>9.1524877337907444</v>
      </c>
    </row>
    <row r="313" spans="1:20" x14ac:dyDescent="0.25">
      <c r="A313" s="5">
        <v>44280</v>
      </c>
      <c r="B313">
        <v>1.4053</v>
      </c>
      <c r="C313">
        <v>1.4271</v>
      </c>
      <c r="D313">
        <v>1.288</v>
      </c>
      <c r="E313">
        <v>1.335</v>
      </c>
      <c r="F313">
        <v>36183924.649999999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-0.32422717469446544</v>
      </c>
      <c r="Q313">
        <f t="shared" si="965"/>
        <v>-11731811.658626923</v>
      </c>
      <c r="R313">
        <f t="shared" si="966"/>
        <v>905320978.51364899</v>
      </c>
      <c r="S313">
        <f t="shared" si="967"/>
        <v>9053.2097851364906</v>
      </c>
      <c r="T313">
        <f t="shared" si="968"/>
        <v>9.0532097851364899</v>
      </c>
    </row>
    <row r="314" spans="1:20" x14ac:dyDescent="0.25">
      <c r="A314" s="5">
        <v>44279</v>
      </c>
      <c r="B314">
        <v>1.6558999999999999</v>
      </c>
      <c r="C314">
        <v>1.7473000000000001</v>
      </c>
      <c r="D314">
        <v>1.3339000000000001</v>
      </c>
      <c r="E314">
        <v>1.4053</v>
      </c>
      <c r="F314">
        <v>50840495.799999997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-0.65457184325108897</v>
      </c>
      <c r="Q314">
        <f t="shared" si="965"/>
        <v>-33278757.047605246</v>
      </c>
      <c r="R314">
        <f t="shared" si="966"/>
        <v>917052790.1722759</v>
      </c>
      <c r="S314">
        <f t="shared" si="967"/>
        <v>9170.5279017227585</v>
      </c>
      <c r="T314">
        <f t="shared" si="968"/>
        <v>9.1705279017227586</v>
      </c>
    </row>
    <row r="315" spans="1:20" x14ac:dyDescent="0.25">
      <c r="A315" s="5">
        <v>44278</v>
      </c>
      <c r="B315">
        <v>1.4758</v>
      </c>
      <c r="C315">
        <v>1.7773000000000001</v>
      </c>
      <c r="D315">
        <v>1.4624999999999999</v>
      </c>
      <c r="E315">
        <v>1.6571</v>
      </c>
      <c r="F315">
        <v>105080035.26000001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0.23634053367217273</v>
      </c>
      <c r="Q315">
        <f t="shared" si="965"/>
        <v>24834671.611639127</v>
      </c>
      <c r="R315">
        <f t="shared" si="966"/>
        <v>950331547.21988118</v>
      </c>
      <c r="S315">
        <f t="shared" si="967"/>
        <v>9503.3154721988121</v>
      </c>
      <c r="T315">
        <f t="shared" si="968"/>
        <v>9.5033154721988122</v>
      </c>
    </row>
    <row r="316" spans="1:20" x14ac:dyDescent="0.25">
      <c r="A316" s="5">
        <v>44277</v>
      </c>
      <c r="B316">
        <v>1.4105000000000001</v>
      </c>
      <c r="C316">
        <v>1.5679000000000001</v>
      </c>
      <c r="D316">
        <v>1.3693</v>
      </c>
      <c r="E316">
        <v>1.4771000000000001</v>
      </c>
      <c r="F316">
        <v>48304170.539999999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8.5599194360524253E-2</v>
      </c>
      <c r="Q316">
        <f t="shared" si="965"/>
        <v>4134798.0824773698</v>
      </c>
      <c r="R316">
        <f t="shared" si="966"/>
        <v>925496875.60824203</v>
      </c>
      <c r="S316">
        <f t="shared" si="967"/>
        <v>9254.9687560824204</v>
      </c>
      <c r="T316">
        <f t="shared" si="968"/>
        <v>9.2549687560824196</v>
      </c>
    </row>
    <row r="317" spans="1:20" x14ac:dyDescent="0.25">
      <c r="A317" s="5">
        <v>44276</v>
      </c>
      <c r="B317">
        <v>1.4086000000000001</v>
      </c>
      <c r="C317">
        <v>1.4473</v>
      </c>
      <c r="D317">
        <v>1.3422000000000001</v>
      </c>
      <c r="E317">
        <v>1.4100999999999999</v>
      </c>
      <c r="F317">
        <v>20312857.52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0.29210275927687662</v>
      </c>
      <c r="Q317">
        <f t="shared" si="965"/>
        <v>5933441.7303900532</v>
      </c>
      <c r="R317">
        <f t="shared" si="966"/>
        <v>921362077.5257647</v>
      </c>
      <c r="S317">
        <f t="shared" si="967"/>
        <v>9213.6207752576465</v>
      </c>
      <c r="T317">
        <f t="shared" si="968"/>
        <v>9.2136207752576471</v>
      </c>
    </row>
    <row r="318" spans="1:20" x14ac:dyDescent="0.25">
      <c r="A318" s="5">
        <v>44275</v>
      </c>
      <c r="B318">
        <v>1.3340000000000001</v>
      </c>
      <c r="C318">
        <v>1.488</v>
      </c>
      <c r="D318">
        <v>1.325</v>
      </c>
      <c r="E318">
        <v>1.4101999999999999</v>
      </c>
      <c r="F318">
        <v>37080665.119999997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4.5398773006134048E-2</v>
      </c>
      <c r="Q318">
        <f t="shared" si="965"/>
        <v>1683416.6986993523</v>
      </c>
      <c r="R318">
        <f t="shared" si="966"/>
        <v>915428635.79537463</v>
      </c>
      <c r="S318">
        <f t="shared" si="967"/>
        <v>9154.2863579537461</v>
      </c>
      <c r="T318">
        <f t="shared" si="968"/>
        <v>9.1542863579537457</v>
      </c>
    </row>
    <row r="319" spans="1:20" x14ac:dyDescent="0.25">
      <c r="A319" s="5">
        <v>44274</v>
      </c>
      <c r="B319">
        <v>1.325</v>
      </c>
      <c r="C319">
        <v>1.36</v>
      </c>
      <c r="D319">
        <v>1.304</v>
      </c>
      <c r="E319">
        <v>1.3340000000000001</v>
      </c>
      <c r="F319">
        <v>13266334.41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7.1428571428571425E-2</v>
      </c>
      <c r="Q319">
        <f t="shared" si="965"/>
        <v>947595.31499999994</v>
      </c>
      <c r="R319">
        <f t="shared" si="966"/>
        <v>913745219.09667528</v>
      </c>
      <c r="S319">
        <f t="shared" si="967"/>
        <v>9137.4521909667528</v>
      </c>
      <c r="T319">
        <f t="shared" si="968"/>
        <v>9.1374521909667532</v>
      </c>
    </row>
    <row r="320" spans="1:20" x14ac:dyDescent="0.25">
      <c r="A320" s="5">
        <v>44273</v>
      </c>
      <c r="B320">
        <v>1.353</v>
      </c>
      <c r="C320">
        <v>1.3694</v>
      </c>
      <c r="D320">
        <v>1.31</v>
      </c>
      <c r="E320">
        <v>1.3245</v>
      </c>
      <c r="F320">
        <v>14866699.09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-0.51178451178451234</v>
      </c>
      <c r="Q320">
        <f t="shared" si="965"/>
        <v>-7608546.3356229039</v>
      </c>
      <c r="R320">
        <f t="shared" si="966"/>
        <v>912797623.78167522</v>
      </c>
      <c r="S320">
        <f t="shared" si="967"/>
        <v>9127.9762378167525</v>
      </c>
      <c r="T320">
        <f t="shared" si="968"/>
        <v>9.1279762378167533</v>
      </c>
    </row>
    <row r="321" spans="1:20" x14ac:dyDescent="0.25">
      <c r="A321" s="5">
        <v>44272</v>
      </c>
      <c r="B321">
        <v>1.3297000000000001</v>
      </c>
      <c r="C321">
        <v>1.3666</v>
      </c>
      <c r="D321">
        <v>1.2937000000000001</v>
      </c>
      <c r="E321">
        <v>1.3525</v>
      </c>
      <c r="F321">
        <v>17049611.52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0.61316872427983515</v>
      </c>
      <c r="Q321">
        <f t="shared" si="965"/>
        <v>10454288.54518518</v>
      </c>
      <c r="R321">
        <f t="shared" si="966"/>
        <v>920406170.11729813</v>
      </c>
      <c r="S321">
        <f t="shared" si="967"/>
        <v>9204.061701172981</v>
      </c>
      <c r="T321">
        <f t="shared" si="968"/>
        <v>9.2040617011729804</v>
      </c>
    </row>
    <row r="322" spans="1:20" x14ac:dyDescent="0.25">
      <c r="A322" s="5">
        <v>44271</v>
      </c>
      <c r="B322">
        <v>1.2805</v>
      </c>
      <c r="C322">
        <v>1.3938999999999999</v>
      </c>
      <c r="D322">
        <v>1.27</v>
      </c>
      <c r="E322">
        <v>1.3294999999999999</v>
      </c>
      <c r="F322">
        <v>24496334.34</v>
      </c>
      <c r="G322">
        <v>0</v>
      </c>
      <c r="L322" t="s">
        <v>8</v>
      </c>
      <c r="M322" t="s">
        <v>7</v>
      </c>
      <c r="N322" t="s">
        <v>8</v>
      </c>
      <c r="P322">
        <f t="shared" si="964"/>
        <v>-3.9548022598871108E-2</v>
      </c>
      <c r="Q322">
        <f t="shared" si="965"/>
        <v>-968781.58406782232</v>
      </c>
      <c r="R322">
        <f t="shared" si="966"/>
        <v>909951881.57211292</v>
      </c>
      <c r="S322">
        <f t="shared" si="967"/>
        <v>9099.5188157211287</v>
      </c>
      <c r="T322">
        <f t="shared" si="968"/>
        <v>9.0995188157211295</v>
      </c>
    </row>
    <row r="323" spans="1:20" x14ac:dyDescent="0.25">
      <c r="A323" s="5">
        <v>44270</v>
      </c>
      <c r="B323">
        <v>1.3109999999999999</v>
      </c>
      <c r="C323">
        <v>1.3622000000000001</v>
      </c>
      <c r="D323">
        <v>1.2151000000000001</v>
      </c>
      <c r="E323">
        <v>1.2802</v>
      </c>
      <c r="F323">
        <v>32766465.600000001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-0.1148878314072069</v>
      </c>
      <c r="Q323">
        <f t="shared" si="965"/>
        <v>-3764468.1756628449</v>
      </c>
      <c r="R323">
        <f t="shared" si="966"/>
        <v>910920663.15618074</v>
      </c>
      <c r="S323">
        <f t="shared" si="967"/>
        <v>9109.2066315618067</v>
      </c>
      <c r="T323">
        <f t="shared" si="968"/>
        <v>9.1092066315618059</v>
      </c>
    </row>
    <row r="324" spans="1:20" x14ac:dyDescent="0.25">
      <c r="A324" s="5">
        <v>44269</v>
      </c>
      <c r="B324">
        <v>1.3779999999999999</v>
      </c>
      <c r="C324">
        <v>1.391</v>
      </c>
      <c r="D324">
        <v>1.3087</v>
      </c>
      <c r="E324">
        <v>1.3109999999999999</v>
      </c>
      <c r="F324">
        <v>15116349.189999999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-0.94410692588092426</v>
      </c>
      <c r="Q324">
        <f t="shared" si="965"/>
        <v>-14271449.9643135</v>
      </c>
      <c r="R324">
        <f t="shared" si="966"/>
        <v>914685131.33184361</v>
      </c>
      <c r="S324">
        <f t="shared" si="967"/>
        <v>9146.851313318437</v>
      </c>
      <c r="T324">
        <f t="shared" si="968"/>
        <v>9.1468513133184377</v>
      </c>
    </row>
    <row r="325" spans="1:20" x14ac:dyDescent="0.25">
      <c r="A325" s="5">
        <v>44268</v>
      </c>
      <c r="B325">
        <v>1.3227</v>
      </c>
      <c r="C325">
        <v>1.4074</v>
      </c>
      <c r="D325">
        <v>1.2805</v>
      </c>
      <c r="E325">
        <v>1.3779999999999999</v>
      </c>
      <c r="F325">
        <v>20091625.48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0.53664302600472669</v>
      </c>
      <c r="Q325">
        <f t="shared" si="965"/>
        <v>10782030.694940869</v>
      </c>
      <c r="R325">
        <f t="shared" si="966"/>
        <v>928956581.29615712</v>
      </c>
      <c r="S325">
        <f t="shared" si="967"/>
        <v>9289.5658129615713</v>
      </c>
      <c r="T325">
        <f t="shared" si="968"/>
        <v>9.2895658129615715</v>
      </c>
    </row>
    <row r="326" spans="1:20" x14ac:dyDescent="0.25">
      <c r="A326" s="5">
        <v>44267</v>
      </c>
      <c r="B326">
        <v>1.3898999999999999</v>
      </c>
      <c r="C326">
        <v>1.4441999999999999</v>
      </c>
      <c r="D326">
        <v>1.2825</v>
      </c>
      <c r="E326">
        <v>1.321</v>
      </c>
      <c r="F326">
        <v>31385682.41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-0.52380952380952395</v>
      </c>
      <c r="Q326">
        <f t="shared" ref="Q326:Q389" si="970">F326*P326</f>
        <v>-16440119.357619053</v>
      </c>
      <c r="R326">
        <f t="shared" ref="R326:R389" si="971">R327+Q326</f>
        <v>918174550.6012162</v>
      </c>
      <c r="S326">
        <f t="shared" ref="S326:S389" si="972">R326/100000</f>
        <v>9181.7455060121629</v>
      </c>
      <c r="T326">
        <f t="shared" ref="T326:T389" si="973">S326/1000</f>
        <v>9.1817455060121631</v>
      </c>
    </row>
    <row r="327" spans="1:20" x14ac:dyDescent="0.25">
      <c r="A327" s="5">
        <v>44266</v>
      </c>
      <c r="B327">
        <v>1.3089999999999999</v>
      </c>
      <c r="C327">
        <v>1.5335000000000001</v>
      </c>
      <c r="D327">
        <v>1.2637</v>
      </c>
      <c r="E327">
        <v>1.39</v>
      </c>
      <c r="F327">
        <v>52783834.210000001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-6.3750926612306608E-2</v>
      </c>
      <c r="Q327">
        <f t="shared" si="970"/>
        <v>-3365018.341037869</v>
      </c>
      <c r="R327">
        <f t="shared" si="971"/>
        <v>934614669.95883524</v>
      </c>
      <c r="S327">
        <f t="shared" si="972"/>
        <v>9346.1466995883529</v>
      </c>
      <c r="T327">
        <f t="shared" si="973"/>
        <v>9.3461466995883526</v>
      </c>
    </row>
    <row r="328" spans="1:20" x14ac:dyDescent="0.25">
      <c r="A328" s="5">
        <v>44265</v>
      </c>
      <c r="B328">
        <v>1.4245000000000001</v>
      </c>
      <c r="C328">
        <v>1.4292</v>
      </c>
      <c r="D328">
        <v>1.2907</v>
      </c>
      <c r="E328">
        <v>1.3069999999999999</v>
      </c>
      <c r="F328">
        <v>26264496.149999999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-0.76462093862815927</v>
      </c>
      <c r="Q328">
        <f t="shared" si="970"/>
        <v>-20082383.698808674</v>
      </c>
      <c r="R328">
        <f t="shared" si="971"/>
        <v>937979688.29987311</v>
      </c>
      <c r="S328">
        <f t="shared" si="972"/>
        <v>9379.7968829987312</v>
      </c>
      <c r="T328">
        <f t="shared" si="973"/>
        <v>9.3797968829987308</v>
      </c>
    </row>
    <row r="329" spans="1:20" x14ac:dyDescent="0.25">
      <c r="A329" s="5">
        <v>44264</v>
      </c>
      <c r="B329">
        <v>1.3019000000000001</v>
      </c>
      <c r="C329">
        <v>1.4261999999999999</v>
      </c>
      <c r="D329">
        <v>1.29</v>
      </c>
      <c r="E329">
        <v>1.4244000000000001</v>
      </c>
      <c r="F329">
        <v>28832802.41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0.97356828193832889</v>
      </c>
      <c r="Q329">
        <f t="shared" si="970"/>
        <v>28070701.90577101</v>
      </c>
      <c r="R329">
        <f t="shared" si="971"/>
        <v>958062071.99868178</v>
      </c>
      <c r="S329">
        <f t="shared" si="972"/>
        <v>9580.6207199868186</v>
      </c>
      <c r="T329">
        <f t="shared" si="973"/>
        <v>9.5806207199868183</v>
      </c>
    </row>
    <row r="330" spans="1:20" x14ac:dyDescent="0.25">
      <c r="A330" s="5">
        <v>44263</v>
      </c>
      <c r="B330">
        <v>1.3111999999999999</v>
      </c>
      <c r="C330">
        <v>1.3447</v>
      </c>
      <c r="D330">
        <v>1.284</v>
      </c>
      <c r="E330">
        <v>1.3015000000000001</v>
      </c>
      <c r="F330">
        <v>21587965.32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-0.42339373970345706</v>
      </c>
      <c r="Q330">
        <f t="shared" si="970"/>
        <v>-9140209.3694233391</v>
      </c>
      <c r="R330">
        <f t="shared" si="971"/>
        <v>929991370.09291077</v>
      </c>
      <c r="S330">
        <f t="shared" si="972"/>
        <v>9299.913700929108</v>
      </c>
      <c r="T330">
        <f t="shared" si="973"/>
        <v>9.2999137009291086</v>
      </c>
    </row>
    <row r="331" spans="1:20" x14ac:dyDescent="0.25">
      <c r="A331" s="5">
        <v>44262</v>
      </c>
      <c r="B331">
        <v>1.2807999999999999</v>
      </c>
      <c r="C331">
        <v>1.3512</v>
      </c>
      <c r="D331">
        <v>1.2659</v>
      </c>
      <c r="E331">
        <v>1.3111999999999999</v>
      </c>
      <c r="F331">
        <v>24228588.719999999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6.2133645955449762E-2</v>
      </c>
      <c r="Q331">
        <f t="shared" si="970"/>
        <v>1505410.5535286837</v>
      </c>
      <c r="R331">
        <f t="shared" si="971"/>
        <v>939131579.46233416</v>
      </c>
      <c r="S331">
        <f t="shared" si="972"/>
        <v>9391.3157946233423</v>
      </c>
      <c r="T331">
        <f t="shared" si="973"/>
        <v>9.3913157946233419</v>
      </c>
    </row>
    <row r="332" spans="1:20" x14ac:dyDescent="0.25">
      <c r="A332" s="5">
        <v>44261</v>
      </c>
      <c r="B332">
        <v>1.3295999999999999</v>
      </c>
      <c r="C332">
        <v>1.3549</v>
      </c>
      <c r="D332">
        <v>1.2762</v>
      </c>
      <c r="E332">
        <v>1.2805</v>
      </c>
      <c r="F332">
        <v>28589967.579999998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-0.89072426937738325</v>
      </c>
      <c r="Q332">
        <f t="shared" si="970"/>
        <v>-25465777.984218571</v>
      </c>
      <c r="R332">
        <f t="shared" si="971"/>
        <v>937626168.90880549</v>
      </c>
      <c r="S332">
        <f t="shared" si="972"/>
        <v>9376.2616890880545</v>
      </c>
      <c r="T332">
        <f t="shared" si="973"/>
        <v>9.3762616890880537</v>
      </c>
    </row>
    <row r="333" spans="1:20" x14ac:dyDescent="0.25">
      <c r="A333" s="5">
        <v>44260</v>
      </c>
      <c r="B333">
        <v>1.2716000000000001</v>
      </c>
      <c r="C333">
        <v>1.4645999999999999</v>
      </c>
      <c r="D333">
        <v>1.1988000000000001</v>
      </c>
      <c r="E333">
        <v>1.3285</v>
      </c>
      <c r="F333">
        <v>90343759.819999993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-2.4078254326561195E-2</v>
      </c>
      <c r="Q333">
        <f t="shared" si="970"/>
        <v>-2175320.0257637203</v>
      </c>
      <c r="R333">
        <f t="shared" si="971"/>
        <v>963091946.89302409</v>
      </c>
      <c r="S333">
        <f t="shared" si="972"/>
        <v>9630.9194689302403</v>
      </c>
      <c r="T333">
        <f t="shared" si="973"/>
        <v>9.6309194689302409</v>
      </c>
    </row>
    <row r="334" spans="1:20" x14ac:dyDescent="0.25">
      <c r="A334" s="5">
        <v>44259</v>
      </c>
      <c r="B334">
        <v>1.2166999999999999</v>
      </c>
      <c r="C334">
        <v>1.3198000000000001</v>
      </c>
      <c r="D334">
        <v>1.17</v>
      </c>
      <c r="E334">
        <v>1.2712000000000001</v>
      </c>
      <c r="F334">
        <v>51882954.280000001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0.35113484646195026</v>
      </c>
      <c r="Q334">
        <f t="shared" si="970"/>
        <v>18217913.185100187</v>
      </c>
      <c r="R334">
        <f t="shared" si="971"/>
        <v>965267266.91878784</v>
      </c>
      <c r="S334">
        <f t="shared" si="972"/>
        <v>9652.6726691878775</v>
      </c>
      <c r="T334">
        <f t="shared" si="973"/>
        <v>9.6526726691878775</v>
      </c>
    </row>
    <row r="335" spans="1:20" x14ac:dyDescent="0.25">
      <c r="A335" s="5">
        <v>44258</v>
      </c>
      <c r="B335">
        <v>1.1845000000000001</v>
      </c>
      <c r="C335">
        <v>1.2645</v>
      </c>
      <c r="D335">
        <v>1.1745000000000001</v>
      </c>
      <c r="E335">
        <v>1.2171000000000001</v>
      </c>
      <c r="F335">
        <v>27260732.789999999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-5.3333333333332476E-2</v>
      </c>
      <c r="Q335">
        <f t="shared" si="970"/>
        <v>-1453905.7487999767</v>
      </c>
      <c r="R335">
        <f t="shared" si="971"/>
        <v>947049353.73368764</v>
      </c>
      <c r="S335">
        <f t="shared" si="972"/>
        <v>9470.4935373368771</v>
      </c>
      <c r="T335">
        <f t="shared" si="973"/>
        <v>9.4704935373368766</v>
      </c>
    </row>
    <row r="336" spans="1:20" x14ac:dyDescent="0.25">
      <c r="A336" s="5">
        <v>44257</v>
      </c>
      <c r="B336">
        <v>1.2137</v>
      </c>
      <c r="C336">
        <v>1.2324999999999999</v>
      </c>
      <c r="D336">
        <v>1.1266</v>
      </c>
      <c r="E336">
        <v>1.1847000000000001</v>
      </c>
      <c r="F336">
        <v>26467404.530000001</v>
      </c>
      <c r="G336">
        <v>0</v>
      </c>
      <c r="L336" t="s">
        <v>7</v>
      </c>
      <c r="M336" t="s">
        <v>8</v>
      </c>
      <c r="N336" t="s">
        <v>8</v>
      </c>
      <c r="P336">
        <f t="shared" si="969"/>
        <v>9.7261567516526995E-2</v>
      </c>
      <c r="Q336">
        <f t="shared" si="970"/>
        <v>2574261.2526818276</v>
      </c>
      <c r="R336">
        <f t="shared" si="971"/>
        <v>948503259.48248756</v>
      </c>
      <c r="S336">
        <f t="shared" si="972"/>
        <v>9485.0325948248756</v>
      </c>
      <c r="T336">
        <f t="shared" si="973"/>
        <v>9.4850325948248759</v>
      </c>
    </row>
    <row r="337" spans="1:20" x14ac:dyDescent="0.25">
      <c r="A337" s="5">
        <v>44256</v>
      </c>
      <c r="B337">
        <v>1.1237999999999999</v>
      </c>
      <c r="C337">
        <v>1.2495000000000001</v>
      </c>
      <c r="D337">
        <v>1.1173999999999999</v>
      </c>
      <c r="E337">
        <v>1.2143999999999999</v>
      </c>
      <c r="F337">
        <v>23464521.390000001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0.46858440575321569</v>
      </c>
      <c r="Q337">
        <f t="shared" si="970"/>
        <v>10995108.811816769</v>
      </c>
      <c r="R337">
        <f t="shared" si="971"/>
        <v>945928998.22980571</v>
      </c>
      <c r="S337">
        <f t="shared" si="972"/>
        <v>9459.2899822980562</v>
      </c>
      <c r="T337">
        <f t="shared" si="973"/>
        <v>9.4592899822980563</v>
      </c>
    </row>
    <row r="338" spans="1:20" x14ac:dyDescent="0.25">
      <c r="A338" s="5">
        <v>44255</v>
      </c>
      <c r="B338">
        <v>1.1488</v>
      </c>
      <c r="C338">
        <v>1.175</v>
      </c>
      <c r="D338">
        <v>1.0261</v>
      </c>
      <c r="E338">
        <v>1.1247</v>
      </c>
      <c r="F338">
        <v>25938651.390000001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0.32437877770315648</v>
      </c>
      <c r="Q338">
        <f t="shared" si="970"/>
        <v>8413948.0331564806</v>
      </c>
      <c r="R338">
        <f t="shared" si="971"/>
        <v>934933889.4179889</v>
      </c>
      <c r="S338">
        <f t="shared" si="972"/>
        <v>9349.3388941798894</v>
      </c>
      <c r="T338">
        <f t="shared" si="973"/>
        <v>9.3493388941798887</v>
      </c>
    </row>
    <row r="339" spans="1:20" x14ac:dyDescent="0.25">
      <c r="A339" s="5">
        <v>44254</v>
      </c>
      <c r="B339">
        <v>1.1183000000000001</v>
      </c>
      <c r="C339">
        <v>1.24</v>
      </c>
      <c r="D339">
        <v>1.1154999999999999</v>
      </c>
      <c r="E339">
        <v>1.1489</v>
      </c>
      <c r="F339">
        <v>30544850.469999999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-0.46345381526104285</v>
      </c>
      <c r="Q339">
        <f t="shared" si="970"/>
        <v>-14156127.486899557</v>
      </c>
      <c r="R339">
        <f t="shared" si="971"/>
        <v>926519941.38483238</v>
      </c>
      <c r="S339">
        <f t="shared" si="972"/>
        <v>9265.1994138483242</v>
      </c>
      <c r="T339">
        <f t="shared" si="973"/>
        <v>9.2651994138483236</v>
      </c>
    </row>
    <row r="340" spans="1:20" x14ac:dyDescent="0.25">
      <c r="A340" s="5">
        <v>44253</v>
      </c>
      <c r="B340">
        <v>1.1000000000000001</v>
      </c>
      <c r="C340">
        <v>1.1778999999999999</v>
      </c>
      <c r="D340">
        <v>1.02</v>
      </c>
      <c r="E340">
        <v>1.1195999999999999</v>
      </c>
      <c r="F340">
        <v>34865888.130000003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0.26155794806839716</v>
      </c>
      <c r="Q340">
        <f t="shared" si="970"/>
        <v>9119450.1568650864</v>
      </c>
      <c r="R340">
        <f t="shared" si="971"/>
        <v>940676068.871732</v>
      </c>
      <c r="S340">
        <f t="shared" si="972"/>
        <v>9406.7606887173206</v>
      </c>
      <c r="T340">
        <f t="shared" si="973"/>
        <v>9.4067606887173199</v>
      </c>
    </row>
    <row r="341" spans="1:20" x14ac:dyDescent="0.25">
      <c r="A341" s="5">
        <v>44252</v>
      </c>
      <c r="B341">
        <v>1.1979</v>
      </c>
      <c r="C341">
        <v>1.2877000000000001</v>
      </c>
      <c r="D341">
        <v>1.0849</v>
      </c>
      <c r="E341">
        <v>1.0979000000000001</v>
      </c>
      <c r="F341">
        <v>40032654.079999998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-0.8717948717948707</v>
      </c>
      <c r="Q341">
        <f t="shared" si="970"/>
        <v>-34900262.531282008</v>
      </c>
      <c r="R341">
        <f t="shared" si="971"/>
        <v>931556618.71486688</v>
      </c>
      <c r="S341">
        <f t="shared" si="972"/>
        <v>9315.5661871486682</v>
      </c>
      <c r="T341">
        <f t="shared" si="973"/>
        <v>9.3155661871486686</v>
      </c>
    </row>
    <row r="342" spans="1:20" x14ac:dyDescent="0.25">
      <c r="A342" s="5">
        <v>44251</v>
      </c>
      <c r="B342">
        <v>1.0927</v>
      </c>
      <c r="C342">
        <v>1.3164</v>
      </c>
      <c r="D342">
        <v>1.0284</v>
      </c>
      <c r="E342">
        <v>1.1956</v>
      </c>
      <c r="F342">
        <v>61298786.009999998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0.16111111111111109</v>
      </c>
      <c r="Q342">
        <f t="shared" si="970"/>
        <v>9875915.5238333326</v>
      </c>
      <c r="R342">
        <f t="shared" si="971"/>
        <v>966456881.24614882</v>
      </c>
      <c r="S342">
        <f t="shared" si="972"/>
        <v>9664.5688124614881</v>
      </c>
      <c r="T342">
        <f t="shared" si="973"/>
        <v>9.6645688124614875</v>
      </c>
    </row>
    <row r="343" spans="1:20" x14ac:dyDescent="0.25">
      <c r="A343" s="5">
        <v>44250</v>
      </c>
      <c r="B343">
        <v>1.3118000000000001</v>
      </c>
      <c r="C343">
        <v>1.3198000000000001</v>
      </c>
      <c r="D343">
        <v>0.88570000000000004</v>
      </c>
      <c r="E343">
        <v>1.0921000000000001</v>
      </c>
      <c r="F343">
        <v>95293010.019999996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-4.9067035245335136E-2</v>
      </c>
      <c r="Q343">
        <f t="shared" si="970"/>
        <v>-4675745.4812854137</v>
      </c>
      <c r="R343">
        <f t="shared" si="971"/>
        <v>956580965.72231555</v>
      </c>
      <c r="S343">
        <f t="shared" si="972"/>
        <v>9565.8096572231552</v>
      </c>
      <c r="T343">
        <f t="shared" si="973"/>
        <v>9.5658096572231557</v>
      </c>
    </row>
    <row r="344" spans="1:20" x14ac:dyDescent="0.25">
      <c r="A344" s="5">
        <v>44249</v>
      </c>
      <c r="B344">
        <v>1.4085000000000001</v>
      </c>
      <c r="C344">
        <v>1.419</v>
      </c>
      <c r="D344">
        <v>1</v>
      </c>
      <c r="E344">
        <v>1.3115000000000001</v>
      </c>
      <c r="F344">
        <v>70604878.840000004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0.48687350835322235</v>
      </c>
      <c r="Q344">
        <f t="shared" si="970"/>
        <v>34375645.067684993</v>
      </c>
      <c r="R344">
        <f t="shared" si="971"/>
        <v>961256711.203601</v>
      </c>
      <c r="S344">
        <f t="shared" si="972"/>
        <v>9612.5671120360093</v>
      </c>
      <c r="T344">
        <f t="shared" si="973"/>
        <v>9.6125671120360092</v>
      </c>
    </row>
    <row r="345" spans="1:20" x14ac:dyDescent="0.25">
      <c r="A345" s="5">
        <v>44248</v>
      </c>
      <c r="B345">
        <v>1.3788</v>
      </c>
      <c r="C345">
        <v>1.4650000000000001</v>
      </c>
      <c r="D345">
        <v>1.3234999999999999</v>
      </c>
      <c r="E345">
        <v>1.409</v>
      </c>
      <c r="F345">
        <v>30796087.140000001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0.20848056537102505</v>
      </c>
      <c r="Q345">
        <f t="shared" si="970"/>
        <v>6420385.6581625538</v>
      </c>
      <c r="R345">
        <f t="shared" si="971"/>
        <v>926881066.13591599</v>
      </c>
      <c r="S345">
        <f t="shared" si="972"/>
        <v>9268.8106613591608</v>
      </c>
      <c r="T345">
        <f t="shared" si="973"/>
        <v>9.2688106613591614</v>
      </c>
    </row>
    <row r="346" spans="1:20" x14ac:dyDescent="0.25">
      <c r="A346" s="5">
        <v>44247</v>
      </c>
      <c r="B346">
        <v>1.4872000000000001</v>
      </c>
      <c r="C346">
        <v>1.5589999999999999</v>
      </c>
      <c r="D346">
        <v>1.3</v>
      </c>
      <c r="E346">
        <v>1.3788</v>
      </c>
      <c r="F346">
        <v>49708777.899999999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-0.3915057915057914</v>
      </c>
      <c r="Q346">
        <f t="shared" si="970"/>
        <v>-19461274.436525092</v>
      </c>
      <c r="R346">
        <f t="shared" si="971"/>
        <v>920460680.4777534</v>
      </c>
      <c r="S346">
        <f t="shared" si="972"/>
        <v>9204.6068047775334</v>
      </c>
      <c r="T346">
        <f t="shared" si="973"/>
        <v>9.2046068047775336</v>
      </c>
    </row>
    <row r="347" spans="1:20" x14ac:dyDescent="0.25">
      <c r="A347" s="5">
        <v>44246</v>
      </c>
      <c r="B347">
        <v>1.4956</v>
      </c>
      <c r="C347">
        <v>1.5999000000000001</v>
      </c>
      <c r="D347">
        <v>1.405</v>
      </c>
      <c r="E347">
        <v>1.4871000000000001</v>
      </c>
      <c r="F347">
        <v>64367818.990000002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-0.15751667521806023</v>
      </c>
      <c r="Q347">
        <f t="shared" si="970"/>
        <v>-10139004.838342721</v>
      </c>
      <c r="R347">
        <f t="shared" si="971"/>
        <v>939921954.91427851</v>
      </c>
      <c r="S347">
        <f t="shared" si="972"/>
        <v>9399.2195491427847</v>
      </c>
      <c r="T347">
        <f t="shared" si="973"/>
        <v>9.399219549142785</v>
      </c>
    </row>
    <row r="348" spans="1:20" x14ac:dyDescent="0.25">
      <c r="A348" s="5">
        <v>44245</v>
      </c>
      <c r="B348">
        <v>1.3025</v>
      </c>
      <c r="C348">
        <v>1.5780000000000001</v>
      </c>
      <c r="D348">
        <v>1.282</v>
      </c>
      <c r="E348">
        <v>1.4956</v>
      </c>
      <c r="F348">
        <v>87524200.530000001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0.4432432432432431</v>
      </c>
      <c r="Q348">
        <f t="shared" si="970"/>
        <v>38794510.50518918</v>
      </c>
      <c r="R348">
        <f t="shared" si="971"/>
        <v>950060959.75262117</v>
      </c>
      <c r="S348">
        <f t="shared" si="972"/>
        <v>9500.6095975262124</v>
      </c>
      <c r="T348">
        <f t="shared" si="973"/>
        <v>9.5006095975262124</v>
      </c>
    </row>
    <row r="349" spans="1:20" x14ac:dyDescent="0.25">
      <c r="A349" s="5">
        <v>44244</v>
      </c>
      <c r="B349">
        <v>1.2546999999999999</v>
      </c>
      <c r="C349">
        <v>1.345</v>
      </c>
      <c r="D349">
        <v>1.1797</v>
      </c>
      <c r="E349">
        <v>1.3007</v>
      </c>
      <c r="F349">
        <v>51234312.82</v>
      </c>
      <c r="G349">
        <v>0</v>
      </c>
      <c r="L349" t="s">
        <v>7</v>
      </c>
      <c r="M349" t="s">
        <v>8</v>
      </c>
      <c r="N349" t="s">
        <v>8</v>
      </c>
      <c r="P349">
        <f t="shared" si="969"/>
        <v>0.46400483968542039</v>
      </c>
      <c r="Q349">
        <f t="shared" si="970"/>
        <v>23772969.106436778</v>
      </c>
      <c r="R349">
        <f t="shared" si="971"/>
        <v>911266449.24743199</v>
      </c>
      <c r="S349">
        <f t="shared" si="972"/>
        <v>9112.6644924743196</v>
      </c>
      <c r="T349">
        <f t="shared" si="973"/>
        <v>9.1126644924743196</v>
      </c>
    </row>
    <row r="350" spans="1:20" x14ac:dyDescent="0.25">
      <c r="A350" s="5">
        <v>44243</v>
      </c>
      <c r="B350">
        <v>1.2726</v>
      </c>
      <c r="C350">
        <v>1.3912</v>
      </c>
      <c r="D350">
        <v>1.2101</v>
      </c>
      <c r="E350">
        <v>1.2547999999999999</v>
      </c>
      <c r="F350">
        <v>66420475.509999998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-0.50635008282716787</v>
      </c>
      <c r="Q350">
        <f t="shared" si="970"/>
        <v>-33632013.275908373</v>
      </c>
      <c r="R350">
        <f t="shared" si="971"/>
        <v>887493480.14099526</v>
      </c>
      <c r="S350">
        <f t="shared" si="972"/>
        <v>8874.9348014099523</v>
      </c>
      <c r="T350">
        <f t="shared" si="973"/>
        <v>8.8749348014099532</v>
      </c>
    </row>
    <row r="351" spans="1:20" x14ac:dyDescent="0.25">
      <c r="A351" s="5">
        <v>44242</v>
      </c>
      <c r="B351">
        <v>1.1901999999999999</v>
      </c>
      <c r="C351">
        <v>1.3969</v>
      </c>
      <c r="D351">
        <v>0.93879999999999997</v>
      </c>
      <c r="E351">
        <v>1.2719</v>
      </c>
      <c r="F351">
        <v>128661190.98999999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0.45426762715564295</v>
      </c>
      <c r="Q351">
        <f t="shared" si="970"/>
        <v>58446613.938046284</v>
      </c>
      <c r="R351">
        <f t="shared" si="971"/>
        <v>921125493.41690361</v>
      </c>
      <c r="S351">
        <f t="shared" si="972"/>
        <v>9211.2549341690356</v>
      </c>
      <c r="T351">
        <f t="shared" si="973"/>
        <v>9.2112549341690357</v>
      </c>
    </row>
    <row r="352" spans="1:20" x14ac:dyDescent="0.25">
      <c r="A352" s="5">
        <v>44241</v>
      </c>
      <c r="B352">
        <v>1.3165</v>
      </c>
      <c r="C352">
        <v>1.329</v>
      </c>
      <c r="D352">
        <v>1.125</v>
      </c>
      <c r="E352">
        <v>1.1902999999999999</v>
      </c>
      <c r="F352">
        <v>49666757.299999997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-0.35980392156862817</v>
      </c>
      <c r="Q352">
        <f t="shared" si="970"/>
        <v>-17870294.048137289</v>
      </c>
      <c r="R352">
        <f t="shared" si="971"/>
        <v>862678879.47885728</v>
      </c>
      <c r="S352">
        <f t="shared" si="972"/>
        <v>8626.788794788572</v>
      </c>
      <c r="T352">
        <f t="shared" si="973"/>
        <v>8.6267887947885722</v>
      </c>
    </row>
    <row r="353" spans="1:20" x14ac:dyDescent="0.25">
      <c r="A353" s="5">
        <v>44240</v>
      </c>
      <c r="B353">
        <v>1.2358</v>
      </c>
      <c r="C353">
        <v>1.41</v>
      </c>
      <c r="D353">
        <v>1.1783999999999999</v>
      </c>
      <c r="E353">
        <v>1.3157000000000001</v>
      </c>
      <c r="F353">
        <v>72729135.310000002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0.18566493955095151</v>
      </c>
      <c r="Q353">
        <f t="shared" si="970"/>
        <v>13503250.510924123</v>
      </c>
      <c r="R353">
        <f t="shared" si="971"/>
        <v>880549173.52699459</v>
      </c>
      <c r="S353">
        <f t="shared" si="972"/>
        <v>8805.4917352699467</v>
      </c>
      <c r="T353">
        <f t="shared" si="973"/>
        <v>8.8054917352699462</v>
      </c>
    </row>
    <row r="354" spans="1:20" x14ac:dyDescent="0.25">
      <c r="A354" s="5">
        <v>44239</v>
      </c>
      <c r="B354">
        <v>1.1754</v>
      </c>
      <c r="C354">
        <v>1.2866</v>
      </c>
      <c r="D354">
        <v>1.0876999999999999</v>
      </c>
      <c r="E354">
        <v>1.2363</v>
      </c>
      <c r="F354">
        <v>76354413.159999996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0.49421820010055312</v>
      </c>
      <c r="Q354">
        <f t="shared" si="970"/>
        <v>37735740.641669184</v>
      </c>
      <c r="R354">
        <f t="shared" si="971"/>
        <v>867045923.01607049</v>
      </c>
      <c r="S354">
        <f t="shared" si="972"/>
        <v>8670.4592301607045</v>
      </c>
      <c r="T354">
        <f t="shared" si="973"/>
        <v>8.670459230160704</v>
      </c>
    </row>
    <row r="355" spans="1:20" x14ac:dyDescent="0.25">
      <c r="A355" s="5">
        <v>44238</v>
      </c>
      <c r="B355">
        <v>0.88529999999999998</v>
      </c>
      <c r="C355">
        <v>1.33</v>
      </c>
      <c r="D355">
        <v>0.86699999999999999</v>
      </c>
      <c r="E355">
        <v>1.1757</v>
      </c>
      <c r="F355">
        <v>226478214.80000001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0.33347732181425455</v>
      </c>
      <c r="Q355">
        <f t="shared" si="970"/>
        <v>75525348.520777464</v>
      </c>
      <c r="R355">
        <f t="shared" si="971"/>
        <v>829310182.37440133</v>
      </c>
      <c r="S355">
        <f t="shared" si="972"/>
        <v>8293.101823744013</v>
      </c>
      <c r="T355">
        <f t="shared" si="973"/>
        <v>8.2931018237440135</v>
      </c>
    </row>
    <row r="356" spans="1:20" x14ac:dyDescent="0.25">
      <c r="A356" s="5">
        <v>44237</v>
      </c>
      <c r="B356">
        <v>0.75170000000000003</v>
      </c>
      <c r="C356">
        <v>0.92749999999999999</v>
      </c>
      <c r="D356">
        <v>0.67</v>
      </c>
      <c r="E356">
        <v>0.88529999999999998</v>
      </c>
      <c r="F356">
        <v>93394586.689999998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0.67223300970873767</v>
      </c>
      <c r="Q356">
        <f t="shared" si="970"/>
        <v>62782924.101122312</v>
      </c>
      <c r="R356">
        <f t="shared" si="971"/>
        <v>753784833.85362387</v>
      </c>
      <c r="S356">
        <f t="shared" si="972"/>
        <v>7537.8483385362388</v>
      </c>
      <c r="T356">
        <f t="shared" si="973"/>
        <v>7.5378483385362385</v>
      </c>
    </row>
    <row r="357" spans="1:20" x14ac:dyDescent="0.25">
      <c r="A357" s="5">
        <v>44236</v>
      </c>
      <c r="B357">
        <v>0.72260000000000002</v>
      </c>
      <c r="C357">
        <v>0.81200000000000006</v>
      </c>
      <c r="D357">
        <v>0.70599999999999996</v>
      </c>
      <c r="E357">
        <v>0.75219999999999998</v>
      </c>
      <c r="F357">
        <v>79348375.530000001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-0.12830188679245325</v>
      </c>
      <c r="Q357">
        <f t="shared" si="970"/>
        <v>-10180546.294415127</v>
      </c>
      <c r="R357">
        <f t="shared" si="971"/>
        <v>691001909.75250161</v>
      </c>
      <c r="S357">
        <f t="shared" si="972"/>
        <v>6910.0190975250162</v>
      </c>
      <c r="T357">
        <f t="shared" si="973"/>
        <v>6.9100190975250158</v>
      </c>
    </row>
    <row r="358" spans="1:20" x14ac:dyDescent="0.25">
      <c r="A358" s="5">
        <v>44235</v>
      </c>
      <c r="B358">
        <v>0.55820000000000003</v>
      </c>
      <c r="C358">
        <v>0.75</v>
      </c>
      <c r="D358">
        <v>0.54500000000000004</v>
      </c>
      <c r="E358">
        <v>0.72340000000000004</v>
      </c>
      <c r="F358">
        <v>77160155.659999996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0.74048780487804911</v>
      </c>
      <c r="Q358">
        <f t="shared" si="970"/>
        <v>57136154.288721971</v>
      </c>
      <c r="R358">
        <f t="shared" si="971"/>
        <v>701182456.04691672</v>
      </c>
      <c r="S358">
        <f t="shared" si="972"/>
        <v>7011.8245604691674</v>
      </c>
      <c r="T358">
        <f t="shared" si="973"/>
        <v>7.0118245604691678</v>
      </c>
    </row>
    <row r="359" spans="1:20" x14ac:dyDescent="0.25">
      <c r="A359" s="5">
        <v>44234</v>
      </c>
      <c r="B359">
        <v>0.56399999999999995</v>
      </c>
      <c r="C359">
        <v>0.59699999999999998</v>
      </c>
      <c r="D359">
        <v>0.52700000000000002</v>
      </c>
      <c r="E359">
        <v>0.55869999999999997</v>
      </c>
      <c r="F359">
        <v>42345210.310000002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-9.4285714285715069E-2</v>
      </c>
      <c r="Q359">
        <f t="shared" si="970"/>
        <v>-3992548.400657176</v>
      </c>
      <c r="R359">
        <f t="shared" si="971"/>
        <v>644046301.7581948</v>
      </c>
      <c r="S359">
        <f t="shared" si="972"/>
        <v>6440.4630175819484</v>
      </c>
      <c r="T359">
        <f t="shared" si="973"/>
        <v>6.4404630175819486</v>
      </c>
    </row>
    <row r="360" spans="1:20" x14ac:dyDescent="0.25">
      <c r="A360" s="5">
        <v>44233</v>
      </c>
      <c r="B360">
        <v>0.51690000000000003</v>
      </c>
      <c r="C360">
        <v>0.62</v>
      </c>
      <c r="D360">
        <v>0.50009999999999999</v>
      </c>
      <c r="E360">
        <v>0.56389999999999996</v>
      </c>
      <c r="F360">
        <v>96451432.810000002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6.4220183486237939E-2</v>
      </c>
      <c r="Q360">
        <f t="shared" si="970"/>
        <v>6194128.7125687506</v>
      </c>
      <c r="R360">
        <f t="shared" si="971"/>
        <v>648038850.15885198</v>
      </c>
      <c r="S360">
        <f t="shared" si="972"/>
        <v>6480.3885015885198</v>
      </c>
      <c r="T360">
        <f t="shared" si="973"/>
        <v>6.4803885015885196</v>
      </c>
    </row>
    <row r="361" spans="1:20" x14ac:dyDescent="0.25">
      <c r="A361" s="5">
        <v>44232</v>
      </c>
      <c r="B361">
        <v>0.441</v>
      </c>
      <c r="C361">
        <v>0.54500000000000004</v>
      </c>
      <c r="D361">
        <v>0.44040000000000001</v>
      </c>
      <c r="E361">
        <v>0.51759999999999995</v>
      </c>
      <c r="F361">
        <v>81398512.810000002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0.47609942638623165</v>
      </c>
      <c r="Q361">
        <f t="shared" si="970"/>
        <v>38753785.257533327</v>
      </c>
      <c r="R361">
        <f t="shared" si="971"/>
        <v>641844721.44628322</v>
      </c>
      <c r="S361">
        <f t="shared" si="972"/>
        <v>6418.4472144628326</v>
      </c>
      <c r="T361">
        <f t="shared" si="973"/>
        <v>6.4184472144628328</v>
      </c>
    </row>
    <row r="362" spans="1:20" x14ac:dyDescent="0.25">
      <c r="A362" s="5">
        <v>44231</v>
      </c>
      <c r="B362">
        <v>0.4531</v>
      </c>
      <c r="C362">
        <v>0.45550000000000002</v>
      </c>
      <c r="D362">
        <v>0.42130000000000001</v>
      </c>
      <c r="E362">
        <v>0.44109999999999999</v>
      </c>
      <c r="F362">
        <v>27366680.149999999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0.15789473684210406</v>
      </c>
      <c r="Q362">
        <f t="shared" si="970"/>
        <v>4321054.7605262827</v>
      </c>
      <c r="R362">
        <f t="shared" si="971"/>
        <v>603090936.18874991</v>
      </c>
      <c r="S362">
        <f t="shared" si="972"/>
        <v>6030.9093618874995</v>
      </c>
      <c r="T362">
        <f t="shared" si="973"/>
        <v>6.0309093618874998</v>
      </c>
    </row>
    <row r="363" spans="1:20" x14ac:dyDescent="0.25">
      <c r="A363" s="5">
        <v>44230</v>
      </c>
      <c r="B363">
        <v>0.43</v>
      </c>
      <c r="C363">
        <v>0.45710000000000001</v>
      </c>
      <c r="D363">
        <v>0.42649999999999999</v>
      </c>
      <c r="E363">
        <v>0.45300000000000001</v>
      </c>
      <c r="F363">
        <v>23500239.719999999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0.73202614379085029</v>
      </c>
      <c r="Q363">
        <f t="shared" si="970"/>
        <v>17202789.860392172</v>
      </c>
      <c r="R363">
        <f t="shared" si="971"/>
        <v>598769881.42822361</v>
      </c>
      <c r="S363">
        <f t="shared" si="972"/>
        <v>5987.6988142822365</v>
      </c>
      <c r="T363">
        <f t="shared" si="973"/>
        <v>5.9876988142822363</v>
      </c>
    </row>
    <row r="364" spans="1:20" x14ac:dyDescent="0.25">
      <c r="A364" s="5">
        <v>44229</v>
      </c>
      <c r="B364">
        <v>0.4158</v>
      </c>
      <c r="C364">
        <v>0.4345</v>
      </c>
      <c r="D364">
        <v>0.40939999999999999</v>
      </c>
      <c r="E364">
        <v>0.4304</v>
      </c>
      <c r="F364">
        <v>21260590.039999999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0.67330677290836727</v>
      </c>
      <c r="Q364">
        <f t="shared" si="970"/>
        <v>14314899.269960174</v>
      </c>
      <c r="R364">
        <f t="shared" si="971"/>
        <v>581567091.5678314</v>
      </c>
      <c r="S364">
        <f t="shared" si="972"/>
        <v>5815.6709156783136</v>
      </c>
      <c r="T364">
        <f t="shared" si="973"/>
        <v>5.8156709156783135</v>
      </c>
    </row>
    <row r="365" spans="1:20" x14ac:dyDescent="0.25">
      <c r="A365" s="5">
        <v>44228</v>
      </c>
      <c r="B365">
        <v>0.40760000000000002</v>
      </c>
      <c r="C365">
        <v>0.4289</v>
      </c>
      <c r="D365">
        <v>0.3921</v>
      </c>
      <c r="E365">
        <v>0.41639999999999999</v>
      </c>
      <c r="F365">
        <v>25084393.079999998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0.32065217391304285</v>
      </c>
      <c r="Q365">
        <f t="shared" si="970"/>
        <v>8043365.172391288</v>
      </c>
      <c r="R365">
        <f t="shared" si="971"/>
        <v>567252192.29787123</v>
      </c>
      <c r="S365">
        <f t="shared" si="972"/>
        <v>5672.5219229787126</v>
      </c>
      <c r="T365">
        <f t="shared" si="973"/>
        <v>5.6725219229787127</v>
      </c>
    </row>
    <row r="366" spans="1:20" x14ac:dyDescent="0.25">
      <c r="A366" s="5">
        <v>44227</v>
      </c>
      <c r="B366">
        <v>0.42920000000000003</v>
      </c>
      <c r="C366">
        <v>0.44629999999999997</v>
      </c>
      <c r="D366">
        <v>0.3952</v>
      </c>
      <c r="E366">
        <v>0.40789999999999998</v>
      </c>
      <c r="F366">
        <v>23003784.579999998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-0.50293542074364017</v>
      </c>
      <c r="Q366">
        <f t="shared" si="970"/>
        <v>-11569418.076438362</v>
      </c>
      <c r="R366">
        <f t="shared" si="971"/>
        <v>559208827.12547994</v>
      </c>
      <c r="S366">
        <f t="shared" si="972"/>
        <v>5592.0882712547991</v>
      </c>
      <c r="T366">
        <f t="shared" si="973"/>
        <v>5.5920882712547995</v>
      </c>
    </row>
    <row r="367" spans="1:20" x14ac:dyDescent="0.25">
      <c r="A367" s="5">
        <v>44226</v>
      </c>
      <c r="B367">
        <v>0.41199999999999998</v>
      </c>
      <c r="C367">
        <v>0.45200000000000001</v>
      </c>
      <c r="D367">
        <v>0.39979999999999999</v>
      </c>
      <c r="E367">
        <v>0.42959999999999998</v>
      </c>
      <c r="F367">
        <v>27594983.949999999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0.14176245210727889</v>
      </c>
      <c r="Q367">
        <f t="shared" si="970"/>
        <v>3911932.5906130048</v>
      </c>
      <c r="R367">
        <f t="shared" si="971"/>
        <v>570778245.20191824</v>
      </c>
      <c r="S367">
        <f t="shared" si="972"/>
        <v>5707.7824520191825</v>
      </c>
      <c r="T367">
        <f t="shared" si="973"/>
        <v>5.7077824520191829</v>
      </c>
    </row>
    <row r="368" spans="1:20" x14ac:dyDescent="0.25">
      <c r="A368" s="5">
        <v>44225</v>
      </c>
      <c r="B368">
        <v>0.4037</v>
      </c>
      <c r="C368">
        <v>0.42599999999999999</v>
      </c>
      <c r="D368">
        <v>0.39389999999999997</v>
      </c>
      <c r="E368">
        <v>0.41249999999999998</v>
      </c>
      <c r="F368">
        <v>29168897.489999998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0.15887850467289691</v>
      </c>
      <c r="Q368">
        <f t="shared" si="970"/>
        <v>4634310.8161682161</v>
      </c>
      <c r="R368">
        <f t="shared" si="971"/>
        <v>566866312.61130524</v>
      </c>
      <c r="S368">
        <f t="shared" si="972"/>
        <v>5668.6631261130524</v>
      </c>
      <c r="T368">
        <f t="shared" si="973"/>
        <v>5.668663126113052</v>
      </c>
    </row>
    <row r="369" spans="1:20" x14ac:dyDescent="0.25">
      <c r="A369" s="5">
        <v>44224</v>
      </c>
      <c r="B369">
        <v>0.39179999999999998</v>
      </c>
      <c r="C369">
        <v>0.41610000000000003</v>
      </c>
      <c r="D369">
        <v>0.38729999999999998</v>
      </c>
      <c r="E369">
        <v>0.40379999999999999</v>
      </c>
      <c r="F369">
        <v>17370840.170000002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0.14583333333333245</v>
      </c>
      <c r="Q369">
        <f t="shared" si="970"/>
        <v>2533247.5247916519</v>
      </c>
      <c r="R369">
        <f t="shared" si="971"/>
        <v>562232001.79513705</v>
      </c>
      <c r="S369">
        <f t="shared" si="972"/>
        <v>5622.3200179513706</v>
      </c>
      <c r="T369">
        <f t="shared" si="973"/>
        <v>5.6223200179513704</v>
      </c>
    </row>
    <row r="370" spans="1:20" x14ac:dyDescent="0.25">
      <c r="A370" s="5">
        <v>44223</v>
      </c>
      <c r="B370">
        <v>0.43259999999999998</v>
      </c>
      <c r="C370">
        <v>0.43280000000000002</v>
      </c>
      <c r="D370">
        <v>0.37730000000000002</v>
      </c>
      <c r="E370">
        <v>0.39150000000000001</v>
      </c>
      <c r="F370">
        <v>22332002.579999998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-0.48828828828828857</v>
      </c>
      <c r="Q370">
        <f t="shared" si="970"/>
        <v>-10904455.313837843</v>
      </c>
      <c r="R370">
        <f t="shared" si="971"/>
        <v>559698754.27034545</v>
      </c>
      <c r="S370">
        <f t="shared" si="972"/>
        <v>5596.9875427034549</v>
      </c>
      <c r="T370">
        <f t="shared" si="973"/>
        <v>5.596987542703455</v>
      </c>
    </row>
    <row r="371" spans="1:20" x14ac:dyDescent="0.25">
      <c r="A371" s="5">
        <v>44222</v>
      </c>
      <c r="B371">
        <v>0.432</v>
      </c>
      <c r="C371">
        <v>0.43990000000000001</v>
      </c>
      <c r="D371">
        <v>0.41</v>
      </c>
      <c r="E371">
        <v>0.43319999999999997</v>
      </c>
      <c r="F371">
        <v>17268849.68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0.55183946488294111</v>
      </c>
      <c r="Q371">
        <f t="shared" si="970"/>
        <v>9529632.7665551491</v>
      </c>
      <c r="R371">
        <f t="shared" si="971"/>
        <v>570603209.58418334</v>
      </c>
      <c r="S371">
        <f t="shared" si="972"/>
        <v>5706.0320958418333</v>
      </c>
      <c r="T371">
        <f t="shared" si="973"/>
        <v>5.7060320958418336</v>
      </c>
    </row>
    <row r="372" spans="1:20" x14ac:dyDescent="0.25">
      <c r="A372" s="5">
        <v>44221</v>
      </c>
      <c r="B372">
        <v>0.45610000000000001</v>
      </c>
      <c r="C372">
        <v>0.47120000000000001</v>
      </c>
      <c r="D372">
        <v>0.42720000000000002</v>
      </c>
      <c r="E372">
        <v>0.43240000000000001</v>
      </c>
      <c r="F372">
        <v>20065473.600000001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-0.76363636363636433</v>
      </c>
      <c r="Q372">
        <f t="shared" si="970"/>
        <v>-15322725.29454547</v>
      </c>
      <c r="R372">
        <f t="shared" si="971"/>
        <v>561073576.81762815</v>
      </c>
      <c r="S372">
        <f t="shared" si="972"/>
        <v>5610.7357681762815</v>
      </c>
      <c r="T372">
        <f t="shared" si="973"/>
        <v>5.6107357681762817</v>
      </c>
    </row>
    <row r="373" spans="1:20" x14ac:dyDescent="0.25">
      <c r="A373" s="5">
        <v>44220</v>
      </c>
      <c r="B373">
        <v>0.45069999999999999</v>
      </c>
      <c r="C373">
        <v>0.4819</v>
      </c>
      <c r="D373">
        <v>0.44319999999999998</v>
      </c>
      <c r="E373">
        <v>0.45629999999999998</v>
      </c>
      <c r="F373">
        <v>18779144.600000001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-0.322997416020672</v>
      </c>
      <c r="Q373">
        <f t="shared" si="970"/>
        <v>-6065615.1808785563</v>
      </c>
      <c r="R373">
        <f t="shared" si="971"/>
        <v>576396302.11217356</v>
      </c>
      <c r="S373">
        <f t="shared" si="972"/>
        <v>5763.9630211217354</v>
      </c>
      <c r="T373">
        <f t="shared" si="973"/>
        <v>5.7639630211217359</v>
      </c>
    </row>
    <row r="374" spans="1:20" x14ac:dyDescent="0.25">
      <c r="A374" s="5">
        <v>44219</v>
      </c>
      <c r="B374">
        <v>0.45519999999999999</v>
      </c>
      <c r="C374">
        <v>0.47599999999999998</v>
      </c>
      <c r="D374">
        <v>0.44309999999999999</v>
      </c>
      <c r="E374">
        <v>0.45100000000000001</v>
      </c>
      <c r="F374">
        <v>17773786.370000001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-0.51975683890577373</v>
      </c>
      <c r="Q374">
        <f t="shared" si="970"/>
        <v>-9238047.0190577284</v>
      </c>
      <c r="R374">
        <f t="shared" si="971"/>
        <v>582461917.29305208</v>
      </c>
      <c r="S374">
        <f t="shared" si="972"/>
        <v>5824.619172930521</v>
      </c>
      <c r="T374">
        <f t="shared" si="973"/>
        <v>5.8246191729305208</v>
      </c>
    </row>
    <row r="375" spans="1:20" x14ac:dyDescent="0.25">
      <c r="A375" s="5">
        <v>44218</v>
      </c>
      <c r="B375">
        <v>0.4194</v>
      </c>
      <c r="C375">
        <v>0.47320000000000001</v>
      </c>
      <c r="D375">
        <v>0.39200000000000002</v>
      </c>
      <c r="E375">
        <v>0.4556</v>
      </c>
      <c r="F375">
        <v>29940381.32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0.56650246305418706</v>
      </c>
      <c r="Q375">
        <f t="shared" si="970"/>
        <v>16961299.762561571</v>
      </c>
      <c r="R375">
        <f t="shared" si="971"/>
        <v>591699964.31210983</v>
      </c>
      <c r="S375">
        <f t="shared" si="972"/>
        <v>5916.9996431210984</v>
      </c>
      <c r="T375">
        <f t="shared" si="973"/>
        <v>5.9169996431210983</v>
      </c>
    </row>
    <row r="376" spans="1:20" x14ac:dyDescent="0.25">
      <c r="A376" s="5">
        <v>44217</v>
      </c>
      <c r="B376">
        <v>0.4713</v>
      </c>
      <c r="C376">
        <v>0.51200000000000001</v>
      </c>
      <c r="D376">
        <v>0.41170000000000001</v>
      </c>
      <c r="E376">
        <v>0.41889999999999999</v>
      </c>
      <c r="F376">
        <v>43071560.899999999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-0.85643070787637121</v>
      </c>
      <c r="Q376">
        <f t="shared" si="970"/>
        <v>-36887807.390927233</v>
      </c>
      <c r="R376">
        <f t="shared" si="971"/>
        <v>574738664.54954827</v>
      </c>
      <c r="S376">
        <f t="shared" si="972"/>
        <v>5747.3866454954823</v>
      </c>
      <c r="T376">
        <f t="shared" si="973"/>
        <v>5.7473866454954825</v>
      </c>
    </row>
    <row r="377" spans="1:20" x14ac:dyDescent="0.25">
      <c r="A377" s="5">
        <v>44216</v>
      </c>
      <c r="B377">
        <v>0.46989999999999998</v>
      </c>
      <c r="C377">
        <v>0.48520000000000002</v>
      </c>
      <c r="D377">
        <v>0.4289</v>
      </c>
      <c r="E377">
        <v>0.4728</v>
      </c>
      <c r="F377">
        <v>28043446.760000002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0.55950266429840079</v>
      </c>
      <c r="Q377">
        <f t="shared" si="970"/>
        <v>15690383.178330356</v>
      </c>
      <c r="R377">
        <f t="shared" si="971"/>
        <v>611626471.94047546</v>
      </c>
      <c r="S377">
        <f t="shared" si="972"/>
        <v>6116.2647194047549</v>
      </c>
      <c r="T377">
        <f t="shared" si="973"/>
        <v>6.1162647194047546</v>
      </c>
    </row>
    <row r="378" spans="1:20" x14ac:dyDescent="0.25">
      <c r="A378" s="5">
        <v>44215</v>
      </c>
      <c r="B378">
        <v>0.47739999999999999</v>
      </c>
      <c r="C378">
        <v>0.50929999999999997</v>
      </c>
      <c r="D378">
        <v>0.4607</v>
      </c>
      <c r="E378">
        <v>0.46929999999999999</v>
      </c>
      <c r="F378">
        <v>32049905.469999999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-0.64609053497942381</v>
      </c>
      <c r="Q378">
        <f t="shared" si="970"/>
        <v>-20707140.571152262</v>
      </c>
      <c r="R378">
        <f t="shared" si="971"/>
        <v>595936088.76214516</v>
      </c>
      <c r="S378">
        <f t="shared" si="972"/>
        <v>5959.3608876214512</v>
      </c>
      <c r="T378">
        <f t="shared" si="973"/>
        <v>5.9593608876214512</v>
      </c>
    </row>
    <row r="379" spans="1:20" x14ac:dyDescent="0.25">
      <c r="A379" s="5">
        <v>44214</v>
      </c>
      <c r="B379">
        <v>0.43590000000000001</v>
      </c>
      <c r="C379">
        <v>0.48749999999999999</v>
      </c>
      <c r="D379">
        <v>0.4168</v>
      </c>
      <c r="E379">
        <v>0.47739999999999999</v>
      </c>
      <c r="F379">
        <v>40403294.850000001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0.7142857142857143</v>
      </c>
      <c r="Q379">
        <f t="shared" si="970"/>
        <v>28859496.321428575</v>
      </c>
      <c r="R379">
        <f t="shared" si="971"/>
        <v>616643229.33329737</v>
      </c>
      <c r="S379">
        <f t="shared" si="972"/>
        <v>6166.432293332974</v>
      </c>
      <c r="T379">
        <f t="shared" si="973"/>
        <v>6.1664322933329743</v>
      </c>
    </row>
    <row r="380" spans="1:20" x14ac:dyDescent="0.25">
      <c r="A380" s="5">
        <v>44213</v>
      </c>
      <c r="B380">
        <v>0.42499999999999999</v>
      </c>
      <c r="C380">
        <v>0.44900000000000001</v>
      </c>
      <c r="D380">
        <v>0.39779999999999999</v>
      </c>
      <c r="E380">
        <v>0.43569999999999998</v>
      </c>
      <c r="F380">
        <v>25204399.190000001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0.48046874999999889</v>
      </c>
      <c r="Q380">
        <f t="shared" si="970"/>
        <v>12109926.173320286</v>
      </c>
      <c r="R380">
        <f t="shared" si="971"/>
        <v>587783733.01186883</v>
      </c>
      <c r="S380">
        <f t="shared" si="972"/>
        <v>5877.8373301186884</v>
      </c>
      <c r="T380">
        <f t="shared" si="973"/>
        <v>5.8778373301186884</v>
      </c>
    </row>
    <row r="381" spans="1:20" x14ac:dyDescent="0.25">
      <c r="A381" s="5">
        <v>44212</v>
      </c>
      <c r="B381">
        <v>0.43240000000000001</v>
      </c>
      <c r="C381">
        <v>0.45569999999999999</v>
      </c>
      <c r="D381">
        <v>0.4118</v>
      </c>
      <c r="E381">
        <v>0.42499999999999999</v>
      </c>
      <c r="F381">
        <v>30796020.649999999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-0.39863325740318944</v>
      </c>
      <c r="Q381">
        <f t="shared" si="970"/>
        <v>-12276318.026765388</v>
      </c>
      <c r="R381">
        <f t="shared" si="971"/>
        <v>575673806.83854854</v>
      </c>
      <c r="S381">
        <f t="shared" si="972"/>
        <v>5756.7380683854853</v>
      </c>
      <c r="T381">
        <f t="shared" si="973"/>
        <v>5.7567380683854852</v>
      </c>
    </row>
    <row r="382" spans="1:20" x14ac:dyDescent="0.25">
      <c r="A382" s="5">
        <v>44211</v>
      </c>
      <c r="B382">
        <v>0.42509999999999998</v>
      </c>
      <c r="C382">
        <v>0.45600000000000002</v>
      </c>
      <c r="D382">
        <v>0.38379999999999997</v>
      </c>
      <c r="E382">
        <v>0.43240000000000001</v>
      </c>
      <c r="F382">
        <v>39969339.210000001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0.34626038781163443</v>
      </c>
      <c r="Q382">
        <f t="shared" si="970"/>
        <v>13839798.895429367</v>
      </c>
      <c r="R382">
        <f t="shared" si="971"/>
        <v>587950124.86531389</v>
      </c>
      <c r="S382">
        <f t="shared" si="972"/>
        <v>5879.5012486531386</v>
      </c>
      <c r="T382">
        <f t="shared" si="973"/>
        <v>5.8795012486531384</v>
      </c>
    </row>
    <row r="383" spans="1:20" x14ac:dyDescent="0.25">
      <c r="A383" s="5">
        <v>44210</v>
      </c>
      <c r="B383">
        <v>0.41539999999999999</v>
      </c>
      <c r="C383">
        <v>0.45140000000000002</v>
      </c>
      <c r="D383">
        <v>0.40110000000000001</v>
      </c>
      <c r="E383">
        <v>0.42509999999999998</v>
      </c>
      <c r="F383">
        <v>30445372.530000001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-4.5725646123262013E-2</v>
      </c>
      <c r="Q383">
        <f t="shared" si="970"/>
        <v>-1392134.3303976622</v>
      </c>
      <c r="R383">
        <f t="shared" si="971"/>
        <v>574110325.96988451</v>
      </c>
      <c r="S383">
        <f t="shared" si="972"/>
        <v>5741.1032596988452</v>
      </c>
      <c r="T383">
        <f t="shared" si="973"/>
        <v>5.7411032596988454</v>
      </c>
    </row>
    <row r="384" spans="1:20" x14ac:dyDescent="0.25">
      <c r="A384" s="5">
        <v>44209</v>
      </c>
      <c r="B384">
        <v>0.35949999999999999</v>
      </c>
      <c r="C384">
        <v>0.41760000000000003</v>
      </c>
      <c r="D384">
        <v>0.34699999999999998</v>
      </c>
      <c r="E384">
        <v>0.41510000000000002</v>
      </c>
      <c r="F384">
        <v>32642676.27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0.92917847025495748</v>
      </c>
      <c r="Q384">
        <f t="shared" si="970"/>
        <v>30330872.0015864</v>
      </c>
      <c r="R384">
        <f t="shared" si="971"/>
        <v>575502460.30028212</v>
      </c>
      <c r="S384">
        <f t="shared" si="972"/>
        <v>5755.0246030028211</v>
      </c>
      <c r="T384">
        <f t="shared" si="973"/>
        <v>5.7550246030028207</v>
      </c>
    </row>
    <row r="385" spans="1:20" x14ac:dyDescent="0.25">
      <c r="A385" s="5">
        <v>44208</v>
      </c>
      <c r="B385">
        <v>0.36759999999999998</v>
      </c>
      <c r="C385">
        <v>0.38440000000000002</v>
      </c>
      <c r="D385">
        <v>0.34689999999999999</v>
      </c>
      <c r="E385">
        <v>0.35920000000000002</v>
      </c>
      <c r="F385">
        <v>27481415.859999999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-0.34399999999999881</v>
      </c>
      <c r="Q385">
        <f t="shared" si="970"/>
        <v>-9453607.055839967</v>
      </c>
      <c r="R385">
        <f t="shared" si="971"/>
        <v>545171588.29869568</v>
      </c>
      <c r="S385">
        <f t="shared" si="972"/>
        <v>5451.7158829869568</v>
      </c>
      <c r="T385">
        <f t="shared" si="973"/>
        <v>5.4517158829869565</v>
      </c>
    </row>
    <row r="386" spans="1:20" x14ac:dyDescent="0.25">
      <c r="A386" s="5">
        <v>44207</v>
      </c>
      <c r="B386">
        <v>0.42699999999999999</v>
      </c>
      <c r="C386">
        <v>0.42849999999999999</v>
      </c>
      <c r="D386">
        <v>0.32700000000000001</v>
      </c>
      <c r="E386">
        <v>0.36799999999999999</v>
      </c>
      <c r="F386">
        <v>50629374.07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-0.19211822660098543</v>
      </c>
      <c r="Q386">
        <f t="shared" si="970"/>
        <v>-9726825.5602463167</v>
      </c>
      <c r="R386">
        <f t="shared" si="971"/>
        <v>554625195.3545357</v>
      </c>
      <c r="S386">
        <f t="shared" si="972"/>
        <v>5546.2519535453566</v>
      </c>
      <c r="T386">
        <f t="shared" si="973"/>
        <v>5.5462519535453563</v>
      </c>
    </row>
    <row r="387" spans="1:20" x14ac:dyDescent="0.25">
      <c r="A387" s="5">
        <v>44206</v>
      </c>
      <c r="B387">
        <v>0.43219999999999997</v>
      </c>
      <c r="C387">
        <v>0.47410000000000002</v>
      </c>
      <c r="D387">
        <v>0.38</v>
      </c>
      <c r="E387">
        <v>0.42699999999999999</v>
      </c>
      <c r="F387">
        <v>48497144.740000002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-1.0626992561109934E-3</v>
      </c>
      <c r="Q387">
        <f t="shared" si="970"/>
        <v>-51537.879638705177</v>
      </c>
      <c r="R387">
        <f t="shared" si="971"/>
        <v>564352020.91478205</v>
      </c>
      <c r="S387">
        <f t="shared" si="972"/>
        <v>5643.5202091478204</v>
      </c>
      <c r="T387">
        <f t="shared" si="973"/>
        <v>5.6435202091478205</v>
      </c>
    </row>
    <row r="388" spans="1:20" x14ac:dyDescent="0.25">
      <c r="A388" s="5">
        <v>44205</v>
      </c>
      <c r="B388">
        <v>0.36930000000000002</v>
      </c>
      <c r="C388">
        <v>0.47960000000000003</v>
      </c>
      <c r="D388">
        <v>0.36930000000000002</v>
      </c>
      <c r="E388">
        <v>0.432</v>
      </c>
      <c r="F388">
        <v>89846240.409999996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0.13689936536717992</v>
      </c>
      <c r="Q388">
        <f t="shared" si="970"/>
        <v>12299893.292756075</v>
      </c>
      <c r="R388">
        <f t="shared" si="971"/>
        <v>564403558.79442072</v>
      </c>
      <c r="S388">
        <f t="shared" si="972"/>
        <v>5644.0355879442068</v>
      </c>
      <c r="T388">
        <f t="shared" si="973"/>
        <v>5.6440355879442068</v>
      </c>
    </row>
    <row r="389" spans="1:20" x14ac:dyDescent="0.25">
      <c r="A389" s="5">
        <v>44204</v>
      </c>
      <c r="B389">
        <v>0.38400000000000001</v>
      </c>
      <c r="C389">
        <v>0.38669999999999999</v>
      </c>
      <c r="D389">
        <v>0.34499999999999997</v>
      </c>
      <c r="E389">
        <v>0.36930000000000002</v>
      </c>
      <c r="F389">
        <v>29063062.719999999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0.16546762589928227</v>
      </c>
      <c r="Q389">
        <f t="shared" si="970"/>
        <v>4808995.9896403365</v>
      </c>
      <c r="R389">
        <f t="shared" si="971"/>
        <v>552103665.50166464</v>
      </c>
      <c r="S389">
        <f t="shared" si="972"/>
        <v>5521.0366550166464</v>
      </c>
      <c r="T389">
        <f t="shared" si="973"/>
        <v>5.5210366550166468</v>
      </c>
    </row>
    <row r="390" spans="1:20" x14ac:dyDescent="0.25">
      <c r="A390" s="5">
        <v>44203</v>
      </c>
      <c r="B390">
        <v>0.38190000000000002</v>
      </c>
      <c r="C390">
        <v>0.40910000000000002</v>
      </c>
      <c r="D390">
        <v>0.35010000000000002</v>
      </c>
      <c r="E390">
        <v>0.3831</v>
      </c>
      <c r="F390">
        <v>42015143.549999997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0.11864406779660934</v>
      </c>
      <c r="Q390">
        <f t="shared" ref="Q390:Q453" si="975">F390*P390</f>
        <v>4984847.5398304733</v>
      </c>
      <c r="R390">
        <f t="shared" ref="R390:R453" si="976">R391+Q390</f>
        <v>547294669.51202428</v>
      </c>
      <c r="S390">
        <f t="shared" ref="S390:S453" si="977">R390/100000</f>
        <v>5472.946695120243</v>
      </c>
      <c r="T390">
        <f t="shared" ref="T390:T453" si="978">S390/1000</f>
        <v>5.4729466951202435</v>
      </c>
    </row>
    <row r="391" spans="1:20" x14ac:dyDescent="0.25">
      <c r="A391" s="5">
        <v>44202</v>
      </c>
      <c r="B391">
        <v>0.35199999999999998</v>
      </c>
      <c r="C391">
        <v>0.39900000000000002</v>
      </c>
      <c r="D391">
        <v>0.34050000000000002</v>
      </c>
      <c r="E391">
        <v>0.38190000000000002</v>
      </c>
      <c r="F391">
        <v>45169878.170000002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0.41538461538461519</v>
      </c>
      <c r="Q391">
        <f t="shared" si="975"/>
        <v>18762872.470615376</v>
      </c>
      <c r="R391">
        <f t="shared" si="976"/>
        <v>542309821.97219384</v>
      </c>
      <c r="S391">
        <f t="shared" si="977"/>
        <v>5423.0982197219382</v>
      </c>
      <c r="T391">
        <f t="shared" si="978"/>
        <v>5.423098219721938</v>
      </c>
    </row>
    <row r="392" spans="1:20" x14ac:dyDescent="0.25">
      <c r="A392" s="5">
        <v>44201</v>
      </c>
      <c r="B392">
        <v>0.34329999999999999</v>
      </c>
      <c r="C392">
        <v>0.38790000000000002</v>
      </c>
      <c r="D392">
        <v>0.3155</v>
      </c>
      <c r="E392">
        <v>0.35199999999999998</v>
      </c>
      <c r="F392">
        <v>62486392.32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8.2872928176786435E-3</v>
      </c>
      <c r="Q392">
        <f t="shared" si="975"/>
        <v>517843.03027618595</v>
      </c>
      <c r="R392">
        <f t="shared" si="976"/>
        <v>523546949.50157851</v>
      </c>
      <c r="S392">
        <f t="shared" si="977"/>
        <v>5235.4694950157855</v>
      </c>
      <c r="T392">
        <f t="shared" si="978"/>
        <v>5.2354694950157858</v>
      </c>
    </row>
    <row r="393" spans="1:20" x14ac:dyDescent="0.25">
      <c r="A393" s="5">
        <v>44200</v>
      </c>
      <c r="B393">
        <v>0.30990000000000001</v>
      </c>
      <c r="C393">
        <v>0.35399999999999998</v>
      </c>
      <c r="D393">
        <v>0.27800000000000002</v>
      </c>
      <c r="E393">
        <v>0.34329999999999999</v>
      </c>
      <c r="F393">
        <v>46677356.539999999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0.71842105263157907</v>
      </c>
      <c r="Q393">
        <f t="shared" si="975"/>
        <v>33533995.619526319</v>
      </c>
      <c r="R393">
        <f t="shared" si="976"/>
        <v>523029106.47130233</v>
      </c>
      <c r="S393">
        <f t="shared" si="977"/>
        <v>5230.2910647130229</v>
      </c>
      <c r="T393">
        <f t="shared" si="978"/>
        <v>5.2302910647130227</v>
      </c>
    </row>
    <row r="394" spans="1:20" x14ac:dyDescent="0.25">
      <c r="A394" s="5">
        <v>44199</v>
      </c>
      <c r="B394">
        <v>0.28649999999999998</v>
      </c>
      <c r="C394">
        <v>0.31419999999999998</v>
      </c>
      <c r="D394">
        <v>0.27700000000000002</v>
      </c>
      <c r="E394">
        <v>0.30980000000000002</v>
      </c>
      <c r="F394">
        <v>27441532.309999999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0.76344086021505564</v>
      </c>
      <c r="Q394">
        <f t="shared" si="975"/>
        <v>20949987.032365642</v>
      </c>
      <c r="R394">
        <f t="shared" si="976"/>
        <v>489495110.851776</v>
      </c>
      <c r="S394">
        <f t="shared" si="977"/>
        <v>4894.9511085177601</v>
      </c>
      <c r="T394">
        <f t="shared" si="978"/>
        <v>4.8949511085177599</v>
      </c>
    </row>
    <row r="395" spans="1:20" x14ac:dyDescent="0.25">
      <c r="A395" s="5">
        <v>44198</v>
      </c>
      <c r="B395">
        <v>0.29139999999999999</v>
      </c>
      <c r="C395">
        <v>0.29670000000000002</v>
      </c>
      <c r="D395">
        <v>0.27700000000000002</v>
      </c>
      <c r="E395">
        <v>0.2863</v>
      </c>
      <c r="F395">
        <v>18030850.27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-5.5837563451778968E-2</v>
      </c>
      <c r="Q395">
        <f t="shared" si="975"/>
        <v>-1006798.7460406509</v>
      </c>
      <c r="R395">
        <f t="shared" si="976"/>
        <v>468545123.81941038</v>
      </c>
      <c r="S395">
        <f t="shared" si="977"/>
        <v>4685.451238194104</v>
      </c>
      <c r="T395">
        <f t="shared" si="978"/>
        <v>4.685451238194104</v>
      </c>
    </row>
    <row r="396" spans="1:20" x14ac:dyDescent="0.25">
      <c r="A396" s="5">
        <v>44197</v>
      </c>
      <c r="B396">
        <v>0.29649999999999999</v>
      </c>
      <c r="C396">
        <v>0.30330000000000001</v>
      </c>
      <c r="D396">
        <v>0.28849999999999998</v>
      </c>
      <c r="E396">
        <v>0.29120000000000001</v>
      </c>
      <c r="F396">
        <v>9697249.8900000006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-0.6351351351351312</v>
      </c>
      <c r="Q396">
        <f t="shared" si="975"/>
        <v>-6159064.1193242865</v>
      </c>
      <c r="R396">
        <f t="shared" si="976"/>
        <v>469551922.56545103</v>
      </c>
      <c r="S396">
        <f t="shared" si="977"/>
        <v>4695.5192256545106</v>
      </c>
      <c r="T396">
        <f t="shared" si="978"/>
        <v>4.6955192256545102</v>
      </c>
    </row>
    <row r="397" spans="1:20" x14ac:dyDescent="0.25">
      <c r="A397" s="5">
        <v>44196</v>
      </c>
      <c r="B397">
        <v>0.2954</v>
      </c>
      <c r="C397">
        <v>0.30520000000000003</v>
      </c>
      <c r="D397">
        <v>0.28050000000000003</v>
      </c>
      <c r="E397">
        <v>0.2964</v>
      </c>
      <c r="F397">
        <v>23093941.469999999</v>
      </c>
      <c r="G397">
        <v>0</v>
      </c>
      <c r="L397" t="s">
        <v>7</v>
      </c>
      <c r="M397" t="s">
        <v>8</v>
      </c>
      <c r="N397" t="s">
        <v>7</v>
      </c>
      <c r="P397">
        <f t="shared" si="974"/>
        <v>0.28744939271254816</v>
      </c>
      <c r="Q397">
        <f t="shared" si="975"/>
        <v>6638339.4508906314</v>
      </c>
      <c r="R397">
        <f t="shared" si="976"/>
        <v>475710986.68477529</v>
      </c>
      <c r="S397">
        <f t="shared" si="977"/>
        <v>4757.1098668477525</v>
      </c>
      <c r="T397">
        <f t="shared" si="978"/>
        <v>4.7571098668477525</v>
      </c>
    </row>
    <row r="398" spans="1:20" x14ac:dyDescent="0.25">
      <c r="A398" s="5">
        <v>44195</v>
      </c>
      <c r="B398">
        <v>0.30270000000000002</v>
      </c>
      <c r="C398">
        <v>0.307</v>
      </c>
      <c r="D398">
        <v>0.28860000000000002</v>
      </c>
      <c r="E398">
        <v>0.2954</v>
      </c>
      <c r="F398">
        <v>9289739.8599999994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-0.26086956521739313</v>
      </c>
      <c r="Q398">
        <f t="shared" si="975"/>
        <v>-2423410.3982608863</v>
      </c>
      <c r="R398">
        <f t="shared" si="976"/>
        <v>469072647.23388463</v>
      </c>
      <c r="S398">
        <f t="shared" si="977"/>
        <v>4690.7264723388462</v>
      </c>
      <c r="T398">
        <f t="shared" si="978"/>
        <v>4.690726472338846</v>
      </c>
    </row>
    <row r="399" spans="1:20" x14ac:dyDescent="0.25">
      <c r="A399" s="5">
        <v>44194</v>
      </c>
      <c r="B399">
        <v>0.30620000000000003</v>
      </c>
      <c r="C399">
        <v>0.31169999999999998</v>
      </c>
      <c r="D399">
        <v>0.28449999999999998</v>
      </c>
      <c r="E399">
        <v>0.30249999999999999</v>
      </c>
      <c r="F399">
        <v>13982892.960000001</v>
      </c>
      <c r="G399">
        <v>0</v>
      </c>
      <c r="L399" t="s">
        <v>7</v>
      </c>
      <c r="M399" t="s">
        <v>8</v>
      </c>
      <c r="N399" t="s">
        <v>7</v>
      </c>
      <c r="P399">
        <f t="shared" si="974"/>
        <v>0.32352941176470695</v>
      </c>
      <c r="Q399">
        <f t="shared" si="975"/>
        <v>4523877.134117662</v>
      </c>
      <c r="R399">
        <f t="shared" si="976"/>
        <v>471496057.63214552</v>
      </c>
      <c r="S399">
        <f t="shared" si="977"/>
        <v>4714.9605763214549</v>
      </c>
      <c r="T399">
        <f t="shared" si="978"/>
        <v>4.714960576321455</v>
      </c>
    </row>
    <row r="400" spans="1:20" x14ac:dyDescent="0.25">
      <c r="A400" s="5">
        <v>44193</v>
      </c>
      <c r="B400">
        <v>0.29780000000000001</v>
      </c>
      <c r="C400">
        <v>0.31990000000000002</v>
      </c>
      <c r="D400">
        <v>0.29339999999999999</v>
      </c>
      <c r="E400">
        <v>0.30640000000000001</v>
      </c>
      <c r="F400">
        <v>15726979.93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-1.8867924528301886E-2</v>
      </c>
      <c r="Q400">
        <f t="shared" si="975"/>
        <v>-296735.47037735849</v>
      </c>
      <c r="R400">
        <f t="shared" si="976"/>
        <v>466972180.49802786</v>
      </c>
      <c r="S400">
        <f t="shared" si="977"/>
        <v>4669.7218049802786</v>
      </c>
      <c r="T400">
        <f t="shared" si="978"/>
        <v>4.6697218049802789</v>
      </c>
    </row>
    <row r="401" spans="1:20" x14ac:dyDescent="0.25">
      <c r="A401" s="5">
        <v>44192</v>
      </c>
      <c r="B401">
        <v>0.2868</v>
      </c>
      <c r="C401">
        <v>0.31630000000000003</v>
      </c>
      <c r="D401">
        <v>0.27229999999999999</v>
      </c>
      <c r="E401">
        <v>0.29699999999999999</v>
      </c>
      <c r="F401">
        <v>22486961.609999999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0.12272727272727171</v>
      </c>
      <c r="Q401">
        <f t="shared" si="975"/>
        <v>2759763.4703181591</v>
      </c>
      <c r="R401">
        <f t="shared" si="976"/>
        <v>467268915.96840525</v>
      </c>
      <c r="S401">
        <f t="shared" si="977"/>
        <v>4672.6891596840524</v>
      </c>
      <c r="T401">
        <f t="shared" si="978"/>
        <v>4.6726891596840527</v>
      </c>
    </row>
    <row r="402" spans="1:20" x14ac:dyDescent="0.25">
      <c r="A402" s="5">
        <v>44191</v>
      </c>
      <c r="B402">
        <v>0.29260000000000003</v>
      </c>
      <c r="C402">
        <v>0.30370000000000003</v>
      </c>
      <c r="D402">
        <v>0.27989999999999998</v>
      </c>
      <c r="E402">
        <v>0.28670000000000001</v>
      </c>
      <c r="F402">
        <v>17743673.510000002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-0.42857142857142722</v>
      </c>
      <c r="Q402">
        <f t="shared" si="975"/>
        <v>-7604431.5042856913</v>
      </c>
      <c r="R402">
        <f t="shared" si="976"/>
        <v>464509152.49808711</v>
      </c>
      <c r="S402">
        <f t="shared" si="977"/>
        <v>4645.0915249808713</v>
      </c>
      <c r="T402">
        <f t="shared" si="978"/>
        <v>4.6450915249808711</v>
      </c>
    </row>
    <row r="403" spans="1:20" x14ac:dyDescent="0.25">
      <c r="A403" s="5">
        <v>44190</v>
      </c>
      <c r="B403">
        <v>0.29470000000000002</v>
      </c>
      <c r="C403">
        <v>0.30880000000000002</v>
      </c>
      <c r="D403">
        <v>0.2883</v>
      </c>
      <c r="E403">
        <v>0.29260000000000003</v>
      </c>
      <c r="F403">
        <v>15635308.369999999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-0.58048780487804663</v>
      </c>
      <c r="Q403">
        <f t="shared" si="975"/>
        <v>-9076105.8342926484</v>
      </c>
      <c r="R403">
        <f t="shared" si="976"/>
        <v>472113584.0023728</v>
      </c>
      <c r="S403">
        <f t="shared" si="977"/>
        <v>4721.1358400237277</v>
      </c>
      <c r="T403">
        <f t="shared" si="978"/>
        <v>4.7211358400237273</v>
      </c>
    </row>
    <row r="404" spans="1:20" x14ac:dyDescent="0.25">
      <c r="A404" s="5">
        <v>44189</v>
      </c>
      <c r="B404">
        <v>0.26490000000000002</v>
      </c>
      <c r="C404">
        <v>0.2954</v>
      </c>
      <c r="D404">
        <v>0.25769999999999998</v>
      </c>
      <c r="E404">
        <v>0.2944</v>
      </c>
      <c r="F404">
        <v>15748172.210000001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0.94694960212201584</v>
      </c>
      <c r="Q404">
        <f t="shared" si="975"/>
        <v>14912725.408408487</v>
      </c>
      <c r="R404">
        <f t="shared" si="976"/>
        <v>481189689.83666545</v>
      </c>
      <c r="S404">
        <f t="shared" si="977"/>
        <v>4811.8968983666546</v>
      </c>
      <c r="T404">
        <f t="shared" si="978"/>
        <v>4.8118968983666548</v>
      </c>
    </row>
    <row r="405" spans="1:20" x14ac:dyDescent="0.25">
      <c r="A405" s="5">
        <v>44188</v>
      </c>
      <c r="B405">
        <v>0.30719999999999997</v>
      </c>
      <c r="C405">
        <v>0.33200000000000002</v>
      </c>
      <c r="D405">
        <v>0.25090000000000001</v>
      </c>
      <c r="E405">
        <v>0.26469999999999999</v>
      </c>
      <c r="F405">
        <v>31306984.440000001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-0.65967940813810166</v>
      </c>
      <c r="Q405">
        <f t="shared" si="975"/>
        <v>-20652572.965967961</v>
      </c>
      <c r="R405">
        <f t="shared" si="976"/>
        <v>466276964.42825699</v>
      </c>
      <c r="S405">
        <f t="shared" si="977"/>
        <v>4662.76964428257</v>
      </c>
      <c r="T405">
        <f t="shared" si="978"/>
        <v>4.6627696442825703</v>
      </c>
    </row>
    <row r="406" spans="1:20" x14ac:dyDescent="0.25">
      <c r="A406" s="5">
        <v>44187</v>
      </c>
      <c r="B406">
        <v>0.30409999999999998</v>
      </c>
      <c r="C406">
        <v>0.3125</v>
      </c>
      <c r="D406">
        <v>0.2868</v>
      </c>
      <c r="E406">
        <v>0.30719999999999997</v>
      </c>
      <c r="F406">
        <v>12377085.119999999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0.58754863813229363</v>
      </c>
      <c r="Q406">
        <f t="shared" si="975"/>
        <v>7272139.5063034752</v>
      </c>
      <c r="R406">
        <f t="shared" si="976"/>
        <v>486929537.39422494</v>
      </c>
      <c r="S406">
        <f t="shared" si="977"/>
        <v>4869.2953739422492</v>
      </c>
      <c r="T406">
        <f t="shared" si="978"/>
        <v>4.8692953739422489</v>
      </c>
    </row>
    <row r="407" spans="1:20" x14ac:dyDescent="0.25">
      <c r="A407" s="5">
        <v>44186</v>
      </c>
      <c r="B407">
        <v>0.32429999999999998</v>
      </c>
      <c r="C407">
        <v>0.33250000000000002</v>
      </c>
      <c r="D407">
        <v>0.2989</v>
      </c>
      <c r="E407">
        <v>0.3044</v>
      </c>
      <c r="F407">
        <v>13950967.789999999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-0.67261904761904756</v>
      </c>
      <c r="Q407">
        <f t="shared" si="975"/>
        <v>-9383686.6682738084</v>
      </c>
      <c r="R407">
        <f t="shared" si="976"/>
        <v>479657397.88792145</v>
      </c>
      <c r="S407">
        <f t="shared" si="977"/>
        <v>4796.5739788792143</v>
      </c>
      <c r="T407">
        <f t="shared" si="978"/>
        <v>4.7965739788792146</v>
      </c>
    </row>
    <row r="408" spans="1:20" x14ac:dyDescent="0.25">
      <c r="A408" s="5">
        <v>44185</v>
      </c>
      <c r="B408">
        <v>0.3407</v>
      </c>
      <c r="C408">
        <v>0.34499999999999997</v>
      </c>
      <c r="D408">
        <v>0.31719999999999998</v>
      </c>
      <c r="E408">
        <v>0.32429999999999998</v>
      </c>
      <c r="F408">
        <v>12518297.199999999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-0.48920863309352536</v>
      </c>
      <c r="Q408">
        <f t="shared" si="975"/>
        <v>-6124059.0618705051</v>
      </c>
      <c r="R408">
        <f t="shared" si="976"/>
        <v>489041084.55619526</v>
      </c>
      <c r="S408">
        <f t="shared" si="977"/>
        <v>4890.4108455619526</v>
      </c>
      <c r="T408">
        <f t="shared" si="978"/>
        <v>4.8904108455619522</v>
      </c>
    </row>
    <row r="409" spans="1:20" x14ac:dyDescent="0.25">
      <c r="A409" s="5">
        <v>44184</v>
      </c>
      <c r="B409">
        <v>0.32379999999999998</v>
      </c>
      <c r="C409">
        <v>0.34560000000000002</v>
      </c>
      <c r="D409">
        <v>0.32269999999999999</v>
      </c>
      <c r="E409">
        <v>0.34050000000000002</v>
      </c>
      <c r="F409">
        <v>12508565.710000001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0.55458515283842913</v>
      </c>
      <c r="Q409">
        <f t="shared" si="975"/>
        <v>6937064.826069884</v>
      </c>
      <c r="R409">
        <f t="shared" si="976"/>
        <v>495165143.61806577</v>
      </c>
      <c r="S409">
        <f t="shared" si="977"/>
        <v>4951.6514361806576</v>
      </c>
      <c r="T409">
        <f t="shared" si="978"/>
        <v>4.9516514361806578</v>
      </c>
    </row>
    <row r="410" spans="1:20" x14ac:dyDescent="0.25">
      <c r="A410" s="5">
        <v>44183</v>
      </c>
      <c r="B410">
        <v>0.32079999999999997</v>
      </c>
      <c r="C410">
        <v>0.33200000000000002</v>
      </c>
      <c r="D410">
        <v>0.31340000000000001</v>
      </c>
      <c r="E410">
        <v>0.32390000000000002</v>
      </c>
      <c r="F410">
        <v>10891539.029999999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0.12903225806451679</v>
      </c>
      <c r="Q410">
        <f t="shared" si="975"/>
        <v>1405359.8748387168</v>
      </c>
      <c r="R410">
        <f t="shared" si="976"/>
        <v>488228078.79199588</v>
      </c>
      <c r="S410">
        <f t="shared" si="977"/>
        <v>4882.280787919959</v>
      </c>
      <c r="T410">
        <f t="shared" si="978"/>
        <v>4.8822807879199592</v>
      </c>
    </row>
    <row r="411" spans="1:20" x14ac:dyDescent="0.25">
      <c r="A411" s="5">
        <v>44182</v>
      </c>
      <c r="B411">
        <v>0.3296</v>
      </c>
      <c r="C411">
        <v>0.34300000000000003</v>
      </c>
      <c r="D411">
        <v>0.31280000000000002</v>
      </c>
      <c r="E411">
        <v>0.3206</v>
      </c>
      <c r="F411">
        <v>26501551.140000001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-0.48344370860927333</v>
      </c>
      <c r="Q411">
        <f t="shared" si="975"/>
        <v>-12812008.167019915</v>
      </c>
      <c r="R411">
        <f t="shared" si="976"/>
        <v>486822718.91715717</v>
      </c>
      <c r="S411">
        <f t="shared" si="977"/>
        <v>4868.2271891715718</v>
      </c>
      <c r="T411">
        <f t="shared" si="978"/>
        <v>4.8682271891715718</v>
      </c>
    </row>
    <row r="412" spans="1:20" x14ac:dyDescent="0.25">
      <c r="A412" s="5">
        <v>44181</v>
      </c>
      <c r="B412">
        <v>0.30509999999999998</v>
      </c>
      <c r="C412">
        <v>0.33539999999999998</v>
      </c>
      <c r="D412">
        <v>0.29609999999999997</v>
      </c>
      <c r="E412">
        <v>0.3296</v>
      </c>
      <c r="F412">
        <v>15707690.9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0.70483460559796585</v>
      </c>
      <c r="Q412">
        <f t="shared" si="975"/>
        <v>11071324.120356258</v>
      </c>
      <c r="R412">
        <f t="shared" si="976"/>
        <v>499634727.08417708</v>
      </c>
      <c r="S412">
        <f t="shared" si="977"/>
        <v>4996.3472708417712</v>
      </c>
      <c r="T412">
        <f t="shared" si="978"/>
        <v>4.9963472708417713</v>
      </c>
    </row>
    <row r="413" spans="1:20" x14ac:dyDescent="0.25">
      <c r="A413" s="5">
        <v>44180</v>
      </c>
      <c r="B413">
        <v>0.30280000000000001</v>
      </c>
      <c r="C413">
        <v>0.30980000000000002</v>
      </c>
      <c r="D413">
        <v>0.2944</v>
      </c>
      <c r="E413">
        <v>0.3054</v>
      </c>
      <c r="F413">
        <v>7008754.8399999999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0.42857142857142755</v>
      </c>
      <c r="Q413">
        <f t="shared" si="975"/>
        <v>3003752.074285707</v>
      </c>
      <c r="R413">
        <f t="shared" si="976"/>
        <v>488563402.96382082</v>
      </c>
      <c r="S413">
        <f t="shared" si="977"/>
        <v>4885.6340296382077</v>
      </c>
      <c r="T413">
        <f t="shared" si="978"/>
        <v>4.8856340296382079</v>
      </c>
    </row>
    <row r="414" spans="1:20" x14ac:dyDescent="0.25">
      <c r="A414" s="5">
        <v>44179</v>
      </c>
      <c r="B414">
        <v>0.30120000000000002</v>
      </c>
      <c r="C414">
        <v>0.30620000000000003</v>
      </c>
      <c r="D414">
        <v>0.2908</v>
      </c>
      <c r="E414">
        <v>0.30249999999999999</v>
      </c>
      <c r="F414">
        <v>8821723.2699999996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0.51948051948051555</v>
      </c>
      <c r="Q414">
        <f t="shared" si="975"/>
        <v>4582713.387012952</v>
      </c>
      <c r="R414">
        <f t="shared" si="976"/>
        <v>485559650.88953513</v>
      </c>
      <c r="S414">
        <f t="shared" si="977"/>
        <v>4855.5965088953517</v>
      </c>
      <c r="T414">
        <f t="shared" si="978"/>
        <v>4.8555965088953519</v>
      </c>
    </row>
    <row r="415" spans="1:20" x14ac:dyDescent="0.25">
      <c r="A415" s="5">
        <v>44178</v>
      </c>
      <c r="B415">
        <v>0.29089999999999999</v>
      </c>
      <c r="C415">
        <v>0.30549999999999999</v>
      </c>
      <c r="D415">
        <v>0.2863</v>
      </c>
      <c r="E415">
        <v>0.3014</v>
      </c>
      <c r="F415">
        <v>9270599.1199999992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0.5729166666666673</v>
      </c>
      <c r="Q415">
        <f t="shared" si="975"/>
        <v>5311280.7458333382</v>
      </c>
      <c r="R415">
        <f t="shared" si="976"/>
        <v>480976937.50252217</v>
      </c>
      <c r="S415">
        <f t="shared" si="977"/>
        <v>4809.769375025222</v>
      </c>
      <c r="T415">
        <f t="shared" si="978"/>
        <v>4.8097693750252217</v>
      </c>
    </row>
    <row r="416" spans="1:20" x14ac:dyDescent="0.25">
      <c r="A416" s="5">
        <v>44177</v>
      </c>
      <c r="B416">
        <v>0.27400000000000002</v>
      </c>
      <c r="C416">
        <v>0.30099999999999999</v>
      </c>
      <c r="D416">
        <v>0.27300000000000002</v>
      </c>
      <c r="E416">
        <v>0.29070000000000001</v>
      </c>
      <c r="F416">
        <v>9666904.4900000002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0.26428571428571518</v>
      </c>
      <c r="Q416">
        <f t="shared" si="975"/>
        <v>2554824.7580714375</v>
      </c>
      <c r="R416">
        <f t="shared" si="976"/>
        <v>475665656.75668883</v>
      </c>
      <c r="S416">
        <f t="shared" si="977"/>
        <v>4756.656567566888</v>
      </c>
      <c r="T416">
        <f t="shared" si="978"/>
        <v>4.7566565675668881</v>
      </c>
    </row>
    <row r="417" spans="1:20" x14ac:dyDescent="0.25">
      <c r="A417" s="5">
        <v>44176</v>
      </c>
      <c r="B417">
        <v>0.28510000000000002</v>
      </c>
      <c r="C417">
        <v>0.28560000000000002</v>
      </c>
      <c r="D417">
        <v>0.26740000000000003</v>
      </c>
      <c r="E417">
        <v>0.27379999999999999</v>
      </c>
      <c r="F417">
        <v>15769425.51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-0.2967032967033007</v>
      </c>
      <c r="Q417">
        <f t="shared" si="975"/>
        <v>-4678840.5359341288</v>
      </c>
      <c r="R417">
        <f t="shared" si="976"/>
        <v>473110831.99861741</v>
      </c>
      <c r="S417">
        <f t="shared" si="977"/>
        <v>4731.1083199861741</v>
      </c>
      <c r="T417">
        <f t="shared" si="978"/>
        <v>4.7311083199861743</v>
      </c>
    </row>
    <row r="418" spans="1:20" x14ac:dyDescent="0.25">
      <c r="A418" s="5">
        <v>44175</v>
      </c>
      <c r="B418">
        <v>0.30840000000000001</v>
      </c>
      <c r="C418">
        <v>0.30969999999999998</v>
      </c>
      <c r="D418">
        <v>0.28449999999999998</v>
      </c>
      <c r="E418">
        <v>0.28520000000000001</v>
      </c>
      <c r="F418">
        <v>11481363.550000001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-0.94444444444444176</v>
      </c>
      <c r="Q418">
        <f t="shared" si="975"/>
        <v>-10843510.019444413</v>
      </c>
      <c r="R418">
        <f t="shared" si="976"/>
        <v>477789672.53455156</v>
      </c>
      <c r="S418">
        <f t="shared" si="977"/>
        <v>4777.8967253455157</v>
      </c>
      <c r="T418">
        <f t="shared" si="978"/>
        <v>4.7778967253455153</v>
      </c>
    </row>
    <row r="419" spans="1:20" x14ac:dyDescent="0.25">
      <c r="A419" s="5">
        <v>44174</v>
      </c>
      <c r="B419">
        <v>0.29909999999999998</v>
      </c>
      <c r="C419">
        <v>0.31190000000000001</v>
      </c>
      <c r="D419">
        <v>0.28399999999999997</v>
      </c>
      <c r="E419">
        <v>0.30840000000000001</v>
      </c>
      <c r="F419">
        <v>11090966.560000001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0.74910394265232982</v>
      </c>
      <c r="Q419">
        <f t="shared" si="975"/>
        <v>8308286.7779211486</v>
      </c>
      <c r="R419">
        <f t="shared" si="976"/>
        <v>488633182.55399597</v>
      </c>
      <c r="S419">
        <f t="shared" si="977"/>
        <v>4886.3318255399599</v>
      </c>
      <c r="T419">
        <f t="shared" si="978"/>
        <v>4.8863318255399601</v>
      </c>
    </row>
    <row r="420" spans="1:20" x14ac:dyDescent="0.25">
      <c r="A420" s="5">
        <v>44173</v>
      </c>
      <c r="B420">
        <v>0.31859999999999999</v>
      </c>
      <c r="C420">
        <v>0.32350000000000001</v>
      </c>
      <c r="D420">
        <v>0.29499999999999998</v>
      </c>
      <c r="E420">
        <v>0.29909999999999998</v>
      </c>
      <c r="F420">
        <v>13435530.43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-0.71228070175438674</v>
      </c>
      <c r="Q420">
        <f t="shared" si="975"/>
        <v>-9569869.0431228168</v>
      </c>
      <c r="R420">
        <f t="shared" si="976"/>
        <v>480324895.77607483</v>
      </c>
      <c r="S420">
        <f t="shared" si="977"/>
        <v>4803.2489577607485</v>
      </c>
      <c r="T420">
        <f t="shared" si="978"/>
        <v>4.8032489577607489</v>
      </c>
    </row>
    <row r="421" spans="1:20" x14ac:dyDescent="0.25">
      <c r="A421" s="5">
        <v>44172</v>
      </c>
      <c r="B421">
        <v>0.3387</v>
      </c>
      <c r="C421">
        <v>0.33900000000000002</v>
      </c>
      <c r="D421">
        <v>0.30420000000000003</v>
      </c>
      <c r="E421">
        <v>0.31859999999999999</v>
      </c>
      <c r="F421">
        <v>18094180.18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-0.17241379310345004</v>
      </c>
      <c r="Q421">
        <f t="shared" si="975"/>
        <v>-3119686.2379310662</v>
      </c>
      <c r="R421">
        <f t="shared" si="976"/>
        <v>489894764.81919765</v>
      </c>
      <c r="S421">
        <f t="shared" si="977"/>
        <v>4898.9476481919764</v>
      </c>
      <c r="T421">
        <f t="shared" si="978"/>
        <v>4.8989476481919763</v>
      </c>
    </row>
    <row r="422" spans="1:20" x14ac:dyDescent="0.25">
      <c r="A422" s="5">
        <v>44171</v>
      </c>
      <c r="B422">
        <v>0.3412</v>
      </c>
      <c r="C422">
        <v>0.34610000000000002</v>
      </c>
      <c r="D422">
        <v>0.3256</v>
      </c>
      <c r="E422">
        <v>0.33829999999999999</v>
      </c>
      <c r="F422">
        <v>7756467.9299999997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0.23902439024390026</v>
      </c>
      <c r="Q422">
        <f t="shared" si="975"/>
        <v>1853985.0174146171</v>
      </c>
      <c r="R422">
        <f t="shared" si="976"/>
        <v>493014451.05712873</v>
      </c>
      <c r="S422">
        <f t="shared" si="977"/>
        <v>4930.1445105712874</v>
      </c>
      <c r="T422">
        <f t="shared" si="978"/>
        <v>4.9301445105712878</v>
      </c>
    </row>
    <row r="423" spans="1:20" x14ac:dyDescent="0.25">
      <c r="A423" s="5">
        <v>44170</v>
      </c>
      <c r="B423">
        <v>0.32150000000000001</v>
      </c>
      <c r="C423">
        <v>0.35220000000000001</v>
      </c>
      <c r="D423">
        <v>0.31819999999999998</v>
      </c>
      <c r="E423">
        <v>0.34150000000000003</v>
      </c>
      <c r="F423">
        <v>10099398.859999999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0.37058823529411894</v>
      </c>
      <c r="Q423">
        <f t="shared" si="975"/>
        <v>3742718.4010588364</v>
      </c>
      <c r="R423">
        <f t="shared" si="976"/>
        <v>491160466.0397141</v>
      </c>
      <c r="S423">
        <f t="shared" si="977"/>
        <v>4911.6046603971408</v>
      </c>
      <c r="T423">
        <f t="shared" si="978"/>
        <v>4.9116046603971411</v>
      </c>
    </row>
    <row r="424" spans="1:20" x14ac:dyDescent="0.25">
      <c r="A424" s="5">
        <v>44169</v>
      </c>
      <c r="B424">
        <v>0.34849999999999998</v>
      </c>
      <c r="C424">
        <v>0.3513</v>
      </c>
      <c r="D424">
        <v>0.31690000000000002</v>
      </c>
      <c r="E424">
        <v>0.32200000000000001</v>
      </c>
      <c r="F424">
        <v>12207609.49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-0.70348837209302351</v>
      </c>
      <c r="Q424">
        <f t="shared" si="975"/>
        <v>-8587911.3272674456</v>
      </c>
      <c r="R424">
        <f t="shared" si="976"/>
        <v>487417747.63865525</v>
      </c>
      <c r="S424">
        <f t="shared" si="977"/>
        <v>4874.1774763865524</v>
      </c>
      <c r="T424">
        <f t="shared" si="978"/>
        <v>4.874177476386552</v>
      </c>
    </row>
    <row r="425" spans="1:20" x14ac:dyDescent="0.25">
      <c r="A425" s="5">
        <v>44168</v>
      </c>
      <c r="B425">
        <v>0.34489999999999998</v>
      </c>
      <c r="C425">
        <v>0.35730000000000001</v>
      </c>
      <c r="D425">
        <v>0.32519999999999999</v>
      </c>
      <c r="E425">
        <v>0.34889999999999999</v>
      </c>
      <c r="F425">
        <v>12052439.039999999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0.4766355140186907</v>
      </c>
      <c r="Q425">
        <f t="shared" si="975"/>
        <v>5744620.4770093346</v>
      </c>
      <c r="R425">
        <f t="shared" si="976"/>
        <v>496005658.96592271</v>
      </c>
      <c r="S425">
        <f t="shared" si="977"/>
        <v>4960.056589659227</v>
      </c>
      <c r="T425">
        <f t="shared" si="978"/>
        <v>4.960056589659227</v>
      </c>
    </row>
    <row r="426" spans="1:20" x14ac:dyDescent="0.25">
      <c r="A426" s="5">
        <v>44167</v>
      </c>
      <c r="B426">
        <v>0.32619999999999999</v>
      </c>
      <c r="C426">
        <v>0.34639999999999999</v>
      </c>
      <c r="D426">
        <v>0.31830000000000003</v>
      </c>
      <c r="E426">
        <v>0.34449999999999997</v>
      </c>
      <c r="F426">
        <v>13715402.99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0.86476868327402023</v>
      </c>
      <c r="Q426">
        <f t="shared" si="975"/>
        <v>11860650.98423486</v>
      </c>
      <c r="R426">
        <f t="shared" si="976"/>
        <v>490261038.48891336</v>
      </c>
      <c r="S426">
        <f t="shared" si="977"/>
        <v>4902.6103848891335</v>
      </c>
      <c r="T426">
        <f t="shared" si="978"/>
        <v>4.9026103848891331</v>
      </c>
    </row>
    <row r="427" spans="1:20" x14ac:dyDescent="0.25">
      <c r="A427" s="5">
        <v>44166</v>
      </c>
      <c r="B427">
        <v>0.35239999999999999</v>
      </c>
      <c r="C427">
        <v>0.36080000000000001</v>
      </c>
      <c r="D427">
        <v>0.315</v>
      </c>
      <c r="E427">
        <v>0.32629999999999998</v>
      </c>
      <c r="F427">
        <v>27933639.73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-0.50655021834061242</v>
      </c>
      <c r="Q427">
        <f t="shared" si="975"/>
        <v>-14149791.304279506</v>
      </c>
      <c r="R427">
        <f t="shared" si="976"/>
        <v>478400387.50467849</v>
      </c>
      <c r="S427">
        <f t="shared" si="977"/>
        <v>4784.0038750467847</v>
      </c>
      <c r="T427">
        <f t="shared" si="978"/>
        <v>4.7840038750467846</v>
      </c>
    </row>
    <row r="428" spans="1:20" x14ac:dyDescent="0.25">
      <c r="A428" s="5">
        <v>44165</v>
      </c>
      <c r="B428">
        <v>0.34379999999999999</v>
      </c>
      <c r="C428">
        <v>0.36609999999999998</v>
      </c>
      <c r="D428">
        <v>0.33350000000000002</v>
      </c>
      <c r="E428">
        <v>0.3523</v>
      </c>
      <c r="F428">
        <v>24870472.460000001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0.15337423312883466</v>
      </c>
      <c r="Q428">
        <f t="shared" si="975"/>
        <v>3814489.6411043024</v>
      </c>
      <c r="R428">
        <f t="shared" si="976"/>
        <v>492550178.80895799</v>
      </c>
      <c r="S428">
        <f t="shared" si="977"/>
        <v>4925.5017880895803</v>
      </c>
      <c r="T428">
        <f t="shared" si="978"/>
        <v>4.9255017880895799</v>
      </c>
    </row>
    <row r="429" spans="1:20" x14ac:dyDescent="0.25">
      <c r="A429" s="5">
        <v>44164</v>
      </c>
      <c r="B429">
        <v>0.33929999999999999</v>
      </c>
      <c r="C429">
        <v>0.35899999999999999</v>
      </c>
      <c r="D429">
        <v>0.32700000000000001</v>
      </c>
      <c r="E429">
        <v>0.34350000000000003</v>
      </c>
      <c r="F429">
        <v>19019276.559999999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3.125000000000179E-2</v>
      </c>
      <c r="Q429">
        <f t="shared" si="975"/>
        <v>594352.39250003395</v>
      </c>
      <c r="R429">
        <f t="shared" si="976"/>
        <v>488735689.16785371</v>
      </c>
      <c r="S429">
        <f t="shared" si="977"/>
        <v>4887.3568916785371</v>
      </c>
      <c r="T429">
        <f t="shared" si="978"/>
        <v>4.8873568916785368</v>
      </c>
    </row>
    <row r="430" spans="1:20" x14ac:dyDescent="0.25">
      <c r="A430" s="5">
        <v>44163</v>
      </c>
      <c r="B430">
        <v>0.31319999999999998</v>
      </c>
      <c r="C430">
        <v>0.35220000000000001</v>
      </c>
      <c r="D430">
        <v>0.30209999999999998</v>
      </c>
      <c r="E430">
        <v>0.3397</v>
      </c>
      <c r="F430">
        <v>21815576.140000001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0.50099800399201588</v>
      </c>
      <c r="Q430">
        <f t="shared" si="975"/>
        <v>10929560.102075847</v>
      </c>
      <c r="R430">
        <f t="shared" si="976"/>
        <v>488141336.77535367</v>
      </c>
      <c r="S430">
        <f t="shared" si="977"/>
        <v>4881.4133677535365</v>
      </c>
      <c r="T430">
        <f t="shared" si="978"/>
        <v>4.8814133677535363</v>
      </c>
    </row>
    <row r="431" spans="1:20" x14ac:dyDescent="0.25">
      <c r="A431" s="5">
        <v>44162</v>
      </c>
      <c r="B431">
        <v>0.30449999999999999</v>
      </c>
      <c r="C431">
        <v>0.32450000000000001</v>
      </c>
      <c r="D431">
        <v>0.28999999999999998</v>
      </c>
      <c r="E431">
        <v>0.31259999999999999</v>
      </c>
      <c r="F431">
        <v>23205513.899999999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0.31014492753623124</v>
      </c>
      <c r="Q431">
        <f t="shared" si="975"/>
        <v>7197072.4269565064</v>
      </c>
      <c r="R431">
        <f t="shared" si="976"/>
        <v>477211776.6732778</v>
      </c>
      <c r="S431">
        <f t="shared" si="977"/>
        <v>4772.1177667327784</v>
      </c>
      <c r="T431">
        <f t="shared" si="978"/>
        <v>4.7721177667327783</v>
      </c>
    </row>
    <row r="432" spans="1:20" x14ac:dyDescent="0.25">
      <c r="A432" s="5">
        <v>44161</v>
      </c>
      <c r="B432">
        <v>0.3548</v>
      </c>
      <c r="C432">
        <v>0.36109999999999998</v>
      </c>
      <c r="D432">
        <v>0.27500000000000002</v>
      </c>
      <c r="E432">
        <v>0.30459999999999998</v>
      </c>
      <c r="F432">
        <v>55631609.909999996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-0.3124274099883862</v>
      </c>
      <c r="Q432">
        <f t="shared" si="975"/>
        <v>-17380839.797665536</v>
      </c>
      <c r="R432">
        <f t="shared" si="976"/>
        <v>470014704.24632126</v>
      </c>
      <c r="S432">
        <f t="shared" si="977"/>
        <v>4700.1470424632125</v>
      </c>
      <c r="T432">
        <f t="shared" si="978"/>
        <v>4.7001470424632128</v>
      </c>
    </row>
    <row r="433" spans="1:20" x14ac:dyDescent="0.25">
      <c r="A433" s="5">
        <v>44160</v>
      </c>
      <c r="B433">
        <v>0.3841</v>
      </c>
      <c r="C433">
        <v>0.41</v>
      </c>
      <c r="D433">
        <v>0.33529999999999999</v>
      </c>
      <c r="E433">
        <v>0.35520000000000002</v>
      </c>
      <c r="F433">
        <v>42764533.130000003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-0.46720214190093623</v>
      </c>
      <c r="Q433">
        <f t="shared" si="975"/>
        <v>-19979681.475729551</v>
      </c>
      <c r="R433">
        <f t="shared" si="976"/>
        <v>487395544.0439868</v>
      </c>
      <c r="S433">
        <f t="shared" si="977"/>
        <v>4873.9554404398677</v>
      </c>
      <c r="T433">
        <f t="shared" si="978"/>
        <v>4.8739554404398682</v>
      </c>
    </row>
    <row r="434" spans="1:20" x14ac:dyDescent="0.25">
      <c r="A434" s="5">
        <v>44159</v>
      </c>
      <c r="B434">
        <v>0.3614</v>
      </c>
      <c r="C434">
        <v>0.42599999999999999</v>
      </c>
      <c r="D434">
        <v>0.34560000000000002</v>
      </c>
      <c r="E434">
        <v>0.38450000000000001</v>
      </c>
      <c r="F434">
        <v>64166272.740000002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-3.2338308457711344E-2</v>
      </c>
      <c r="Q434">
        <f t="shared" si="975"/>
        <v>-2075028.720447755</v>
      </c>
      <c r="R434">
        <f t="shared" si="976"/>
        <v>507375225.51971632</v>
      </c>
      <c r="S434">
        <f t="shared" si="977"/>
        <v>5073.7522551971633</v>
      </c>
      <c r="T434">
        <f t="shared" si="978"/>
        <v>5.0737522551971637</v>
      </c>
    </row>
    <row r="435" spans="1:20" x14ac:dyDescent="0.25">
      <c r="A435" s="5">
        <v>44158</v>
      </c>
      <c r="B435">
        <v>0.31909999999999999</v>
      </c>
      <c r="C435">
        <v>0.3654</v>
      </c>
      <c r="D435">
        <v>0.31280000000000002</v>
      </c>
      <c r="E435">
        <v>0.36120000000000002</v>
      </c>
      <c r="F435">
        <v>44425909.740000002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0.84030418250950634</v>
      </c>
      <c r="Q435">
        <f t="shared" si="975"/>
        <v>37331277.766311817</v>
      </c>
      <c r="R435">
        <f t="shared" si="976"/>
        <v>509450254.2401641</v>
      </c>
      <c r="S435">
        <f t="shared" si="977"/>
        <v>5094.5025424016412</v>
      </c>
      <c r="T435">
        <f t="shared" si="978"/>
        <v>5.0945025424016412</v>
      </c>
    </row>
    <row r="436" spans="1:20" x14ac:dyDescent="0.25">
      <c r="A436" s="5">
        <v>44157</v>
      </c>
      <c r="B436">
        <v>0.32669999999999999</v>
      </c>
      <c r="C436">
        <v>0.34060000000000001</v>
      </c>
      <c r="D436">
        <v>0.28720000000000001</v>
      </c>
      <c r="E436">
        <v>0.3196</v>
      </c>
      <c r="F436">
        <v>44208531.439999998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0.21348314606741509</v>
      </c>
      <c r="Q436">
        <f t="shared" si="975"/>
        <v>9437776.3748314325</v>
      </c>
      <c r="R436">
        <f t="shared" si="976"/>
        <v>472118976.47385228</v>
      </c>
      <c r="S436">
        <f t="shared" si="977"/>
        <v>4721.1897647385231</v>
      </c>
      <c r="T436">
        <f t="shared" si="978"/>
        <v>4.721189764738523</v>
      </c>
    </row>
    <row r="437" spans="1:20" x14ac:dyDescent="0.25">
      <c r="A437" s="5">
        <v>44156</v>
      </c>
      <c r="B437">
        <v>0.26600000000000001</v>
      </c>
      <c r="C437">
        <v>0.32669999999999999</v>
      </c>
      <c r="D437">
        <v>0.26590000000000003</v>
      </c>
      <c r="E437">
        <v>0.32669999999999999</v>
      </c>
      <c r="F437">
        <v>41814280.119999997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1</v>
      </c>
      <c r="Q437">
        <f t="shared" si="975"/>
        <v>41814280.119999997</v>
      </c>
      <c r="R437">
        <f t="shared" si="976"/>
        <v>462681200.09902084</v>
      </c>
      <c r="S437">
        <f t="shared" si="977"/>
        <v>4626.8120009902086</v>
      </c>
      <c r="T437">
        <f t="shared" si="978"/>
        <v>4.626812000990209</v>
      </c>
    </row>
    <row r="438" spans="1:20" x14ac:dyDescent="0.25">
      <c r="A438" s="5">
        <v>44155</v>
      </c>
      <c r="B438">
        <v>0.25359999999999999</v>
      </c>
      <c r="C438">
        <v>0.26640000000000003</v>
      </c>
      <c r="D438">
        <v>0.25130000000000002</v>
      </c>
      <c r="E438">
        <v>0.26600000000000001</v>
      </c>
      <c r="F438">
        <v>13304035.6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0.94701986754966738</v>
      </c>
      <c r="Q438">
        <f t="shared" si="975"/>
        <v>12599186.031788059</v>
      </c>
      <c r="R438">
        <f t="shared" si="976"/>
        <v>420866919.97902083</v>
      </c>
      <c r="S438">
        <f t="shared" si="977"/>
        <v>4208.669199790208</v>
      </c>
      <c r="T438">
        <f t="shared" si="978"/>
        <v>4.2086691997902079</v>
      </c>
    </row>
    <row r="439" spans="1:20" x14ac:dyDescent="0.25">
      <c r="A439" s="5">
        <v>44154</v>
      </c>
      <c r="B439">
        <v>0.2571</v>
      </c>
      <c r="C439">
        <v>0.2581</v>
      </c>
      <c r="D439">
        <v>0.25</v>
      </c>
      <c r="E439">
        <v>0.25359999999999999</v>
      </c>
      <c r="F439">
        <v>7860401.5899999999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-0.11111111111111263</v>
      </c>
      <c r="Q439">
        <f t="shared" si="975"/>
        <v>-873377.95444445638</v>
      </c>
      <c r="R439">
        <f t="shared" si="976"/>
        <v>408267733.94723278</v>
      </c>
      <c r="S439">
        <f t="shared" si="977"/>
        <v>4082.6773394723277</v>
      </c>
      <c r="T439">
        <f t="shared" si="978"/>
        <v>4.0826773394723279</v>
      </c>
    </row>
    <row r="440" spans="1:20" x14ac:dyDescent="0.25">
      <c r="A440" s="5">
        <v>44153</v>
      </c>
      <c r="B440">
        <v>0.26569999999999999</v>
      </c>
      <c r="C440">
        <v>0.2712</v>
      </c>
      <c r="D440">
        <v>0.2475</v>
      </c>
      <c r="E440">
        <v>0.25719999999999998</v>
      </c>
      <c r="F440">
        <v>13028260.49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-0.18143459915611926</v>
      </c>
      <c r="Q440">
        <f t="shared" si="975"/>
        <v>-2363777.2197046559</v>
      </c>
      <c r="R440">
        <f t="shared" si="976"/>
        <v>409141111.90167725</v>
      </c>
      <c r="S440">
        <f t="shared" si="977"/>
        <v>4091.4111190167723</v>
      </c>
      <c r="T440">
        <f t="shared" si="978"/>
        <v>4.0914111190167723</v>
      </c>
    </row>
    <row r="441" spans="1:20" x14ac:dyDescent="0.25">
      <c r="A441" s="5">
        <v>44152</v>
      </c>
      <c r="B441">
        <v>0.25309999999999999</v>
      </c>
      <c r="C441">
        <v>0.26790000000000003</v>
      </c>
      <c r="D441">
        <v>0.25269999999999998</v>
      </c>
      <c r="E441">
        <v>0.26579999999999998</v>
      </c>
      <c r="F441">
        <v>11091059.4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0.7236842105263106</v>
      </c>
      <c r="Q441">
        <f t="shared" si="975"/>
        <v>8026424.5657894164</v>
      </c>
      <c r="R441">
        <f t="shared" si="976"/>
        <v>411504889.12138188</v>
      </c>
      <c r="S441">
        <f t="shared" si="977"/>
        <v>4115.0488912138189</v>
      </c>
      <c r="T441">
        <f t="shared" si="978"/>
        <v>4.115048891213819</v>
      </c>
    </row>
    <row r="442" spans="1:20" x14ac:dyDescent="0.25">
      <c r="A442" s="5">
        <v>44151</v>
      </c>
      <c r="B442">
        <v>0.25030000000000002</v>
      </c>
      <c r="C442">
        <v>0.25779999999999997</v>
      </c>
      <c r="D442">
        <v>0.248</v>
      </c>
      <c r="E442">
        <v>0.25319999999999998</v>
      </c>
      <c r="F442">
        <v>7806691.6600000001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6.1224489795917443E-2</v>
      </c>
      <c r="Q442">
        <f t="shared" si="975"/>
        <v>477960.71387754381</v>
      </c>
      <c r="R442">
        <f t="shared" si="976"/>
        <v>403478464.55559248</v>
      </c>
      <c r="S442">
        <f t="shared" si="977"/>
        <v>4034.7846455559247</v>
      </c>
      <c r="T442">
        <f t="shared" si="978"/>
        <v>4.0347846455559244</v>
      </c>
    </row>
    <row r="443" spans="1:20" x14ac:dyDescent="0.25">
      <c r="A443" s="5">
        <v>44150</v>
      </c>
      <c r="B443">
        <v>0.2515</v>
      </c>
      <c r="C443">
        <v>0.25850000000000001</v>
      </c>
      <c r="D443">
        <v>0.245</v>
      </c>
      <c r="E443">
        <v>0.25030000000000002</v>
      </c>
      <c r="F443">
        <v>5846341.9299999997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-0.21481481481481152</v>
      </c>
      <c r="Q443">
        <f t="shared" si="975"/>
        <v>-1255880.8590370177</v>
      </c>
      <c r="R443">
        <f t="shared" si="976"/>
        <v>403000503.84171492</v>
      </c>
      <c r="S443">
        <f t="shared" si="977"/>
        <v>4030.0050384171491</v>
      </c>
      <c r="T443">
        <f t="shared" si="978"/>
        <v>4.0300050384171495</v>
      </c>
    </row>
    <row r="444" spans="1:20" x14ac:dyDescent="0.25">
      <c r="A444" s="5">
        <v>44149</v>
      </c>
      <c r="B444">
        <v>0.25690000000000002</v>
      </c>
      <c r="C444">
        <v>0.25900000000000001</v>
      </c>
      <c r="D444">
        <v>0.24660000000000001</v>
      </c>
      <c r="E444">
        <v>0.2515</v>
      </c>
      <c r="F444">
        <v>6067112.54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-0.20967741935484033</v>
      </c>
      <c r="Q444">
        <f t="shared" si="975"/>
        <v>-1272136.5003225906</v>
      </c>
      <c r="R444">
        <f t="shared" si="976"/>
        <v>404256384.70075196</v>
      </c>
      <c r="S444">
        <f t="shared" si="977"/>
        <v>4042.5638470075196</v>
      </c>
      <c r="T444">
        <f t="shared" si="978"/>
        <v>4.0425638470075196</v>
      </c>
    </row>
    <row r="445" spans="1:20" x14ac:dyDescent="0.25">
      <c r="A445" s="5">
        <v>44148</v>
      </c>
      <c r="B445">
        <v>0.2485</v>
      </c>
      <c r="C445">
        <v>0.25779999999999997</v>
      </c>
      <c r="D445">
        <v>0.24590000000000001</v>
      </c>
      <c r="E445">
        <v>0.25659999999999999</v>
      </c>
      <c r="F445">
        <v>6939078.2199999997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0.79831932773109537</v>
      </c>
      <c r="Q445">
        <f t="shared" si="975"/>
        <v>5539600.2596638855</v>
      </c>
      <c r="R445">
        <f t="shared" si="976"/>
        <v>405528521.20107454</v>
      </c>
      <c r="S445">
        <f t="shared" si="977"/>
        <v>4055.2852120107455</v>
      </c>
      <c r="T445">
        <f t="shared" si="978"/>
        <v>4.0552852120107454</v>
      </c>
    </row>
    <row r="446" spans="1:20" x14ac:dyDescent="0.25">
      <c r="A446" s="5">
        <v>44147</v>
      </c>
      <c r="B446">
        <v>0.25090000000000001</v>
      </c>
      <c r="C446">
        <v>0.2591</v>
      </c>
      <c r="D446">
        <v>0.2472</v>
      </c>
      <c r="E446">
        <v>0.24840000000000001</v>
      </c>
      <c r="F446">
        <v>8489895.1400000006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-0.79831932773109127</v>
      </c>
      <c r="Q446">
        <f t="shared" si="975"/>
        <v>-6777647.3806722593</v>
      </c>
      <c r="R446">
        <f t="shared" si="976"/>
        <v>399988920.94141066</v>
      </c>
      <c r="S446">
        <f t="shared" si="977"/>
        <v>3999.8892094141065</v>
      </c>
      <c r="T446">
        <f t="shared" si="978"/>
        <v>3.9998892094141065</v>
      </c>
    </row>
    <row r="447" spans="1:20" x14ac:dyDescent="0.25">
      <c r="A447" s="5">
        <v>44146</v>
      </c>
      <c r="B447">
        <v>0.25440000000000002</v>
      </c>
      <c r="C447">
        <v>0.26079999999999998</v>
      </c>
      <c r="D447">
        <v>0.25069999999999998</v>
      </c>
      <c r="E447">
        <v>0.25130000000000002</v>
      </c>
      <c r="F447">
        <v>8245984.04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-0.88118811881187231</v>
      </c>
      <c r="Q447">
        <f t="shared" si="975"/>
        <v>-7266263.1639603227</v>
      </c>
      <c r="R447">
        <f t="shared" si="976"/>
        <v>406766568.32208294</v>
      </c>
      <c r="S447">
        <f t="shared" si="977"/>
        <v>4067.6656832208296</v>
      </c>
      <c r="T447">
        <f t="shared" si="978"/>
        <v>4.06766568322083</v>
      </c>
    </row>
    <row r="448" spans="1:20" x14ac:dyDescent="0.25">
      <c r="A448" s="5">
        <v>44145</v>
      </c>
      <c r="B448">
        <v>0.25140000000000001</v>
      </c>
      <c r="C448">
        <v>0.25819999999999999</v>
      </c>
      <c r="D448">
        <v>0.24859999999999999</v>
      </c>
      <c r="E448">
        <v>0.25440000000000002</v>
      </c>
      <c r="F448">
        <v>7723373.1799999997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0.20833333333333937</v>
      </c>
      <c r="Q448">
        <f t="shared" si="975"/>
        <v>1609036.0791667132</v>
      </c>
      <c r="R448">
        <f t="shared" si="976"/>
        <v>414032831.48604327</v>
      </c>
      <c r="S448">
        <f t="shared" si="977"/>
        <v>4140.3283148604323</v>
      </c>
      <c r="T448">
        <f t="shared" si="978"/>
        <v>4.1403283148604322</v>
      </c>
    </row>
    <row r="449" spans="1:20" x14ac:dyDescent="0.25">
      <c r="A449" s="5">
        <v>44144</v>
      </c>
      <c r="B449">
        <v>0.26579999999999998</v>
      </c>
      <c r="C449">
        <v>0.26860000000000001</v>
      </c>
      <c r="D449">
        <v>0.2447</v>
      </c>
      <c r="E449">
        <v>0.25140000000000001</v>
      </c>
      <c r="F449">
        <v>19990453.57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-0.43933054393305354</v>
      </c>
      <c r="Q449">
        <f t="shared" si="975"/>
        <v>-8782416.8403765522</v>
      </c>
      <c r="R449">
        <f t="shared" si="976"/>
        <v>412423795.40687656</v>
      </c>
      <c r="S449">
        <f t="shared" si="977"/>
        <v>4124.2379540687652</v>
      </c>
      <c r="T449">
        <f t="shared" si="978"/>
        <v>4.1242379540687653</v>
      </c>
    </row>
    <row r="450" spans="1:20" x14ac:dyDescent="0.25">
      <c r="A450" s="5">
        <v>44143</v>
      </c>
      <c r="B450">
        <v>0.25740000000000002</v>
      </c>
      <c r="C450">
        <v>0.26860000000000001</v>
      </c>
      <c r="D450">
        <v>0.253</v>
      </c>
      <c r="E450">
        <v>0.26619999999999999</v>
      </c>
      <c r="F450">
        <v>7052188.6100000003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0.69230769230769063</v>
      </c>
      <c r="Q450">
        <f t="shared" si="975"/>
        <v>4882284.4223076804</v>
      </c>
      <c r="R450">
        <f t="shared" si="976"/>
        <v>421206212.24725312</v>
      </c>
      <c r="S450">
        <f t="shared" si="977"/>
        <v>4212.062122472531</v>
      </c>
      <c r="T450">
        <f t="shared" si="978"/>
        <v>4.2120621224725312</v>
      </c>
    </row>
    <row r="451" spans="1:20" x14ac:dyDescent="0.25">
      <c r="A451" s="5">
        <v>44142</v>
      </c>
      <c r="B451">
        <v>0.26769999999999999</v>
      </c>
      <c r="C451">
        <v>0.27879999999999999</v>
      </c>
      <c r="D451">
        <v>0.25080000000000002</v>
      </c>
      <c r="E451">
        <v>0.25729999999999997</v>
      </c>
      <c r="F451">
        <v>16389682.82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-0.53571428571428881</v>
      </c>
      <c r="Q451">
        <f t="shared" si="975"/>
        <v>-8780187.2250000499</v>
      </c>
      <c r="R451">
        <f t="shared" si="976"/>
        <v>416323927.82494545</v>
      </c>
      <c r="S451">
        <f t="shared" si="977"/>
        <v>4163.2392782494544</v>
      </c>
      <c r="T451">
        <f t="shared" si="978"/>
        <v>4.1632392782494545</v>
      </c>
    </row>
    <row r="452" spans="1:20" x14ac:dyDescent="0.25">
      <c r="A452" s="5">
        <v>44141</v>
      </c>
      <c r="B452">
        <v>0.24940000000000001</v>
      </c>
      <c r="C452">
        <v>0.2697</v>
      </c>
      <c r="D452">
        <v>0.24859999999999999</v>
      </c>
      <c r="E452">
        <v>0.26740000000000003</v>
      </c>
      <c r="F452">
        <v>14383435.109999999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0.7819905213270173</v>
      </c>
      <c r="Q452">
        <f t="shared" si="975"/>
        <v>11247709.920142224</v>
      </c>
      <c r="R452">
        <f t="shared" si="976"/>
        <v>425104115.04994547</v>
      </c>
      <c r="S452">
        <f t="shared" si="977"/>
        <v>4251.0411504994545</v>
      </c>
      <c r="T452">
        <f t="shared" si="978"/>
        <v>4.2510411504994545</v>
      </c>
    </row>
    <row r="453" spans="1:20" x14ac:dyDescent="0.25">
      <c r="A453" s="5">
        <v>44140</v>
      </c>
      <c r="B453">
        <v>0.23619999999999999</v>
      </c>
      <c r="C453">
        <v>0.2545</v>
      </c>
      <c r="D453">
        <v>0.22889999999999999</v>
      </c>
      <c r="E453">
        <v>0.2492</v>
      </c>
      <c r="F453">
        <v>12659494.109999999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0.58593750000000022</v>
      </c>
      <c r="Q453">
        <f t="shared" si="975"/>
        <v>7417672.3300781278</v>
      </c>
      <c r="R453">
        <f t="shared" si="976"/>
        <v>413856405.12980324</v>
      </c>
      <c r="S453">
        <f t="shared" si="977"/>
        <v>4138.5640512980326</v>
      </c>
      <c r="T453">
        <f t="shared" si="978"/>
        <v>4.1385640512980322</v>
      </c>
    </row>
    <row r="454" spans="1:20" x14ac:dyDescent="0.25">
      <c r="A454" s="5">
        <v>44139</v>
      </c>
      <c r="B454">
        <v>0.24560000000000001</v>
      </c>
      <c r="C454">
        <v>0.24709999999999999</v>
      </c>
      <c r="D454">
        <v>0.22550000000000001</v>
      </c>
      <c r="E454">
        <v>0.2359</v>
      </c>
      <c r="F454">
        <v>11811486.09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-3.7037037037036848E-2</v>
      </c>
      <c r="Q454">
        <f t="shared" ref="Q454:Q517" si="980">F454*P454</f>
        <v>-437462.44777777552</v>
      </c>
      <c r="R454">
        <f t="shared" ref="R454:R517" si="981">R455+Q454</f>
        <v>406438732.79972512</v>
      </c>
      <c r="S454">
        <f t="shared" ref="S454:S517" si="982">R454/100000</f>
        <v>4064.3873279972513</v>
      </c>
      <c r="T454">
        <f t="shared" ref="T454:T517" si="983">S454/1000</f>
        <v>4.0643873279972516</v>
      </c>
    </row>
    <row r="455" spans="1:20" x14ac:dyDescent="0.25">
      <c r="A455" s="5">
        <v>44138</v>
      </c>
      <c r="B455">
        <v>0.24679999999999999</v>
      </c>
      <c r="C455">
        <v>0.24790000000000001</v>
      </c>
      <c r="D455">
        <v>0.23580000000000001</v>
      </c>
      <c r="E455">
        <v>0.2455</v>
      </c>
      <c r="F455">
        <v>8122599.0700000003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0.60330578512396471</v>
      </c>
      <c r="Q455">
        <f t="shared" si="980"/>
        <v>4900411.0091735357</v>
      </c>
      <c r="R455">
        <f t="shared" si="981"/>
        <v>406876195.24750286</v>
      </c>
      <c r="S455">
        <f t="shared" si="982"/>
        <v>4068.7619524750285</v>
      </c>
      <c r="T455">
        <f t="shared" si="983"/>
        <v>4.068761952475028</v>
      </c>
    </row>
    <row r="456" spans="1:20" x14ac:dyDescent="0.25">
      <c r="A456" s="5">
        <v>44137</v>
      </c>
      <c r="B456">
        <v>0.25269999999999998</v>
      </c>
      <c r="C456">
        <v>0.2596</v>
      </c>
      <c r="D456">
        <v>0.24349999999999999</v>
      </c>
      <c r="E456">
        <v>0.2467</v>
      </c>
      <c r="F456">
        <v>5791492.0300000003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-0.60248447204968847</v>
      </c>
      <c r="Q456">
        <f t="shared" si="980"/>
        <v>-3489284.0180745288</v>
      </c>
      <c r="R456">
        <f t="shared" si="981"/>
        <v>401975784.23832935</v>
      </c>
      <c r="S456">
        <f t="shared" si="982"/>
        <v>4019.7578423832933</v>
      </c>
      <c r="T456">
        <f t="shared" si="983"/>
        <v>4.0197578423832931</v>
      </c>
    </row>
    <row r="457" spans="1:20" x14ac:dyDescent="0.25">
      <c r="A457" s="5">
        <v>44136</v>
      </c>
      <c r="B457">
        <v>0.25369999999999998</v>
      </c>
      <c r="C457">
        <v>0.25629999999999997</v>
      </c>
      <c r="D457">
        <v>0.24829999999999999</v>
      </c>
      <c r="E457">
        <v>0.25269999999999998</v>
      </c>
      <c r="F457">
        <v>5329422.1900000004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9.9999999999999659E-2</v>
      </c>
      <c r="Q457">
        <f t="shared" si="980"/>
        <v>532942.21899999818</v>
      </c>
      <c r="R457">
        <f t="shared" si="981"/>
        <v>405465068.25640386</v>
      </c>
      <c r="S457">
        <f t="shared" si="982"/>
        <v>4054.6506825640386</v>
      </c>
      <c r="T457">
        <f t="shared" si="983"/>
        <v>4.0546506825640387</v>
      </c>
    </row>
    <row r="458" spans="1:20" x14ac:dyDescent="0.25">
      <c r="A458" s="5">
        <v>44135</v>
      </c>
      <c r="B458">
        <v>0.25719999999999998</v>
      </c>
      <c r="C458">
        <v>0.26450000000000001</v>
      </c>
      <c r="D458">
        <v>0.25319999999999998</v>
      </c>
      <c r="E458">
        <v>0.25390000000000001</v>
      </c>
      <c r="F458">
        <v>3923881.93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-0.87610619469025985</v>
      </c>
      <c r="Q458">
        <f t="shared" si="980"/>
        <v>-3437737.2661061729</v>
      </c>
      <c r="R458">
        <f t="shared" si="981"/>
        <v>404932126.03740388</v>
      </c>
      <c r="S458">
        <f t="shared" si="982"/>
        <v>4049.321260374039</v>
      </c>
      <c r="T458">
        <f t="shared" si="983"/>
        <v>4.0493212603740387</v>
      </c>
    </row>
    <row r="459" spans="1:20" x14ac:dyDescent="0.25">
      <c r="A459" s="5">
        <v>44134</v>
      </c>
      <c r="B459">
        <v>0.25969999999999999</v>
      </c>
      <c r="C459">
        <v>0.2626</v>
      </c>
      <c r="D459">
        <v>0.24510000000000001</v>
      </c>
      <c r="E459">
        <v>0.2571</v>
      </c>
      <c r="F459">
        <v>5824872.9800000004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0.37142857142857044</v>
      </c>
      <c r="Q459">
        <f t="shared" si="980"/>
        <v>2163524.24971428</v>
      </c>
      <c r="R459">
        <f t="shared" si="981"/>
        <v>408369863.30351007</v>
      </c>
      <c r="S459">
        <f t="shared" si="982"/>
        <v>4083.6986330351006</v>
      </c>
      <c r="T459">
        <f t="shared" si="983"/>
        <v>4.0836986330351008</v>
      </c>
    </row>
    <row r="460" spans="1:20" x14ac:dyDescent="0.25">
      <c r="A460" s="5">
        <v>44133</v>
      </c>
      <c r="B460">
        <v>0.26919999999999999</v>
      </c>
      <c r="C460">
        <v>0.27410000000000001</v>
      </c>
      <c r="D460">
        <v>0.254</v>
      </c>
      <c r="E460">
        <v>0.25950000000000001</v>
      </c>
      <c r="F460">
        <v>6146163.4199999999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-0.45273631840795991</v>
      </c>
      <c r="Q460">
        <f t="shared" si="980"/>
        <v>-2782591.399104476</v>
      </c>
      <c r="R460">
        <f t="shared" si="981"/>
        <v>406206339.05379581</v>
      </c>
      <c r="S460">
        <f t="shared" si="982"/>
        <v>4062.0633905379582</v>
      </c>
      <c r="T460">
        <f t="shared" si="983"/>
        <v>4.0620633905379586</v>
      </c>
    </row>
    <row r="461" spans="1:20" x14ac:dyDescent="0.25">
      <c r="A461" s="5">
        <v>44132</v>
      </c>
      <c r="B461">
        <v>0.2772</v>
      </c>
      <c r="C461">
        <v>0.27979999999999999</v>
      </c>
      <c r="D461">
        <v>0.26369999999999999</v>
      </c>
      <c r="E461">
        <v>0.26919999999999999</v>
      </c>
      <c r="F461">
        <v>7185882.0499999998</v>
      </c>
      <c r="G461">
        <v>0</v>
      </c>
      <c r="L461" t="s">
        <v>7</v>
      </c>
      <c r="M461" t="s">
        <v>8</v>
      </c>
      <c r="N461" t="s">
        <v>7</v>
      </c>
      <c r="P461">
        <f t="shared" si="979"/>
        <v>-0.31677018633540327</v>
      </c>
      <c r="Q461">
        <f t="shared" si="980"/>
        <v>-2276273.1959627294</v>
      </c>
      <c r="R461">
        <f t="shared" si="981"/>
        <v>408988930.45290029</v>
      </c>
      <c r="S461">
        <f t="shared" si="982"/>
        <v>4089.8893045290029</v>
      </c>
      <c r="T461">
        <f t="shared" si="983"/>
        <v>4.0898893045290032</v>
      </c>
    </row>
    <row r="462" spans="1:20" x14ac:dyDescent="0.25">
      <c r="A462" s="5">
        <v>44131</v>
      </c>
      <c r="B462">
        <v>0.27350000000000002</v>
      </c>
      <c r="C462">
        <v>0.28720000000000001</v>
      </c>
      <c r="D462">
        <v>0.27139999999999997</v>
      </c>
      <c r="E462">
        <v>0.27750000000000002</v>
      </c>
      <c r="F462">
        <v>6465759.8899999997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-0.22784810126581825</v>
      </c>
      <c r="Q462">
        <f t="shared" si="980"/>
        <v>-1473211.1141771858</v>
      </c>
      <c r="R462">
        <f t="shared" si="981"/>
        <v>411265203.64886302</v>
      </c>
      <c r="S462">
        <f t="shared" si="982"/>
        <v>4112.6520364886301</v>
      </c>
      <c r="T462">
        <f t="shared" si="983"/>
        <v>4.1126520364886296</v>
      </c>
    </row>
    <row r="463" spans="1:20" x14ac:dyDescent="0.25">
      <c r="A463" s="5">
        <v>44130</v>
      </c>
      <c r="B463">
        <v>0.27860000000000001</v>
      </c>
      <c r="C463">
        <v>0.28620000000000001</v>
      </c>
      <c r="D463">
        <v>0.26600000000000001</v>
      </c>
      <c r="E463">
        <v>0.27379999999999999</v>
      </c>
      <c r="F463">
        <v>6585759.6799999997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-0.22772277227723017</v>
      </c>
      <c r="Q463">
        <f t="shared" si="980"/>
        <v>-1499727.4518812043</v>
      </c>
      <c r="R463">
        <f t="shared" si="981"/>
        <v>412738414.76304018</v>
      </c>
      <c r="S463">
        <f t="shared" si="982"/>
        <v>4127.3841476304015</v>
      </c>
      <c r="T463">
        <f t="shared" si="983"/>
        <v>4.1273841476304014</v>
      </c>
    </row>
    <row r="464" spans="1:20" x14ac:dyDescent="0.25">
      <c r="A464" s="5">
        <v>44129</v>
      </c>
      <c r="B464">
        <v>0.2878</v>
      </c>
      <c r="C464">
        <v>0.29120000000000001</v>
      </c>
      <c r="D464">
        <v>0.27510000000000001</v>
      </c>
      <c r="E464">
        <v>0.2782</v>
      </c>
      <c r="F464">
        <v>4965668.28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-0.61490683229813781</v>
      </c>
      <c r="Q464">
        <f t="shared" si="980"/>
        <v>-3053423.3522981424</v>
      </c>
      <c r="R464">
        <f t="shared" si="981"/>
        <v>414238142.21492141</v>
      </c>
      <c r="S464">
        <f t="shared" si="982"/>
        <v>4142.3814221492139</v>
      </c>
      <c r="T464">
        <f t="shared" si="983"/>
        <v>4.1423814221492137</v>
      </c>
    </row>
    <row r="465" spans="1:20" x14ac:dyDescent="0.25">
      <c r="A465" s="5">
        <v>44128</v>
      </c>
      <c r="B465">
        <v>0.2762</v>
      </c>
      <c r="C465">
        <v>0.28870000000000001</v>
      </c>
      <c r="D465">
        <v>0.2737</v>
      </c>
      <c r="E465">
        <v>0.28799999999999998</v>
      </c>
      <c r="F465">
        <v>4472111.05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0.90666666666666218</v>
      </c>
      <c r="Q465">
        <f t="shared" si="980"/>
        <v>4054714.0186666464</v>
      </c>
      <c r="R465">
        <f t="shared" si="981"/>
        <v>417291565.56721956</v>
      </c>
      <c r="S465">
        <f t="shared" si="982"/>
        <v>4172.9156556721955</v>
      </c>
      <c r="T465">
        <f t="shared" si="983"/>
        <v>4.1729156556721954</v>
      </c>
    </row>
    <row r="466" spans="1:20" x14ac:dyDescent="0.25">
      <c r="A466" s="5">
        <v>44127</v>
      </c>
      <c r="B466">
        <v>0.28249999999999997</v>
      </c>
      <c r="C466">
        <v>0.28289999999999998</v>
      </c>
      <c r="D466">
        <v>0.27079999999999999</v>
      </c>
      <c r="E466">
        <v>0.27610000000000001</v>
      </c>
      <c r="F466">
        <v>5900076.9100000001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-0.12396694214875585</v>
      </c>
      <c r="Q466">
        <f t="shared" si="980"/>
        <v>-731414.49297518015</v>
      </c>
      <c r="R466">
        <f t="shared" si="981"/>
        <v>413236851.54855293</v>
      </c>
      <c r="S466">
        <f t="shared" si="982"/>
        <v>4132.3685154855293</v>
      </c>
      <c r="T466">
        <f t="shared" si="983"/>
        <v>4.1323685154855294</v>
      </c>
    </row>
    <row r="467" spans="1:20" x14ac:dyDescent="0.25">
      <c r="A467" s="5">
        <v>44126</v>
      </c>
      <c r="B467">
        <v>0.28050000000000003</v>
      </c>
      <c r="C467">
        <v>0.29330000000000001</v>
      </c>
      <c r="D467">
        <v>0.28029999999999999</v>
      </c>
      <c r="E467">
        <v>0.2828</v>
      </c>
      <c r="F467">
        <v>7532540.1600000001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-0.61538461538461542</v>
      </c>
      <c r="Q467">
        <f t="shared" si="980"/>
        <v>-4635409.3292307695</v>
      </c>
      <c r="R467">
        <f t="shared" si="981"/>
        <v>413968266.04152811</v>
      </c>
      <c r="S467">
        <f t="shared" si="982"/>
        <v>4139.6826604152811</v>
      </c>
      <c r="T467">
        <f t="shared" si="983"/>
        <v>4.1396826604152812</v>
      </c>
    </row>
    <row r="468" spans="1:20" x14ac:dyDescent="0.25">
      <c r="A468" s="5">
        <v>44125</v>
      </c>
      <c r="B468">
        <v>0.2636</v>
      </c>
      <c r="C468">
        <v>0.28689999999999999</v>
      </c>
      <c r="D468">
        <v>0.26319999999999999</v>
      </c>
      <c r="E468">
        <v>0.28089999999999998</v>
      </c>
      <c r="F468">
        <v>7297879.8899999997</v>
      </c>
      <c r="G468">
        <v>0</v>
      </c>
      <c r="L468" t="s">
        <v>8</v>
      </c>
      <c r="M468" t="s">
        <v>8</v>
      </c>
      <c r="N468" t="s">
        <v>7</v>
      </c>
      <c r="P468">
        <f t="shared" si="979"/>
        <v>0.49367088607594889</v>
      </c>
      <c r="Q468">
        <f t="shared" si="980"/>
        <v>3602750.8317721481</v>
      </c>
      <c r="R468">
        <f t="shared" si="981"/>
        <v>418603675.37075889</v>
      </c>
      <c r="S468">
        <f t="shared" si="982"/>
        <v>4186.036753707589</v>
      </c>
      <c r="T468">
        <f t="shared" si="983"/>
        <v>4.1860367537075893</v>
      </c>
    </row>
    <row r="469" spans="1:20" x14ac:dyDescent="0.25">
      <c r="A469" s="5">
        <v>44124</v>
      </c>
      <c r="B469">
        <v>0.27689999999999998</v>
      </c>
      <c r="C469">
        <v>0.27729999999999999</v>
      </c>
      <c r="D469">
        <v>0.26229999999999998</v>
      </c>
      <c r="E469">
        <v>0.26350000000000001</v>
      </c>
      <c r="F469">
        <v>4912492.3499999996</v>
      </c>
      <c r="G469">
        <v>0</v>
      </c>
      <c r="L469" t="s">
        <v>7</v>
      </c>
      <c r="M469" t="s">
        <v>8</v>
      </c>
      <c r="N469" t="s">
        <v>7</v>
      </c>
      <c r="P469">
        <f t="shared" si="979"/>
        <v>-0.83999999999999553</v>
      </c>
      <c r="Q469">
        <f t="shared" si="980"/>
        <v>-4126493.5739999777</v>
      </c>
      <c r="R469">
        <f t="shared" si="981"/>
        <v>415000924.53898674</v>
      </c>
      <c r="S469">
        <f t="shared" si="982"/>
        <v>4150.0092453898678</v>
      </c>
      <c r="T469">
        <f t="shared" si="983"/>
        <v>4.1500092453898683</v>
      </c>
    </row>
    <row r="470" spans="1:20" x14ac:dyDescent="0.25">
      <c r="A470" s="5">
        <v>44123</v>
      </c>
      <c r="B470">
        <v>0.27229999999999999</v>
      </c>
      <c r="C470">
        <v>0.28010000000000002</v>
      </c>
      <c r="D470">
        <v>0.26650000000000001</v>
      </c>
      <c r="E470">
        <v>0.27689999999999998</v>
      </c>
      <c r="F470">
        <v>4718570.58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0.52941176470587703</v>
      </c>
      <c r="Q470">
        <f t="shared" si="980"/>
        <v>2498066.7776470338</v>
      </c>
      <c r="R470">
        <f t="shared" si="981"/>
        <v>419127418.11298674</v>
      </c>
      <c r="S470">
        <f t="shared" si="982"/>
        <v>4191.2741811298674</v>
      </c>
      <c r="T470">
        <f t="shared" si="983"/>
        <v>4.1912741811298675</v>
      </c>
    </row>
    <row r="471" spans="1:20" x14ac:dyDescent="0.25">
      <c r="A471" s="5">
        <v>44122</v>
      </c>
      <c r="B471">
        <v>0.26979999999999998</v>
      </c>
      <c r="C471">
        <v>0.27500000000000002</v>
      </c>
      <c r="D471">
        <v>0.26900000000000002</v>
      </c>
      <c r="E471">
        <v>0.27250000000000002</v>
      </c>
      <c r="F471">
        <v>1667624.82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0.16666666666666666</v>
      </c>
      <c r="Q471">
        <f t="shared" si="980"/>
        <v>277937.46999999997</v>
      </c>
      <c r="R471">
        <f t="shared" si="981"/>
        <v>416629351.33533973</v>
      </c>
      <c r="S471">
        <f t="shared" si="982"/>
        <v>4166.2935133533974</v>
      </c>
      <c r="T471">
        <f t="shared" si="983"/>
        <v>4.1662935133533976</v>
      </c>
    </row>
    <row r="472" spans="1:20" x14ac:dyDescent="0.25">
      <c r="A472" s="5">
        <v>44121</v>
      </c>
      <c r="B472">
        <v>0.26390000000000002</v>
      </c>
      <c r="C472">
        <v>0.27300000000000002</v>
      </c>
      <c r="D472">
        <v>0.26029999999999998</v>
      </c>
      <c r="E472">
        <v>0.26950000000000002</v>
      </c>
      <c r="F472">
        <v>2817570.12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0.4488188976377967</v>
      </c>
      <c r="Q472">
        <f t="shared" si="980"/>
        <v>1264578.7152755945</v>
      </c>
      <c r="R472">
        <f t="shared" si="981"/>
        <v>416351413.8653397</v>
      </c>
      <c r="S472">
        <f t="shared" si="982"/>
        <v>4163.5141386533969</v>
      </c>
      <c r="T472">
        <f t="shared" si="983"/>
        <v>4.1635141386533965</v>
      </c>
    </row>
    <row r="473" spans="1:20" x14ac:dyDescent="0.25">
      <c r="A473" s="5">
        <v>44120</v>
      </c>
      <c r="B473">
        <v>0.27679999999999999</v>
      </c>
      <c r="C473">
        <v>0.28189999999999998</v>
      </c>
      <c r="D473">
        <v>0.26150000000000001</v>
      </c>
      <c r="E473">
        <v>0.26390000000000002</v>
      </c>
      <c r="F473">
        <v>4891493.09</v>
      </c>
      <c r="G473">
        <v>0</v>
      </c>
      <c r="L473" t="s">
        <v>8</v>
      </c>
      <c r="M473" t="s">
        <v>8</v>
      </c>
      <c r="N473" t="s">
        <v>7</v>
      </c>
      <c r="P473">
        <f t="shared" si="979"/>
        <v>-0.76470588235293957</v>
      </c>
      <c r="Q473">
        <f t="shared" si="980"/>
        <v>-3740553.5394117567</v>
      </c>
      <c r="R473">
        <f t="shared" si="981"/>
        <v>415086835.15006411</v>
      </c>
      <c r="S473">
        <f t="shared" si="982"/>
        <v>4150.8683515006414</v>
      </c>
      <c r="T473">
        <f t="shared" si="983"/>
        <v>4.150868351500641</v>
      </c>
    </row>
    <row r="474" spans="1:20" x14ac:dyDescent="0.25">
      <c r="A474" s="5">
        <v>44119</v>
      </c>
      <c r="B474">
        <v>0.27379999999999999</v>
      </c>
      <c r="C474">
        <v>0.27750000000000002</v>
      </c>
      <c r="D474">
        <v>0.26440000000000002</v>
      </c>
      <c r="E474">
        <v>0.2767</v>
      </c>
      <c r="F474">
        <v>5440225.1200000001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0.87786259541984379</v>
      </c>
      <c r="Q474">
        <f t="shared" si="980"/>
        <v>4775770.1435114313</v>
      </c>
      <c r="R474">
        <f t="shared" si="981"/>
        <v>418827388.68947589</v>
      </c>
      <c r="S474">
        <f t="shared" si="982"/>
        <v>4188.273886894759</v>
      </c>
      <c r="T474">
        <f t="shared" si="983"/>
        <v>4.1882738868947591</v>
      </c>
    </row>
    <row r="475" spans="1:20" x14ac:dyDescent="0.25">
      <c r="A475" s="5">
        <v>44118</v>
      </c>
      <c r="B475">
        <v>0.28420000000000001</v>
      </c>
      <c r="C475">
        <v>0.28810000000000002</v>
      </c>
      <c r="D475">
        <v>0.26869999999999999</v>
      </c>
      <c r="E475">
        <v>0.27339999999999998</v>
      </c>
      <c r="F475">
        <v>6781371.6900000004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-0.51546391752577581</v>
      </c>
      <c r="Q475">
        <f t="shared" si="980"/>
        <v>-3495552.4175257911</v>
      </c>
      <c r="R475">
        <f t="shared" si="981"/>
        <v>414051618.54596448</v>
      </c>
      <c r="S475">
        <f t="shared" si="982"/>
        <v>4140.5161854596445</v>
      </c>
      <c r="T475">
        <f t="shared" si="983"/>
        <v>4.1405161854596448</v>
      </c>
    </row>
    <row r="476" spans="1:20" x14ac:dyDescent="0.25">
      <c r="A476" s="5">
        <v>44117</v>
      </c>
      <c r="B476">
        <v>0.28799999999999998</v>
      </c>
      <c r="C476">
        <v>0.29430000000000001</v>
      </c>
      <c r="D476">
        <v>0.28000000000000003</v>
      </c>
      <c r="E476">
        <v>0.28420000000000001</v>
      </c>
      <c r="F476">
        <v>6327415.5499999998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-0.41258741258741433</v>
      </c>
      <c r="Q476">
        <f t="shared" si="980"/>
        <v>-2610612.0101398709</v>
      </c>
      <c r="R476">
        <f t="shared" si="981"/>
        <v>417547170.96349025</v>
      </c>
      <c r="S476">
        <f t="shared" si="982"/>
        <v>4175.4717096349023</v>
      </c>
      <c r="T476">
        <f t="shared" si="983"/>
        <v>4.1754717096349019</v>
      </c>
    </row>
    <row r="477" spans="1:20" x14ac:dyDescent="0.25">
      <c r="A477" s="5">
        <v>44116</v>
      </c>
      <c r="B477">
        <v>0.28210000000000002</v>
      </c>
      <c r="C477">
        <v>0.29449999999999998</v>
      </c>
      <c r="D477">
        <v>0.27289999999999998</v>
      </c>
      <c r="E477">
        <v>0.28770000000000001</v>
      </c>
      <c r="F477">
        <v>9090798.8200000003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0.37037037037037313</v>
      </c>
      <c r="Q477">
        <f t="shared" si="980"/>
        <v>3366962.5259259511</v>
      </c>
      <c r="R477">
        <f t="shared" si="981"/>
        <v>420157782.97363013</v>
      </c>
      <c r="S477">
        <f t="shared" si="982"/>
        <v>4201.5778297363013</v>
      </c>
      <c r="T477">
        <f t="shared" si="983"/>
        <v>4.2015778297363013</v>
      </c>
    </row>
    <row r="478" spans="1:20" x14ac:dyDescent="0.25">
      <c r="A478" s="5">
        <v>44115</v>
      </c>
      <c r="B478">
        <v>0.27250000000000002</v>
      </c>
      <c r="C478">
        <v>0.28670000000000001</v>
      </c>
      <c r="D478">
        <v>0.27089999999999997</v>
      </c>
      <c r="E478">
        <v>0.2823</v>
      </c>
      <c r="F478">
        <v>7224016.6900000004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0.44303797468354367</v>
      </c>
      <c r="Q478">
        <f t="shared" si="980"/>
        <v>3200513.723417717</v>
      </c>
      <c r="R478">
        <f t="shared" si="981"/>
        <v>416790820.4477042</v>
      </c>
      <c r="S478">
        <f t="shared" si="982"/>
        <v>4167.9082044770421</v>
      </c>
      <c r="T478">
        <f t="shared" si="983"/>
        <v>4.1679082044770421</v>
      </c>
    </row>
    <row r="479" spans="1:20" x14ac:dyDescent="0.25">
      <c r="A479" s="5">
        <v>44114</v>
      </c>
      <c r="B479">
        <v>0.27</v>
      </c>
      <c r="C479">
        <v>0.30330000000000001</v>
      </c>
      <c r="D479">
        <v>0.2676</v>
      </c>
      <c r="E479">
        <v>0.27289999999999998</v>
      </c>
      <c r="F479">
        <v>8722918.8000000007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-0.70308123249299892</v>
      </c>
      <c r="Q479">
        <f t="shared" si="980"/>
        <v>-6132920.5008403519</v>
      </c>
      <c r="R479">
        <f t="shared" si="981"/>
        <v>413590306.7242865</v>
      </c>
      <c r="S479">
        <f t="shared" si="982"/>
        <v>4135.9030672428653</v>
      </c>
      <c r="T479">
        <f t="shared" si="983"/>
        <v>4.1359030672428654</v>
      </c>
    </row>
    <row r="480" spans="1:20" x14ac:dyDescent="0.25">
      <c r="A480" s="5">
        <v>44113</v>
      </c>
      <c r="B480">
        <v>0.26269999999999999</v>
      </c>
      <c r="C480">
        <v>0.27229999999999999</v>
      </c>
      <c r="D480">
        <v>0.25969999999999999</v>
      </c>
      <c r="E480">
        <v>0.26989999999999997</v>
      </c>
      <c r="F480">
        <v>6175036.8200000003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0.61904761904761696</v>
      </c>
      <c r="Q480">
        <f t="shared" si="980"/>
        <v>3822641.8409523685</v>
      </c>
      <c r="R480">
        <f t="shared" si="981"/>
        <v>419723227.22512686</v>
      </c>
      <c r="S480">
        <f t="shared" si="982"/>
        <v>4197.232272251269</v>
      </c>
      <c r="T480">
        <f t="shared" si="983"/>
        <v>4.1972322722512692</v>
      </c>
    </row>
    <row r="481" spans="1:20" x14ac:dyDescent="0.25">
      <c r="A481" s="5">
        <v>44112</v>
      </c>
      <c r="B481">
        <v>0.25740000000000002</v>
      </c>
      <c r="C481">
        <v>0.26319999999999999</v>
      </c>
      <c r="D481">
        <v>0.24529999999999999</v>
      </c>
      <c r="E481">
        <v>0.2626</v>
      </c>
      <c r="F481">
        <v>5779549.1100000003</v>
      </c>
      <c r="G481">
        <v>0</v>
      </c>
      <c r="L481" t="s">
        <v>8</v>
      </c>
      <c r="M481" t="s">
        <v>8</v>
      </c>
      <c r="N481" t="s">
        <v>7</v>
      </c>
      <c r="P481">
        <f t="shared" si="979"/>
        <v>0.93296089385474978</v>
      </c>
      <c r="Q481">
        <f t="shared" si="980"/>
        <v>5392093.3037430244</v>
      </c>
      <c r="R481">
        <f t="shared" si="981"/>
        <v>415900585.38417447</v>
      </c>
      <c r="S481">
        <f t="shared" si="982"/>
        <v>4159.0058538417443</v>
      </c>
      <c r="T481">
        <f t="shared" si="983"/>
        <v>4.1590058538417445</v>
      </c>
    </row>
    <row r="482" spans="1:20" x14ac:dyDescent="0.25">
      <c r="A482" s="5">
        <v>44111</v>
      </c>
      <c r="B482">
        <v>0.25309999999999999</v>
      </c>
      <c r="C482">
        <v>0.25900000000000001</v>
      </c>
      <c r="D482">
        <v>0.24299999999999999</v>
      </c>
      <c r="E482">
        <v>0.25740000000000002</v>
      </c>
      <c r="F482">
        <v>5683331.6799999997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0.80000000000000138</v>
      </c>
      <c r="Q482">
        <f t="shared" si="980"/>
        <v>4546665.344000008</v>
      </c>
      <c r="R482">
        <f t="shared" si="981"/>
        <v>410508492.08043146</v>
      </c>
      <c r="S482">
        <f t="shared" si="982"/>
        <v>4105.0849208043146</v>
      </c>
      <c r="T482">
        <f t="shared" si="983"/>
        <v>4.1050849208043143</v>
      </c>
    </row>
    <row r="483" spans="1:20" x14ac:dyDescent="0.25">
      <c r="A483" s="5">
        <v>44110</v>
      </c>
      <c r="B483">
        <v>0.2712</v>
      </c>
      <c r="C483">
        <v>0.2712</v>
      </c>
      <c r="D483">
        <v>0.25040000000000001</v>
      </c>
      <c r="E483">
        <v>0.25330000000000003</v>
      </c>
      <c r="F483">
        <v>7535267.54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-0.72115384615384459</v>
      </c>
      <c r="Q483">
        <f t="shared" si="980"/>
        <v>-5434087.1682692189</v>
      </c>
      <c r="R483">
        <f t="shared" si="981"/>
        <v>405961826.73643148</v>
      </c>
      <c r="S483">
        <f t="shared" si="982"/>
        <v>4059.6182673643148</v>
      </c>
      <c r="T483">
        <f t="shared" si="983"/>
        <v>4.0596182673643151</v>
      </c>
    </row>
    <row r="484" spans="1:20" x14ac:dyDescent="0.25">
      <c r="A484" s="5">
        <v>44109</v>
      </c>
      <c r="B484">
        <v>0.27460000000000001</v>
      </c>
      <c r="C484">
        <v>0.27900000000000003</v>
      </c>
      <c r="D484">
        <v>0.26740000000000003</v>
      </c>
      <c r="E484">
        <v>0.2712</v>
      </c>
      <c r="F484">
        <v>4656336.0599999996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-0.34482758620690168</v>
      </c>
      <c r="Q484">
        <f t="shared" si="980"/>
        <v>-1605633.1241379548</v>
      </c>
      <c r="R484">
        <f t="shared" si="981"/>
        <v>411395913.9047007</v>
      </c>
      <c r="S484">
        <f t="shared" si="982"/>
        <v>4113.9591390470068</v>
      </c>
      <c r="T484">
        <f t="shared" si="983"/>
        <v>4.1139591390470072</v>
      </c>
    </row>
    <row r="485" spans="1:20" x14ac:dyDescent="0.25">
      <c r="A485" s="5">
        <v>44108</v>
      </c>
      <c r="B485">
        <v>0.26540000000000002</v>
      </c>
      <c r="C485">
        <v>0.27760000000000001</v>
      </c>
      <c r="D485">
        <v>0.26319999999999999</v>
      </c>
      <c r="E485">
        <v>0.27500000000000002</v>
      </c>
      <c r="F485">
        <v>4429198.78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0.63888888888889073</v>
      </c>
      <c r="Q485">
        <f t="shared" si="980"/>
        <v>2829765.8872222304</v>
      </c>
      <c r="R485">
        <f t="shared" si="981"/>
        <v>413001547.02883863</v>
      </c>
      <c r="S485">
        <f t="shared" si="982"/>
        <v>4130.0154702883865</v>
      </c>
      <c r="T485">
        <f t="shared" si="983"/>
        <v>4.1300154702883862</v>
      </c>
    </row>
    <row r="486" spans="1:20" x14ac:dyDescent="0.25">
      <c r="A486" s="5">
        <v>44107</v>
      </c>
      <c r="B486">
        <v>0.26879999999999998</v>
      </c>
      <c r="C486">
        <v>0.2802</v>
      </c>
      <c r="D486">
        <v>0.26500000000000001</v>
      </c>
      <c r="E486">
        <v>0.26590000000000003</v>
      </c>
      <c r="F486">
        <v>7829927.5999999996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-0.88157894736841946</v>
      </c>
      <c r="Q486">
        <f t="shared" si="980"/>
        <v>-6902699.3315789346</v>
      </c>
      <c r="R486">
        <f t="shared" si="981"/>
        <v>410171781.1416164</v>
      </c>
      <c r="S486">
        <f t="shared" si="982"/>
        <v>4101.7178114161643</v>
      </c>
      <c r="T486">
        <f t="shared" si="983"/>
        <v>4.1017178114161643</v>
      </c>
    </row>
    <row r="487" spans="1:20" x14ac:dyDescent="0.25">
      <c r="A487" s="5">
        <v>44106</v>
      </c>
      <c r="B487">
        <v>0.27179999999999999</v>
      </c>
      <c r="C487">
        <v>0.27900000000000003</v>
      </c>
      <c r="D487">
        <v>0.25190000000000001</v>
      </c>
      <c r="E487">
        <v>0.26879999999999998</v>
      </c>
      <c r="F487">
        <v>13701438.16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0.24723247232472048</v>
      </c>
      <c r="Q487">
        <f t="shared" si="980"/>
        <v>3387440.4307010691</v>
      </c>
      <c r="R487">
        <f t="shared" si="981"/>
        <v>417074480.47319531</v>
      </c>
      <c r="S487">
        <f t="shared" si="982"/>
        <v>4170.7448047319531</v>
      </c>
      <c r="T487">
        <f t="shared" si="983"/>
        <v>4.1707448047319531</v>
      </c>
    </row>
    <row r="488" spans="1:20" x14ac:dyDescent="0.25">
      <c r="A488" s="5">
        <v>44105</v>
      </c>
      <c r="B488">
        <v>0.28339999999999999</v>
      </c>
      <c r="C488">
        <v>0.28889999999999999</v>
      </c>
      <c r="D488">
        <v>0.26290000000000002</v>
      </c>
      <c r="E488">
        <v>0.27200000000000002</v>
      </c>
      <c r="F488">
        <v>8660426.2599999998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-0.29999999999999938</v>
      </c>
      <c r="Q488">
        <f t="shared" si="980"/>
        <v>-2598127.8779999944</v>
      </c>
      <c r="R488">
        <f t="shared" si="981"/>
        <v>413687040.04249424</v>
      </c>
      <c r="S488">
        <f t="shared" si="982"/>
        <v>4136.8704004249421</v>
      </c>
      <c r="T488">
        <f t="shared" si="983"/>
        <v>4.1368704004249421</v>
      </c>
    </row>
    <row r="489" spans="1:20" x14ac:dyDescent="0.25">
      <c r="A489" s="5">
        <v>44104</v>
      </c>
      <c r="B489">
        <v>0.2742</v>
      </c>
      <c r="C489">
        <v>0.28849999999999998</v>
      </c>
      <c r="D489">
        <v>0.2626</v>
      </c>
      <c r="E489">
        <v>0.2833</v>
      </c>
      <c r="F489">
        <v>8537575.5199999996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0.59845559845559948</v>
      </c>
      <c r="Q489">
        <f t="shared" si="980"/>
        <v>5109359.8671814753</v>
      </c>
      <c r="R489">
        <f t="shared" si="981"/>
        <v>416285167.92049426</v>
      </c>
      <c r="S489">
        <f t="shared" si="982"/>
        <v>4162.8516792049422</v>
      </c>
      <c r="T489">
        <f t="shared" si="983"/>
        <v>4.1628516792049419</v>
      </c>
    </row>
    <row r="490" spans="1:20" x14ac:dyDescent="0.25">
      <c r="A490" s="5">
        <v>44103</v>
      </c>
      <c r="B490">
        <v>0.26829999999999998</v>
      </c>
      <c r="C490">
        <v>0.27939999999999998</v>
      </c>
      <c r="D490">
        <v>0.26200000000000001</v>
      </c>
      <c r="E490">
        <v>0.27410000000000001</v>
      </c>
      <c r="F490">
        <v>7520563.7599999998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0.39080459770115172</v>
      </c>
      <c r="Q490">
        <f t="shared" si="980"/>
        <v>2939070.8947126609</v>
      </c>
      <c r="R490">
        <f t="shared" si="981"/>
        <v>411175808.05331278</v>
      </c>
      <c r="S490">
        <f t="shared" si="982"/>
        <v>4111.7580805331281</v>
      </c>
      <c r="T490">
        <f t="shared" si="983"/>
        <v>4.1117580805331277</v>
      </c>
    </row>
    <row r="491" spans="1:20" x14ac:dyDescent="0.25">
      <c r="A491" s="5">
        <v>44102</v>
      </c>
      <c r="B491">
        <v>0.26</v>
      </c>
      <c r="C491">
        <v>0.28139999999999998</v>
      </c>
      <c r="D491">
        <v>0.25950000000000001</v>
      </c>
      <c r="E491">
        <v>0.26860000000000001</v>
      </c>
      <c r="F491">
        <v>11356856.220000001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-0.16894977168949704</v>
      </c>
      <c r="Q491">
        <f t="shared" si="980"/>
        <v>-1918738.2654794445</v>
      </c>
      <c r="R491">
        <f t="shared" si="981"/>
        <v>408236737.15860009</v>
      </c>
      <c r="S491">
        <f t="shared" si="982"/>
        <v>4082.3673715860009</v>
      </c>
      <c r="T491">
        <f t="shared" si="983"/>
        <v>4.0823673715860007</v>
      </c>
    </row>
    <row r="492" spans="1:20" x14ac:dyDescent="0.25">
      <c r="A492" s="5">
        <v>44101</v>
      </c>
      <c r="B492">
        <v>0.26319999999999999</v>
      </c>
      <c r="C492">
        <v>0.26769999999999999</v>
      </c>
      <c r="D492">
        <v>0.25019999999999998</v>
      </c>
      <c r="E492">
        <v>0.25969999999999999</v>
      </c>
      <c r="F492">
        <v>5631756.7000000002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8.5714285714285715E-2</v>
      </c>
      <c r="Q492">
        <f t="shared" si="980"/>
        <v>482722.00285714288</v>
      </c>
      <c r="R492">
        <f t="shared" si="981"/>
        <v>410155475.42407954</v>
      </c>
      <c r="S492">
        <f t="shared" si="982"/>
        <v>4101.5547542407958</v>
      </c>
      <c r="T492">
        <f t="shared" si="983"/>
        <v>4.1015547542407962</v>
      </c>
    </row>
    <row r="493" spans="1:20" x14ac:dyDescent="0.25">
      <c r="A493" s="5">
        <v>44100</v>
      </c>
      <c r="B493">
        <v>0.25590000000000002</v>
      </c>
      <c r="C493">
        <v>0.2646</v>
      </c>
      <c r="D493">
        <v>0.25009999999999999</v>
      </c>
      <c r="E493">
        <v>0.26300000000000001</v>
      </c>
      <c r="F493">
        <v>5383596.3799999999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0.77931034482758776</v>
      </c>
      <c r="Q493">
        <f t="shared" si="980"/>
        <v>4195492.3513103528</v>
      </c>
      <c r="R493">
        <f t="shared" si="981"/>
        <v>409672753.42122239</v>
      </c>
      <c r="S493">
        <f t="shared" si="982"/>
        <v>4096.7275342122239</v>
      </c>
      <c r="T493">
        <f t="shared" si="983"/>
        <v>4.0967275342122242</v>
      </c>
    </row>
    <row r="494" spans="1:20" x14ac:dyDescent="0.25">
      <c r="A494" s="5">
        <v>44099</v>
      </c>
      <c r="B494">
        <v>0.24679999999999999</v>
      </c>
      <c r="C494">
        <v>0.26200000000000001</v>
      </c>
      <c r="D494">
        <v>0.2382</v>
      </c>
      <c r="E494">
        <v>0.25580000000000003</v>
      </c>
      <c r="F494">
        <v>8957798.3000000007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0.4789915966386572</v>
      </c>
      <c r="Q494">
        <f t="shared" si="980"/>
        <v>4290710.1100840494</v>
      </c>
      <c r="R494">
        <f t="shared" si="981"/>
        <v>405477261.06991202</v>
      </c>
      <c r="S494">
        <f t="shared" si="982"/>
        <v>4054.7726106991204</v>
      </c>
      <c r="T494">
        <f t="shared" si="983"/>
        <v>4.0547726106991204</v>
      </c>
    </row>
    <row r="495" spans="1:20" x14ac:dyDescent="0.25">
      <c r="A495" s="5">
        <v>44098</v>
      </c>
      <c r="B495">
        <v>0.2326</v>
      </c>
      <c r="C495">
        <v>0.25240000000000001</v>
      </c>
      <c r="D495">
        <v>0.2288</v>
      </c>
      <c r="E495">
        <v>0.24690000000000001</v>
      </c>
      <c r="F495">
        <v>5390316.3399999999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0.53389830508474556</v>
      </c>
      <c r="Q495">
        <f t="shared" si="980"/>
        <v>2877880.7577966088</v>
      </c>
      <c r="R495">
        <f t="shared" si="981"/>
        <v>401186550.95982796</v>
      </c>
      <c r="S495">
        <f t="shared" si="982"/>
        <v>4011.8655095982795</v>
      </c>
      <c r="T495">
        <f t="shared" si="983"/>
        <v>4.0118655095982794</v>
      </c>
    </row>
    <row r="496" spans="1:20" x14ac:dyDescent="0.25">
      <c r="A496" s="5">
        <v>44097</v>
      </c>
      <c r="B496">
        <v>0.24360000000000001</v>
      </c>
      <c r="C496">
        <v>0.25340000000000001</v>
      </c>
      <c r="D496">
        <v>0.2276</v>
      </c>
      <c r="E496">
        <v>0.2326</v>
      </c>
      <c r="F496">
        <v>8769370.3699999992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-0.61240310077519367</v>
      </c>
      <c r="Q496">
        <f t="shared" si="980"/>
        <v>-5370389.6064341068</v>
      </c>
      <c r="R496">
        <f t="shared" si="981"/>
        <v>398308670.20203137</v>
      </c>
      <c r="S496">
        <f t="shared" si="982"/>
        <v>3983.0867020203136</v>
      </c>
      <c r="T496">
        <f t="shared" si="983"/>
        <v>3.9830867020203136</v>
      </c>
    </row>
    <row r="497" spans="1:20" x14ac:dyDescent="0.25">
      <c r="A497" s="5">
        <v>44096</v>
      </c>
      <c r="B497">
        <v>0.2402</v>
      </c>
      <c r="C497">
        <v>0.2477</v>
      </c>
      <c r="D497">
        <v>0.2306</v>
      </c>
      <c r="E497">
        <v>0.24360000000000001</v>
      </c>
      <c r="F497">
        <v>7739713.3200000003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0.52046783625731097</v>
      </c>
      <c r="Q497">
        <f t="shared" si="980"/>
        <v>4028271.8449122887</v>
      </c>
      <c r="R497">
        <f t="shared" si="981"/>
        <v>403679059.80846548</v>
      </c>
      <c r="S497">
        <f t="shared" si="982"/>
        <v>4036.7905980846549</v>
      </c>
      <c r="T497">
        <f t="shared" si="983"/>
        <v>4.0367905980846546</v>
      </c>
    </row>
    <row r="498" spans="1:20" x14ac:dyDescent="0.25">
      <c r="A498" s="5">
        <v>44095</v>
      </c>
      <c r="B498">
        <v>0.2626</v>
      </c>
      <c r="C498">
        <v>0.26850000000000002</v>
      </c>
      <c r="D498">
        <v>0.23180000000000001</v>
      </c>
      <c r="E498">
        <v>0.23980000000000001</v>
      </c>
      <c r="F498">
        <v>14188619.720000001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-0.5640326975476837</v>
      </c>
      <c r="Q498">
        <f t="shared" si="980"/>
        <v>-8002845.4551498611</v>
      </c>
      <c r="R498">
        <f t="shared" si="981"/>
        <v>399650787.96355319</v>
      </c>
      <c r="S498">
        <f t="shared" si="982"/>
        <v>3996.5078796355319</v>
      </c>
      <c r="T498">
        <f t="shared" si="983"/>
        <v>3.9965078796355318</v>
      </c>
    </row>
    <row r="499" spans="1:20" x14ac:dyDescent="0.25">
      <c r="A499" s="5">
        <v>44094</v>
      </c>
      <c r="B499">
        <v>0.2722</v>
      </c>
      <c r="C499">
        <v>0.27289999999999998</v>
      </c>
      <c r="D499">
        <v>0.25</v>
      </c>
      <c r="E499">
        <v>0.26269999999999999</v>
      </c>
      <c r="F499">
        <v>7681913.8399999999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0.10917030567685611</v>
      </c>
      <c r="Q499">
        <f t="shared" si="980"/>
        <v>838636.88209607149</v>
      </c>
      <c r="R499">
        <f t="shared" si="981"/>
        <v>407653633.41870308</v>
      </c>
      <c r="S499">
        <f t="shared" si="982"/>
        <v>4076.5363341870307</v>
      </c>
      <c r="T499">
        <f t="shared" si="983"/>
        <v>4.0765363341870309</v>
      </c>
    </row>
    <row r="500" spans="1:20" x14ac:dyDescent="0.25">
      <c r="A500" s="5">
        <v>44093</v>
      </c>
      <c r="B500">
        <v>0.27350000000000002</v>
      </c>
      <c r="C500">
        <v>0.27950000000000003</v>
      </c>
      <c r="D500">
        <v>0.26950000000000002</v>
      </c>
      <c r="E500">
        <v>0.27189999999999998</v>
      </c>
      <c r="F500">
        <v>3036998.61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-0.5200000000000089</v>
      </c>
      <c r="Q500">
        <f t="shared" si="980"/>
        <v>-1579239.2772000269</v>
      </c>
      <c r="R500">
        <f t="shared" si="981"/>
        <v>406814996.53660703</v>
      </c>
      <c r="S500">
        <f t="shared" si="982"/>
        <v>4068.1499653660703</v>
      </c>
      <c r="T500">
        <f t="shared" si="983"/>
        <v>4.0681499653660707</v>
      </c>
    </row>
    <row r="501" spans="1:20" x14ac:dyDescent="0.25">
      <c r="A501" s="5">
        <v>44092</v>
      </c>
      <c r="B501">
        <v>0.28070000000000001</v>
      </c>
      <c r="C501">
        <v>0.2823</v>
      </c>
      <c r="D501">
        <v>0.26850000000000002</v>
      </c>
      <c r="E501">
        <v>0.27350000000000002</v>
      </c>
      <c r="F501">
        <v>7592527.7300000004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-0.27536231884057794</v>
      </c>
      <c r="Q501">
        <f t="shared" si="980"/>
        <v>-2090696.0415941896</v>
      </c>
      <c r="R501">
        <f t="shared" si="981"/>
        <v>408394235.81380707</v>
      </c>
      <c r="S501">
        <f t="shared" si="982"/>
        <v>4083.9423581380706</v>
      </c>
      <c r="T501">
        <f t="shared" si="983"/>
        <v>4.0839423581380707</v>
      </c>
    </row>
    <row r="502" spans="1:20" x14ac:dyDescent="0.25">
      <c r="A502" s="5">
        <v>44091</v>
      </c>
      <c r="B502">
        <v>0.27060000000000001</v>
      </c>
      <c r="C502">
        <v>0.28499999999999998</v>
      </c>
      <c r="D502">
        <v>0.26740000000000003</v>
      </c>
      <c r="E502">
        <v>0.28120000000000001</v>
      </c>
      <c r="F502">
        <v>6670879.8499999996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0.56818181818182034</v>
      </c>
      <c r="Q502">
        <f t="shared" si="980"/>
        <v>3790272.6420454686</v>
      </c>
      <c r="R502">
        <f t="shared" si="981"/>
        <v>410484931.85540128</v>
      </c>
      <c r="S502">
        <f t="shared" si="982"/>
        <v>4104.8493185540128</v>
      </c>
      <c r="T502">
        <f t="shared" si="983"/>
        <v>4.1048493185540131</v>
      </c>
    </row>
    <row r="503" spans="1:20" x14ac:dyDescent="0.25">
      <c r="A503" s="5">
        <v>44090</v>
      </c>
      <c r="B503">
        <v>0.27350000000000002</v>
      </c>
      <c r="C503">
        <v>0.28050000000000003</v>
      </c>
      <c r="D503">
        <v>0.26750000000000002</v>
      </c>
      <c r="E503">
        <v>0.27079999999999999</v>
      </c>
      <c r="F503">
        <v>5442577.25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-0.49230769230769744</v>
      </c>
      <c r="Q503">
        <f t="shared" si="980"/>
        <v>-2679422.6461538742</v>
      </c>
      <c r="R503">
        <f t="shared" si="981"/>
        <v>406694659.21335578</v>
      </c>
      <c r="S503">
        <f t="shared" si="982"/>
        <v>4066.9465921335577</v>
      </c>
      <c r="T503">
        <f t="shared" si="983"/>
        <v>4.0669465921335579</v>
      </c>
    </row>
    <row r="504" spans="1:20" x14ac:dyDescent="0.25">
      <c r="A504" s="5">
        <v>44089</v>
      </c>
      <c r="B504">
        <v>0.28460000000000002</v>
      </c>
      <c r="C504">
        <v>0.28920000000000001</v>
      </c>
      <c r="D504">
        <v>0.27079999999999999</v>
      </c>
      <c r="E504">
        <v>0.27360000000000001</v>
      </c>
      <c r="F504">
        <v>5622820.1100000003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-0.69565217391304124</v>
      </c>
      <c r="Q504">
        <f t="shared" si="980"/>
        <v>-3911527.033043466</v>
      </c>
      <c r="R504">
        <f t="shared" si="981"/>
        <v>409374081.85950965</v>
      </c>
      <c r="S504">
        <f t="shared" si="982"/>
        <v>4093.7408185950962</v>
      </c>
      <c r="T504">
        <f t="shared" si="983"/>
        <v>4.0937408185950961</v>
      </c>
    </row>
    <row r="505" spans="1:20" x14ac:dyDescent="0.25">
      <c r="A505" s="5">
        <v>44088</v>
      </c>
      <c r="B505">
        <v>0.28100000000000003</v>
      </c>
      <c r="C505">
        <v>0.29299999999999998</v>
      </c>
      <c r="D505">
        <v>0.2722</v>
      </c>
      <c r="E505">
        <v>0.28470000000000001</v>
      </c>
      <c r="F505">
        <v>8171976.2199999997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0.20192307692307884</v>
      </c>
      <c r="Q505">
        <f t="shared" si="980"/>
        <v>1650110.5828846311</v>
      </c>
      <c r="R505">
        <f t="shared" si="981"/>
        <v>413285608.89255309</v>
      </c>
      <c r="S505">
        <f t="shared" si="982"/>
        <v>4132.8560889255305</v>
      </c>
      <c r="T505">
        <f t="shared" si="983"/>
        <v>4.1328560889255304</v>
      </c>
    </row>
    <row r="506" spans="1:20" x14ac:dyDescent="0.25">
      <c r="A506" s="5">
        <v>44087</v>
      </c>
      <c r="B506">
        <v>0.29870000000000002</v>
      </c>
      <c r="C506">
        <v>0.30099999999999999</v>
      </c>
      <c r="D506">
        <v>0.27210000000000001</v>
      </c>
      <c r="E506">
        <v>0.28100000000000003</v>
      </c>
      <c r="F506">
        <v>9493098.6199999992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-0.38408304498269724</v>
      </c>
      <c r="Q506">
        <f t="shared" si="980"/>
        <v>-3646138.224290641</v>
      </c>
      <c r="R506">
        <f t="shared" si="981"/>
        <v>411635498.30966848</v>
      </c>
      <c r="S506">
        <f t="shared" si="982"/>
        <v>4116.3549830966849</v>
      </c>
      <c r="T506">
        <f t="shared" si="983"/>
        <v>4.1163549830966852</v>
      </c>
    </row>
    <row r="507" spans="1:20" x14ac:dyDescent="0.25">
      <c r="A507" s="5">
        <v>44086</v>
      </c>
      <c r="B507">
        <v>0.29260000000000003</v>
      </c>
      <c r="C507">
        <v>0.30049999999999999</v>
      </c>
      <c r="D507">
        <v>0.28260000000000002</v>
      </c>
      <c r="E507">
        <v>0.29870000000000002</v>
      </c>
      <c r="F507">
        <v>5351846.4000000004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0.79888268156424902</v>
      </c>
      <c r="Q507">
        <f t="shared" si="980"/>
        <v>4275497.4033519728</v>
      </c>
      <c r="R507">
        <f t="shared" si="981"/>
        <v>415281636.53395915</v>
      </c>
      <c r="S507">
        <f t="shared" si="982"/>
        <v>4152.8163653395914</v>
      </c>
      <c r="T507">
        <f t="shared" si="983"/>
        <v>4.1528163653395911</v>
      </c>
    </row>
    <row r="508" spans="1:20" x14ac:dyDescent="0.25">
      <c r="A508" s="5">
        <v>44085</v>
      </c>
      <c r="B508">
        <v>0.29959999999999998</v>
      </c>
      <c r="C508">
        <v>0.30170000000000002</v>
      </c>
      <c r="D508">
        <v>0.28070000000000001</v>
      </c>
      <c r="E508">
        <v>0.29310000000000003</v>
      </c>
      <c r="F508">
        <v>6454280.0499999998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0.180952380952382</v>
      </c>
      <c r="Q508">
        <f t="shared" si="980"/>
        <v>1167917.3423809591</v>
      </c>
      <c r="R508">
        <f t="shared" si="981"/>
        <v>411006139.13060719</v>
      </c>
      <c r="S508">
        <f t="shared" si="982"/>
        <v>4110.0613913060715</v>
      </c>
      <c r="T508">
        <f t="shared" si="983"/>
        <v>4.110061391306072</v>
      </c>
    </row>
    <row r="509" spans="1:20" x14ac:dyDescent="0.25">
      <c r="A509" s="5">
        <v>44084</v>
      </c>
      <c r="B509">
        <v>0.28499999999999998</v>
      </c>
      <c r="C509">
        <v>0.30380000000000001</v>
      </c>
      <c r="D509">
        <v>0.28489999999999999</v>
      </c>
      <c r="E509">
        <v>0.2994</v>
      </c>
      <c r="F509">
        <v>9829937.4800000004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0.53439153439153353</v>
      </c>
      <c r="Q509">
        <f t="shared" si="980"/>
        <v>5253035.3729100451</v>
      </c>
      <c r="R509">
        <f t="shared" si="981"/>
        <v>409838221.78822625</v>
      </c>
      <c r="S509">
        <f t="shared" si="982"/>
        <v>4098.3822178822629</v>
      </c>
      <c r="T509">
        <f t="shared" si="983"/>
        <v>4.0983822178822633</v>
      </c>
    </row>
    <row r="510" spans="1:20" x14ac:dyDescent="0.25">
      <c r="A510" s="5">
        <v>44083</v>
      </c>
      <c r="B510">
        <v>0.27660000000000001</v>
      </c>
      <c r="C510">
        <v>0.29509999999999997</v>
      </c>
      <c r="D510">
        <v>0.27089999999999997</v>
      </c>
      <c r="E510">
        <v>0.28549999999999998</v>
      </c>
      <c r="F510">
        <v>6767070.2400000002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0.20661157024793408</v>
      </c>
      <c r="Q510">
        <f t="shared" si="980"/>
        <v>1398155.0082644641</v>
      </c>
      <c r="R510">
        <f t="shared" si="981"/>
        <v>404585186.41531622</v>
      </c>
      <c r="S510">
        <f t="shared" si="982"/>
        <v>4045.8518641531623</v>
      </c>
      <c r="T510">
        <f t="shared" si="983"/>
        <v>4.0458518641531622</v>
      </c>
    </row>
    <row r="511" spans="1:20" x14ac:dyDescent="0.25">
      <c r="A511" s="5">
        <v>44082</v>
      </c>
      <c r="B511">
        <v>0.2843</v>
      </c>
      <c r="C511">
        <v>0.29670000000000002</v>
      </c>
      <c r="D511">
        <v>0.26479999999999998</v>
      </c>
      <c r="E511">
        <v>0.2767</v>
      </c>
      <c r="F511">
        <v>9377664.7300000004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-0.25391849529780519</v>
      </c>
      <c r="Q511">
        <f t="shared" si="980"/>
        <v>-2381162.5176488985</v>
      </c>
      <c r="R511">
        <f t="shared" si="981"/>
        <v>403187031.40705174</v>
      </c>
      <c r="S511">
        <f t="shared" si="982"/>
        <v>4031.8703140705175</v>
      </c>
      <c r="T511">
        <f t="shared" si="983"/>
        <v>4.0318703140705177</v>
      </c>
    </row>
    <row r="512" spans="1:20" x14ac:dyDescent="0.25">
      <c r="A512" s="5">
        <v>44081</v>
      </c>
      <c r="B512">
        <v>0.2863</v>
      </c>
      <c r="C512">
        <v>0.28860000000000002</v>
      </c>
      <c r="D512">
        <v>0.25929999999999997</v>
      </c>
      <c r="E512">
        <v>0.28439999999999999</v>
      </c>
      <c r="F512">
        <v>7599067.2300000004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0.71331058020477611</v>
      </c>
      <c r="Q512">
        <f t="shared" si="980"/>
        <v>5420495.0548464013</v>
      </c>
      <c r="R512">
        <f t="shared" si="981"/>
        <v>405568193.92470062</v>
      </c>
      <c r="S512">
        <f t="shared" si="982"/>
        <v>4055.6819392470061</v>
      </c>
      <c r="T512">
        <f t="shared" si="983"/>
        <v>4.0556819392470063</v>
      </c>
    </row>
    <row r="513" spans="1:20" x14ac:dyDescent="0.25">
      <c r="A513" s="5">
        <v>44080</v>
      </c>
      <c r="B513">
        <v>0.26490000000000002</v>
      </c>
      <c r="C513">
        <v>0.29330000000000001</v>
      </c>
      <c r="D513">
        <v>0.253</v>
      </c>
      <c r="E513">
        <v>0.2863</v>
      </c>
      <c r="F513">
        <v>9333332.0700000003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0.65260545905707168</v>
      </c>
      <c r="Q513">
        <f t="shared" si="980"/>
        <v>6090983.4600744396</v>
      </c>
      <c r="R513">
        <f t="shared" si="981"/>
        <v>400147698.86985421</v>
      </c>
      <c r="S513">
        <f t="shared" si="982"/>
        <v>4001.4769886985423</v>
      </c>
      <c r="T513">
        <f t="shared" si="983"/>
        <v>4.001476988698542</v>
      </c>
    </row>
    <row r="514" spans="1:20" x14ac:dyDescent="0.25">
      <c r="A514" s="5">
        <v>44079</v>
      </c>
      <c r="B514">
        <v>0.28899999999999998</v>
      </c>
      <c r="C514">
        <v>0.29930000000000001</v>
      </c>
      <c r="D514">
        <v>0.2482</v>
      </c>
      <c r="E514">
        <v>0.2646</v>
      </c>
      <c r="F514">
        <v>10650535.369999999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-0.3581213307240706</v>
      </c>
      <c r="Q514">
        <f t="shared" si="980"/>
        <v>-3814183.8996281815</v>
      </c>
      <c r="R514">
        <f t="shared" si="981"/>
        <v>394056715.40977979</v>
      </c>
      <c r="S514">
        <f t="shared" si="982"/>
        <v>3940.5671540977978</v>
      </c>
      <c r="T514">
        <f t="shared" si="983"/>
        <v>3.9405671540977978</v>
      </c>
    </row>
    <row r="515" spans="1:20" x14ac:dyDescent="0.25">
      <c r="A515" s="5">
        <v>44078</v>
      </c>
      <c r="B515">
        <v>0.27329999999999999</v>
      </c>
      <c r="C515">
        <v>0.29830000000000001</v>
      </c>
      <c r="D515">
        <v>0.25750000000000001</v>
      </c>
      <c r="E515">
        <v>0.28889999999999999</v>
      </c>
      <c r="F515">
        <v>17035964.059999999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0.53921568627450889</v>
      </c>
      <c r="Q515">
        <f t="shared" si="980"/>
        <v>9186059.0519607682</v>
      </c>
      <c r="R515">
        <f t="shared" si="981"/>
        <v>397870899.30940795</v>
      </c>
      <c r="S515">
        <f t="shared" si="982"/>
        <v>3978.7089930940797</v>
      </c>
      <c r="T515">
        <f t="shared" si="983"/>
        <v>3.9787089930940795</v>
      </c>
    </row>
    <row r="516" spans="1:20" x14ac:dyDescent="0.25">
      <c r="A516" s="5">
        <v>44077</v>
      </c>
      <c r="B516">
        <v>0.33800000000000002</v>
      </c>
      <c r="C516">
        <v>0.34200000000000003</v>
      </c>
      <c r="D516">
        <v>0.26200000000000001</v>
      </c>
      <c r="E516">
        <v>0.2732</v>
      </c>
      <c r="F516">
        <v>17801264.23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-0.72000000000000031</v>
      </c>
      <c r="Q516">
        <f t="shared" si="980"/>
        <v>-12816910.245600006</v>
      </c>
      <c r="R516">
        <f t="shared" si="981"/>
        <v>388684840.25744718</v>
      </c>
      <c r="S516">
        <f t="shared" si="982"/>
        <v>3886.8484025744719</v>
      </c>
      <c r="T516">
        <f t="shared" si="983"/>
        <v>3.8868484025744721</v>
      </c>
    </row>
    <row r="517" spans="1:20" x14ac:dyDescent="0.25">
      <c r="A517" s="5">
        <v>44076</v>
      </c>
      <c r="B517">
        <v>0.36470000000000002</v>
      </c>
      <c r="C517">
        <v>0.36849999999999999</v>
      </c>
      <c r="D517">
        <v>0.318</v>
      </c>
      <c r="E517">
        <v>0.33810000000000001</v>
      </c>
      <c r="F517">
        <v>16751623.99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-0.20396039603960353</v>
      </c>
      <c r="Q517">
        <f t="shared" si="980"/>
        <v>-3416667.8633069238</v>
      </c>
      <c r="R517">
        <f t="shared" si="981"/>
        <v>401501750.50304717</v>
      </c>
      <c r="S517">
        <f t="shared" si="982"/>
        <v>4015.0175050304715</v>
      </c>
      <c r="T517">
        <f t="shared" si="983"/>
        <v>4.0150175050304719</v>
      </c>
    </row>
    <row r="518" spans="1:20" x14ac:dyDescent="0.25">
      <c r="A518" s="5">
        <v>44075</v>
      </c>
      <c r="B518">
        <v>0.36120000000000002</v>
      </c>
      <c r="C518">
        <v>0.37740000000000001</v>
      </c>
      <c r="D518">
        <v>0.3548</v>
      </c>
      <c r="E518">
        <v>0.36480000000000001</v>
      </c>
      <c r="F518">
        <v>8866545.7599999998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-0.11504424778761019</v>
      </c>
      <c r="Q518">
        <f t="shared" ref="Q518:Q581" si="985">F518*P518</f>
        <v>-1020045.0874336244</v>
      </c>
      <c r="R518">
        <f t="shared" ref="R518:R581" si="986">R519+Q518</f>
        <v>404918418.36635411</v>
      </c>
      <c r="S518">
        <f t="shared" ref="S518:S581" si="987">R518/100000</f>
        <v>4049.1841836635413</v>
      </c>
      <c r="T518">
        <f t="shared" ref="T518:T581" si="988">S518/1000</f>
        <v>4.0491841836635416</v>
      </c>
    </row>
    <row r="519" spans="1:20" x14ac:dyDescent="0.25">
      <c r="A519" s="5">
        <v>44074</v>
      </c>
      <c r="B519">
        <v>0.3649</v>
      </c>
      <c r="C519">
        <v>0.37230000000000002</v>
      </c>
      <c r="D519">
        <v>0.35549999999999998</v>
      </c>
      <c r="E519">
        <v>0.36130000000000001</v>
      </c>
      <c r="F519">
        <v>6971473.9000000004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-0.30952380952380781</v>
      </c>
      <c r="Q519">
        <f t="shared" si="985"/>
        <v>-2157837.1595237977</v>
      </c>
      <c r="R519">
        <f t="shared" si="986"/>
        <v>405938463.45378774</v>
      </c>
      <c r="S519">
        <f t="shared" si="987"/>
        <v>4059.3846345378774</v>
      </c>
      <c r="T519">
        <f t="shared" si="988"/>
        <v>4.059384634537877</v>
      </c>
    </row>
    <row r="520" spans="1:20" x14ac:dyDescent="0.25">
      <c r="A520" s="5">
        <v>44073</v>
      </c>
      <c r="B520">
        <v>0.36620000000000003</v>
      </c>
      <c r="C520">
        <v>0.37569999999999998</v>
      </c>
      <c r="D520">
        <v>0.35749999999999998</v>
      </c>
      <c r="E520">
        <v>0.36499999999999999</v>
      </c>
      <c r="F520">
        <v>8128063.7800000003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-0.17582417582417481</v>
      </c>
      <c r="Q520">
        <f t="shared" si="985"/>
        <v>-1429110.1151648271</v>
      </c>
      <c r="R520">
        <f t="shared" si="986"/>
        <v>408096300.61331153</v>
      </c>
      <c r="S520">
        <f t="shared" si="987"/>
        <v>4080.9630061331154</v>
      </c>
      <c r="T520">
        <f t="shared" si="988"/>
        <v>4.080963006133115</v>
      </c>
    </row>
    <row r="521" spans="1:20" x14ac:dyDescent="0.25">
      <c r="A521" s="5">
        <v>44072</v>
      </c>
      <c r="B521">
        <v>0.34939999999999999</v>
      </c>
      <c r="C521">
        <v>0.37190000000000001</v>
      </c>
      <c r="D521">
        <v>0.34539999999999998</v>
      </c>
      <c r="E521">
        <v>0.36649999999999999</v>
      </c>
      <c r="F521">
        <v>6553097.4199999999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0.59245283018867845</v>
      </c>
      <c r="Q521">
        <f t="shared" si="985"/>
        <v>3882401.1129811266</v>
      </c>
      <c r="R521">
        <f t="shared" si="986"/>
        <v>409525410.72847635</v>
      </c>
      <c r="S521">
        <f t="shared" si="987"/>
        <v>4095.2541072847634</v>
      </c>
      <c r="T521">
        <f t="shared" si="988"/>
        <v>4.095254107284763</v>
      </c>
    </row>
    <row r="522" spans="1:20" x14ac:dyDescent="0.25">
      <c r="A522" s="5">
        <v>44071</v>
      </c>
      <c r="B522">
        <v>0.3397</v>
      </c>
      <c r="C522">
        <v>0.35499999999999998</v>
      </c>
      <c r="D522">
        <v>0.33300000000000002</v>
      </c>
      <c r="E522">
        <v>0.34939999999999999</v>
      </c>
      <c r="F522">
        <v>6929695.8300000001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0.49090909090909063</v>
      </c>
      <c r="Q522">
        <f t="shared" si="985"/>
        <v>3401850.6801818162</v>
      </c>
      <c r="R522">
        <f t="shared" si="986"/>
        <v>405643009.6154952</v>
      </c>
      <c r="S522">
        <f t="shared" si="987"/>
        <v>4056.430096154952</v>
      </c>
      <c r="T522">
        <f t="shared" si="988"/>
        <v>4.0564300961549522</v>
      </c>
    </row>
    <row r="523" spans="1:20" x14ac:dyDescent="0.25">
      <c r="A523" s="5">
        <v>44070</v>
      </c>
      <c r="B523">
        <v>0.35670000000000002</v>
      </c>
      <c r="C523">
        <v>0.3604</v>
      </c>
      <c r="D523">
        <v>0.32129999999999997</v>
      </c>
      <c r="E523">
        <v>0.33939999999999998</v>
      </c>
      <c r="F523">
        <v>13808666.02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-7.4168797953964499E-2</v>
      </c>
      <c r="Q523">
        <f t="shared" si="985"/>
        <v>-1024172.160051155</v>
      </c>
      <c r="R523">
        <f t="shared" si="986"/>
        <v>402241158.9353134</v>
      </c>
      <c r="S523">
        <f t="shared" si="987"/>
        <v>4022.4115893531339</v>
      </c>
      <c r="T523">
        <f t="shared" si="988"/>
        <v>4.0224115893531343</v>
      </c>
    </row>
    <row r="524" spans="1:20" x14ac:dyDescent="0.25">
      <c r="A524" s="5">
        <v>44069</v>
      </c>
      <c r="B524">
        <v>0.36180000000000001</v>
      </c>
      <c r="C524">
        <v>0.36470000000000002</v>
      </c>
      <c r="D524">
        <v>0.34499999999999997</v>
      </c>
      <c r="E524">
        <v>0.35659999999999997</v>
      </c>
      <c r="F524">
        <v>10136069.640000001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0.17766497461928621</v>
      </c>
      <c r="Q524">
        <f t="shared" si="985"/>
        <v>1800824.5553299177</v>
      </c>
      <c r="R524">
        <f t="shared" si="986"/>
        <v>403265331.09536457</v>
      </c>
      <c r="S524">
        <f t="shared" si="987"/>
        <v>4032.6533109536458</v>
      </c>
      <c r="T524">
        <f t="shared" si="988"/>
        <v>4.0326533109536458</v>
      </c>
    </row>
    <row r="525" spans="1:20" x14ac:dyDescent="0.25">
      <c r="A525" s="5">
        <v>44068</v>
      </c>
      <c r="B525">
        <v>0.39250000000000002</v>
      </c>
      <c r="C525">
        <v>0.39360000000000001</v>
      </c>
      <c r="D525">
        <v>0.3498</v>
      </c>
      <c r="E525">
        <v>0.3619</v>
      </c>
      <c r="F525">
        <v>10717264.23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-0.44748858447488593</v>
      </c>
      <c r="Q525">
        <f t="shared" si="985"/>
        <v>-4795853.3997260286</v>
      </c>
      <c r="R525">
        <f t="shared" si="986"/>
        <v>401464506.54003465</v>
      </c>
      <c r="S525">
        <f t="shared" si="987"/>
        <v>4014.6450654003465</v>
      </c>
      <c r="T525">
        <f t="shared" si="988"/>
        <v>4.0146450654003463</v>
      </c>
    </row>
    <row r="526" spans="1:20" x14ac:dyDescent="0.25">
      <c r="A526" s="5">
        <v>44067</v>
      </c>
      <c r="B526">
        <v>0.3851</v>
      </c>
      <c r="C526">
        <v>0.39989999999999998</v>
      </c>
      <c r="D526">
        <v>0.376</v>
      </c>
      <c r="E526">
        <v>0.39250000000000002</v>
      </c>
      <c r="F526">
        <v>7953400.4100000001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0.38075313807531636</v>
      </c>
      <c r="Q526">
        <f t="shared" si="985"/>
        <v>3028282.1644770079</v>
      </c>
      <c r="R526">
        <f t="shared" si="986"/>
        <v>406260359.93976068</v>
      </c>
      <c r="S526">
        <f t="shared" si="987"/>
        <v>4062.603599397607</v>
      </c>
      <c r="T526">
        <f t="shared" si="988"/>
        <v>4.0626035993976073</v>
      </c>
    </row>
    <row r="527" spans="1:20" x14ac:dyDescent="0.25">
      <c r="A527" s="5">
        <v>44066</v>
      </c>
      <c r="B527">
        <v>0.40339999999999998</v>
      </c>
      <c r="C527">
        <v>0.40799999999999997</v>
      </c>
      <c r="D527">
        <v>0.37730000000000002</v>
      </c>
      <c r="E527">
        <v>0.38519999999999999</v>
      </c>
      <c r="F527">
        <v>8213380.9500000002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-0.48534201954397554</v>
      </c>
      <c r="Q527">
        <f t="shared" si="985"/>
        <v>-3986298.8975570165</v>
      </c>
      <c r="R527">
        <f t="shared" si="986"/>
        <v>403232077.77528369</v>
      </c>
      <c r="S527">
        <f t="shared" si="987"/>
        <v>4032.3207777528369</v>
      </c>
      <c r="T527">
        <f t="shared" si="988"/>
        <v>4.0323207777528367</v>
      </c>
    </row>
    <row r="528" spans="1:20" x14ac:dyDescent="0.25">
      <c r="A528" s="5">
        <v>44065</v>
      </c>
      <c r="B528">
        <v>0.37140000000000001</v>
      </c>
      <c r="C528">
        <v>0.40589999999999998</v>
      </c>
      <c r="D528">
        <v>0.36420000000000002</v>
      </c>
      <c r="E528">
        <v>0.40360000000000001</v>
      </c>
      <c r="F528">
        <v>10951505.99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0.88968824940048097</v>
      </c>
      <c r="Q528">
        <f t="shared" si="985"/>
        <v>9743426.1925419811</v>
      </c>
      <c r="R528">
        <f t="shared" si="986"/>
        <v>407218376.67284071</v>
      </c>
      <c r="S528">
        <f t="shared" si="987"/>
        <v>4072.1837667284071</v>
      </c>
      <c r="T528">
        <f t="shared" si="988"/>
        <v>4.0721837667284069</v>
      </c>
    </row>
    <row r="529" spans="1:20" x14ac:dyDescent="0.25">
      <c r="A529" s="5">
        <v>44064</v>
      </c>
      <c r="B529">
        <v>0.3992</v>
      </c>
      <c r="C529">
        <v>0.44130000000000003</v>
      </c>
      <c r="D529">
        <v>0.37090000000000001</v>
      </c>
      <c r="E529">
        <v>0.3715</v>
      </c>
      <c r="F529">
        <v>26649933.829999998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-0.98295454545454575</v>
      </c>
      <c r="Q529">
        <f t="shared" si="985"/>
        <v>-26195673.594261371</v>
      </c>
      <c r="R529">
        <f t="shared" si="986"/>
        <v>397474950.48029876</v>
      </c>
      <c r="S529">
        <f t="shared" si="987"/>
        <v>3974.7495048029878</v>
      </c>
      <c r="T529">
        <f t="shared" si="988"/>
        <v>3.9747495048029879</v>
      </c>
    </row>
    <row r="530" spans="1:20" x14ac:dyDescent="0.25">
      <c r="A530" s="5">
        <v>44063</v>
      </c>
      <c r="B530">
        <v>0.37209999999999999</v>
      </c>
      <c r="C530">
        <v>0.39989999999999998</v>
      </c>
      <c r="D530">
        <v>0.36720000000000003</v>
      </c>
      <c r="E530">
        <v>0.3987</v>
      </c>
      <c r="F530">
        <v>8808637.8900000006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0.92660550458715718</v>
      </c>
      <c r="Q530">
        <f t="shared" si="985"/>
        <v>8162132.3567890022</v>
      </c>
      <c r="R530">
        <f t="shared" si="986"/>
        <v>423670624.07456011</v>
      </c>
      <c r="S530">
        <f t="shared" si="987"/>
        <v>4236.7062407456015</v>
      </c>
      <c r="T530">
        <f t="shared" si="988"/>
        <v>4.2367062407456011</v>
      </c>
    </row>
    <row r="531" spans="1:20" x14ac:dyDescent="0.25">
      <c r="A531" s="5">
        <v>44062</v>
      </c>
      <c r="B531">
        <v>0.39450000000000002</v>
      </c>
      <c r="C531">
        <v>0.40029999999999999</v>
      </c>
      <c r="D531">
        <v>0.35709999999999997</v>
      </c>
      <c r="E531">
        <v>0.37190000000000001</v>
      </c>
      <c r="F531">
        <v>14455606.68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-0.31481481481481344</v>
      </c>
      <c r="Q531">
        <f t="shared" si="985"/>
        <v>-4550839.1399999801</v>
      </c>
      <c r="R531">
        <f t="shared" si="986"/>
        <v>415508491.71777111</v>
      </c>
      <c r="S531">
        <f t="shared" si="987"/>
        <v>4155.0849171777108</v>
      </c>
      <c r="T531">
        <f t="shared" si="988"/>
        <v>4.1550849171777111</v>
      </c>
    </row>
    <row r="532" spans="1:20" x14ac:dyDescent="0.25">
      <c r="A532" s="5">
        <v>44061</v>
      </c>
      <c r="B532">
        <v>0.4118</v>
      </c>
      <c r="C532">
        <v>0.41849999999999998</v>
      </c>
      <c r="D532">
        <v>0.37769999999999998</v>
      </c>
      <c r="E532">
        <v>0.39450000000000002</v>
      </c>
      <c r="F532">
        <v>12876120.67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-0.17647058823529235</v>
      </c>
      <c r="Q532">
        <f t="shared" si="985"/>
        <v>-2272256.5888235066</v>
      </c>
      <c r="R532">
        <f t="shared" si="986"/>
        <v>420059330.8577711</v>
      </c>
      <c r="S532">
        <f t="shared" si="987"/>
        <v>4200.5933085777106</v>
      </c>
      <c r="T532">
        <f t="shared" si="988"/>
        <v>4.2005933085777105</v>
      </c>
    </row>
    <row r="533" spans="1:20" x14ac:dyDescent="0.25">
      <c r="A533" s="5">
        <v>44060</v>
      </c>
      <c r="B533">
        <v>0.4239</v>
      </c>
      <c r="C533">
        <v>0.42720000000000002</v>
      </c>
      <c r="D533">
        <v>0.40379999999999999</v>
      </c>
      <c r="E533">
        <v>0.41189999999999999</v>
      </c>
      <c r="F533">
        <v>13650602.390000001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-0.30769230769230899</v>
      </c>
      <c r="Q533">
        <f t="shared" si="985"/>
        <v>-4200185.3507692488</v>
      </c>
      <c r="R533">
        <f t="shared" si="986"/>
        <v>422331587.4465946</v>
      </c>
      <c r="S533">
        <f t="shared" si="987"/>
        <v>4223.3158744659459</v>
      </c>
      <c r="T533">
        <f t="shared" si="988"/>
        <v>4.2233158744659463</v>
      </c>
    </row>
    <row r="534" spans="1:20" x14ac:dyDescent="0.25">
      <c r="A534" s="5">
        <v>44059</v>
      </c>
      <c r="B534">
        <v>0.41899999999999998</v>
      </c>
      <c r="C534">
        <v>0.4496</v>
      </c>
      <c r="D534">
        <v>0.40100000000000002</v>
      </c>
      <c r="E534">
        <v>0.42320000000000002</v>
      </c>
      <c r="F534">
        <v>16642298.560000001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-8.6419753086419415E-2</v>
      </c>
      <c r="Q534">
        <f t="shared" si="985"/>
        <v>-1438223.3323456733</v>
      </c>
      <c r="R534">
        <f t="shared" si="986"/>
        <v>426531772.79736382</v>
      </c>
      <c r="S534">
        <f t="shared" si="987"/>
        <v>4265.3177279736383</v>
      </c>
      <c r="T534">
        <f t="shared" si="988"/>
        <v>4.2653177279736383</v>
      </c>
    </row>
    <row r="535" spans="1:20" x14ac:dyDescent="0.25">
      <c r="A535" s="5">
        <v>44058</v>
      </c>
      <c r="B535">
        <v>0.40749999999999997</v>
      </c>
      <c r="C535">
        <v>0.442</v>
      </c>
      <c r="D535">
        <v>0.39379999999999998</v>
      </c>
      <c r="E535">
        <v>0.41930000000000001</v>
      </c>
      <c r="F535">
        <v>19907245.960000001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5.8091286307054429E-2</v>
      </c>
      <c r="Q535">
        <f t="shared" si="985"/>
        <v>1156437.5246473127</v>
      </c>
      <c r="R535">
        <f t="shared" si="986"/>
        <v>427969996.12970948</v>
      </c>
      <c r="S535">
        <f t="shared" si="987"/>
        <v>4279.6999612970949</v>
      </c>
      <c r="T535">
        <f t="shared" si="988"/>
        <v>4.2796999612970952</v>
      </c>
    </row>
    <row r="536" spans="1:20" x14ac:dyDescent="0.25">
      <c r="A536" s="5">
        <v>44057</v>
      </c>
      <c r="B536">
        <v>0.3775</v>
      </c>
      <c r="C536">
        <v>0.41749999999999998</v>
      </c>
      <c r="D536">
        <v>0.37390000000000001</v>
      </c>
      <c r="E536">
        <v>0.40739999999999998</v>
      </c>
      <c r="F536">
        <v>15260331.109999999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0.5366972477064218</v>
      </c>
      <c r="Q536">
        <f t="shared" si="985"/>
        <v>8190177.7058256846</v>
      </c>
      <c r="R536">
        <f t="shared" si="986"/>
        <v>426813558.60506219</v>
      </c>
      <c r="S536">
        <f t="shared" si="987"/>
        <v>4268.1355860506219</v>
      </c>
      <c r="T536">
        <f t="shared" si="988"/>
        <v>4.2681355860506223</v>
      </c>
    </row>
    <row r="537" spans="1:20" x14ac:dyDescent="0.25">
      <c r="A537" s="5">
        <v>44056</v>
      </c>
      <c r="B537">
        <v>0.38479999999999998</v>
      </c>
      <c r="C537">
        <v>0.40379999999999999</v>
      </c>
      <c r="D537">
        <v>0.36509999999999998</v>
      </c>
      <c r="E537">
        <v>0.37709999999999999</v>
      </c>
      <c r="F537">
        <v>17733678.579999998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-0.3798449612403097</v>
      </c>
      <c r="Q537">
        <f t="shared" si="985"/>
        <v>-6736048.4528682092</v>
      </c>
      <c r="R537">
        <f t="shared" si="986"/>
        <v>418623380.8992365</v>
      </c>
      <c r="S537">
        <f t="shared" si="987"/>
        <v>4186.2338089923651</v>
      </c>
      <c r="T537">
        <f t="shared" si="988"/>
        <v>4.1862338089923652</v>
      </c>
    </row>
    <row r="538" spans="1:20" x14ac:dyDescent="0.25">
      <c r="A538" s="5">
        <v>44055</v>
      </c>
      <c r="B538">
        <v>0.36780000000000002</v>
      </c>
      <c r="C538">
        <v>0.3871</v>
      </c>
      <c r="D538">
        <v>0.34129999999999999</v>
      </c>
      <c r="E538">
        <v>0.38490000000000002</v>
      </c>
      <c r="F538">
        <v>17588194.640000001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0.9039301310043677</v>
      </c>
      <c r="Q538">
        <f t="shared" si="985"/>
        <v>15898499.085065518</v>
      </c>
      <c r="R538">
        <f t="shared" si="986"/>
        <v>425359429.35210472</v>
      </c>
      <c r="S538">
        <f t="shared" si="987"/>
        <v>4253.5942935210469</v>
      </c>
      <c r="T538">
        <f t="shared" si="988"/>
        <v>4.2535942935210471</v>
      </c>
    </row>
    <row r="539" spans="1:20" x14ac:dyDescent="0.25">
      <c r="A539" s="5">
        <v>44054</v>
      </c>
      <c r="B539">
        <v>0.38319999999999999</v>
      </c>
      <c r="C539">
        <v>0.41710000000000003</v>
      </c>
      <c r="D539">
        <v>0.35489999999999999</v>
      </c>
      <c r="E539">
        <v>0.36809999999999998</v>
      </c>
      <c r="F539">
        <v>38223805.909999996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-0.5755627009646308</v>
      </c>
      <c r="Q539">
        <f t="shared" si="985"/>
        <v>-22000196.970707417</v>
      </c>
      <c r="R539">
        <f t="shared" si="986"/>
        <v>409460930.26703918</v>
      </c>
      <c r="S539">
        <f t="shared" si="987"/>
        <v>4094.6093026703916</v>
      </c>
      <c r="T539">
        <f t="shared" si="988"/>
        <v>4.0946093026703911</v>
      </c>
    </row>
    <row r="540" spans="1:20" x14ac:dyDescent="0.25">
      <c r="A540" s="5">
        <v>44053</v>
      </c>
      <c r="B540">
        <v>0.34789999999999999</v>
      </c>
      <c r="C540">
        <v>0.38719999999999999</v>
      </c>
      <c r="D540">
        <v>0.34310000000000002</v>
      </c>
      <c r="E540">
        <v>0.3826</v>
      </c>
      <c r="F540">
        <v>17582213.829999998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0.79138321995464866</v>
      </c>
      <c r="Q540">
        <f t="shared" si="985"/>
        <v>13914268.994716555</v>
      </c>
      <c r="R540">
        <f t="shared" si="986"/>
        <v>431461127.2377466</v>
      </c>
      <c r="S540">
        <f t="shared" si="987"/>
        <v>4314.6112723774659</v>
      </c>
      <c r="T540">
        <f t="shared" si="988"/>
        <v>4.3146112723774657</v>
      </c>
    </row>
    <row r="541" spans="1:20" x14ac:dyDescent="0.25">
      <c r="A541" s="5">
        <v>44052</v>
      </c>
      <c r="B541">
        <v>0.3306</v>
      </c>
      <c r="C541">
        <v>0.34810000000000002</v>
      </c>
      <c r="D541">
        <v>0.32950000000000002</v>
      </c>
      <c r="E541">
        <v>0.34799999999999998</v>
      </c>
      <c r="F541">
        <v>13345729.41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0.98924731182795222</v>
      </c>
      <c r="Q541">
        <f t="shared" si="985"/>
        <v>13202226.943225743</v>
      </c>
      <c r="R541">
        <f t="shared" si="986"/>
        <v>417546858.24303007</v>
      </c>
      <c r="S541">
        <f t="shared" si="987"/>
        <v>4175.4685824303006</v>
      </c>
      <c r="T541">
        <f t="shared" si="988"/>
        <v>4.1754685824303008</v>
      </c>
    </row>
    <row r="542" spans="1:20" x14ac:dyDescent="0.25">
      <c r="A542" s="5">
        <v>44051</v>
      </c>
      <c r="B542">
        <v>0.31869999999999998</v>
      </c>
      <c r="C542">
        <v>0.33610000000000001</v>
      </c>
      <c r="D542">
        <v>0.31459999999999999</v>
      </c>
      <c r="E542">
        <v>0.33040000000000003</v>
      </c>
      <c r="F542">
        <v>7957898.25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0.46976744186046721</v>
      </c>
      <c r="Q542">
        <f t="shared" si="985"/>
        <v>3738361.5034883888</v>
      </c>
      <c r="R542">
        <f t="shared" si="986"/>
        <v>404344631.29980433</v>
      </c>
      <c r="S542">
        <f t="shared" si="987"/>
        <v>4043.4463129980431</v>
      </c>
      <c r="T542">
        <f t="shared" si="988"/>
        <v>4.0434463129980429</v>
      </c>
    </row>
    <row r="543" spans="1:20" x14ac:dyDescent="0.25">
      <c r="A543" s="5">
        <v>44050</v>
      </c>
      <c r="B543">
        <v>0.31590000000000001</v>
      </c>
      <c r="C543">
        <v>0.33389999999999997</v>
      </c>
      <c r="D543">
        <v>0.30819999999999997</v>
      </c>
      <c r="E543">
        <v>0.31900000000000001</v>
      </c>
      <c r="F543">
        <v>13692699.67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-0.15953307392995864</v>
      </c>
      <c r="Q543">
        <f t="shared" si="985"/>
        <v>-2184438.4687548303</v>
      </c>
      <c r="R543">
        <f t="shared" si="986"/>
        <v>400606269.79631597</v>
      </c>
      <c r="S543">
        <f t="shared" si="987"/>
        <v>4006.0626979631597</v>
      </c>
      <c r="T543">
        <f t="shared" si="988"/>
        <v>4.0060626979631602</v>
      </c>
    </row>
    <row r="544" spans="1:20" x14ac:dyDescent="0.25">
      <c r="A544" s="5">
        <v>44049</v>
      </c>
      <c r="B544">
        <v>0.30480000000000002</v>
      </c>
      <c r="C544">
        <v>0.32100000000000001</v>
      </c>
      <c r="D544">
        <v>0.29899999999999999</v>
      </c>
      <c r="E544">
        <v>0.31569999999999998</v>
      </c>
      <c r="F544">
        <v>12739092.33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0.51818181818181619</v>
      </c>
      <c r="Q544">
        <f t="shared" si="985"/>
        <v>6601166.0255454294</v>
      </c>
      <c r="R544">
        <f t="shared" si="986"/>
        <v>402790708.2650708</v>
      </c>
      <c r="S544">
        <f t="shared" si="987"/>
        <v>4027.9070826507082</v>
      </c>
      <c r="T544">
        <f t="shared" si="988"/>
        <v>4.0279070826507084</v>
      </c>
    </row>
    <row r="545" spans="1:20" x14ac:dyDescent="0.25">
      <c r="A545" s="5">
        <v>44048</v>
      </c>
      <c r="B545">
        <v>0.30769999999999997</v>
      </c>
      <c r="C545">
        <v>0.30959999999999999</v>
      </c>
      <c r="D545">
        <v>0.30109999999999998</v>
      </c>
      <c r="E545">
        <v>0.30509999999999998</v>
      </c>
      <c r="F545">
        <v>4870591.75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-5.8823529411764705E-2</v>
      </c>
      <c r="Q545">
        <f t="shared" si="985"/>
        <v>-286505.39705882355</v>
      </c>
      <c r="R545">
        <f t="shared" si="986"/>
        <v>396189542.23952538</v>
      </c>
      <c r="S545">
        <f t="shared" si="987"/>
        <v>3961.8954223952537</v>
      </c>
      <c r="T545">
        <f t="shared" si="988"/>
        <v>3.9618954223952536</v>
      </c>
    </row>
    <row r="546" spans="1:20" x14ac:dyDescent="0.25">
      <c r="A546" s="5">
        <v>44047</v>
      </c>
      <c r="B546">
        <v>0.3004</v>
      </c>
      <c r="C546">
        <v>0.31159999999999999</v>
      </c>
      <c r="D546">
        <v>0.29709999999999998</v>
      </c>
      <c r="E546">
        <v>0.307</v>
      </c>
      <c r="F546">
        <v>7293888.0499999998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0.36551724137931185</v>
      </c>
      <c r="Q546">
        <f t="shared" si="985"/>
        <v>2666041.8389655282</v>
      </c>
      <c r="R546">
        <f t="shared" si="986"/>
        <v>396476047.63658422</v>
      </c>
      <c r="S546">
        <f t="shared" si="987"/>
        <v>3964.7604763658424</v>
      </c>
      <c r="T546">
        <f t="shared" si="988"/>
        <v>3.9647604763658424</v>
      </c>
    </row>
    <row r="547" spans="1:20" x14ac:dyDescent="0.25">
      <c r="A547" s="5">
        <v>44046</v>
      </c>
      <c r="B547">
        <v>0.28799999999999998</v>
      </c>
      <c r="C547">
        <v>0.30680000000000002</v>
      </c>
      <c r="D547">
        <v>0.28470000000000001</v>
      </c>
      <c r="E547">
        <v>0.30070000000000002</v>
      </c>
      <c r="F547">
        <v>7070015.2400000002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0.44796380090497812</v>
      </c>
      <c r="Q547">
        <f t="shared" si="985"/>
        <v>3167110.8993665213</v>
      </c>
      <c r="R547">
        <f t="shared" si="986"/>
        <v>393810005.79761869</v>
      </c>
      <c r="S547">
        <f t="shared" si="987"/>
        <v>3938.1000579761867</v>
      </c>
      <c r="T547">
        <f t="shared" si="988"/>
        <v>3.9381000579761869</v>
      </c>
    </row>
    <row r="548" spans="1:20" x14ac:dyDescent="0.25">
      <c r="A548" s="5">
        <v>44045</v>
      </c>
      <c r="B548">
        <v>0.31409999999999999</v>
      </c>
      <c r="C548">
        <v>0.3231</v>
      </c>
      <c r="D548">
        <v>0.28060000000000002</v>
      </c>
      <c r="E548">
        <v>0.28839999999999999</v>
      </c>
      <c r="F548">
        <v>16566961.34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-0.63294117647058934</v>
      </c>
      <c r="Q548">
        <f t="shared" si="985"/>
        <v>-10485912.001082372</v>
      </c>
      <c r="R548">
        <f t="shared" si="986"/>
        <v>390642894.89825219</v>
      </c>
      <c r="S548">
        <f t="shared" si="987"/>
        <v>3906.4289489825219</v>
      </c>
      <c r="T548">
        <f t="shared" si="988"/>
        <v>3.9064289489825219</v>
      </c>
    </row>
    <row r="549" spans="1:20" x14ac:dyDescent="0.25">
      <c r="A549" s="5">
        <v>44044</v>
      </c>
      <c r="B549">
        <v>0.29880000000000001</v>
      </c>
      <c r="C549">
        <v>0.31780000000000003</v>
      </c>
      <c r="D549">
        <v>0.29649999999999999</v>
      </c>
      <c r="E549">
        <v>0.31419999999999998</v>
      </c>
      <c r="F549">
        <v>11812349.960000001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0.66197183098591172</v>
      </c>
      <c r="Q549">
        <f t="shared" si="985"/>
        <v>7819442.9312675614</v>
      </c>
      <c r="R549">
        <f t="shared" si="986"/>
        <v>401128806.89933455</v>
      </c>
      <c r="S549">
        <f t="shared" si="987"/>
        <v>4011.2880689933454</v>
      </c>
      <c r="T549">
        <f t="shared" si="988"/>
        <v>4.0112880689933457</v>
      </c>
    </row>
    <row r="550" spans="1:20" x14ac:dyDescent="0.25">
      <c r="A550" s="5">
        <v>44043</v>
      </c>
      <c r="B550">
        <v>0.3</v>
      </c>
      <c r="C550">
        <v>0.30380000000000001</v>
      </c>
      <c r="D550">
        <v>0.29320000000000002</v>
      </c>
      <c r="E550">
        <v>0.29930000000000001</v>
      </c>
      <c r="F550">
        <v>7652785.7199999997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0.1509433962264142</v>
      </c>
      <c r="Q550">
        <f t="shared" si="985"/>
        <v>1155137.4671698045</v>
      </c>
      <c r="R550">
        <f t="shared" si="986"/>
        <v>393309363.96806699</v>
      </c>
      <c r="S550">
        <f t="shared" si="987"/>
        <v>3933.0936396806701</v>
      </c>
      <c r="T550">
        <f t="shared" si="988"/>
        <v>3.9330936396806702</v>
      </c>
    </row>
    <row r="551" spans="1:20" x14ac:dyDescent="0.25">
      <c r="A551" s="5">
        <v>44042</v>
      </c>
      <c r="B551">
        <v>0.2853</v>
      </c>
      <c r="C551">
        <v>0.30790000000000001</v>
      </c>
      <c r="D551">
        <v>0.28220000000000001</v>
      </c>
      <c r="E551">
        <v>0.30009999999999998</v>
      </c>
      <c r="F551">
        <v>24958010.48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0.39299610894941411</v>
      </c>
      <c r="Q551">
        <f t="shared" si="985"/>
        <v>9808401.005758699</v>
      </c>
      <c r="R551">
        <f t="shared" si="986"/>
        <v>392154226.50089717</v>
      </c>
      <c r="S551">
        <f t="shared" si="987"/>
        <v>3921.5422650089718</v>
      </c>
      <c r="T551">
        <f t="shared" si="988"/>
        <v>3.9215422650089717</v>
      </c>
    </row>
    <row r="552" spans="1:20" x14ac:dyDescent="0.25">
      <c r="A552" s="5">
        <v>44041</v>
      </c>
      <c r="B552">
        <v>0.27089999999999997</v>
      </c>
      <c r="C552">
        <v>0.29270000000000002</v>
      </c>
      <c r="D552">
        <v>0.26979999999999998</v>
      </c>
      <c r="E552">
        <v>0.28539999999999999</v>
      </c>
      <c r="F552">
        <v>11940275.41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0.36244541484715992</v>
      </c>
      <c r="Q552">
        <f t="shared" si="985"/>
        <v>4327698.0743667921</v>
      </c>
      <c r="R552">
        <f t="shared" si="986"/>
        <v>382345825.49513847</v>
      </c>
      <c r="S552">
        <f t="shared" si="987"/>
        <v>3823.4582549513848</v>
      </c>
      <c r="T552">
        <f t="shared" si="988"/>
        <v>3.8234582549513849</v>
      </c>
    </row>
    <row r="553" spans="1:20" x14ac:dyDescent="0.25">
      <c r="A553" s="5">
        <v>44040</v>
      </c>
      <c r="B553">
        <v>0.2712</v>
      </c>
      <c r="C553">
        <v>0.28060000000000002</v>
      </c>
      <c r="D553">
        <v>0.26629999999999998</v>
      </c>
      <c r="E553">
        <v>0.27110000000000001</v>
      </c>
      <c r="F553">
        <v>11847543.24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-0.32867132867132659</v>
      </c>
      <c r="Q553">
        <f t="shared" si="985"/>
        <v>-3893947.7781817936</v>
      </c>
      <c r="R553">
        <f t="shared" si="986"/>
        <v>378018127.42077166</v>
      </c>
      <c r="S553">
        <f t="shared" si="987"/>
        <v>3780.1812742077168</v>
      </c>
      <c r="T553">
        <f t="shared" si="988"/>
        <v>3.7801812742077168</v>
      </c>
    </row>
    <row r="554" spans="1:20" x14ac:dyDescent="0.25">
      <c r="A554" s="5">
        <v>44039</v>
      </c>
      <c r="B554">
        <v>0.26889999999999997</v>
      </c>
      <c r="C554">
        <v>0.27579999999999999</v>
      </c>
      <c r="D554">
        <v>0.25180000000000002</v>
      </c>
      <c r="E554">
        <v>0.27100000000000002</v>
      </c>
      <c r="F554">
        <v>14757453.48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0.60000000000000187</v>
      </c>
      <c r="Q554">
        <f t="shared" si="985"/>
        <v>8854472.0880000275</v>
      </c>
      <c r="R554">
        <f t="shared" si="986"/>
        <v>381912075.19895345</v>
      </c>
      <c r="S554">
        <f t="shared" si="987"/>
        <v>3819.1207519895347</v>
      </c>
      <c r="T554">
        <f t="shared" si="988"/>
        <v>3.8191207519895345</v>
      </c>
    </row>
    <row r="555" spans="1:20" x14ac:dyDescent="0.25">
      <c r="A555" s="5">
        <v>44038</v>
      </c>
      <c r="B555">
        <v>0.27550000000000002</v>
      </c>
      <c r="C555">
        <v>0.27989999999999998</v>
      </c>
      <c r="D555">
        <v>0.26750000000000002</v>
      </c>
      <c r="E555">
        <v>0.26889999999999997</v>
      </c>
      <c r="F555">
        <v>7535964.4900000002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-0.77419354838710308</v>
      </c>
      <c r="Q555">
        <f t="shared" si="985"/>
        <v>-5834295.0890323054</v>
      </c>
      <c r="R555">
        <f t="shared" si="986"/>
        <v>373057603.11095345</v>
      </c>
      <c r="S555">
        <f t="shared" si="987"/>
        <v>3730.5760311095346</v>
      </c>
      <c r="T555">
        <f t="shared" si="988"/>
        <v>3.7305760311095346</v>
      </c>
    </row>
    <row r="556" spans="1:20" x14ac:dyDescent="0.25">
      <c r="A556" s="5">
        <v>44037</v>
      </c>
      <c r="B556">
        <v>0.26690000000000003</v>
      </c>
      <c r="C556">
        <v>0.27710000000000001</v>
      </c>
      <c r="D556">
        <v>0.2666</v>
      </c>
      <c r="E556">
        <v>0.27550000000000002</v>
      </c>
      <c r="F556">
        <v>7835365.25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0.69523809523809732</v>
      </c>
      <c r="Q556">
        <f t="shared" si="985"/>
        <v>5447444.4119047783</v>
      </c>
      <c r="R556">
        <f t="shared" si="986"/>
        <v>378891898.19998574</v>
      </c>
      <c r="S556">
        <f t="shared" si="987"/>
        <v>3788.9189819998574</v>
      </c>
      <c r="T556">
        <f t="shared" si="988"/>
        <v>3.7889189819998572</v>
      </c>
    </row>
    <row r="557" spans="1:20" x14ac:dyDescent="0.25">
      <c r="A557" s="5">
        <v>44036</v>
      </c>
      <c r="B557">
        <v>0.27910000000000001</v>
      </c>
      <c r="C557">
        <v>0.27950000000000003</v>
      </c>
      <c r="D557">
        <v>0.26540000000000002</v>
      </c>
      <c r="E557">
        <v>0.26700000000000002</v>
      </c>
      <c r="F557">
        <v>9374843.6799999997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-0.77304964539007237</v>
      </c>
      <c r="Q557">
        <f t="shared" si="985"/>
        <v>-7247219.5824113609</v>
      </c>
      <c r="R557">
        <f t="shared" si="986"/>
        <v>373444453.78808099</v>
      </c>
      <c r="S557">
        <f t="shared" si="987"/>
        <v>3734.44453788081</v>
      </c>
      <c r="T557">
        <f t="shared" si="988"/>
        <v>3.73444453788081</v>
      </c>
    </row>
    <row r="558" spans="1:20" x14ac:dyDescent="0.25">
      <c r="A558" s="5">
        <v>44035</v>
      </c>
      <c r="B558">
        <v>0.27839999999999998</v>
      </c>
      <c r="C558">
        <v>0.28589999999999999</v>
      </c>
      <c r="D558">
        <v>0.27389999999999998</v>
      </c>
      <c r="E558">
        <v>0.27960000000000002</v>
      </c>
      <c r="F558">
        <v>11887023.390000001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-4.9999999999994452E-2</v>
      </c>
      <c r="Q558">
        <f t="shared" si="985"/>
        <v>-594351.16949993407</v>
      </c>
      <c r="R558">
        <f t="shared" si="986"/>
        <v>380691673.37049234</v>
      </c>
      <c r="S558">
        <f t="shared" si="987"/>
        <v>3806.9167337049234</v>
      </c>
      <c r="T558">
        <f t="shared" si="988"/>
        <v>3.8069167337049232</v>
      </c>
    </row>
    <row r="559" spans="1:20" x14ac:dyDescent="0.25">
      <c r="A559" s="5">
        <v>44034</v>
      </c>
      <c r="B559">
        <v>0.26550000000000001</v>
      </c>
      <c r="C559">
        <v>0.28010000000000002</v>
      </c>
      <c r="D559">
        <v>0.26300000000000001</v>
      </c>
      <c r="E559">
        <v>0.2787</v>
      </c>
      <c r="F559">
        <v>10020941.210000001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0.83625730994151903</v>
      </c>
      <c r="Q559">
        <f t="shared" si="985"/>
        <v>8380085.3393567111</v>
      </c>
      <c r="R559">
        <f t="shared" si="986"/>
        <v>381286024.53999227</v>
      </c>
      <c r="S559">
        <f t="shared" si="987"/>
        <v>3812.8602453999229</v>
      </c>
      <c r="T559">
        <f t="shared" si="988"/>
        <v>3.8128602453999227</v>
      </c>
    </row>
    <row r="560" spans="1:20" x14ac:dyDescent="0.25">
      <c r="A560" s="5">
        <v>44033</v>
      </c>
      <c r="B560">
        <v>0.24990000000000001</v>
      </c>
      <c r="C560">
        <v>0.26989999999999997</v>
      </c>
      <c r="D560">
        <v>0.24979999999999999</v>
      </c>
      <c r="E560">
        <v>0.26550000000000001</v>
      </c>
      <c r="F560">
        <v>17174408.879999999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0.56218905472637171</v>
      </c>
      <c r="Q560">
        <f t="shared" si="985"/>
        <v>9655264.693731403</v>
      </c>
      <c r="R560">
        <f t="shared" si="986"/>
        <v>372905939.20063555</v>
      </c>
      <c r="S560">
        <f t="shared" si="987"/>
        <v>3729.0593920063557</v>
      </c>
      <c r="T560">
        <f t="shared" si="988"/>
        <v>3.7290593920063557</v>
      </c>
    </row>
    <row r="561" spans="1:104" x14ac:dyDescent="0.25">
      <c r="A561" s="5">
        <v>44032</v>
      </c>
      <c r="B561">
        <v>0.2482</v>
      </c>
      <c r="C561">
        <v>0.25580000000000003</v>
      </c>
      <c r="D561">
        <v>0.246</v>
      </c>
      <c r="E561">
        <v>0.25009999999999999</v>
      </c>
      <c r="F561">
        <v>10499771.4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-0.16326530612245313</v>
      </c>
      <c r="Q561">
        <f t="shared" si="985"/>
        <v>-1714248.3918367783</v>
      </c>
      <c r="R561">
        <f t="shared" si="986"/>
        <v>363250674.50690413</v>
      </c>
      <c r="S561">
        <f t="shared" si="987"/>
        <v>3632.5067450690412</v>
      </c>
      <c r="T561">
        <f t="shared" si="988"/>
        <v>3.6325067450690414</v>
      </c>
      <c r="CZ561" t="s">
        <v>7</v>
      </c>
    </row>
    <row r="562" spans="1:104" x14ac:dyDescent="0.25">
      <c r="A562" s="5">
        <v>44031</v>
      </c>
      <c r="B562">
        <v>0.2384</v>
      </c>
      <c r="C562">
        <v>0.24970000000000001</v>
      </c>
      <c r="D562">
        <v>0.23769999999999999</v>
      </c>
      <c r="E562">
        <v>0.24779999999999999</v>
      </c>
      <c r="F562">
        <v>5318004.84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0.68333333333333146</v>
      </c>
      <c r="Q562">
        <f t="shared" si="985"/>
        <v>3633969.9739999902</v>
      </c>
      <c r="R562">
        <f t="shared" si="986"/>
        <v>364964922.89874089</v>
      </c>
      <c r="S562">
        <f t="shared" si="987"/>
        <v>3649.6492289874091</v>
      </c>
      <c r="T562">
        <f t="shared" si="988"/>
        <v>3.6496492289874092</v>
      </c>
      <c r="CZ562" t="s">
        <v>7</v>
      </c>
    </row>
    <row r="563" spans="1:104" x14ac:dyDescent="0.25">
      <c r="A563" s="5">
        <v>44030</v>
      </c>
      <c r="B563">
        <v>0.24060000000000001</v>
      </c>
      <c r="C563">
        <v>0.24199999999999999</v>
      </c>
      <c r="D563">
        <v>0.23799999999999999</v>
      </c>
      <c r="E563">
        <v>0.23860000000000001</v>
      </c>
      <c r="F563">
        <v>2612373.77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-0.69999999999999163</v>
      </c>
      <c r="Q563">
        <f t="shared" si="985"/>
        <v>-1828661.6389999781</v>
      </c>
      <c r="R563">
        <f t="shared" si="986"/>
        <v>361330952.92474091</v>
      </c>
      <c r="S563">
        <f t="shared" si="987"/>
        <v>3613.309529247409</v>
      </c>
      <c r="T563">
        <f t="shared" si="988"/>
        <v>3.6133095292474091</v>
      </c>
      <c r="CZ563" t="s">
        <v>7</v>
      </c>
    </row>
    <row r="564" spans="1:104" x14ac:dyDescent="0.25">
      <c r="A564" s="5">
        <v>44029</v>
      </c>
      <c r="B564">
        <v>0.24149999999999999</v>
      </c>
      <c r="C564">
        <v>0.2429</v>
      </c>
      <c r="D564">
        <v>0.23769999999999999</v>
      </c>
      <c r="E564">
        <v>0.24110000000000001</v>
      </c>
      <c r="F564">
        <v>3396361.97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0.30769230769231054</v>
      </c>
      <c r="Q564">
        <f t="shared" si="985"/>
        <v>1045034.452307702</v>
      </c>
      <c r="R564">
        <f t="shared" si="986"/>
        <v>363159614.56374091</v>
      </c>
      <c r="S564">
        <f t="shared" si="987"/>
        <v>3631.5961456374089</v>
      </c>
      <c r="T564">
        <f t="shared" si="988"/>
        <v>3.6315961456374088</v>
      </c>
    </row>
    <row r="565" spans="1:104" x14ac:dyDescent="0.25">
      <c r="A565" s="5">
        <v>44028</v>
      </c>
      <c r="B565">
        <v>0.24529999999999999</v>
      </c>
      <c r="C565">
        <v>0.24709999999999999</v>
      </c>
      <c r="D565">
        <v>0.22850000000000001</v>
      </c>
      <c r="E565">
        <v>0.24129999999999999</v>
      </c>
      <c r="F565">
        <v>8062581.5999999996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0.37634408602150465</v>
      </c>
      <c r="Q565">
        <f t="shared" si="985"/>
        <v>3034304.9032258005</v>
      </c>
      <c r="R565">
        <f t="shared" si="986"/>
        <v>362114580.11143321</v>
      </c>
      <c r="S565">
        <f t="shared" si="987"/>
        <v>3621.1458011143322</v>
      </c>
      <c r="T565">
        <f t="shared" si="988"/>
        <v>3.621145801114332</v>
      </c>
    </row>
    <row r="566" spans="1:104" x14ac:dyDescent="0.25">
      <c r="A566" s="5">
        <v>44027</v>
      </c>
      <c r="B566">
        <v>0.249</v>
      </c>
      <c r="C566">
        <v>0.25059999999999999</v>
      </c>
      <c r="D566">
        <v>0.24310000000000001</v>
      </c>
      <c r="E566">
        <v>0.24529999999999999</v>
      </c>
      <c r="F566">
        <v>5408314.3399999999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-0.41333333333333711</v>
      </c>
      <c r="Q566">
        <f t="shared" si="985"/>
        <v>-2235436.5938666868</v>
      </c>
      <c r="R566">
        <f t="shared" si="986"/>
        <v>359080275.20820743</v>
      </c>
      <c r="S566">
        <f t="shared" si="987"/>
        <v>3590.8027520820742</v>
      </c>
      <c r="T566">
        <f t="shared" si="988"/>
        <v>3.590802752082074</v>
      </c>
    </row>
    <row r="567" spans="1:104" x14ac:dyDescent="0.25">
      <c r="A567" s="5">
        <v>44026</v>
      </c>
      <c r="B567">
        <v>0.24840000000000001</v>
      </c>
      <c r="C567">
        <v>0.25509999999999999</v>
      </c>
      <c r="D567">
        <v>0.24349999999999999</v>
      </c>
      <c r="E567">
        <v>0.24879999999999999</v>
      </c>
      <c r="F567">
        <v>6441106.9900000002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-8.6206896551724227E-2</v>
      </c>
      <c r="Q567">
        <f t="shared" si="985"/>
        <v>-555267.84396551782</v>
      </c>
      <c r="R567">
        <f t="shared" si="986"/>
        <v>361315711.80207413</v>
      </c>
      <c r="S567">
        <f t="shared" si="987"/>
        <v>3613.1571180207416</v>
      </c>
      <c r="T567">
        <f t="shared" si="988"/>
        <v>3.6131571180207414</v>
      </c>
    </row>
    <row r="568" spans="1:104" x14ac:dyDescent="0.25">
      <c r="A568" s="5">
        <v>44025</v>
      </c>
      <c r="B568">
        <v>0.25159999999999999</v>
      </c>
      <c r="C568">
        <v>0.26300000000000001</v>
      </c>
      <c r="D568">
        <v>0.2412</v>
      </c>
      <c r="E568">
        <v>0.249</v>
      </c>
      <c r="F568">
        <v>12498025.789999999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-0.28440366972477099</v>
      </c>
      <c r="Q568">
        <f t="shared" si="985"/>
        <v>-3554484.3989908299</v>
      </c>
      <c r="R568">
        <f t="shared" si="986"/>
        <v>361870979.64603966</v>
      </c>
      <c r="S568">
        <f t="shared" si="987"/>
        <v>3618.7097964603968</v>
      </c>
      <c r="T568">
        <f t="shared" si="988"/>
        <v>3.6187097964603967</v>
      </c>
    </row>
    <row r="569" spans="1:104" x14ac:dyDescent="0.25">
      <c r="A569" s="5">
        <v>44024</v>
      </c>
      <c r="B569">
        <v>0.24990000000000001</v>
      </c>
      <c r="C569">
        <v>0.25369999999999998</v>
      </c>
      <c r="D569">
        <v>0.24310000000000001</v>
      </c>
      <c r="E569">
        <v>0.25109999999999999</v>
      </c>
      <c r="F569">
        <v>6530950.0099999998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0.50943396226415127</v>
      </c>
      <c r="Q569">
        <f t="shared" si="985"/>
        <v>3327087.7409433983</v>
      </c>
      <c r="R569">
        <f t="shared" si="986"/>
        <v>365425464.04503047</v>
      </c>
      <c r="S569">
        <f t="shared" si="987"/>
        <v>3654.2546404503046</v>
      </c>
      <c r="T569">
        <f t="shared" si="988"/>
        <v>3.6542546404503047</v>
      </c>
    </row>
    <row r="570" spans="1:104" x14ac:dyDescent="0.25">
      <c r="A570" s="5">
        <v>44023</v>
      </c>
      <c r="B570">
        <v>0.25059999999999999</v>
      </c>
      <c r="C570">
        <v>0.253</v>
      </c>
      <c r="D570">
        <v>0.2447</v>
      </c>
      <c r="E570">
        <v>0.24990000000000001</v>
      </c>
      <c r="F570">
        <v>4250961.25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0.25301204819277329</v>
      </c>
      <c r="Q570">
        <f t="shared" si="985"/>
        <v>1075544.4126506117</v>
      </c>
      <c r="R570">
        <f t="shared" si="986"/>
        <v>362098376.3040871</v>
      </c>
      <c r="S570">
        <f t="shared" si="987"/>
        <v>3620.9837630408711</v>
      </c>
      <c r="T570">
        <f t="shared" si="988"/>
        <v>3.6209837630408712</v>
      </c>
    </row>
    <row r="571" spans="1:104" x14ac:dyDescent="0.25">
      <c r="A571" s="5">
        <v>44022</v>
      </c>
      <c r="B571">
        <v>0.2545</v>
      </c>
      <c r="C571">
        <v>0.2545</v>
      </c>
      <c r="D571">
        <v>0.23860000000000001</v>
      </c>
      <c r="E571">
        <v>0.25069999999999998</v>
      </c>
      <c r="F571">
        <v>9040665.7599999998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0.52201257861634887</v>
      </c>
      <c r="Q571">
        <f t="shared" si="985"/>
        <v>4719341.2457861332</v>
      </c>
      <c r="R571">
        <f t="shared" si="986"/>
        <v>361022831.89143652</v>
      </c>
      <c r="S571">
        <f t="shared" si="987"/>
        <v>3610.228318914365</v>
      </c>
      <c r="T571">
        <f t="shared" si="988"/>
        <v>3.6102283189143649</v>
      </c>
    </row>
    <row r="572" spans="1:104" x14ac:dyDescent="0.25">
      <c r="A572" s="5">
        <v>44021</v>
      </c>
      <c r="B572">
        <v>0.25650000000000001</v>
      </c>
      <c r="C572">
        <v>0.26779999999999998</v>
      </c>
      <c r="D572">
        <v>0.2472</v>
      </c>
      <c r="E572">
        <v>0.25480000000000003</v>
      </c>
      <c r="F572">
        <v>15260092.35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-0.26213592233009408</v>
      </c>
      <c r="Q572">
        <f t="shared" si="985"/>
        <v>-4000218.3830096629</v>
      </c>
      <c r="R572">
        <f t="shared" si="986"/>
        <v>356303490.64565039</v>
      </c>
      <c r="S572">
        <f t="shared" si="987"/>
        <v>3563.0349064565039</v>
      </c>
      <c r="T572">
        <f t="shared" si="988"/>
        <v>3.5630349064565041</v>
      </c>
    </row>
    <row r="573" spans="1:104" x14ac:dyDescent="0.25">
      <c r="A573" s="5">
        <v>44020</v>
      </c>
      <c r="B573">
        <v>0.24460000000000001</v>
      </c>
      <c r="C573">
        <v>0.26190000000000002</v>
      </c>
      <c r="D573">
        <v>0.24179999999999999</v>
      </c>
      <c r="E573">
        <v>0.25650000000000001</v>
      </c>
      <c r="F573">
        <v>14880652.43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0.46268656716417844</v>
      </c>
      <c r="Q573">
        <f t="shared" si="985"/>
        <v>6885077.98999999</v>
      </c>
      <c r="R573">
        <f t="shared" si="986"/>
        <v>360303709.02866006</v>
      </c>
      <c r="S573">
        <f t="shared" si="987"/>
        <v>3603.0370902866007</v>
      </c>
      <c r="T573">
        <f t="shared" si="988"/>
        <v>3.6030370902866009</v>
      </c>
    </row>
    <row r="574" spans="1:104" x14ac:dyDescent="0.25">
      <c r="A574" s="5">
        <v>44019</v>
      </c>
      <c r="B574">
        <v>0.2462</v>
      </c>
      <c r="C574">
        <v>0.24779999999999999</v>
      </c>
      <c r="D574">
        <v>0.23749999999999999</v>
      </c>
      <c r="E574">
        <v>0.2447</v>
      </c>
      <c r="F574">
        <v>6058657.9000000004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0.39805825242718629</v>
      </c>
      <c r="Q574">
        <f t="shared" si="985"/>
        <v>2411698.7757281666</v>
      </c>
      <c r="R574">
        <f t="shared" si="986"/>
        <v>353418631.03866005</v>
      </c>
      <c r="S574">
        <f t="shared" si="987"/>
        <v>3534.1863103866003</v>
      </c>
      <c r="T574">
        <f t="shared" si="988"/>
        <v>3.5341863103866005</v>
      </c>
    </row>
    <row r="575" spans="1:104" x14ac:dyDescent="0.25">
      <c r="A575" s="5">
        <v>44018</v>
      </c>
      <c r="B575">
        <v>0.23549999999999999</v>
      </c>
      <c r="C575">
        <v>0.2487</v>
      </c>
      <c r="D575">
        <v>0.2346</v>
      </c>
      <c r="E575">
        <v>0.2467</v>
      </c>
      <c r="F575">
        <v>10565155.99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0.71631205673758847</v>
      </c>
      <c r="Q575">
        <f t="shared" si="985"/>
        <v>7567948.6169503527</v>
      </c>
      <c r="R575">
        <f t="shared" si="986"/>
        <v>351006932.26293188</v>
      </c>
      <c r="S575">
        <f t="shared" si="987"/>
        <v>3510.0693226293188</v>
      </c>
      <c r="T575">
        <f t="shared" si="988"/>
        <v>3.5100693226293189</v>
      </c>
    </row>
    <row r="576" spans="1:104" x14ac:dyDescent="0.25">
      <c r="A576" s="5">
        <v>44017</v>
      </c>
      <c r="B576">
        <v>0.2404</v>
      </c>
      <c r="C576">
        <v>0.2417</v>
      </c>
      <c r="D576">
        <v>0.22600000000000001</v>
      </c>
      <c r="E576">
        <v>0.23530000000000001</v>
      </c>
      <c r="F576">
        <v>7266167.0899999999</v>
      </c>
      <c r="G576">
        <v>0</v>
      </c>
      <c r="L576" t="s">
        <v>7</v>
      </c>
      <c r="M576" t="s">
        <v>8</v>
      </c>
      <c r="N576" t="s">
        <v>8</v>
      </c>
      <c r="P576">
        <f t="shared" si="984"/>
        <v>0.1847133757961793</v>
      </c>
      <c r="Q576">
        <f t="shared" si="985"/>
        <v>1342158.2522930005</v>
      </c>
      <c r="R576">
        <f t="shared" si="986"/>
        <v>343438983.64598155</v>
      </c>
      <c r="S576">
        <f t="shared" si="987"/>
        <v>3434.3898364598153</v>
      </c>
      <c r="T576">
        <f t="shared" si="988"/>
        <v>3.4343898364598155</v>
      </c>
    </row>
    <row r="577" spans="1:20" x14ac:dyDescent="0.25">
      <c r="A577" s="5">
        <v>44016</v>
      </c>
      <c r="B577">
        <v>0.22459999999999999</v>
      </c>
      <c r="C577">
        <v>0.2419</v>
      </c>
      <c r="D577">
        <v>0.22370000000000001</v>
      </c>
      <c r="E577">
        <v>0.24030000000000001</v>
      </c>
      <c r="F577">
        <v>7855877.9699999997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0.82417582417582513</v>
      </c>
      <c r="Q577">
        <f t="shared" si="985"/>
        <v>6474624.7005494582</v>
      </c>
      <c r="R577">
        <f t="shared" si="986"/>
        <v>342096825.39368856</v>
      </c>
      <c r="S577">
        <f t="shared" si="987"/>
        <v>3420.9682539368855</v>
      </c>
      <c r="T577">
        <f t="shared" si="988"/>
        <v>3.4209682539368855</v>
      </c>
    </row>
    <row r="578" spans="1:20" x14ac:dyDescent="0.25">
      <c r="A578" s="5">
        <v>44015</v>
      </c>
      <c r="B578">
        <v>0.22950000000000001</v>
      </c>
      <c r="C578">
        <v>0.2329</v>
      </c>
      <c r="D578">
        <v>0.22259999999999999</v>
      </c>
      <c r="E578">
        <v>0.22550000000000001</v>
      </c>
      <c r="F578">
        <v>5572734.2999999998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-0.43689320388349268</v>
      </c>
      <c r="Q578">
        <f t="shared" si="985"/>
        <v>-2434689.7427184326</v>
      </c>
      <c r="R578">
        <f t="shared" si="986"/>
        <v>335622200.69313908</v>
      </c>
      <c r="S578">
        <f t="shared" si="987"/>
        <v>3356.2220069313908</v>
      </c>
      <c r="T578">
        <f t="shared" si="988"/>
        <v>3.3562220069313908</v>
      </c>
    </row>
    <row r="579" spans="1:20" x14ac:dyDescent="0.25">
      <c r="A579" s="5">
        <v>44014</v>
      </c>
      <c r="B579">
        <v>0.23019999999999999</v>
      </c>
      <c r="C579">
        <v>0.2402</v>
      </c>
      <c r="D579">
        <v>0.218</v>
      </c>
      <c r="E579">
        <v>0.22919999999999999</v>
      </c>
      <c r="F579">
        <v>10357800.710000001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9.0090090090080184E-3</v>
      </c>
      <c r="Q579">
        <f t="shared" si="985"/>
        <v>93313.519909899653</v>
      </c>
      <c r="R579">
        <f t="shared" si="986"/>
        <v>338056890.43585753</v>
      </c>
      <c r="S579">
        <f t="shared" si="987"/>
        <v>3380.5689043585753</v>
      </c>
      <c r="T579">
        <f t="shared" si="988"/>
        <v>3.3805689043585754</v>
      </c>
    </row>
    <row r="580" spans="1:20" x14ac:dyDescent="0.25">
      <c r="A580" s="5">
        <v>44013</v>
      </c>
      <c r="B580">
        <v>0.2261</v>
      </c>
      <c r="C580">
        <v>0.2336</v>
      </c>
      <c r="D580">
        <v>0.222</v>
      </c>
      <c r="E580">
        <v>0.23050000000000001</v>
      </c>
      <c r="F580">
        <v>9185785.0800000001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0.46551724137931177</v>
      </c>
      <c r="Q580">
        <f t="shared" si="985"/>
        <v>4276141.3303448409</v>
      </c>
      <c r="R580">
        <f t="shared" si="986"/>
        <v>337963576.91594762</v>
      </c>
      <c r="S580">
        <f t="shared" si="987"/>
        <v>3379.6357691594762</v>
      </c>
      <c r="T580">
        <f t="shared" si="988"/>
        <v>3.3796357691594761</v>
      </c>
    </row>
    <row r="581" spans="1:20" x14ac:dyDescent="0.25">
      <c r="A581" s="5">
        <v>44012</v>
      </c>
      <c r="B581">
        <v>0.2147</v>
      </c>
      <c r="C581">
        <v>0.22770000000000001</v>
      </c>
      <c r="D581">
        <v>0.2094</v>
      </c>
      <c r="E581">
        <v>0.2266</v>
      </c>
      <c r="F581">
        <v>7631153.6100000003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0.87978142076502541</v>
      </c>
      <c r="Q581">
        <f t="shared" si="985"/>
        <v>6713747.1650819527</v>
      </c>
      <c r="R581">
        <f t="shared" si="986"/>
        <v>333687435.58560276</v>
      </c>
      <c r="S581">
        <f t="shared" si="987"/>
        <v>3336.8743558560277</v>
      </c>
      <c r="T581">
        <f t="shared" si="988"/>
        <v>3.3368743558560277</v>
      </c>
    </row>
    <row r="582" spans="1:20" x14ac:dyDescent="0.25">
      <c r="A582" s="5">
        <v>44011</v>
      </c>
      <c r="B582">
        <v>0.20880000000000001</v>
      </c>
      <c r="C582">
        <v>0.21629999999999999</v>
      </c>
      <c r="D582">
        <v>0.20349999999999999</v>
      </c>
      <c r="E582">
        <v>0.21479999999999999</v>
      </c>
      <c r="F582">
        <v>4367950.57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0.76562499999999989</v>
      </c>
      <c r="Q582">
        <f t="shared" ref="Q582:Q645" si="990">F582*P582</f>
        <v>3344212.1551562496</v>
      </c>
      <c r="R582">
        <f t="shared" ref="R582:R645" si="991">R583+Q582</f>
        <v>326973688.42052078</v>
      </c>
      <c r="S582">
        <f t="shared" ref="S582:S645" si="992">R582/100000</f>
        <v>3269.7368842052078</v>
      </c>
      <c r="T582">
        <f t="shared" ref="T582:T645" si="993">S582/1000</f>
        <v>3.2697368842052077</v>
      </c>
    </row>
    <row r="583" spans="1:20" x14ac:dyDescent="0.25">
      <c r="A583" s="5">
        <v>44010</v>
      </c>
      <c r="B583">
        <v>0.2034</v>
      </c>
      <c r="C583">
        <v>0.21290000000000001</v>
      </c>
      <c r="D583">
        <v>0.20080000000000001</v>
      </c>
      <c r="E583">
        <v>0.20880000000000001</v>
      </c>
      <c r="F583">
        <v>3945803.06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0.32231404958677806</v>
      </c>
      <c r="Q583">
        <f t="shared" si="990"/>
        <v>1271787.7631405005</v>
      </c>
      <c r="R583">
        <f t="shared" si="991"/>
        <v>323629476.26536453</v>
      </c>
      <c r="S583">
        <f t="shared" si="992"/>
        <v>3236.2947626536452</v>
      </c>
      <c r="T583">
        <f t="shared" si="993"/>
        <v>3.2362947626536451</v>
      </c>
    </row>
    <row r="584" spans="1:20" x14ac:dyDescent="0.25">
      <c r="A584" s="5">
        <v>44009</v>
      </c>
      <c r="B584">
        <v>0.21479999999999999</v>
      </c>
      <c r="C584">
        <v>0.2175</v>
      </c>
      <c r="D584">
        <v>0.19370000000000001</v>
      </c>
      <c r="E584">
        <v>0.2031</v>
      </c>
      <c r="F584">
        <v>4718214.8600000003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-0.21008403361344566</v>
      </c>
      <c r="Q584">
        <f t="shared" si="990"/>
        <v>-991221.60924369888</v>
      </c>
      <c r="R584">
        <f t="shared" si="991"/>
        <v>322357688.50222403</v>
      </c>
      <c r="S584">
        <f t="shared" si="992"/>
        <v>3223.5768850222403</v>
      </c>
      <c r="T584">
        <f t="shared" si="993"/>
        <v>3.2235768850222404</v>
      </c>
    </row>
    <row r="585" spans="1:20" x14ac:dyDescent="0.25">
      <c r="A585" s="5">
        <v>44008</v>
      </c>
      <c r="B585">
        <v>0.2205</v>
      </c>
      <c r="C585">
        <v>0.22120000000000001</v>
      </c>
      <c r="D585">
        <v>0.21099999999999999</v>
      </c>
      <c r="E585">
        <v>0.215</v>
      </c>
      <c r="F585">
        <v>3397613.16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-0.21568627450980435</v>
      </c>
      <c r="Q585">
        <f t="shared" si="990"/>
        <v>-732818.52470588381</v>
      </c>
      <c r="R585">
        <f t="shared" si="991"/>
        <v>323348910.11146772</v>
      </c>
      <c r="S585">
        <f t="shared" si="992"/>
        <v>3233.4891011146774</v>
      </c>
      <c r="T585">
        <f t="shared" si="993"/>
        <v>3.2334891011146776</v>
      </c>
    </row>
    <row r="586" spans="1:20" x14ac:dyDescent="0.25">
      <c r="A586" s="5">
        <v>44007</v>
      </c>
      <c r="B586">
        <v>0.22009999999999999</v>
      </c>
      <c r="C586">
        <v>0.22270000000000001</v>
      </c>
      <c r="D586">
        <v>0.20799999999999999</v>
      </c>
      <c r="E586">
        <v>0.2203</v>
      </c>
      <c r="F586">
        <v>4230884.91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0.67346938775510068</v>
      </c>
      <c r="Q586">
        <f t="shared" si="990"/>
        <v>2849371.4699999942</v>
      </c>
      <c r="R586">
        <f t="shared" si="991"/>
        <v>324081728.63617361</v>
      </c>
      <c r="S586">
        <f t="shared" si="992"/>
        <v>3240.817286361736</v>
      </c>
      <c r="T586">
        <f t="shared" si="993"/>
        <v>3.2408172863617359</v>
      </c>
    </row>
    <row r="587" spans="1:20" x14ac:dyDescent="0.25">
      <c r="A587" s="5">
        <v>44006</v>
      </c>
      <c r="B587">
        <v>0.2288</v>
      </c>
      <c r="C587">
        <v>0.23449999999999999</v>
      </c>
      <c r="D587">
        <v>0.2145</v>
      </c>
      <c r="E587">
        <v>0.22009999999999999</v>
      </c>
      <c r="F587">
        <v>5573847.1399999997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-0.44000000000000034</v>
      </c>
      <c r="Q587">
        <f t="shared" si="990"/>
        <v>-2452492.7416000017</v>
      </c>
      <c r="R587">
        <f t="shared" si="991"/>
        <v>321232357.16617364</v>
      </c>
      <c r="S587">
        <f t="shared" si="992"/>
        <v>3212.3235716617364</v>
      </c>
      <c r="T587">
        <f t="shared" si="993"/>
        <v>3.2123235716617362</v>
      </c>
    </row>
    <row r="588" spans="1:20" x14ac:dyDescent="0.25">
      <c r="A588" s="5">
        <v>44005</v>
      </c>
      <c r="B588">
        <v>0.23180000000000001</v>
      </c>
      <c r="C588">
        <v>0.23300000000000001</v>
      </c>
      <c r="D588">
        <v>0.2266</v>
      </c>
      <c r="E588">
        <v>0.22869999999999999</v>
      </c>
      <c r="F588">
        <v>3318756.08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-0.34375000000000461</v>
      </c>
      <c r="Q588">
        <f t="shared" si="990"/>
        <v>-1140822.4025000152</v>
      </c>
      <c r="R588">
        <f t="shared" si="991"/>
        <v>323684849.90777361</v>
      </c>
      <c r="S588">
        <f t="shared" si="992"/>
        <v>3236.8484990777361</v>
      </c>
      <c r="T588">
        <f t="shared" si="993"/>
        <v>3.2368484990777362</v>
      </c>
    </row>
    <row r="589" spans="1:20" x14ac:dyDescent="0.25">
      <c r="A589" s="5">
        <v>44004</v>
      </c>
      <c r="B589">
        <v>0.21729999999999999</v>
      </c>
      <c r="C589">
        <v>0.2339</v>
      </c>
      <c r="D589">
        <v>0.21709999999999999</v>
      </c>
      <c r="E589">
        <v>0.23230000000000001</v>
      </c>
      <c r="F589">
        <v>4349659.4400000004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0.80952380952381076</v>
      </c>
      <c r="Q589">
        <f t="shared" si="990"/>
        <v>3521152.8800000055</v>
      </c>
      <c r="R589">
        <f t="shared" si="991"/>
        <v>324825672.31027365</v>
      </c>
      <c r="S589">
        <f t="shared" si="992"/>
        <v>3248.2567231027365</v>
      </c>
      <c r="T589">
        <f t="shared" si="993"/>
        <v>3.2482567231027364</v>
      </c>
    </row>
    <row r="590" spans="1:20" x14ac:dyDescent="0.25">
      <c r="A590" s="5">
        <v>44003</v>
      </c>
      <c r="B590">
        <v>0.21790000000000001</v>
      </c>
      <c r="C590">
        <v>0.222</v>
      </c>
      <c r="D590">
        <v>0.2165</v>
      </c>
      <c r="E590">
        <v>0.2177</v>
      </c>
      <c r="F590">
        <v>3171557.57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-0.5636363636363616</v>
      </c>
      <c r="Q590">
        <f t="shared" si="990"/>
        <v>-1787605.1758181753</v>
      </c>
      <c r="R590">
        <f t="shared" si="991"/>
        <v>321304519.43027365</v>
      </c>
      <c r="S590">
        <f t="shared" si="992"/>
        <v>3213.0451943027365</v>
      </c>
      <c r="T590">
        <f t="shared" si="993"/>
        <v>3.2130451943027363</v>
      </c>
    </row>
    <row r="591" spans="1:20" x14ac:dyDescent="0.25">
      <c r="A591" s="5">
        <v>44002</v>
      </c>
      <c r="B591">
        <v>0.21890000000000001</v>
      </c>
      <c r="C591">
        <v>0.22090000000000001</v>
      </c>
      <c r="D591">
        <v>0.2114</v>
      </c>
      <c r="E591">
        <v>0.21779999999999999</v>
      </c>
      <c r="F591">
        <v>4253354.17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0.34736842105262805</v>
      </c>
      <c r="Q591">
        <f t="shared" si="990"/>
        <v>1477480.9222105113</v>
      </c>
      <c r="R591">
        <f t="shared" si="991"/>
        <v>323092124.60609186</v>
      </c>
      <c r="S591">
        <f t="shared" si="992"/>
        <v>3230.9212460609187</v>
      </c>
      <c r="T591">
        <f t="shared" si="993"/>
        <v>3.2309212460609187</v>
      </c>
    </row>
    <row r="592" spans="1:20" x14ac:dyDescent="0.25">
      <c r="A592" s="5">
        <v>44001</v>
      </c>
      <c r="B592">
        <v>0.22370000000000001</v>
      </c>
      <c r="C592">
        <v>0.22439999999999999</v>
      </c>
      <c r="D592">
        <v>0.21709999999999999</v>
      </c>
      <c r="E592">
        <v>0.21929999999999999</v>
      </c>
      <c r="F592">
        <v>3336877.06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-0.39726027397260077</v>
      </c>
      <c r="Q592">
        <f t="shared" si="990"/>
        <v>-1325608.6950684865</v>
      </c>
      <c r="R592">
        <f t="shared" si="991"/>
        <v>321614643.68388134</v>
      </c>
      <c r="S592">
        <f t="shared" si="992"/>
        <v>3216.1464368388133</v>
      </c>
      <c r="T592">
        <f t="shared" si="993"/>
        <v>3.2161464368388133</v>
      </c>
    </row>
    <row r="593" spans="1:20" x14ac:dyDescent="0.25">
      <c r="A593" s="5">
        <v>44000</v>
      </c>
      <c r="B593">
        <v>0.2248</v>
      </c>
      <c r="C593">
        <v>0.2286</v>
      </c>
      <c r="D593">
        <v>0.22120000000000001</v>
      </c>
      <c r="E593">
        <v>0.22370000000000001</v>
      </c>
      <c r="F593">
        <v>2694610.98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-0.32432432432432279</v>
      </c>
      <c r="Q593">
        <f t="shared" si="990"/>
        <v>-873927.88540540123</v>
      </c>
      <c r="R593">
        <f t="shared" si="991"/>
        <v>322940252.37894982</v>
      </c>
      <c r="S593">
        <f t="shared" si="992"/>
        <v>3229.402523789498</v>
      </c>
      <c r="T593">
        <f t="shared" si="993"/>
        <v>3.2294025237894979</v>
      </c>
    </row>
    <row r="594" spans="1:20" x14ac:dyDescent="0.25">
      <c r="A594" s="5">
        <v>43999</v>
      </c>
      <c r="B594">
        <v>0.21940000000000001</v>
      </c>
      <c r="C594">
        <v>0.22869999999999999</v>
      </c>
      <c r="D594">
        <v>0.21809999999999999</v>
      </c>
      <c r="E594">
        <v>0.2248</v>
      </c>
      <c r="F594">
        <v>5205590.41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0.2641509433962288</v>
      </c>
      <c r="Q594">
        <f t="shared" si="990"/>
        <v>1375061.6177358616</v>
      </c>
      <c r="R594">
        <f t="shared" si="991"/>
        <v>323814180.26435524</v>
      </c>
      <c r="S594">
        <f t="shared" si="992"/>
        <v>3238.1418026435526</v>
      </c>
      <c r="T594">
        <f t="shared" si="993"/>
        <v>3.2381418026435527</v>
      </c>
    </row>
    <row r="595" spans="1:20" x14ac:dyDescent="0.25">
      <c r="A595" s="5">
        <v>43998</v>
      </c>
      <c r="B595">
        <v>0.218</v>
      </c>
      <c r="C595">
        <v>0.223</v>
      </c>
      <c r="D595">
        <v>0.215</v>
      </c>
      <c r="E595">
        <v>0.21929999999999999</v>
      </c>
      <c r="F595">
        <v>3950318.8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7.4999999999998609E-2</v>
      </c>
      <c r="Q595">
        <f t="shared" si="990"/>
        <v>296273.9099999945</v>
      </c>
      <c r="R595">
        <f t="shared" si="991"/>
        <v>322439118.64661938</v>
      </c>
      <c r="S595">
        <f t="shared" si="992"/>
        <v>3224.3911864661936</v>
      </c>
      <c r="T595">
        <f t="shared" si="993"/>
        <v>3.2243911864661938</v>
      </c>
    </row>
    <row r="596" spans="1:20" x14ac:dyDescent="0.25">
      <c r="A596" s="5">
        <v>43997</v>
      </c>
      <c r="B596">
        <v>0.2215</v>
      </c>
      <c r="C596">
        <v>0.22259999999999999</v>
      </c>
      <c r="D596">
        <v>0.2031</v>
      </c>
      <c r="E596">
        <v>0.218</v>
      </c>
      <c r="F596">
        <v>9176755.7400000002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0.52820512820512866</v>
      </c>
      <c r="Q596">
        <f t="shared" si="990"/>
        <v>4847209.4421538506</v>
      </c>
      <c r="R596">
        <f t="shared" si="991"/>
        <v>322142844.73661941</v>
      </c>
      <c r="S596">
        <f t="shared" si="992"/>
        <v>3221.4284473661942</v>
      </c>
      <c r="T596">
        <f t="shared" si="993"/>
        <v>3.2214284473661943</v>
      </c>
    </row>
    <row r="597" spans="1:20" x14ac:dyDescent="0.25">
      <c r="A597" s="5">
        <v>43996</v>
      </c>
      <c r="B597">
        <v>0.22919999999999999</v>
      </c>
      <c r="C597">
        <v>0.22939999999999999</v>
      </c>
      <c r="D597">
        <v>0.21940000000000001</v>
      </c>
      <c r="E597">
        <v>0.2215</v>
      </c>
      <c r="F597">
        <v>3594422.12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-0.58000000000000107</v>
      </c>
      <c r="Q597">
        <f t="shared" si="990"/>
        <v>-2084764.829600004</v>
      </c>
      <c r="R597">
        <f t="shared" si="991"/>
        <v>317295635.29446554</v>
      </c>
      <c r="S597">
        <f t="shared" si="992"/>
        <v>3172.9563529446555</v>
      </c>
      <c r="T597">
        <f t="shared" si="993"/>
        <v>3.1729563529446554</v>
      </c>
    </row>
    <row r="598" spans="1:20" x14ac:dyDescent="0.25">
      <c r="A598" s="5">
        <v>43995</v>
      </c>
      <c r="B598">
        <v>0.22489999999999999</v>
      </c>
      <c r="C598">
        <v>0.23</v>
      </c>
      <c r="D598">
        <v>0.22239999999999999</v>
      </c>
      <c r="E598">
        <v>0.22869999999999999</v>
      </c>
      <c r="F598">
        <v>4255619.6399999997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0.6578947368421002</v>
      </c>
      <c r="Q598">
        <f t="shared" si="990"/>
        <v>2799749.7631578729</v>
      </c>
      <c r="R598">
        <f t="shared" si="991"/>
        <v>319380400.12406552</v>
      </c>
      <c r="S598">
        <f t="shared" si="992"/>
        <v>3193.804001240655</v>
      </c>
      <c r="T598">
        <f t="shared" si="993"/>
        <v>3.1938040012406548</v>
      </c>
    </row>
    <row r="599" spans="1:20" x14ac:dyDescent="0.25">
      <c r="A599" s="5">
        <v>43994</v>
      </c>
      <c r="B599">
        <v>0.22220000000000001</v>
      </c>
      <c r="C599">
        <v>0.24</v>
      </c>
      <c r="D599">
        <v>0.21840000000000001</v>
      </c>
      <c r="E599">
        <v>0.22509999999999999</v>
      </c>
      <c r="F599">
        <v>9668961.4399999995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-0.37962962962963059</v>
      </c>
      <c r="Q599">
        <f t="shared" si="990"/>
        <v>-3670624.2503703795</v>
      </c>
      <c r="R599">
        <f t="shared" si="991"/>
        <v>316580650.36090767</v>
      </c>
      <c r="S599">
        <f t="shared" si="992"/>
        <v>3165.8065036090766</v>
      </c>
      <c r="T599">
        <f t="shared" si="993"/>
        <v>3.1658065036090766</v>
      </c>
    </row>
    <row r="600" spans="1:20" x14ac:dyDescent="0.25">
      <c r="A600" s="5">
        <v>43993</v>
      </c>
      <c r="B600">
        <v>0.25090000000000001</v>
      </c>
      <c r="C600">
        <v>0.25140000000000001</v>
      </c>
      <c r="D600">
        <v>0.2157</v>
      </c>
      <c r="E600">
        <v>0.22220000000000001</v>
      </c>
      <c r="F600">
        <v>11663466.539999999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-0.63585434173669442</v>
      </c>
      <c r="Q600">
        <f t="shared" si="990"/>
        <v>-7416265.83915966</v>
      </c>
      <c r="R600">
        <f t="shared" si="991"/>
        <v>320251274.61127806</v>
      </c>
      <c r="S600">
        <f t="shared" si="992"/>
        <v>3202.5127461127804</v>
      </c>
      <c r="T600">
        <f t="shared" si="993"/>
        <v>3.2025127461127805</v>
      </c>
    </row>
    <row r="601" spans="1:20" x14ac:dyDescent="0.25">
      <c r="A601" s="5">
        <v>43992</v>
      </c>
      <c r="B601">
        <v>0.247</v>
      </c>
      <c r="C601">
        <v>0.251</v>
      </c>
      <c r="D601">
        <v>0.2402</v>
      </c>
      <c r="E601">
        <v>0.25090000000000001</v>
      </c>
      <c r="F601">
        <v>5154820.04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0.98148148148148351</v>
      </c>
      <c r="Q601">
        <f t="shared" si="990"/>
        <v>5059360.4096296402</v>
      </c>
      <c r="R601">
        <f t="shared" si="991"/>
        <v>327667540.45043772</v>
      </c>
      <c r="S601">
        <f t="shared" si="992"/>
        <v>3276.6754045043772</v>
      </c>
      <c r="T601">
        <f t="shared" si="993"/>
        <v>3.2766754045043771</v>
      </c>
    </row>
    <row r="602" spans="1:20" x14ac:dyDescent="0.25">
      <c r="A602" s="5">
        <v>43991</v>
      </c>
      <c r="B602">
        <v>0.24160000000000001</v>
      </c>
      <c r="C602">
        <v>0.2525</v>
      </c>
      <c r="D602">
        <v>0.23319999999999999</v>
      </c>
      <c r="E602">
        <v>0.24690000000000001</v>
      </c>
      <c r="F602">
        <v>8438700.0399999991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0.41968911917098545</v>
      </c>
      <c r="Q602">
        <f t="shared" si="990"/>
        <v>3541630.5867357594</v>
      </c>
      <c r="R602">
        <f t="shared" si="991"/>
        <v>322608180.04080808</v>
      </c>
      <c r="S602">
        <f t="shared" si="992"/>
        <v>3226.0818004080807</v>
      </c>
      <c r="T602">
        <f t="shared" si="993"/>
        <v>3.2260818004080805</v>
      </c>
    </row>
    <row r="603" spans="1:20" x14ac:dyDescent="0.25">
      <c r="A603" s="5">
        <v>43990</v>
      </c>
      <c r="B603">
        <v>0.2412</v>
      </c>
      <c r="C603">
        <v>0.24310000000000001</v>
      </c>
      <c r="D603">
        <v>0.23710000000000001</v>
      </c>
      <c r="E603">
        <v>0.24149999999999999</v>
      </c>
      <c r="F603">
        <v>4069973.08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0.46666666666666112</v>
      </c>
      <c r="Q603">
        <f t="shared" si="990"/>
        <v>1899320.7706666442</v>
      </c>
      <c r="R603">
        <f t="shared" si="991"/>
        <v>319066549.4540723</v>
      </c>
      <c r="S603">
        <f t="shared" si="992"/>
        <v>3190.6654945407231</v>
      </c>
      <c r="T603">
        <f t="shared" si="993"/>
        <v>3.1906654945407231</v>
      </c>
    </row>
    <row r="604" spans="1:20" x14ac:dyDescent="0.25">
      <c r="A604" s="5">
        <v>43989</v>
      </c>
      <c r="B604">
        <v>0.24349999999999999</v>
      </c>
      <c r="C604">
        <v>0.24740000000000001</v>
      </c>
      <c r="D604">
        <v>0.23</v>
      </c>
      <c r="E604">
        <v>0.2412</v>
      </c>
      <c r="F604">
        <v>6518938.1900000004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0.28735632183907917</v>
      </c>
      <c r="Q604">
        <f t="shared" si="990"/>
        <v>1873258.1005747044</v>
      </c>
      <c r="R604">
        <f t="shared" si="991"/>
        <v>317167228.68340564</v>
      </c>
      <c r="S604">
        <f t="shared" si="992"/>
        <v>3171.6722868340562</v>
      </c>
      <c r="T604">
        <f t="shared" si="993"/>
        <v>3.1716722868340561</v>
      </c>
    </row>
    <row r="605" spans="1:20" x14ac:dyDescent="0.25">
      <c r="A605" s="5">
        <v>43988</v>
      </c>
      <c r="B605">
        <v>0.2407</v>
      </c>
      <c r="C605">
        <v>0.24959999999999999</v>
      </c>
      <c r="D605">
        <v>0.2359</v>
      </c>
      <c r="E605">
        <v>0.24349999999999999</v>
      </c>
      <c r="F605">
        <v>7023251.1799999997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0.10948905109489068</v>
      </c>
      <c r="Q605">
        <f t="shared" si="990"/>
        <v>768969.10729927127</v>
      </c>
      <c r="R605">
        <f t="shared" si="991"/>
        <v>315293970.58283091</v>
      </c>
      <c r="S605">
        <f t="shared" si="992"/>
        <v>3152.9397058283089</v>
      </c>
      <c r="T605">
        <f t="shared" si="993"/>
        <v>3.1529397058283091</v>
      </c>
    </row>
    <row r="606" spans="1:20" x14ac:dyDescent="0.25">
      <c r="A606" s="5">
        <v>43987</v>
      </c>
      <c r="B606">
        <v>0.2492</v>
      </c>
      <c r="C606">
        <v>0.25629999999999997</v>
      </c>
      <c r="D606">
        <v>0.23899999999999999</v>
      </c>
      <c r="E606">
        <v>0.24110000000000001</v>
      </c>
      <c r="F606">
        <v>7374226.75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-0.75722543352600913</v>
      </c>
      <c r="Q606">
        <f t="shared" si="990"/>
        <v>-5583952.0476878434</v>
      </c>
      <c r="R606">
        <f t="shared" si="991"/>
        <v>314525001.47553164</v>
      </c>
      <c r="S606">
        <f t="shared" si="992"/>
        <v>3145.2500147553164</v>
      </c>
      <c r="T606">
        <f t="shared" si="993"/>
        <v>3.1452500147553164</v>
      </c>
    </row>
    <row r="607" spans="1:20" x14ac:dyDescent="0.25">
      <c r="A607" s="5">
        <v>43986</v>
      </c>
      <c r="B607">
        <v>0.2515</v>
      </c>
      <c r="C607">
        <v>0.25850000000000001</v>
      </c>
      <c r="D607">
        <v>0.23860000000000001</v>
      </c>
      <c r="E607">
        <v>0.2492</v>
      </c>
      <c r="F607">
        <v>11053039.460000001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6.5326633165828915E-2</v>
      </c>
      <c r="Q607">
        <f t="shared" si="990"/>
        <v>722057.85417085176</v>
      </c>
      <c r="R607">
        <f t="shared" si="991"/>
        <v>320108953.52321947</v>
      </c>
      <c r="S607">
        <f t="shared" si="992"/>
        <v>3201.0895352321945</v>
      </c>
      <c r="T607">
        <f t="shared" si="993"/>
        <v>3.2010895352321946</v>
      </c>
    </row>
    <row r="608" spans="1:20" x14ac:dyDescent="0.25">
      <c r="A608" s="5">
        <v>43985</v>
      </c>
      <c r="B608">
        <v>0.23380000000000001</v>
      </c>
      <c r="C608">
        <v>0.25259999999999999</v>
      </c>
      <c r="D608">
        <v>0.2306</v>
      </c>
      <c r="E608">
        <v>0.2515</v>
      </c>
      <c r="F608">
        <v>10892637.83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0.90000000000000091</v>
      </c>
      <c r="Q608">
        <f t="shared" si="990"/>
        <v>9803374.0470000096</v>
      </c>
      <c r="R608">
        <f t="shared" si="991"/>
        <v>319386895.66904861</v>
      </c>
      <c r="S608">
        <f t="shared" si="992"/>
        <v>3193.8689566904859</v>
      </c>
      <c r="T608">
        <f t="shared" si="993"/>
        <v>3.1938689566904861</v>
      </c>
    </row>
    <row r="609" spans="1:20" x14ac:dyDescent="0.25">
      <c r="A609" s="5">
        <v>43984</v>
      </c>
      <c r="B609">
        <v>0.2361</v>
      </c>
      <c r="C609">
        <v>0.24879999999999999</v>
      </c>
      <c r="D609">
        <v>0.217</v>
      </c>
      <c r="E609">
        <v>0.23380000000000001</v>
      </c>
      <c r="F609">
        <v>15596982.98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5.6603773584906418E-2</v>
      </c>
      <c r="Q609">
        <f t="shared" si="990"/>
        <v>882848.09320755897</v>
      </c>
      <c r="R609">
        <f t="shared" si="991"/>
        <v>309583521.62204862</v>
      </c>
      <c r="S609">
        <f t="shared" si="992"/>
        <v>3095.835216220486</v>
      </c>
      <c r="T609">
        <f t="shared" si="993"/>
        <v>3.0958352162204861</v>
      </c>
    </row>
    <row r="610" spans="1:20" x14ac:dyDescent="0.25">
      <c r="A610" s="5">
        <v>43983</v>
      </c>
      <c r="B610">
        <v>0.21970000000000001</v>
      </c>
      <c r="C610">
        <v>0.23830000000000001</v>
      </c>
      <c r="D610">
        <v>0.21790000000000001</v>
      </c>
      <c r="E610">
        <v>0.2364</v>
      </c>
      <c r="F610">
        <v>11289698.4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0.81372549019607721</v>
      </c>
      <c r="Q610">
        <f t="shared" si="990"/>
        <v>9186715.3647058681</v>
      </c>
      <c r="R610">
        <f t="shared" si="991"/>
        <v>308700673.52884108</v>
      </c>
      <c r="S610">
        <f t="shared" si="992"/>
        <v>3087.0067352884107</v>
      </c>
      <c r="T610">
        <f t="shared" si="993"/>
        <v>3.0870067352884107</v>
      </c>
    </row>
    <row r="611" spans="1:20" x14ac:dyDescent="0.25">
      <c r="A611" s="5">
        <v>43982</v>
      </c>
      <c r="B611">
        <v>0.21859999999999999</v>
      </c>
      <c r="C611">
        <v>0.2412</v>
      </c>
      <c r="D611">
        <v>0.2137</v>
      </c>
      <c r="E611">
        <v>0.21970000000000001</v>
      </c>
      <c r="F611">
        <v>26198623.489999998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-0.56363636363636316</v>
      </c>
      <c r="Q611">
        <f t="shared" si="990"/>
        <v>-14766496.876181806</v>
      </c>
      <c r="R611">
        <f t="shared" si="991"/>
        <v>299513958.16413522</v>
      </c>
      <c r="S611">
        <f t="shared" si="992"/>
        <v>2995.1395816413524</v>
      </c>
      <c r="T611">
        <f t="shared" si="993"/>
        <v>2.9951395816413524</v>
      </c>
    </row>
    <row r="612" spans="1:20" x14ac:dyDescent="0.25">
      <c r="A612" s="5">
        <v>43981</v>
      </c>
      <c r="B612">
        <v>0.20150000000000001</v>
      </c>
      <c r="C612">
        <v>0.219</v>
      </c>
      <c r="D612">
        <v>0.19900000000000001</v>
      </c>
      <c r="E612">
        <v>0.21879999999999999</v>
      </c>
      <c r="F612">
        <v>11912673.380000001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0.97999999999999943</v>
      </c>
      <c r="Q612">
        <f t="shared" si="990"/>
        <v>11674419.912399994</v>
      </c>
      <c r="R612">
        <f t="shared" si="991"/>
        <v>314280455.040317</v>
      </c>
      <c r="S612">
        <f t="shared" si="992"/>
        <v>3142.8045504031702</v>
      </c>
      <c r="T612">
        <f t="shared" si="993"/>
        <v>3.1428045504031701</v>
      </c>
    </row>
    <row r="613" spans="1:20" x14ac:dyDescent="0.25">
      <c r="A613" s="5">
        <v>43980</v>
      </c>
      <c r="B613">
        <v>0.20330000000000001</v>
      </c>
      <c r="C613">
        <v>0.20469999999999999</v>
      </c>
      <c r="D613">
        <v>0.19589999999999999</v>
      </c>
      <c r="E613">
        <v>0.20119999999999999</v>
      </c>
      <c r="F613">
        <v>4941486.0999999996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0.20454545454545403</v>
      </c>
      <c r="Q613">
        <f t="shared" si="990"/>
        <v>1010758.5204545428</v>
      </c>
      <c r="R613">
        <f t="shared" si="991"/>
        <v>302606035.12791699</v>
      </c>
      <c r="S613">
        <f t="shared" si="992"/>
        <v>3026.0603512791699</v>
      </c>
      <c r="T613">
        <f t="shared" si="993"/>
        <v>3.0260603512791699</v>
      </c>
    </row>
    <row r="614" spans="1:20" x14ac:dyDescent="0.25">
      <c r="A614" s="5">
        <v>43979</v>
      </c>
      <c r="B614">
        <v>0.19670000000000001</v>
      </c>
      <c r="C614">
        <v>0.20399999999999999</v>
      </c>
      <c r="D614">
        <v>0.19370000000000001</v>
      </c>
      <c r="E614">
        <v>0.20319999999999999</v>
      </c>
      <c r="F614">
        <v>5547790.5999999996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0.84466019417475791</v>
      </c>
      <c r="Q614">
        <f t="shared" si="990"/>
        <v>4685997.8854368962</v>
      </c>
      <c r="R614">
        <f t="shared" si="991"/>
        <v>301595276.60746247</v>
      </c>
      <c r="S614">
        <f t="shared" si="992"/>
        <v>3015.9527660746248</v>
      </c>
      <c r="T614">
        <f t="shared" si="993"/>
        <v>3.015952766074625</v>
      </c>
    </row>
    <row r="615" spans="1:20" x14ac:dyDescent="0.25">
      <c r="A615" s="5">
        <v>43978</v>
      </c>
      <c r="B615">
        <v>0.1943</v>
      </c>
      <c r="C615">
        <v>0.19980000000000001</v>
      </c>
      <c r="D615">
        <v>0.19259999999999999</v>
      </c>
      <c r="E615">
        <v>0.19670000000000001</v>
      </c>
      <c r="F615">
        <v>5982513.29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0.13888888888889264</v>
      </c>
      <c r="Q615">
        <f t="shared" si="990"/>
        <v>830904.62361113355</v>
      </c>
      <c r="R615">
        <f t="shared" si="991"/>
        <v>296909278.72202557</v>
      </c>
      <c r="S615">
        <f t="shared" si="992"/>
        <v>2969.0927872202556</v>
      </c>
      <c r="T615">
        <f t="shared" si="993"/>
        <v>2.9690927872202555</v>
      </c>
    </row>
    <row r="616" spans="1:20" x14ac:dyDescent="0.25">
      <c r="A616" s="5">
        <v>43977</v>
      </c>
      <c r="B616">
        <v>0.1978</v>
      </c>
      <c r="C616">
        <v>0.19850000000000001</v>
      </c>
      <c r="D616">
        <v>0.1885</v>
      </c>
      <c r="E616">
        <v>0.1943</v>
      </c>
      <c r="F616">
        <v>5899862.6900000004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0.15999999999999889</v>
      </c>
      <c r="Q616">
        <f t="shared" si="990"/>
        <v>943978.03039999353</v>
      </c>
      <c r="R616">
        <f t="shared" si="991"/>
        <v>296078374.09841442</v>
      </c>
      <c r="S616">
        <f t="shared" si="992"/>
        <v>2960.7837409841441</v>
      </c>
      <c r="T616">
        <f t="shared" si="993"/>
        <v>2.960783740984144</v>
      </c>
    </row>
    <row r="617" spans="1:20" x14ac:dyDescent="0.25">
      <c r="A617" s="5">
        <v>43976</v>
      </c>
      <c r="B617">
        <v>0.18970000000000001</v>
      </c>
      <c r="C617">
        <v>0.19839999999999999</v>
      </c>
      <c r="D617">
        <v>0.1885</v>
      </c>
      <c r="E617">
        <v>0.1978</v>
      </c>
      <c r="F617">
        <v>5688484.6699999999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0.87878787878788078</v>
      </c>
      <c r="Q617">
        <f t="shared" si="990"/>
        <v>4998971.3766666781</v>
      </c>
      <c r="R617">
        <f t="shared" si="991"/>
        <v>295134396.06801444</v>
      </c>
      <c r="S617">
        <f t="shared" si="992"/>
        <v>2951.3439606801444</v>
      </c>
      <c r="T617">
        <f t="shared" si="993"/>
        <v>2.9513439606801444</v>
      </c>
    </row>
    <row r="618" spans="1:20" x14ac:dyDescent="0.25">
      <c r="A618" s="5">
        <v>43975</v>
      </c>
      <c r="B618">
        <v>0.19900000000000001</v>
      </c>
      <c r="C618">
        <v>0.20269999999999999</v>
      </c>
      <c r="D618">
        <v>0.1895</v>
      </c>
      <c r="E618">
        <v>0.1895</v>
      </c>
      <c r="F618">
        <v>7172959.4000000004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-1</v>
      </c>
      <c r="Q618">
        <f t="shared" si="990"/>
        <v>-7172959.4000000004</v>
      </c>
      <c r="R618">
        <f t="shared" si="991"/>
        <v>290135424.69134778</v>
      </c>
      <c r="S618">
        <f t="shared" si="992"/>
        <v>2901.3542469134777</v>
      </c>
      <c r="T618">
        <f t="shared" si="993"/>
        <v>2.9013542469134777</v>
      </c>
    </row>
    <row r="619" spans="1:20" x14ac:dyDescent="0.25">
      <c r="A619" s="5">
        <v>43974</v>
      </c>
      <c r="B619">
        <v>0.2021</v>
      </c>
      <c r="C619">
        <v>0.20899999999999999</v>
      </c>
      <c r="D619">
        <v>0.19819999999999999</v>
      </c>
      <c r="E619">
        <v>0.19919999999999999</v>
      </c>
      <c r="F619">
        <v>7023214.8300000001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-0.81481481481481477</v>
      </c>
      <c r="Q619">
        <f t="shared" si="990"/>
        <v>-5722619.4911111109</v>
      </c>
      <c r="R619">
        <f t="shared" si="991"/>
        <v>297308384.09134775</v>
      </c>
      <c r="S619">
        <f t="shared" si="992"/>
        <v>2973.0838409134776</v>
      </c>
      <c r="T619">
        <f t="shared" si="993"/>
        <v>2.9730838409134774</v>
      </c>
    </row>
    <row r="620" spans="1:20" x14ac:dyDescent="0.25">
      <c r="A620" s="5">
        <v>43973</v>
      </c>
      <c r="B620">
        <v>0.1883</v>
      </c>
      <c r="C620">
        <v>0.20480000000000001</v>
      </c>
      <c r="D620">
        <v>0.1852</v>
      </c>
      <c r="E620">
        <v>0.20200000000000001</v>
      </c>
      <c r="F620">
        <v>9366705.8499999996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0.71428571428571475</v>
      </c>
      <c r="Q620">
        <f t="shared" si="990"/>
        <v>6690504.1785714328</v>
      </c>
      <c r="R620">
        <f t="shared" si="991"/>
        <v>303031003.58245885</v>
      </c>
      <c r="S620">
        <f t="shared" si="992"/>
        <v>3030.3100358245883</v>
      </c>
      <c r="T620">
        <f t="shared" si="993"/>
        <v>3.0303100358245882</v>
      </c>
    </row>
    <row r="621" spans="1:20" x14ac:dyDescent="0.25">
      <c r="A621" s="5">
        <v>43972</v>
      </c>
      <c r="B621">
        <v>0.19919999999999999</v>
      </c>
      <c r="C621">
        <v>0.2014</v>
      </c>
      <c r="D621">
        <v>0.18110000000000001</v>
      </c>
      <c r="E621">
        <v>0.18820000000000001</v>
      </c>
      <c r="F621">
        <v>9972967.4299999997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-0.30049261083743839</v>
      </c>
      <c r="Q621">
        <f t="shared" si="990"/>
        <v>-2996803.0208374378</v>
      </c>
      <c r="R621">
        <f t="shared" si="991"/>
        <v>296340499.40388745</v>
      </c>
      <c r="S621">
        <f t="shared" si="992"/>
        <v>2963.4049940388745</v>
      </c>
      <c r="T621">
        <f t="shared" si="993"/>
        <v>2.9634049940388745</v>
      </c>
    </row>
    <row r="622" spans="1:20" x14ac:dyDescent="0.25">
      <c r="A622" s="5">
        <v>43971</v>
      </c>
      <c r="B622">
        <v>0.2024</v>
      </c>
      <c r="C622">
        <v>0.20519999999999999</v>
      </c>
      <c r="D622">
        <v>0.1953</v>
      </c>
      <c r="E622">
        <v>0.19919999999999999</v>
      </c>
      <c r="F622">
        <v>7097653.9400000004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-0.21212121212121415</v>
      </c>
      <c r="Q622">
        <f t="shared" si="990"/>
        <v>-1505562.9569697115</v>
      </c>
      <c r="R622">
        <f t="shared" si="991"/>
        <v>299337302.42472488</v>
      </c>
      <c r="S622">
        <f t="shared" si="992"/>
        <v>2993.3730242472488</v>
      </c>
      <c r="T622">
        <f t="shared" si="993"/>
        <v>2.9933730242472487</v>
      </c>
    </row>
    <row r="623" spans="1:20" x14ac:dyDescent="0.25">
      <c r="A623" s="5">
        <v>43970</v>
      </c>
      <c r="B623">
        <v>0.2044</v>
      </c>
      <c r="C623">
        <v>0.2044</v>
      </c>
      <c r="D623">
        <v>0.19900000000000001</v>
      </c>
      <c r="E623">
        <v>0.20219999999999999</v>
      </c>
      <c r="F623">
        <v>7742957.3899999997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0.18518518518518062</v>
      </c>
      <c r="Q623">
        <f t="shared" si="990"/>
        <v>1433880.9981481128</v>
      </c>
      <c r="R623">
        <f t="shared" si="991"/>
        <v>300842865.38169461</v>
      </c>
      <c r="S623">
        <f t="shared" si="992"/>
        <v>3008.4286538169463</v>
      </c>
      <c r="T623">
        <f t="shared" si="993"/>
        <v>3.0084286538169462</v>
      </c>
    </row>
    <row r="624" spans="1:20" x14ac:dyDescent="0.25">
      <c r="A624" s="5">
        <v>43969</v>
      </c>
      <c r="B624">
        <v>0.1996</v>
      </c>
      <c r="C624">
        <v>0.20669999999999999</v>
      </c>
      <c r="D624">
        <v>0.19819999999999999</v>
      </c>
      <c r="E624">
        <v>0.20419999999999999</v>
      </c>
      <c r="F624">
        <v>6530184.3799999999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0.41176470588235292</v>
      </c>
      <c r="Q624">
        <f t="shared" si="990"/>
        <v>2688899.4505882352</v>
      </c>
      <c r="R624">
        <f t="shared" si="991"/>
        <v>299408984.38354653</v>
      </c>
      <c r="S624">
        <f t="shared" si="992"/>
        <v>2994.0898438354652</v>
      </c>
      <c r="T624">
        <f t="shared" si="993"/>
        <v>2.9940898438354653</v>
      </c>
    </row>
    <row r="625" spans="1:20" x14ac:dyDescent="0.25">
      <c r="A625" s="5">
        <v>43968</v>
      </c>
      <c r="B625">
        <v>0.1971</v>
      </c>
      <c r="C625">
        <v>0.20569999999999999</v>
      </c>
      <c r="D625">
        <v>0.1963</v>
      </c>
      <c r="E625">
        <v>0.19939999999999999</v>
      </c>
      <c r="F625">
        <v>5768115.8700000001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-0.34042553191489483</v>
      </c>
      <c r="Q625">
        <f t="shared" si="990"/>
        <v>-1963613.9131914964</v>
      </c>
      <c r="R625">
        <f t="shared" si="991"/>
        <v>296720084.9329583</v>
      </c>
      <c r="S625">
        <f t="shared" si="992"/>
        <v>2967.200849329583</v>
      </c>
      <c r="T625">
        <f t="shared" si="993"/>
        <v>2.9672008493295832</v>
      </c>
    </row>
    <row r="626" spans="1:20" x14ac:dyDescent="0.25">
      <c r="A626" s="5">
        <v>43967</v>
      </c>
      <c r="B626">
        <v>0.19789999999999999</v>
      </c>
      <c r="C626">
        <v>0.20230000000000001</v>
      </c>
      <c r="D626">
        <v>0.19489999999999999</v>
      </c>
      <c r="E626">
        <v>0.1971</v>
      </c>
      <c r="F626">
        <v>6070288.1500000004</v>
      </c>
      <c r="G626">
        <v>0</v>
      </c>
      <c r="L626" t="s">
        <v>7</v>
      </c>
      <c r="M626" t="s">
        <v>8</v>
      </c>
      <c r="N626" t="s">
        <v>8</v>
      </c>
      <c r="P626">
        <f t="shared" si="989"/>
        <v>-0.40540540540540482</v>
      </c>
      <c r="Q626">
        <f t="shared" si="990"/>
        <v>-2460927.628378375</v>
      </c>
      <c r="R626">
        <f t="shared" si="991"/>
        <v>298683698.8461498</v>
      </c>
      <c r="S626">
        <f t="shared" si="992"/>
        <v>2986.8369884614981</v>
      </c>
      <c r="T626">
        <f t="shared" si="993"/>
        <v>2.9868369884614983</v>
      </c>
    </row>
    <row r="627" spans="1:20" x14ac:dyDescent="0.25">
      <c r="A627" s="5">
        <v>43966</v>
      </c>
      <c r="B627">
        <v>0.20949999999999999</v>
      </c>
      <c r="C627">
        <v>0.21199999999999999</v>
      </c>
      <c r="D627">
        <v>0.1961</v>
      </c>
      <c r="E627">
        <v>0.19800000000000001</v>
      </c>
      <c r="F627">
        <v>15467285.720000001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-0.76100628930817449</v>
      </c>
      <c r="Q627">
        <f t="shared" si="990"/>
        <v>-11770701.711446516</v>
      </c>
      <c r="R627">
        <f t="shared" si="991"/>
        <v>301144626.47452819</v>
      </c>
      <c r="S627">
        <f t="shared" si="992"/>
        <v>3011.446264745282</v>
      </c>
      <c r="T627">
        <f t="shared" si="993"/>
        <v>3.011446264745282</v>
      </c>
    </row>
    <row r="628" spans="1:20" x14ac:dyDescent="0.25">
      <c r="A628" s="5">
        <v>43965</v>
      </c>
      <c r="B628">
        <v>0.1925</v>
      </c>
      <c r="C628">
        <v>0.22140000000000001</v>
      </c>
      <c r="D628">
        <v>0.18770000000000001</v>
      </c>
      <c r="E628">
        <v>0.2092</v>
      </c>
      <c r="F628">
        <v>19629382.350000001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0.27596439169139386</v>
      </c>
      <c r="Q628">
        <f t="shared" si="990"/>
        <v>5417010.5594955338</v>
      </c>
      <c r="R628">
        <f t="shared" si="991"/>
        <v>312915328.18597472</v>
      </c>
      <c r="S628">
        <f t="shared" si="992"/>
        <v>3129.153281859747</v>
      </c>
      <c r="T628">
        <f t="shared" si="993"/>
        <v>3.1291532818597472</v>
      </c>
    </row>
    <row r="629" spans="1:20" x14ac:dyDescent="0.25">
      <c r="A629" s="5">
        <v>43964</v>
      </c>
      <c r="B629">
        <v>0.18590000000000001</v>
      </c>
      <c r="C629">
        <v>0.19600000000000001</v>
      </c>
      <c r="D629">
        <v>0.18429999999999999</v>
      </c>
      <c r="E629">
        <v>0.1923</v>
      </c>
      <c r="F629">
        <v>8996631.2400000002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0.36752136752136688</v>
      </c>
      <c r="Q629">
        <f t="shared" si="990"/>
        <v>3306454.2164102509</v>
      </c>
      <c r="R629">
        <f t="shared" si="991"/>
        <v>307498317.62647921</v>
      </c>
      <c r="S629">
        <f t="shared" si="992"/>
        <v>3074.9831762647923</v>
      </c>
      <c r="T629">
        <f t="shared" si="993"/>
        <v>3.0749831762647921</v>
      </c>
    </row>
    <row r="630" spans="1:20" x14ac:dyDescent="0.25">
      <c r="A630" s="5">
        <v>43963</v>
      </c>
      <c r="B630">
        <v>0.17660000000000001</v>
      </c>
      <c r="C630">
        <v>0.1885</v>
      </c>
      <c r="D630">
        <v>0.1764</v>
      </c>
      <c r="E630">
        <v>0.18590000000000001</v>
      </c>
      <c r="F630">
        <v>9284480.8399999999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0.57024793388429895</v>
      </c>
      <c r="Q630">
        <f t="shared" si="990"/>
        <v>5294456.0161983604</v>
      </c>
      <c r="R630">
        <f t="shared" si="991"/>
        <v>304191863.41006893</v>
      </c>
      <c r="S630">
        <f t="shared" si="992"/>
        <v>3041.9186341006894</v>
      </c>
      <c r="T630">
        <f t="shared" si="993"/>
        <v>3.0419186341006892</v>
      </c>
    </row>
    <row r="631" spans="1:20" x14ac:dyDescent="0.25">
      <c r="A631" s="5">
        <v>43962</v>
      </c>
      <c r="B631">
        <v>0.184</v>
      </c>
      <c r="C631">
        <v>0.18659999999999999</v>
      </c>
      <c r="D631">
        <v>0.16669999999999999</v>
      </c>
      <c r="E631">
        <v>0.17680000000000001</v>
      </c>
      <c r="F631">
        <v>12656039.15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1.5075376884424634E-2</v>
      </c>
      <c r="Q631">
        <f t="shared" si="990"/>
        <v>190794.56005028321</v>
      </c>
      <c r="R631">
        <f t="shared" si="991"/>
        <v>298897407.39387059</v>
      </c>
      <c r="S631">
        <f t="shared" si="992"/>
        <v>2988.9740739387057</v>
      </c>
      <c r="T631">
        <f t="shared" si="993"/>
        <v>2.9889740739387056</v>
      </c>
    </row>
    <row r="632" spans="1:20" x14ac:dyDescent="0.25">
      <c r="A632" s="5">
        <v>43961</v>
      </c>
      <c r="B632">
        <v>0.19700000000000001</v>
      </c>
      <c r="C632">
        <v>0.1973</v>
      </c>
      <c r="D632">
        <v>0.16600000000000001</v>
      </c>
      <c r="E632">
        <v>0.18340000000000001</v>
      </c>
      <c r="F632">
        <v>22579055.440000001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0.11182108626198095</v>
      </c>
      <c r="Q632">
        <f t="shared" si="990"/>
        <v>2524814.5060702902</v>
      </c>
      <c r="R632">
        <f t="shared" si="991"/>
        <v>298706612.83382028</v>
      </c>
      <c r="S632">
        <f t="shared" si="992"/>
        <v>2987.0661283382028</v>
      </c>
      <c r="T632">
        <f t="shared" si="993"/>
        <v>2.9870661283382027</v>
      </c>
    </row>
    <row r="633" spans="1:20" x14ac:dyDescent="0.25">
      <c r="A633" s="5">
        <v>43960</v>
      </c>
      <c r="B633">
        <v>0.2021</v>
      </c>
      <c r="C633">
        <v>0.215</v>
      </c>
      <c r="D633">
        <v>0.19620000000000001</v>
      </c>
      <c r="E633">
        <v>0.1976</v>
      </c>
      <c r="F633">
        <v>26547796.199999999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-0.8510638297872356</v>
      </c>
      <c r="Q633">
        <f t="shared" si="990"/>
        <v>-22593869.106383018</v>
      </c>
      <c r="R633">
        <f t="shared" si="991"/>
        <v>296181798.32774997</v>
      </c>
      <c r="S633">
        <f t="shared" si="992"/>
        <v>2961.8179832774995</v>
      </c>
      <c r="T633">
        <f t="shared" si="993"/>
        <v>2.9618179832774993</v>
      </c>
    </row>
    <row r="634" spans="1:20" x14ac:dyDescent="0.25">
      <c r="A634" s="5">
        <v>43959</v>
      </c>
      <c r="B634">
        <v>0.1847</v>
      </c>
      <c r="C634">
        <v>0.2054</v>
      </c>
      <c r="D634">
        <v>0.18129999999999999</v>
      </c>
      <c r="E634">
        <v>0.20269999999999999</v>
      </c>
      <c r="F634">
        <v>15037113.199999999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0.77593360995850569</v>
      </c>
      <c r="Q634">
        <f t="shared" si="990"/>
        <v>11667801.528630696</v>
      </c>
      <c r="R634">
        <f t="shared" si="991"/>
        <v>318775667.43413299</v>
      </c>
      <c r="S634">
        <f t="shared" si="992"/>
        <v>3187.7566743413299</v>
      </c>
      <c r="T634">
        <f t="shared" si="993"/>
        <v>3.1877566743413301</v>
      </c>
    </row>
    <row r="635" spans="1:20" x14ac:dyDescent="0.25">
      <c r="A635" s="5">
        <v>43958</v>
      </c>
      <c r="B635">
        <v>0.1777</v>
      </c>
      <c r="C635">
        <v>0.18970000000000001</v>
      </c>
      <c r="D635">
        <v>0.17560000000000001</v>
      </c>
      <c r="E635">
        <v>0.18479999999999999</v>
      </c>
      <c r="F635">
        <v>9619091.8000000007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0.30496453900709009</v>
      </c>
      <c r="Q635">
        <f t="shared" si="990"/>
        <v>2933481.8964538807</v>
      </c>
      <c r="R635">
        <f t="shared" si="991"/>
        <v>307107865.90550232</v>
      </c>
      <c r="S635">
        <f t="shared" si="992"/>
        <v>3071.0786590550233</v>
      </c>
      <c r="T635">
        <f t="shared" si="993"/>
        <v>3.0710786590550234</v>
      </c>
    </row>
    <row r="636" spans="1:20" x14ac:dyDescent="0.25">
      <c r="A636" s="5">
        <v>43957</v>
      </c>
      <c r="B636">
        <v>0.18759999999999999</v>
      </c>
      <c r="C636">
        <v>0.18970000000000001</v>
      </c>
      <c r="D636">
        <v>0.17660000000000001</v>
      </c>
      <c r="E636">
        <v>0.17760000000000001</v>
      </c>
      <c r="F636">
        <v>6817861.2000000002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-0.84732824427480902</v>
      </c>
      <c r="Q636">
        <f t="shared" si="990"/>
        <v>-5776966.3603053428</v>
      </c>
      <c r="R636">
        <f t="shared" si="991"/>
        <v>304174384.00904846</v>
      </c>
      <c r="S636">
        <f t="shared" si="992"/>
        <v>3041.7438400904848</v>
      </c>
      <c r="T636">
        <f t="shared" si="993"/>
        <v>3.0417438400904846</v>
      </c>
    </row>
    <row r="637" spans="1:20" x14ac:dyDescent="0.25">
      <c r="A637" s="5">
        <v>43956</v>
      </c>
      <c r="B637">
        <v>0.183</v>
      </c>
      <c r="C637">
        <v>0.18809999999999999</v>
      </c>
      <c r="D637">
        <v>0.17960000000000001</v>
      </c>
      <c r="E637">
        <v>0.18759999999999999</v>
      </c>
      <c r="F637">
        <v>6884651.3700000001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0.88235294117647023</v>
      </c>
      <c r="Q637">
        <f t="shared" si="990"/>
        <v>6074692.3852941152</v>
      </c>
      <c r="R637">
        <f t="shared" si="991"/>
        <v>309951350.36935383</v>
      </c>
      <c r="S637">
        <f t="shared" si="992"/>
        <v>3099.5135036935385</v>
      </c>
      <c r="T637">
        <f t="shared" si="993"/>
        <v>3.0995135036935384</v>
      </c>
    </row>
    <row r="638" spans="1:20" x14ac:dyDescent="0.25">
      <c r="A638" s="5">
        <v>43955</v>
      </c>
      <c r="B638">
        <v>0.1827</v>
      </c>
      <c r="C638">
        <v>0.18870000000000001</v>
      </c>
      <c r="D638">
        <v>0.1724</v>
      </c>
      <c r="E638">
        <v>0.183</v>
      </c>
      <c r="F638">
        <v>7655093.25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0.30061349693251443</v>
      </c>
      <c r="Q638">
        <f t="shared" si="990"/>
        <v>2301224.3512269869</v>
      </c>
      <c r="R638">
        <f t="shared" si="991"/>
        <v>303876657.98405969</v>
      </c>
      <c r="S638">
        <f t="shared" si="992"/>
        <v>3038.7665798405969</v>
      </c>
      <c r="T638">
        <f t="shared" si="993"/>
        <v>3.0387665798405967</v>
      </c>
    </row>
    <row r="639" spans="1:20" x14ac:dyDescent="0.25">
      <c r="A639" s="5">
        <v>43954</v>
      </c>
      <c r="B639">
        <v>0.19159999999999999</v>
      </c>
      <c r="C639">
        <v>0.19489999999999999</v>
      </c>
      <c r="D639">
        <v>0.17849999999999999</v>
      </c>
      <c r="E639">
        <v>0.1827</v>
      </c>
      <c r="F639">
        <v>8127641.9400000004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-0.48780487804877931</v>
      </c>
      <c r="Q639">
        <f t="shared" si="990"/>
        <v>-3964703.3853658442</v>
      </c>
      <c r="R639">
        <f t="shared" si="991"/>
        <v>301575433.63283271</v>
      </c>
      <c r="S639">
        <f t="shared" si="992"/>
        <v>3015.7543363283271</v>
      </c>
      <c r="T639">
        <f t="shared" si="993"/>
        <v>3.0157543363283272</v>
      </c>
    </row>
    <row r="640" spans="1:20" x14ac:dyDescent="0.25">
      <c r="A640" s="5">
        <v>43953</v>
      </c>
      <c r="B640">
        <v>0.18140000000000001</v>
      </c>
      <c r="C640">
        <v>0.1923</v>
      </c>
      <c r="D640">
        <v>0.18110000000000001</v>
      </c>
      <c r="E640">
        <v>0.1915</v>
      </c>
      <c r="F640">
        <v>8310921.6100000003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0.85714285714285787</v>
      </c>
      <c r="Q640">
        <f t="shared" si="990"/>
        <v>7123647.094285721</v>
      </c>
      <c r="R640">
        <f t="shared" si="991"/>
        <v>305540137.01819855</v>
      </c>
      <c r="S640">
        <f t="shared" si="992"/>
        <v>3055.4013701819854</v>
      </c>
      <c r="T640">
        <f t="shared" si="993"/>
        <v>3.0554013701819853</v>
      </c>
    </row>
    <row r="641" spans="1:20" x14ac:dyDescent="0.25">
      <c r="A641" s="5">
        <v>43952</v>
      </c>
      <c r="B641">
        <v>0.1762</v>
      </c>
      <c r="C641">
        <v>0.18790000000000001</v>
      </c>
      <c r="D641">
        <v>0.17610000000000001</v>
      </c>
      <c r="E641">
        <v>0.18160000000000001</v>
      </c>
      <c r="F641">
        <v>4901015.75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-6.7796610169491081E-2</v>
      </c>
      <c r="Q641">
        <f t="shared" si="990"/>
        <v>-332272.25423728593</v>
      </c>
      <c r="R641">
        <f t="shared" si="991"/>
        <v>298416489.92391282</v>
      </c>
      <c r="S641">
        <f t="shared" si="992"/>
        <v>2984.1648992391283</v>
      </c>
      <c r="T641">
        <f t="shared" si="993"/>
        <v>2.9841648992391283</v>
      </c>
    </row>
    <row r="642" spans="1:20" x14ac:dyDescent="0.25">
      <c r="A642" s="5">
        <v>43951</v>
      </c>
      <c r="B642">
        <v>0.186</v>
      </c>
      <c r="C642">
        <v>0.192</v>
      </c>
      <c r="D642">
        <v>0.17199999999999999</v>
      </c>
      <c r="E642">
        <v>0.17649999999999999</v>
      </c>
      <c r="F642">
        <v>12018612.859999999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-0.55000000000000004</v>
      </c>
      <c r="Q642">
        <f t="shared" si="990"/>
        <v>-6610237.0729999999</v>
      </c>
      <c r="R642">
        <f t="shared" si="991"/>
        <v>298748762.17815012</v>
      </c>
      <c r="S642">
        <f t="shared" si="992"/>
        <v>2987.4876217815013</v>
      </c>
      <c r="T642">
        <f t="shared" si="993"/>
        <v>2.9874876217815012</v>
      </c>
    </row>
    <row r="643" spans="1:20" x14ac:dyDescent="0.25">
      <c r="A643" s="5">
        <v>43950</v>
      </c>
      <c r="B643">
        <v>0.1734</v>
      </c>
      <c r="C643">
        <v>0.1893</v>
      </c>
      <c r="D643">
        <v>0.1734</v>
      </c>
      <c r="E643">
        <v>0.18590000000000001</v>
      </c>
      <c r="F643">
        <v>16863310.68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0.57232704402515888</v>
      </c>
      <c r="Q643">
        <f t="shared" si="990"/>
        <v>9651328.7539622914</v>
      </c>
      <c r="R643">
        <f t="shared" si="991"/>
        <v>305358999.25115013</v>
      </c>
      <c r="S643">
        <f t="shared" si="992"/>
        <v>3053.5899925115014</v>
      </c>
      <c r="T643">
        <f t="shared" si="993"/>
        <v>3.0535899925115015</v>
      </c>
    </row>
    <row r="644" spans="1:20" x14ac:dyDescent="0.25">
      <c r="A644" s="5">
        <v>43949</v>
      </c>
      <c r="B644">
        <v>0.17380000000000001</v>
      </c>
      <c r="C644">
        <v>0.17460000000000001</v>
      </c>
      <c r="D644">
        <v>0.16819999999999999</v>
      </c>
      <c r="E644">
        <v>0.17380000000000001</v>
      </c>
      <c r="F644">
        <v>7988868.5999999996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0.75000000000000222</v>
      </c>
      <c r="Q644">
        <f t="shared" si="990"/>
        <v>5991651.4500000179</v>
      </c>
      <c r="R644">
        <f t="shared" si="991"/>
        <v>295707670.49718785</v>
      </c>
      <c r="S644">
        <f t="shared" si="992"/>
        <v>2957.0767049718784</v>
      </c>
      <c r="T644">
        <f t="shared" si="993"/>
        <v>2.9570767049718785</v>
      </c>
    </row>
    <row r="645" spans="1:20" x14ac:dyDescent="0.25">
      <c r="A645" s="5">
        <v>43948</v>
      </c>
      <c r="B645">
        <v>0.17660000000000001</v>
      </c>
      <c r="C645">
        <v>0.17730000000000001</v>
      </c>
      <c r="D645">
        <v>0.16109999999999999</v>
      </c>
      <c r="E645">
        <v>0.17399999999999999</v>
      </c>
      <c r="F645">
        <v>9415255.0600000005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0.59259259259259001</v>
      </c>
      <c r="Q645">
        <f t="shared" si="990"/>
        <v>5579410.4059259016</v>
      </c>
      <c r="R645">
        <f t="shared" si="991"/>
        <v>289716019.04718781</v>
      </c>
      <c r="S645">
        <f t="shared" si="992"/>
        <v>2897.1601904718782</v>
      </c>
      <c r="T645">
        <f t="shared" si="993"/>
        <v>2.8971601904718782</v>
      </c>
    </row>
    <row r="646" spans="1:20" x14ac:dyDescent="0.25">
      <c r="A646" s="5">
        <v>43947</v>
      </c>
      <c r="B646">
        <v>0.17</v>
      </c>
      <c r="C646">
        <v>0.1787</v>
      </c>
      <c r="D646">
        <v>0.16980000000000001</v>
      </c>
      <c r="E646">
        <v>0.1764</v>
      </c>
      <c r="F646">
        <v>10608237.16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0.48314606741573063</v>
      </c>
      <c r="Q646">
        <f t="shared" ref="Q646:Q709" si="995">F646*P646</f>
        <v>5125328.066067419</v>
      </c>
      <c r="R646">
        <f t="shared" ref="R646:R709" si="996">R647+Q646</f>
        <v>284136608.64126188</v>
      </c>
      <c r="S646">
        <f t="shared" ref="S646:S709" si="997">R646/100000</f>
        <v>2841.3660864126186</v>
      </c>
      <c r="T646">
        <f t="shared" ref="T646:T709" si="998">S646/1000</f>
        <v>2.8413660864126187</v>
      </c>
    </row>
    <row r="647" spans="1:20" x14ac:dyDescent="0.25">
      <c r="A647" s="5">
        <v>43946</v>
      </c>
      <c r="B647">
        <v>0.16789999999999999</v>
      </c>
      <c r="C647">
        <v>0.17430000000000001</v>
      </c>
      <c r="D647">
        <v>0.1653</v>
      </c>
      <c r="E647">
        <v>0.17</v>
      </c>
      <c r="F647">
        <v>9013571.6699999999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4.4444444444445681E-2</v>
      </c>
      <c r="Q647">
        <f t="shared" si="995"/>
        <v>400603.1853333445</v>
      </c>
      <c r="R647">
        <f t="shared" si="996"/>
        <v>279011280.57519448</v>
      </c>
      <c r="S647">
        <f t="shared" si="997"/>
        <v>2790.112805751945</v>
      </c>
      <c r="T647">
        <f t="shared" si="998"/>
        <v>2.7901128057519449</v>
      </c>
    </row>
    <row r="648" spans="1:20" x14ac:dyDescent="0.25">
      <c r="A648" s="5">
        <v>43945</v>
      </c>
      <c r="B648">
        <v>0.15909999999999999</v>
      </c>
      <c r="C648">
        <v>0.1681</v>
      </c>
      <c r="D648">
        <v>0.15890000000000001</v>
      </c>
      <c r="E648">
        <v>0.16769999999999999</v>
      </c>
      <c r="F648">
        <v>12730324.939999999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0.91304347826086696</v>
      </c>
      <c r="Q648">
        <f t="shared" si="995"/>
        <v>11623340.162608663</v>
      </c>
      <c r="R648">
        <f t="shared" si="996"/>
        <v>278610677.38986111</v>
      </c>
      <c r="S648">
        <f t="shared" si="997"/>
        <v>2786.1067738986112</v>
      </c>
      <c r="T648">
        <f t="shared" si="998"/>
        <v>2.7861067738986112</v>
      </c>
    </row>
    <row r="649" spans="1:20" x14ac:dyDescent="0.25">
      <c r="A649" s="5">
        <v>43944</v>
      </c>
      <c r="B649">
        <v>0.15609999999999999</v>
      </c>
      <c r="C649">
        <v>0.16470000000000001</v>
      </c>
      <c r="D649">
        <v>0.15290000000000001</v>
      </c>
      <c r="E649">
        <v>0.159</v>
      </c>
      <c r="F649">
        <v>11013799.34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3.3898305084744368E-2</v>
      </c>
      <c r="Q649">
        <f t="shared" si="995"/>
        <v>373349.13016947615</v>
      </c>
      <c r="R649">
        <f t="shared" si="996"/>
        <v>266987337.22725242</v>
      </c>
      <c r="S649">
        <f t="shared" si="997"/>
        <v>2669.8733722725242</v>
      </c>
      <c r="T649">
        <f t="shared" si="998"/>
        <v>2.6698733722725243</v>
      </c>
    </row>
    <row r="650" spans="1:20" x14ac:dyDescent="0.25">
      <c r="A650" s="5">
        <v>43943</v>
      </c>
      <c r="B650">
        <v>0.15179999999999999</v>
      </c>
      <c r="C650">
        <v>0.1578</v>
      </c>
      <c r="D650">
        <v>0.15049999999999999</v>
      </c>
      <c r="E650">
        <v>0.156</v>
      </c>
      <c r="F650">
        <v>5288945.3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0.50684931506849429</v>
      </c>
      <c r="Q650">
        <f t="shared" si="995"/>
        <v>2680698.302739732</v>
      </c>
      <c r="R650">
        <f t="shared" si="996"/>
        <v>266613988.09708294</v>
      </c>
      <c r="S650">
        <f t="shared" si="997"/>
        <v>2666.1398809708294</v>
      </c>
      <c r="T650">
        <f t="shared" si="998"/>
        <v>2.6661398809708294</v>
      </c>
    </row>
    <row r="651" spans="1:20" x14ac:dyDescent="0.25">
      <c r="A651" s="5">
        <v>43942</v>
      </c>
      <c r="B651">
        <v>0.14799999999999999</v>
      </c>
      <c r="C651">
        <v>0.15340000000000001</v>
      </c>
      <c r="D651">
        <v>0.14749999999999999</v>
      </c>
      <c r="E651">
        <v>0.15179999999999999</v>
      </c>
      <c r="F651">
        <v>9366057.2699999996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0.45762711864406319</v>
      </c>
      <c r="Q651">
        <f t="shared" si="995"/>
        <v>4286161.8015253805</v>
      </c>
      <c r="R651">
        <f t="shared" si="996"/>
        <v>263933289.7943432</v>
      </c>
      <c r="S651">
        <f t="shared" si="997"/>
        <v>2639.3328979434318</v>
      </c>
      <c r="T651">
        <f t="shared" si="998"/>
        <v>2.6393328979434316</v>
      </c>
    </row>
    <row r="652" spans="1:20" x14ac:dyDescent="0.25">
      <c r="A652" s="5">
        <v>43941</v>
      </c>
      <c r="B652">
        <v>0.15570000000000001</v>
      </c>
      <c r="C652">
        <v>0.16</v>
      </c>
      <c r="D652">
        <v>0.1447</v>
      </c>
      <c r="E652">
        <v>0.1482</v>
      </c>
      <c r="F652">
        <v>18720598.559999999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-0.5424836601307188</v>
      </c>
      <c r="Q652">
        <f t="shared" si="995"/>
        <v>-10155618.826666662</v>
      </c>
      <c r="R652">
        <f t="shared" si="996"/>
        <v>259647127.99281782</v>
      </c>
      <c r="S652">
        <f t="shared" si="997"/>
        <v>2596.4712799281783</v>
      </c>
      <c r="T652">
        <f t="shared" si="998"/>
        <v>2.5964712799281782</v>
      </c>
    </row>
    <row r="653" spans="1:20" x14ac:dyDescent="0.25">
      <c r="A653" s="5">
        <v>43940</v>
      </c>
      <c r="B653">
        <v>0.16289999999999999</v>
      </c>
      <c r="C653">
        <v>0.16320000000000001</v>
      </c>
      <c r="D653">
        <v>0.15440000000000001</v>
      </c>
      <c r="E653">
        <v>0.15579999999999999</v>
      </c>
      <c r="F653">
        <v>7636982.1799999997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-0.68181818181818543</v>
      </c>
      <c r="Q653">
        <f t="shared" si="995"/>
        <v>-5207033.3045454817</v>
      </c>
      <c r="R653">
        <f t="shared" si="996"/>
        <v>269802746.81948447</v>
      </c>
      <c r="S653">
        <f t="shared" si="997"/>
        <v>2698.0274681948449</v>
      </c>
      <c r="T653">
        <f t="shared" si="998"/>
        <v>2.6980274681948448</v>
      </c>
    </row>
    <row r="654" spans="1:20" x14ac:dyDescent="0.25">
      <c r="A654" s="5">
        <v>43939</v>
      </c>
      <c r="B654">
        <v>0.15609999999999999</v>
      </c>
      <c r="C654">
        <v>0.16489999999999999</v>
      </c>
      <c r="D654">
        <v>0.15590000000000001</v>
      </c>
      <c r="E654">
        <v>0.16270000000000001</v>
      </c>
      <c r="F654">
        <v>6949836.6399999997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0.51111111111111451</v>
      </c>
      <c r="Q654">
        <f t="shared" si="995"/>
        <v>3552138.7271111347</v>
      </c>
      <c r="R654">
        <f t="shared" si="996"/>
        <v>275009780.12402993</v>
      </c>
      <c r="S654">
        <f t="shared" si="997"/>
        <v>2750.0978012402993</v>
      </c>
      <c r="T654">
        <f t="shared" si="998"/>
        <v>2.7500978012402992</v>
      </c>
    </row>
    <row r="655" spans="1:20" x14ac:dyDescent="0.25">
      <c r="A655" s="5">
        <v>43938</v>
      </c>
      <c r="B655">
        <v>0.15740000000000001</v>
      </c>
      <c r="C655">
        <v>0.1593</v>
      </c>
      <c r="D655">
        <v>0.1547</v>
      </c>
      <c r="E655">
        <v>0.15609999999999999</v>
      </c>
      <c r="F655">
        <v>3888897.25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-0.39130434782609275</v>
      </c>
      <c r="Q655">
        <f t="shared" si="995"/>
        <v>-1521742.4021739357</v>
      </c>
      <c r="R655">
        <f t="shared" si="996"/>
        <v>271457641.39691877</v>
      </c>
      <c r="S655">
        <f t="shared" si="997"/>
        <v>2714.5764139691878</v>
      </c>
      <c r="T655">
        <f t="shared" si="998"/>
        <v>2.7145764139691879</v>
      </c>
    </row>
    <row r="656" spans="1:20" x14ac:dyDescent="0.25">
      <c r="A656" s="5">
        <v>43937</v>
      </c>
      <c r="B656">
        <v>0.14799999999999999</v>
      </c>
      <c r="C656">
        <v>0.16089999999999999</v>
      </c>
      <c r="D656">
        <v>0.14169999999999999</v>
      </c>
      <c r="E656">
        <v>0.15720000000000001</v>
      </c>
      <c r="F656">
        <v>15153636.35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0.61458333333333515</v>
      </c>
      <c r="Q656">
        <f t="shared" si="995"/>
        <v>9313172.3401041944</v>
      </c>
      <c r="R656">
        <f t="shared" si="996"/>
        <v>272979383.79909271</v>
      </c>
      <c r="S656">
        <f t="shared" si="997"/>
        <v>2729.7938379909269</v>
      </c>
      <c r="T656">
        <f t="shared" si="998"/>
        <v>2.7297938379909268</v>
      </c>
    </row>
    <row r="657" spans="1:20" x14ac:dyDescent="0.25">
      <c r="A657" s="5">
        <v>43936</v>
      </c>
      <c r="B657">
        <v>0.15809999999999999</v>
      </c>
      <c r="C657">
        <v>0.15909999999999999</v>
      </c>
      <c r="D657">
        <v>0.14660000000000001</v>
      </c>
      <c r="E657">
        <v>0.14810000000000001</v>
      </c>
      <c r="F657">
        <v>9008467.3499999996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-0.75999999999999945</v>
      </c>
      <c r="Q657">
        <f t="shared" si="995"/>
        <v>-6846435.1859999951</v>
      </c>
      <c r="R657">
        <f t="shared" si="996"/>
        <v>263666211.45898849</v>
      </c>
      <c r="S657">
        <f t="shared" si="997"/>
        <v>2636.6621145898848</v>
      </c>
      <c r="T657">
        <f t="shared" si="998"/>
        <v>2.636662114589885</v>
      </c>
    </row>
    <row r="658" spans="1:20" x14ac:dyDescent="0.25">
      <c r="A658" s="5">
        <v>43935</v>
      </c>
      <c r="B658">
        <v>0.15920000000000001</v>
      </c>
      <c r="C658">
        <v>0.16259999999999999</v>
      </c>
      <c r="D658">
        <v>0.15509999999999999</v>
      </c>
      <c r="E658">
        <v>0.158</v>
      </c>
      <c r="F658">
        <v>4678273.68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-0.22666666666666371</v>
      </c>
      <c r="Q658">
        <f t="shared" si="995"/>
        <v>-1060408.700799986</v>
      </c>
      <c r="R658">
        <f t="shared" si="996"/>
        <v>270512646.64498848</v>
      </c>
      <c r="S658">
        <f t="shared" si="997"/>
        <v>2705.1264664498849</v>
      </c>
      <c r="T658">
        <f t="shared" si="998"/>
        <v>2.7051264664498849</v>
      </c>
    </row>
    <row r="659" spans="1:20" x14ac:dyDescent="0.25">
      <c r="A659" s="5">
        <v>43934</v>
      </c>
      <c r="B659">
        <v>0.161</v>
      </c>
      <c r="C659">
        <v>0.1615</v>
      </c>
      <c r="D659">
        <v>0.154</v>
      </c>
      <c r="E659">
        <v>0.159</v>
      </c>
      <c r="F659">
        <v>6609880.7999999998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0.33333333333333331</v>
      </c>
      <c r="Q659">
        <f t="shared" si="995"/>
        <v>2203293.5999999996</v>
      </c>
      <c r="R659">
        <f t="shared" si="996"/>
        <v>271573055.34578848</v>
      </c>
      <c r="S659">
        <f t="shared" si="997"/>
        <v>2715.730553457885</v>
      </c>
      <c r="T659">
        <f t="shared" si="998"/>
        <v>2.7157305534578851</v>
      </c>
    </row>
    <row r="660" spans="1:20" x14ac:dyDescent="0.25">
      <c r="A660" s="5">
        <v>43933</v>
      </c>
      <c r="B660">
        <v>0.15989999999999999</v>
      </c>
      <c r="C660">
        <v>0.1676</v>
      </c>
      <c r="D660">
        <v>0.15609999999999999</v>
      </c>
      <c r="E660">
        <v>0.16159999999999999</v>
      </c>
      <c r="F660">
        <v>3710390.36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-4.3478260869565216E-2</v>
      </c>
      <c r="Q660">
        <f t="shared" si="995"/>
        <v>-161321.31999999998</v>
      </c>
      <c r="R660">
        <f t="shared" si="996"/>
        <v>269369761.74578846</v>
      </c>
      <c r="S660">
        <f t="shared" si="997"/>
        <v>2693.6976174578845</v>
      </c>
      <c r="T660">
        <f t="shared" si="998"/>
        <v>2.6936976174578846</v>
      </c>
    </row>
    <row r="661" spans="1:20" x14ac:dyDescent="0.25">
      <c r="A661" s="5">
        <v>43932</v>
      </c>
      <c r="B661">
        <v>0.16109999999999999</v>
      </c>
      <c r="C661">
        <v>0.16389999999999999</v>
      </c>
      <c r="D661">
        <v>0.155</v>
      </c>
      <c r="E661">
        <v>0.1603</v>
      </c>
      <c r="F661">
        <v>3999761.21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0.19101123595505717</v>
      </c>
      <c r="Q661">
        <f t="shared" si="995"/>
        <v>763999.33224719495</v>
      </c>
      <c r="R661">
        <f t="shared" si="996"/>
        <v>269531083.06578845</v>
      </c>
      <c r="S661">
        <f t="shared" si="997"/>
        <v>2695.3108306578843</v>
      </c>
      <c r="T661">
        <f t="shared" si="998"/>
        <v>2.6953108306578843</v>
      </c>
    </row>
    <row r="662" spans="1:20" x14ac:dyDescent="0.25">
      <c r="A662" s="5">
        <v>43931</v>
      </c>
      <c r="B662">
        <v>0.1726</v>
      </c>
      <c r="C662">
        <v>0.1726</v>
      </c>
      <c r="D662">
        <v>0.15179999999999999</v>
      </c>
      <c r="E662">
        <v>0.16109999999999999</v>
      </c>
      <c r="F662">
        <v>6870100.6900000004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-0.10576923076923106</v>
      </c>
      <c r="Q662">
        <f t="shared" si="995"/>
        <v>-726645.26528846356</v>
      </c>
      <c r="R662">
        <f t="shared" si="996"/>
        <v>268767083.73354125</v>
      </c>
      <c r="S662">
        <f t="shared" si="997"/>
        <v>2687.6708373354127</v>
      </c>
      <c r="T662">
        <f t="shared" si="998"/>
        <v>2.6876708373354128</v>
      </c>
    </row>
    <row r="663" spans="1:20" x14ac:dyDescent="0.25">
      <c r="A663" s="5">
        <v>43930</v>
      </c>
      <c r="B663">
        <v>0.1719</v>
      </c>
      <c r="C663">
        <v>0.17349999999999999</v>
      </c>
      <c r="D663">
        <v>0.16639999999999999</v>
      </c>
      <c r="E663">
        <v>0.17249999999999999</v>
      </c>
      <c r="F663">
        <v>4235677.66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0.71830985915492918</v>
      </c>
      <c r="Q663">
        <f t="shared" si="995"/>
        <v>3042529.02338028</v>
      </c>
      <c r="R663">
        <f t="shared" si="996"/>
        <v>269493728.99882972</v>
      </c>
      <c r="S663">
        <f t="shared" si="997"/>
        <v>2694.9372899882974</v>
      </c>
      <c r="T663">
        <f t="shared" si="998"/>
        <v>2.6949372899882973</v>
      </c>
    </row>
    <row r="664" spans="1:20" x14ac:dyDescent="0.25">
      <c r="A664" s="5">
        <v>43929</v>
      </c>
      <c r="B664">
        <v>0.16370000000000001</v>
      </c>
      <c r="C664">
        <v>0.17269999999999999</v>
      </c>
      <c r="D664">
        <v>0.16289999999999999</v>
      </c>
      <c r="E664">
        <v>0.17199999999999999</v>
      </c>
      <c r="F664">
        <v>6332825.6100000003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0.85714285714285587</v>
      </c>
      <c r="Q664">
        <f t="shared" si="995"/>
        <v>5428136.2371428497</v>
      </c>
      <c r="R664">
        <f t="shared" si="996"/>
        <v>266451199.97544944</v>
      </c>
      <c r="S664">
        <f t="shared" si="997"/>
        <v>2664.5119997544944</v>
      </c>
      <c r="T664">
        <f t="shared" si="998"/>
        <v>2.6645119997544944</v>
      </c>
    </row>
    <row r="665" spans="1:20" x14ac:dyDescent="0.25">
      <c r="A665" s="5">
        <v>43928</v>
      </c>
      <c r="B665">
        <v>0.1663</v>
      </c>
      <c r="C665">
        <v>0.17599999999999999</v>
      </c>
      <c r="D665">
        <v>0.16020000000000001</v>
      </c>
      <c r="E665">
        <v>0.16400000000000001</v>
      </c>
      <c r="F665">
        <v>9289870.3200000003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-0.51898734177215156</v>
      </c>
      <c r="Q665">
        <f t="shared" si="995"/>
        <v>-4821325.1027848069</v>
      </c>
      <c r="R665">
        <f t="shared" si="996"/>
        <v>261023063.73830658</v>
      </c>
      <c r="S665">
        <f t="shared" si="997"/>
        <v>2610.2306373830656</v>
      </c>
      <c r="T665">
        <f t="shared" si="998"/>
        <v>2.6102306373830655</v>
      </c>
    </row>
    <row r="666" spans="1:20" x14ac:dyDescent="0.25">
      <c r="A666" s="5">
        <v>43927</v>
      </c>
      <c r="B666">
        <v>0.1484</v>
      </c>
      <c r="C666">
        <v>0.16700000000000001</v>
      </c>
      <c r="D666">
        <v>0.1484</v>
      </c>
      <c r="E666">
        <v>0.1661</v>
      </c>
      <c r="F666">
        <v>7424054.2199999997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0.90322580645161166</v>
      </c>
      <c r="Q666">
        <f t="shared" si="995"/>
        <v>6705597.3599999901</v>
      </c>
      <c r="R666">
        <f t="shared" si="996"/>
        <v>265844388.84109139</v>
      </c>
      <c r="S666">
        <f t="shared" si="997"/>
        <v>2658.443888410914</v>
      </c>
      <c r="T666">
        <f t="shared" si="998"/>
        <v>2.6584438884109138</v>
      </c>
    </row>
    <row r="667" spans="1:20" x14ac:dyDescent="0.25">
      <c r="A667" s="5">
        <v>43926</v>
      </c>
      <c r="B667">
        <v>0.14960000000000001</v>
      </c>
      <c r="C667">
        <v>0.15060000000000001</v>
      </c>
      <c r="D667">
        <v>0.1457</v>
      </c>
      <c r="E667">
        <v>0.14860000000000001</v>
      </c>
      <c r="F667">
        <v>2777692.17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0.18367346938775694</v>
      </c>
      <c r="Q667">
        <f t="shared" si="995"/>
        <v>510188.35775510716</v>
      </c>
      <c r="R667">
        <f t="shared" si="996"/>
        <v>259138791.48109141</v>
      </c>
      <c r="S667">
        <f t="shared" si="997"/>
        <v>2591.387914810914</v>
      </c>
      <c r="T667">
        <f t="shared" si="998"/>
        <v>2.5913879148109142</v>
      </c>
    </row>
    <row r="668" spans="1:20" x14ac:dyDescent="0.25">
      <c r="A668" s="5">
        <v>43925</v>
      </c>
      <c r="B668">
        <v>0.14879999999999999</v>
      </c>
      <c r="C668">
        <v>0.15260000000000001</v>
      </c>
      <c r="D668">
        <v>0.14530000000000001</v>
      </c>
      <c r="E668">
        <v>0.14990000000000001</v>
      </c>
      <c r="F668">
        <v>4931267.8499999996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0.26027397260273766</v>
      </c>
      <c r="Q668">
        <f t="shared" si="995"/>
        <v>1283480.673287661</v>
      </c>
      <c r="R668">
        <f t="shared" si="996"/>
        <v>258628603.12333632</v>
      </c>
      <c r="S668">
        <f t="shared" si="997"/>
        <v>2586.2860312333632</v>
      </c>
      <c r="T668">
        <f t="shared" si="998"/>
        <v>2.5862860312333633</v>
      </c>
    </row>
    <row r="669" spans="1:20" x14ac:dyDescent="0.25">
      <c r="A669" s="5">
        <v>43924</v>
      </c>
      <c r="B669">
        <v>0.14729999999999999</v>
      </c>
      <c r="C669">
        <v>0.15429999999999999</v>
      </c>
      <c r="D669">
        <v>0.1462</v>
      </c>
      <c r="E669">
        <v>0.1492</v>
      </c>
      <c r="F669">
        <v>6220429.3600000003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-0.25925925925925825</v>
      </c>
      <c r="Q669">
        <f t="shared" si="995"/>
        <v>-1612703.908148142</v>
      </c>
      <c r="R669">
        <f t="shared" si="996"/>
        <v>257345122.45004866</v>
      </c>
      <c r="S669">
        <f t="shared" si="997"/>
        <v>2573.4512245004867</v>
      </c>
      <c r="T669">
        <f t="shared" si="998"/>
        <v>2.5734512245004866</v>
      </c>
    </row>
    <row r="670" spans="1:20" x14ac:dyDescent="0.25">
      <c r="A670" s="5">
        <v>43923</v>
      </c>
      <c r="B670">
        <v>0.14710000000000001</v>
      </c>
      <c r="C670">
        <v>0.1547</v>
      </c>
      <c r="D670">
        <v>0.14369999999999999</v>
      </c>
      <c r="E670">
        <v>0.14760000000000001</v>
      </c>
      <c r="F670">
        <v>6370196.5899999999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-0.2909090909090889</v>
      </c>
      <c r="Q670">
        <f t="shared" si="995"/>
        <v>-1853148.0989090779</v>
      </c>
      <c r="R670">
        <f t="shared" si="996"/>
        <v>258957826.35819679</v>
      </c>
      <c r="S670">
        <f t="shared" si="997"/>
        <v>2589.5782635819678</v>
      </c>
      <c r="T670">
        <f t="shared" si="998"/>
        <v>2.5895782635819677</v>
      </c>
    </row>
    <row r="671" spans="1:20" x14ac:dyDescent="0.25">
      <c r="A671" s="5">
        <v>43922</v>
      </c>
      <c r="B671">
        <v>0.1434</v>
      </c>
      <c r="C671">
        <v>0.14729999999999999</v>
      </c>
      <c r="D671">
        <v>0.13700000000000001</v>
      </c>
      <c r="E671">
        <v>0.14710000000000001</v>
      </c>
      <c r="F671">
        <v>5419374</v>
      </c>
      <c r="G671">
        <v>0</v>
      </c>
      <c r="L671" t="s">
        <v>8</v>
      </c>
      <c r="M671" t="s">
        <v>8</v>
      </c>
      <c r="N671" t="s">
        <v>8</v>
      </c>
      <c r="P671">
        <f t="shared" si="994"/>
        <v>0.96116504854369356</v>
      </c>
      <c r="Q671">
        <f t="shared" si="995"/>
        <v>5208912.8737864308</v>
      </c>
      <c r="R671">
        <f t="shared" si="996"/>
        <v>260810974.45710588</v>
      </c>
      <c r="S671">
        <f t="shared" si="997"/>
        <v>2608.1097445710589</v>
      </c>
      <c r="T671">
        <f t="shared" si="998"/>
        <v>2.6081097445710588</v>
      </c>
    </row>
    <row r="672" spans="1:20" x14ac:dyDescent="0.25">
      <c r="A672" s="5">
        <v>43921</v>
      </c>
      <c r="B672">
        <v>0.1414</v>
      </c>
      <c r="C672">
        <v>0.14599999999999999</v>
      </c>
      <c r="D672">
        <v>0.14000000000000001</v>
      </c>
      <c r="E672">
        <v>0.1434</v>
      </c>
      <c r="F672">
        <v>4642701.53</v>
      </c>
      <c r="G672">
        <v>0</v>
      </c>
      <c r="L672" t="s">
        <v>8</v>
      </c>
      <c r="M672" t="s">
        <v>8</v>
      </c>
      <c r="N672" t="s">
        <v>8</v>
      </c>
      <c r="P672">
        <f t="shared" si="994"/>
        <v>0.13333333333333303</v>
      </c>
      <c r="Q672">
        <f t="shared" si="995"/>
        <v>619026.87066666526</v>
      </c>
      <c r="R672">
        <f t="shared" si="996"/>
        <v>255602061.58331946</v>
      </c>
      <c r="S672">
        <f t="shared" si="997"/>
        <v>2556.0206158331944</v>
      </c>
      <c r="T672">
        <f t="shared" si="998"/>
        <v>2.5560206158331944</v>
      </c>
    </row>
    <row r="673" spans="1:20" x14ac:dyDescent="0.25">
      <c r="A673" s="5">
        <v>43920</v>
      </c>
      <c r="B673">
        <v>0.13159999999999999</v>
      </c>
      <c r="C673">
        <v>0.1462</v>
      </c>
      <c r="D673">
        <v>0.13139999999999999</v>
      </c>
      <c r="E673">
        <v>0.14130000000000001</v>
      </c>
      <c r="F673">
        <v>6620136.1799999997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0.33783783783783983</v>
      </c>
      <c r="Q673">
        <f t="shared" si="995"/>
        <v>2236532.4932432561</v>
      </c>
      <c r="R673">
        <f t="shared" si="996"/>
        <v>254983034.7126528</v>
      </c>
      <c r="S673">
        <f t="shared" si="997"/>
        <v>2549.8303471265281</v>
      </c>
      <c r="T673">
        <f t="shared" si="998"/>
        <v>2.549830347126528</v>
      </c>
    </row>
    <row r="674" spans="1:20" x14ac:dyDescent="0.25">
      <c r="A674" s="5">
        <v>43919</v>
      </c>
      <c r="B674">
        <v>0.13919999999999999</v>
      </c>
      <c r="C674">
        <v>0.13969999999999999</v>
      </c>
      <c r="D674">
        <v>0.13039999999999999</v>
      </c>
      <c r="E674">
        <v>0.13150000000000001</v>
      </c>
      <c r="F674">
        <v>4541049.05</v>
      </c>
      <c r="G674">
        <v>0</v>
      </c>
      <c r="L674" t="s">
        <v>7</v>
      </c>
      <c r="M674" t="s">
        <v>8</v>
      </c>
      <c r="N674" t="s">
        <v>8</v>
      </c>
      <c r="P674">
        <f t="shared" si="994"/>
        <v>-0.76344086021505009</v>
      </c>
      <c r="Q674">
        <f t="shared" si="995"/>
        <v>-3466822.393010736</v>
      </c>
      <c r="R674">
        <f t="shared" si="996"/>
        <v>252746502.21940956</v>
      </c>
      <c r="S674">
        <f t="shared" si="997"/>
        <v>2527.4650221940956</v>
      </c>
      <c r="T674">
        <f t="shared" si="998"/>
        <v>2.5274650221940957</v>
      </c>
    </row>
    <row r="675" spans="1:20" x14ac:dyDescent="0.25">
      <c r="A675" s="5">
        <v>43918</v>
      </c>
      <c r="B675">
        <v>0.13589999999999999</v>
      </c>
      <c r="C675">
        <v>0.14080000000000001</v>
      </c>
      <c r="D675">
        <v>0.1308</v>
      </c>
      <c r="E675">
        <v>0.1394</v>
      </c>
      <c r="F675">
        <v>6669512.7699999996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0.71999999999999775</v>
      </c>
      <c r="Q675">
        <f t="shared" si="995"/>
        <v>4802049.1943999846</v>
      </c>
      <c r="R675">
        <f t="shared" si="996"/>
        <v>256213324.61242029</v>
      </c>
      <c r="S675">
        <f t="shared" si="997"/>
        <v>2562.1332461242027</v>
      </c>
      <c r="T675">
        <f t="shared" si="998"/>
        <v>2.5621332461242026</v>
      </c>
    </row>
    <row r="676" spans="1:20" x14ac:dyDescent="0.25">
      <c r="A676" s="5">
        <v>43917</v>
      </c>
      <c r="B676">
        <v>0.14530000000000001</v>
      </c>
      <c r="C676">
        <v>0.1497</v>
      </c>
      <c r="D676">
        <v>0.13539999999999999</v>
      </c>
      <c r="E676">
        <v>0.13589999999999999</v>
      </c>
      <c r="F676">
        <v>5541188.4299999997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-0.93006993006993</v>
      </c>
      <c r="Q676">
        <f t="shared" si="995"/>
        <v>-5153692.7355944049</v>
      </c>
      <c r="R676">
        <f t="shared" si="996"/>
        <v>251411275.41802031</v>
      </c>
      <c r="S676">
        <f t="shared" si="997"/>
        <v>2514.112754180203</v>
      </c>
      <c r="T676">
        <f t="shared" si="998"/>
        <v>2.5141127541802031</v>
      </c>
    </row>
    <row r="677" spans="1:20" x14ac:dyDescent="0.25">
      <c r="A677" s="5">
        <v>43916</v>
      </c>
      <c r="B677">
        <v>0.1411</v>
      </c>
      <c r="C677">
        <v>0.14580000000000001</v>
      </c>
      <c r="D677">
        <v>0.13850000000000001</v>
      </c>
      <c r="E677">
        <v>0.1452</v>
      </c>
      <c r="F677">
        <v>5018740.32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0.83561643835615973</v>
      </c>
      <c r="Q677">
        <f t="shared" si="995"/>
        <v>4193741.9112328538</v>
      </c>
      <c r="R677">
        <f t="shared" si="996"/>
        <v>256564968.1536147</v>
      </c>
      <c r="S677">
        <f t="shared" si="997"/>
        <v>2565.649681536147</v>
      </c>
      <c r="T677">
        <f t="shared" si="998"/>
        <v>2.5656496815361471</v>
      </c>
    </row>
    <row r="678" spans="1:20" x14ac:dyDescent="0.25">
      <c r="A678" s="5">
        <v>43915</v>
      </c>
      <c r="B678">
        <v>0.14410000000000001</v>
      </c>
      <c r="C678">
        <v>0.14660000000000001</v>
      </c>
      <c r="D678">
        <v>0.1363</v>
      </c>
      <c r="E678">
        <v>0.1409</v>
      </c>
      <c r="F678">
        <v>4604347.3899999997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-0.10679611650485604</v>
      </c>
      <c r="Q678">
        <f t="shared" si="995"/>
        <v>-491726.42029126978</v>
      </c>
      <c r="R678">
        <f t="shared" si="996"/>
        <v>252371226.24238184</v>
      </c>
      <c r="S678">
        <f t="shared" si="997"/>
        <v>2523.7122624238186</v>
      </c>
      <c r="T678">
        <f t="shared" si="998"/>
        <v>2.5237122624238184</v>
      </c>
    </row>
    <row r="679" spans="1:20" x14ac:dyDescent="0.25">
      <c r="A679" s="5">
        <v>43914</v>
      </c>
      <c r="B679">
        <v>0.14319999999999999</v>
      </c>
      <c r="C679">
        <v>0.1457</v>
      </c>
      <c r="D679">
        <v>0.13730000000000001</v>
      </c>
      <c r="E679">
        <v>0.14460000000000001</v>
      </c>
      <c r="F679">
        <v>6725169.8300000001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0.73809523809524025</v>
      </c>
      <c r="Q679">
        <f t="shared" si="995"/>
        <v>4963815.8269047765</v>
      </c>
      <c r="R679">
        <f t="shared" si="996"/>
        <v>252862952.66267312</v>
      </c>
      <c r="S679">
        <f t="shared" si="997"/>
        <v>2528.6295266267311</v>
      </c>
      <c r="T679">
        <f t="shared" si="998"/>
        <v>2.5286295266267311</v>
      </c>
    </row>
    <row r="680" spans="1:20" x14ac:dyDescent="0.25">
      <c r="A680" s="5">
        <v>43913</v>
      </c>
      <c r="B680">
        <v>0.12590000000000001</v>
      </c>
      <c r="C680">
        <v>0.14399999999999999</v>
      </c>
      <c r="D680">
        <v>0.1229</v>
      </c>
      <c r="E680">
        <v>0.14319999999999999</v>
      </c>
      <c r="F680">
        <v>8994742.2100000009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0.92417061611374451</v>
      </c>
      <c r="Q680">
        <f t="shared" si="995"/>
        <v>8312676.4500000048</v>
      </c>
      <c r="R680">
        <f t="shared" si="996"/>
        <v>247899136.83576834</v>
      </c>
      <c r="S680">
        <f t="shared" si="997"/>
        <v>2478.9913683576833</v>
      </c>
      <c r="T680">
        <f t="shared" si="998"/>
        <v>2.4789913683576832</v>
      </c>
    </row>
    <row r="681" spans="1:20" x14ac:dyDescent="0.25">
      <c r="A681" s="5">
        <v>43912</v>
      </c>
      <c r="B681">
        <v>0.13850000000000001</v>
      </c>
      <c r="C681">
        <v>0.14299999999999999</v>
      </c>
      <c r="D681">
        <v>0.12509999999999999</v>
      </c>
      <c r="E681">
        <v>0.126</v>
      </c>
      <c r="F681">
        <v>8038569.5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-0.89944134078212157</v>
      </c>
      <c r="Q681">
        <f t="shared" si="995"/>
        <v>-7230221.7290502684</v>
      </c>
      <c r="R681">
        <f t="shared" si="996"/>
        <v>239586460.38576832</v>
      </c>
      <c r="S681">
        <f t="shared" si="997"/>
        <v>2395.8646038576831</v>
      </c>
      <c r="T681">
        <f t="shared" si="998"/>
        <v>2.395864603857683</v>
      </c>
    </row>
    <row r="682" spans="1:20" x14ac:dyDescent="0.25">
      <c r="A682" s="5">
        <v>43911</v>
      </c>
      <c r="B682">
        <v>0.14149999999999999</v>
      </c>
      <c r="C682">
        <v>0.1588</v>
      </c>
      <c r="D682">
        <v>0.13</v>
      </c>
      <c r="E682">
        <v>0.13850000000000001</v>
      </c>
      <c r="F682">
        <v>10409887.449999999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-0.40972222222222154</v>
      </c>
      <c r="Q682">
        <f t="shared" si="995"/>
        <v>-4265162.2190972148</v>
      </c>
      <c r="R682">
        <f t="shared" si="996"/>
        <v>246816682.1148186</v>
      </c>
      <c r="S682">
        <f t="shared" si="997"/>
        <v>2468.166821148186</v>
      </c>
      <c r="T682">
        <f t="shared" si="998"/>
        <v>2.468166821148186</v>
      </c>
    </row>
    <row r="683" spans="1:20" x14ac:dyDescent="0.25">
      <c r="A683" s="5">
        <v>43910</v>
      </c>
      <c r="B683">
        <v>0.14849999999999999</v>
      </c>
      <c r="C683">
        <v>0.16800000000000001</v>
      </c>
      <c r="D683">
        <v>0.12570000000000001</v>
      </c>
      <c r="E683">
        <v>0.1419</v>
      </c>
      <c r="F683">
        <v>21501340.309999999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-0.23404255319148981</v>
      </c>
      <c r="Q683">
        <f t="shared" si="995"/>
        <v>-5032228.5831914991</v>
      </c>
      <c r="R683">
        <f t="shared" si="996"/>
        <v>251081844.33391583</v>
      </c>
      <c r="S683">
        <f t="shared" si="997"/>
        <v>2510.8184433391584</v>
      </c>
      <c r="T683">
        <f t="shared" si="998"/>
        <v>2.5108184433391583</v>
      </c>
    </row>
    <row r="684" spans="1:20" x14ac:dyDescent="0.25">
      <c r="A684" s="5">
        <v>43909</v>
      </c>
      <c r="B684">
        <v>0.1265</v>
      </c>
      <c r="C684">
        <v>0.1588</v>
      </c>
      <c r="D684">
        <v>0.123</v>
      </c>
      <c r="E684">
        <v>0.14849999999999999</v>
      </c>
      <c r="F684">
        <v>19860744.969999999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0.42458100558659195</v>
      </c>
      <c r="Q684">
        <f t="shared" si="995"/>
        <v>8432495.0710614473</v>
      </c>
      <c r="R684">
        <f t="shared" si="996"/>
        <v>256114072.91710734</v>
      </c>
      <c r="S684">
        <f t="shared" si="997"/>
        <v>2561.1407291710734</v>
      </c>
      <c r="T684">
        <f t="shared" si="998"/>
        <v>2.5611407291710733</v>
      </c>
    </row>
    <row r="685" spans="1:20" x14ac:dyDescent="0.25">
      <c r="A685" s="5">
        <v>43908</v>
      </c>
      <c r="B685">
        <v>0.1208</v>
      </c>
      <c r="C685">
        <v>0.13</v>
      </c>
      <c r="D685">
        <v>0.1119</v>
      </c>
      <c r="E685">
        <v>0.12640000000000001</v>
      </c>
      <c r="F685">
        <v>9693043.4100000001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0.60220994475138223</v>
      </c>
      <c r="Q685">
        <f t="shared" si="995"/>
        <v>5837247.1364088496</v>
      </c>
      <c r="R685">
        <f t="shared" si="996"/>
        <v>247681577.84604588</v>
      </c>
      <c r="S685">
        <f t="shared" si="997"/>
        <v>2476.8157784604587</v>
      </c>
      <c r="T685">
        <f t="shared" si="998"/>
        <v>2.4768157784604585</v>
      </c>
    </row>
    <row r="686" spans="1:20" x14ac:dyDescent="0.25">
      <c r="A686" s="5">
        <v>43907</v>
      </c>
      <c r="B686">
        <v>0.1095</v>
      </c>
      <c r="C686">
        <v>0.12540000000000001</v>
      </c>
      <c r="D686">
        <v>0.10680000000000001</v>
      </c>
      <c r="E686">
        <v>0.1206</v>
      </c>
      <c r="F686">
        <v>15350349.51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0.48387096774193428</v>
      </c>
      <c r="Q686">
        <f t="shared" si="995"/>
        <v>7427588.4725806266</v>
      </c>
      <c r="R686">
        <f t="shared" si="996"/>
        <v>241844330.70963705</v>
      </c>
      <c r="S686">
        <f t="shared" si="997"/>
        <v>2418.4433070963705</v>
      </c>
      <c r="T686">
        <f t="shared" si="998"/>
        <v>2.4184433070963705</v>
      </c>
    </row>
    <row r="687" spans="1:20" x14ac:dyDescent="0.25">
      <c r="A687" s="5">
        <v>43906</v>
      </c>
      <c r="B687">
        <v>0.12139999999999999</v>
      </c>
      <c r="C687">
        <v>0.1217</v>
      </c>
      <c r="D687">
        <v>0.09</v>
      </c>
      <c r="E687">
        <v>0.1094</v>
      </c>
      <c r="F687">
        <v>29959331.530000001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0.22397476340693986</v>
      </c>
      <c r="Q687">
        <f t="shared" si="995"/>
        <v>6710134.1912618242</v>
      </c>
      <c r="R687">
        <f t="shared" si="996"/>
        <v>234416742.2370564</v>
      </c>
      <c r="S687">
        <f t="shared" si="997"/>
        <v>2344.1674223705641</v>
      </c>
      <c r="T687">
        <f t="shared" si="998"/>
        <v>2.344167422370564</v>
      </c>
    </row>
    <row r="688" spans="1:20" x14ac:dyDescent="0.25">
      <c r="A688" s="5">
        <v>43905</v>
      </c>
      <c r="B688">
        <v>0.124</v>
      </c>
      <c r="C688">
        <v>0.13289999999999999</v>
      </c>
      <c r="D688">
        <v>0.1177</v>
      </c>
      <c r="E688">
        <v>0.1215</v>
      </c>
      <c r="F688">
        <v>13957458.880000001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-0.5</v>
      </c>
      <c r="Q688">
        <f t="shared" si="995"/>
        <v>-6978729.4400000004</v>
      </c>
      <c r="R688">
        <f t="shared" si="996"/>
        <v>227706608.04579458</v>
      </c>
      <c r="S688">
        <f t="shared" si="997"/>
        <v>2277.0660804579456</v>
      </c>
      <c r="T688">
        <f t="shared" si="998"/>
        <v>2.2770660804579457</v>
      </c>
    </row>
    <row r="689" spans="1:20" x14ac:dyDescent="0.25">
      <c r="A689" s="5">
        <v>43904</v>
      </c>
      <c r="B689">
        <v>0.12989999999999999</v>
      </c>
      <c r="C689">
        <v>0.13109999999999999</v>
      </c>
      <c r="D689">
        <v>0.1183</v>
      </c>
      <c r="E689">
        <v>0.1244</v>
      </c>
      <c r="F689">
        <v>14653610.43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-4.6875000000000291E-2</v>
      </c>
      <c r="Q689">
        <f t="shared" si="995"/>
        <v>-686887.98890625429</v>
      </c>
      <c r="R689">
        <f t="shared" si="996"/>
        <v>234685337.48579457</v>
      </c>
      <c r="S689">
        <f t="shared" si="997"/>
        <v>2346.8533748579457</v>
      </c>
      <c r="T689">
        <f t="shared" si="998"/>
        <v>2.3468533748579459</v>
      </c>
    </row>
    <row r="690" spans="1:20" x14ac:dyDescent="0.25">
      <c r="A690" s="5">
        <v>43903</v>
      </c>
      <c r="B690">
        <v>0.1086</v>
      </c>
      <c r="C690">
        <v>0.1416</v>
      </c>
      <c r="D690">
        <v>5.3400000000000003E-2</v>
      </c>
      <c r="E690">
        <v>0.12989999999999999</v>
      </c>
      <c r="F690">
        <v>40479459.799999997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0.73469387755102</v>
      </c>
      <c r="Q690">
        <f t="shared" si="995"/>
        <v>29740011.281632636</v>
      </c>
      <c r="R690">
        <f t="shared" si="996"/>
        <v>235372225.47470084</v>
      </c>
      <c r="S690">
        <f t="shared" si="997"/>
        <v>2353.7222547470083</v>
      </c>
      <c r="T690">
        <f t="shared" si="998"/>
        <v>2.3537222547470082</v>
      </c>
    </row>
    <row r="691" spans="1:20" x14ac:dyDescent="0.25">
      <c r="A691" s="5">
        <v>43902</v>
      </c>
      <c r="B691">
        <v>0.1953</v>
      </c>
      <c r="C691">
        <v>0.19600000000000001</v>
      </c>
      <c r="D691">
        <v>0.10199999999999999</v>
      </c>
      <c r="E691">
        <v>0.1086</v>
      </c>
      <c r="F691">
        <v>35346145.560000002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-0.85957446808510618</v>
      </c>
      <c r="Q691">
        <f t="shared" si="995"/>
        <v>-30382644.26859574</v>
      </c>
      <c r="R691">
        <f t="shared" si="996"/>
        <v>205632214.19306821</v>
      </c>
      <c r="S691">
        <f t="shared" si="997"/>
        <v>2056.3221419306819</v>
      </c>
      <c r="T691">
        <f t="shared" si="998"/>
        <v>2.0563221419306821</v>
      </c>
    </row>
    <row r="692" spans="1:20" x14ac:dyDescent="0.25">
      <c r="A692" s="5">
        <v>43901</v>
      </c>
      <c r="B692">
        <v>0.19769999999999999</v>
      </c>
      <c r="C692">
        <v>0.2016</v>
      </c>
      <c r="D692">
        <v>0.1827</v>
      </c>
      <c r="E692">
        <v>0.19520000000000001</v>
      </c>
      <c r="F692">
        <v>11091229.34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0.3227513227513239</v>
      </c>
      <c r="Q692">
        <f t="shared" si="995"/>
        <v>3579708.940423293</v>
      </c>
      <c r="R692">
        <f t="shared" si="996"/>
        <v>236014858.46166393</v>
      </c>
      <c r="S692">
        <f t="shared" si="997"/>
        <v>2360.1485846166393</v>
      </c>
      <c r="T692">
        <f t="shared" si="998"/>
        <v>2.3601485846166392</v>
      </c>
    </row>
    <row r="693" spans="1:20" x14ac:dyDescent="0.25">
      <c r="A693" s="5">
        <v>43900</v>
      </c>
      <c r="B693">
        <v>0.19220000000000001</v>
      </c>
      <c r="C693">
        <v>0.2001</v>
      </c>
      <c r="D693">
        <v>0.18629999999999999</v>
      </c>
      <c r="E693">
        <v>0.1978</v>
      </c>
      <c r="F693">
        <v>10428685.42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0.6666666666666673</v>
      </c>
      <c r="Q693">
        <f t="shared" si="995"/>
        <v>6952456.9466666728</v>
      </c>
      <c r="R693">
        <f t="shared" si="996"/>
        <v>232435149.52124065</v>
      </c>
      <c r="S693">
        <f t="shared" si="997"/>
        <v>2324.3514952124065</v>
      </c>
      <c r="T693">
        <f t="shared" si="998"/>
        <v>2.3243514952124062</v>
      </c>
    </row>
    <row r="694" spans="1:20" x14ac:dyDescent="0.25">
      <c r="A694" s="5">
        <v>43899</v>
      </c>
      <c r="B694">
        <v>0.19159999999999999</v>
      </c>
      <c r="C694">
        <v>0.1991</v>
      </c>
      <c r="D694">
        <v>0.17799999999999999</v>
      </c>
      <c r="E694">
        <v>0.19189999999999999</v>
      </c>
      <c r="F694">
        <v>16895417.68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0.3175355450236958</v>
      </c>
      <c r="Q694">
        <f t="shared" si="995"/>
        <v>5364895.6614217861</v>
      </c>
      <c r="R694">
        <f t="shared" si="996"/>
        <v>225482692.57457399</v>
      </c>
      <c r="S694">
        <f t="shared" si="997"/>
        <v>2254.82692574574</v>
      </c>
      <c r="T694">
        <f t="shared" si="998"/>
        <v>2.2548269257457401</v>
      </c>
    </row>
    <row r="695" spans="1:20" x14ac:dyDescent="0.25">
      <c r="A695" s="5">
        <v>43898</v>
      </c>
      <c r="B695">
        <v>0.22270000000000001</v>
      </c>
      <c r="C695">
        <v>0.22270000000000001</v>
      </c>
      <c r="D695">
        <v>0.188</v>
      </c>
      <c r="E695">
        <v>0.19159999999999999</v>
      </c>
      <c r="F695">
        <v>14762642.289999999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-0.79250720461095148</v>
      </c>
      <c r="Q695">
        <f t="shared" si="995"/>
        <v>-11699500.373919314</v>
      </c>
      <c r="R695">
        <f t="shared" si="996"/>
        <v>220117796.91315222</v>
      </c>
      <c r="S695">
        <f t="shared" si="997"/>
        <v>2201.1779691315223</v>
      </c>
      <c r="T695">
        <f t="shared" si="998"/>
        <v>2.2011779691315225</v>
      </c>
    </row>
    <row r="696" spans="1:20" x14ac:dyDescent="0.25">
      <c r="A696" s="5">
        <v>43897</v>
      </c>
      <c r="B696">
        <v>0.23280000000000001</v>
      </c>
      <c r="C696">
        <v>0.23719999999999999</v>
      </c>
      <c r="D696">
        <v>0.217</v>
      </c>
      <c r="E696">
        <v>0.2228</v>
      </c>
      <c r="F696">
        <v>7424288.0199999996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-0.42574257425742568</v>
      </c>
      <c r="Q696">
        <f t="shared" si="995"/>
        <v>-3160835.4936633655</v>
      </c>
      <c r="R696">
        <f t="shared" si="996"/>
        <v>231817297.28707153</v>
      </c>
      <c r="S696">
        <f t="shared" si="997"/>
        <v>2318.1729728707151</v>
      </c>
      <c r="T696">
        <f t="shared" si="998"/>
        <v>2.3181729728707152</v>
      </c>
    </row>
    <row r="697" spans="1:20" x14ac:dyDescent="0.25">
      <c r="A697" s="5">
        <v>43896</v>
      </c>
      <c r="B697">
        <v>0.22739999999999999</v>
      </c>
      <c r="C697">
        <v>0.23380000000000001</v>
      </c>
      <c r="D697">
        <v>0.22420000000000001</v>
      </c>
      <c r="E697">
        <v>0.2326</v>
      </c>
      <c r="F697">
        <v>4698688.58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0.74999999999999856</v>
      </c>
      <c r="Q697">
        <f t="shared" si="995"/>
        <v>3524016.4349999931</v>
      </c>
      <c r="R697">
        <f t="shared" si="996"/>
        <v>234978132.7807349</v>
      </c>
      <c r="S697">
        <f t="shared" si="997"/>
        <v>2349.781327807349</v>
      </c>
      <c r="T697">
        <f t="shared" si="998"/>
        <v>2.3497813278073489</v>
      </c>
    </row>
    <row r="698" spans="1:20" x14ac:dyDescent="0.25">
      <c r="A698" s="5">
        <v>43895</v>
      </c>
      <c r="B698">
        <v>0.2225</v>
      </c>
      <c r="C698">
        <v>0.23719999999999999</v>
      </c>
      <c r="D698">
        <v>0.2225</v>
      </c>
      <c r="E698">
        <v>0.22750000000000001</v>
      </c>
      <c r="F698">
        <v>9805645.1699999999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-0.31972789115646155</v>
      </c>
      <c r="Q698">
        <f t="shared" si="995"/>
        <v>-3135138.2516326429</v>
      </c>
      <c r="R698">
        <f t="shared" si="996"/>
        <v>231454116.34573489</v>
      </c>
      <c r="S698">
        <f t="shared" si="997"/>
        <v>2314.5411634573488</v>
      </c>
      <c r="T698">
        <f t="shared" si="998"/>
        <v>2.3145411634573487</v>
      </c>
    </row>
    <row r="699" spans="1:20" x14ac:dyDescent="0.25">
      <c r="A699" s="5">
        <v>43894</v>
      </c>
      <c r="B699">
        <v>0.2235</v>
      </c>
      <c r="C699">
        <v>0.2258</v>
      </c>
      <c r="D699">
        <v>0.217</v>
      </c>
      <c r="E699">
        <v>0.22220000000000001</v>
      </c>
      <c r="F699">
        <v>4434722.92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0.18181818181818382</v>
      </c>
      <c r="Q699">
        <f t="shared" si="995"/>
        <v>806313.25818182703</v>
      </c>
      <c r="R699">
        <f t="shared" si="996"/>
        <v>234589254.59736753</v>
      </c>
      <c r="S699">
        <f t="shared" si="997"/>
        <v>2345.8925459736752</v>
      </c>
      <c r="T699">
        <f t="shared" si="998"/>
        <v>2.3458925459736752</v>
      </c>
    </row>
    <row r="700" spans="1:20" x14ac:dyDescent="0.25">
      <c r="A700" s="5">
        <v>43893</v>
      </c>
      <c r="B700">
        <v>0.22420000000000001</v>
      </c>
      <c r="C700">
        <v>0.22800000000000001</v>
      </c>
      <c r="D700">
        <v>0.21829999999999999</v>
      </c>
      <c r="E700">
        <v>0.22359999999999999</v>
      </c>
      <c r="F700">
        <v>6352351.5199999996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9.2783505154637402E-2</v>
      </c>
      <c r="Q700">
        <f t="shared" si="995"/>
        <v>589393.43999998865</v>
      </c>
      <c r="R700">
        <f t="shared" si="996"/>
        <v>233782941.33918568</v>
      </c>
      <c r="S700">
        <f t="shared" si="997"/>
        <v>2337.8294133918566</v>
      </c>
      <c r="T700">
        <f t="shared" si="998"/>
        <v>2.3378294133918565</v>
      </c>
    </row>
    <row r="701" spans="1:20" x14ac:dyDescent="0.25">
      <c r="A701" s="5">
        <v>43892</v>
      </c>
      <c r="B701">
        <v>0.2099</v>
      </c>
      <c r="C701">
        <v>0.2263</v>
      </c>
      <c r="D701">
        <v>0.20849999999999999</v>
      </c>
      <c r="E701">
        <v>0.22439999999999999</v>
      </c>
      <c r="F701">
        <v>5646293.2699999996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0.78651685393258297</v>
      </c>
      <c r="Q701">
        <f t="shared" si="995"/>
        <v>4440904.8191011157</v>
      </c>
      <c r="R701">
        <f t="shared" si="996"/>
        <v>233193547.89918569</v>
      </c>
      <c r="S701">
        <f t="shared" si="997"/>
        <v>2331.9354789918571</v>
      </c>
      <c r="T701">
        <f t="shared" si="998"/>
        <v>2.3319354789918569</v>
      </c>
    </row>
    <row r="702" spans="1:20" x14ac:dyDescent="0.25">
      <c r="A702" s="5">
        <v>43891</v>
      </c>
      <c r="B702">
        <v>0.21260000000000001</v>
      </c>
      <c r="C702">
        <v>0.2215</v>
      </c>
      <c r="D702">
        <v>0.2059</v>
      </c>
      <c r="E702">
        <v>0.21060000000000001</v>
      </c>
      <c r="F702">
        <v>4946694.67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-0.3974358974358963</v>
      </c>
      <c r="Q702">
        <f t="shared" si="995"/>
        <v>-1965994.0355128148</v>
      </c>
      <c r="R702">
        <f t="shared" si="996"/>
        <v>228752643.08008456</v>
      </c>
      <c r="S702">
        <f t="shared" si="997"/>
        <v>2287.5264308008454</v>
      </c>
      <c r="T702">
        <f t="shared" si="998"/>
        <v>2.2875264308008454</v>
      </c>
    </row>
    <row r="703" spans="1:20" x14ac:dyDescent="0.25">
      <c r="A703" s="5">
        <v>43890</v>
      </c>
      <c r="B703">
        <v>0.2152</v>
      </c>
      <c r="C703">
        <v>0.2213</v>
      </c>
      <c r="D703">
        <v>0.21129999999999999</v>
      </c>
      <c r="E703">
        <v>0.2122</v>
      </c>
      <c r="F703">
        <v>6370780.5700000003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-0.81999999999999773</v>
      </c>
      <c r="Q703">
        <f t="shared" si="995"/>
        <v>-5224040.0673999861</v>
      </c>
      <c r="R703">
        <f t="shared" si="996"/>
        <v>230718637.11559737</v>
      </c>
      <c r="S703">
        <f t="shared" si="997"/>
        <v>2307.1863711559736</v>
      </c>
      <c r="T703">
        <f t="shared" si="998"/>
        <v>2.3071863711559737</v>
      </c>
    </row>
    <row r="704" spans="1:20" x14ac:dyDescent="0.25">
      <c r="A704" s="5">
        <v>43889</v>
      </c>
      <c r="B704">
        <v>0.21540000000000001</v>
      </c>
      <c r="C704">
        <v>0.22070000000000001</v>
      </c>
      <c r="D704">
        <v>0.2031</v>
      </c>
      <c r="E704">
        <v>0.21609999999999999</v>
      </c>
      <c r="F704">
        <v>9045839.0099999998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0.47727272727272507</v>
      </c>
      <c r="Q704">
        <f t="shared" si="995"/>
        <v>4317332.2547727069</v>
      </c>
      <c r="R704">
        <f t="shared" si="996"/>
        <v>235942677.18299735</v>
      </c>
      <c r="S704">
        <f t="shared" si="997"/>
        <v>2359.4267718299734</v>
      </c>
      <c r="T704">
        <f t="shared" si="998"/>
        <v>2.3594267718299733</v>
      </c>
    </row>
    <row r="705" spans="1:20" x14ac:dyDescent="0.25">
      <c r="A705" s="5">
        <v>43888</v>
      </c>
      <c r="B705">
        <v>0.2152</v>
      </c>
      <c r="C705">
        <v>0.23</v>
      </c>
      <c r="D705">
        <v>0.20250000000000001</v>
      </c>
      <c r="E705">
        <v>0.21510000000000001</v>
      </c>
      <c r="F705">
        <v>16245639.550000001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-8.3636363636363523E-2</v>
      </c>
      <c r="Q705">
        <f t="shared" si="995"/>
        <v>-1358726.2169090891</v>
      </c>
      <c r="R705">
        <f t="shared" si="996"/>
        <v>231625344.92822465</v>
      </c>
      <c r="S705">
        <f t="shared" si="997"/>
        <v>2316.2534492822465</v>
      </c>
      <c r="T705">
        <f t="shared" si="998"/>
        <v>2.3162534492822466</v>
      </c>
    </row>
    <row r="706" spans="1:20" x14ac:dyDescent="0.25">
      <c r="A706" s="5">
        <v>43887</v>
      </c>
      <c r="B706">
        <v>0.24740000000000001</v>
      </c>
      <c r="C706">
        <v>0.24970000000000001</v>
      </c>
      <c r="D706">
        <v>0.20749999999999999</v>
      </c>
      <c r="E706">
        <v>0.21510000000000001</v>
      </c>
      <c r="F706">
        <v>18899453.309999999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-0.63981042654028342</v>
      </c>
      <c r="Q706">
        <f t="shared" si="995"/>
        <v>-12092067.283649269</v>
      </c>
      <c r="R706">
        <f t="shared" si="996"/>
        <v>232984071.14513373</v>
      </c>
      <c r="S706">
        <f t="shared" si="997"/>
        <v>2329.8407114513375</v>
      </c>
      <c r="T706">
        <f t="shared" si="998"/>
        <v>2.3298407114513373</v>
      </c>
    </row>
    <row r="707" spans="1:20" x14ac:dyDescent="0.25">
      <c r="A707" s="5">
        <v>43886</v>
      </c>
      <c r="B707">
        <v>0.26200000000000001</v>
      </c>
      <c r="C707">
        <v>0.26300000000000001</v>
      </c>
      <c r="D707">
        <v>0.24510000000000001</v>
      </c>
      <c r="E707">
        <v>0.24759999999999999</v>
      </c>
      <c r="F707">
        <v>7506064.2800000003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-0.72067039106145536</v>
      </c>
      <c r="Q707">
        <f t="shared" si="995"/>
        <v>-5409398.2800000217</v>
      </c>
      <c r="R707">
        <f t="shared" si="996"/>
        <v>245076138.428783</v>
      </c>
      <c r="S707">
        <f t="shared" si="997"/>
        <v>2450.76138428783</v>
      </c>
      <c r="T707">
        <f t="shared" si="998"/>
        <v>2.45076138428783</v>
      </c>
    </row>
    <row r="708" spans="1:20" x14ac:dyDescent="0.25">
      <c r="A708" s="5">
        <v>43885</v>
      </c>
      <c r="B708">
        <v>0.2777</v>
      </c>
      <c r="C708">
        <v>0.28000000000000003</v>
      </c>
      <c r="D708">
        <v>0.2525</v>
      </c>
      <c r="E708">
        <v>0.2621</v>
      </c>
      <c r="F708">
        <v>6873810.2400000002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-0.30181818181818265</v>
      </c>
      <c r="Q708">
        <f t="shared" si="995"/>
        <v>-2074640.9088000057</v>
      </c>
      <c r="R708">
        <f t="shared" si="996"/>
        <v>250485536.70878303</v>
      </c>
      <c r="S708">
        <f t="shared" si="997"/>
        <v>2504.8553670878305</v>
      </c>
      <c r="T708">
        <f t="shared" si="998"/>
        <v>2.5048553670878304</v>
      </c>
    </row>
    <row r="709" spans="1:20" x14ac:dyDescent="0.25">
      <c r="A709" s="5">
        <v>43884</v>
      </c>
      <c r="B709">
        <v>0.27039999999999997</v>
      </c>
      <c r="C709">
        <v>0.28089999999999998</v>
      </c>
      <c r="D709">
        <v>0.26979999999999998</v>
      </c>
      <c r="E709">
        <v>0.2777</v>
      </c>
      <c r="F709">
        <v>5842411.1799999997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0.42342342342342687</v>
      </c>
      <c r="Q709">
        <f t="shared" si="995"/>
        <v>2473813.7428829027</v>
      </c>
      <c r="R709">
        <f t="shared" si="996"/>
        <v>252560177.61758304</v>
      </c>
      <c r="S709">
        <f t="shared" si="997"/>
        <v>2525.6017761758303</v>
      </c>
      <c r="T709">
        <f t="shared" si="998"/>
        <v>2.5256017761758303</v>
      </c>
    </row>
    <row r="710" spans="1:20" x14ac:dyDescent="0.25">
      <c r="A710" s="5">
        <v>43883</v>
      </c>
      <c r="B710">
        <v>0.26769999999999999</v>
      </c>
      <c r="C710">
        <v>0.27339999999999998</v>
      </c>
      <c r="D710">
        <v>0.25929999999999997</v>
      </c>
      <c r="E710">
        <v>0.27039999999999997</v>
      </c>
      <c r="F710">
        <v>5058904.74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0.5744680851063827</v>
      </c>
      <c r="Q710">
        <f t="shared" ref="Q710:Q766" si="1000">F710*P710</f>
        <v>2906179.3187234029</v>
      </c>
      <c r="R710">
        <f t="shared" ref="R710:R766" si="1001">R711+Q710</f>
        <v>250086363.87470013</v>
      </c>
      <c r="S710">
        <f t="shared" ref="S710:S766" si="1002">R710/100000</f>
        <v>2500.8636387470015</v>
      </c>
      <c r="T710">
        <f t="shared" ref="T710:T766" si="1003">S710/1000</f>
        <v>2.5008636387470013</v>
      </c>
    </row>
    <row r="711" spans="1:20" x14ac:dyDescent="0.25">
      <c r="A711" s="5">
        <v>43882</v>
      </c>
      <c r="B711">
        <v>0.26469999999999999</v>
      </c>
      <c r="C711">
        <v>0.27500000000000002</v>
      </c>
      <c r="D711">
        <v>0.2626</v>
      </c>
      <c r="E711">
        <v>0.2681</v>
      </c>
      <c r="F711">
        <v>6832288.6200000001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-0.1129032258064524</v>
      </c>
      <c r="Q711">
        <f t="shared" si="1000"/>
        <v>-771387.42483871512</v>
      </c>
      <c r="R711">
        <f t="shared" si="1001"/>
        <v>247180184.55597672</v>
      </c>
      <c r="S711">
        <f t="shared" si="1002"/>
        <v>2471.8018455597671</v>
      </c>
      <c r="T711">
        <f t="shared" si="1003"/>
        <v>2.4718018455597672</v>
      </c>
    </row>
    <row r="712" spans="1:20" x14ac:dyDescent="0.25">
      <c r="A712" s="5">
        <v>43881</v>
      </c>
      <c r="B712">
        <v>0.2666</v>
      </c>
      <c r="C712">
        <v>0.27139999999999997</v>
      </c>
      <c r="D712">
        <v>0.25140000000000001</v>
      </c>
      <c r="E712">
        <v>0.2656</v>
      </c>
      <c r="F712">
        <v>8869986.2400000002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0.42000000000000171</v>
      </c>
      <c r="Q712">
        <f t="shared" si="1000"/>
        <v>3725394.2208000151</v>
      </c>
      <c r="R712">
        <f t="shared" si="1001"/>
        <v>247951571.98081544</v>
      </c>
      <c r="S712">
        <f t="shared" si="1002"/>
        <v>2479.5157198081542</v>
      </c>
      <c r="T712">
        <f t="shared" si="1003"/>
        <v>2.4795157198081541</v>
      </c>
    </row>
    <row r="713" spans="1:20" x14ac:dyDescent="0.25">
      <c r="A713" s="5">
        <v>43880</v>
      </c>
      <c r="B713">
        <v>0.2903</v>
      </c>
      <c r="C713">
        <v>0.2949</v>
      </c>
      <c r="D713">
        <v>0.25659999999999999</v>
      </c>
      <c r="E713">
        <v>0.26719999999999999</v>
      </c>
      <c r="F713">
        <v>11091407.26</v>
      </c>
      <c r="G713">
        <v>0</v>
      </c>
      <c r="L713" t="s">
        <v>8</v>
      </c>
      <c r="M713" t="s">
        <v>7</v>
      </c>
      <c r="N713" t="s">
        <v>7</v>
      </c>
      <c r="P713">
        <f t="shared" si="999"/>
        <v>-0.44647519582245443</v>
      </c>
      <c r="Q713">
        <f t="shared" si="1000"/>
        <v>-4952038.2283550929</v>
      </c>
      <c r="R713">
        <f t="shared" si="1001"/>
        <v>244226177.76001543</v>
      </c>
      <c r="S713">
        <f t="shared" si="1002"/>
        <v>2442.2617776001543</v>
      </c>
      <c r="T713">
        <f t="shared" si="1003"/>
        <v>2.4422617776001543</v>
      </c>
    </row>
    <row r="714" spans="1:20" x14ac:dyDescent="0.25">
      <c r="A714" s="5">
        <v>43879</v>
      </c>
      <c r="B714">
        <v>0.28289999999999998</v>
      </c>
      <c r="C714">
        <v>0.29249999999999998</v>
      </c>
      <c r="D714">
        <v>0.26600000000000001</v>
      </c>
      <c r="E714">
        <v>0.29049999999999998</v>
      </c>
      <c r="F714">
        <v>15273539.52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0.84905660377358461</v>
      </c>
      <c r="Q714">
        <f t="shared" si="1000"/>
        <v>12968099.592452826</v>
      </c>
      <c r="R714">
        <f t="shared" si="1001"/>
        <v>249178215.98837051</v>
      </c>
      <c r="S714">
        <f t="shared" si="1002"/>
        <v>2491.7821598837049</v>
      </c>
      <c r="T714">
        <f t="shared" si="1003"/>
        <v>2.4917821598837051</v>
      </c>
    </row>
    <row r="715" spans="1:20" x14ac:dyDescent="0.25">
      <c r="A715" s="5">
        <v>43878</v>
      </c>
      <c r="B715">
        <v>0.2772</v>
      </c>
      <c r="C715">
        <v>0.28370000000000001</v>
      </c>
      <c r="D715">
        <v>0.25679999999999997</v>
      </c>
      <c r="E715">
        <v>0.28339999999999999</v>
      </c>
      <c r="F715">
        <v>18202147.48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0.97769516728624373</v>
      </c>
      <c r="Q715">
        <f t="shared" si="1000"/>
        <v>17796151.625427481</v>
      </c>
      <c r="R715">
        <f t="shared" si="1001"/>
        <v>236210116.39591768</v>
      </c>
      <c r="S715">
        <f t="shared" si="1002"/>
        <v>2362.101163959177</v>
      </c>
      <c r="T715">
        <f t="shared" si="1003"/>
        <v>2.3621011639591769</v>
      </c>
    </row>
    <row r="716" spans="1:20" x14ac:dyDescent="0.25">
      <c r="A716" s="5">
        <v>43877</v>
      </c>
      <c r="B716">
        <v>0.2883</v>
      </c>
      <c r="C716">
        <v>0.2969</v>
      </c>
      <c r="D716">
        <v>0.26</v>
      </c>
      <c r="E716">
        <v>0.27739999999999998</v>
      </c>
      <c r="F716">
        <v>20147749.579999998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-5.6910569105692331E-2</v>
      </c>
      <c r="Q716">
        <f t="shared" si="1000"/>
        <v>-1146619.8947967736</v>
      </c>
      <c r="R716">
        <f t="shared" si="1001"/>
        <v>218413964.7704902</v>
      </c>
      <c r="S716">
        <f t="shared" si="1002"/>
        <v>2184.139647704902</v>
      </c>
      <c r="T716">
        <f t="shared" si="1003"/>
        <v>2.1841396477049022</v>
      </c>
    </row>
    <row r="717" spans="1:20" x14ac:dyDescent="0.25">
      <c r="A717" s="5">
        <v>43876</v>
      </c>
      <c r="B717">
        <v>0.3231</v>
      </c>
      <c r="C717">
        <v>0.32500000000000001</v>
      </c>
      <c r="D717">
        <v>0.27710000000000001</v>
      </c>
      <c r="E717">
        <v>0.2883</v>
      </c>
      <c r="F717">
        <v>20625587.219999999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-0.53235908141962474</v>
      </c>
      <c r="Q717">
        <f t="shared" si="1000"/>
        <v>-10980218.666179551</v>
      </c>
      <c r="R717">
        <f t="shared" si="1001"/>
        <v>219560584.66528696</v>
      </c>
      <c r="S717">
        <f t="shared" si="1002"/>
        <v>2195.6058466528698</v>
      </c>
      <c r="T717">
        <f t="shared" si="1003"/>
        <v>2.1956058466528696</v>
      </c>
    </row>
    <row r="718" spans="1:20" x14ac:dyDescent="0.25">
      <c r="A718" s="5">
        <v>43875</v>
      </c>
      <c r="B718">
        <v>0.32229999999999998</v>
      </c>
      <c r="C718">
        <v>0.32679999999999998</v>
      </c>
      <c r="D718">
        <v>0.31</v>
      </c>
      <c r="E718">
        <v>0.32319999999999999</v>
      </c>
      <c r="F718">
        <v>22777718.940000001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0.57142857142857195</v>
      </c>
      <c r="Q718">
        <f t="shared" si="1000"/>
        <v>13015839.394285727</v>
      </c>
      <c r="R718">
        <f t="shared" si="1001"/>
        <v>230540803.3314665</v>
      </c>
      <c r="S718">
        <f t="shared" si="1002"/>
        <v>2305.4080333146649</v>
      </c>
      <c r="T718">
        <f t="shared" si="1003"/>
        <v>2.3054080333146647</v>
      </c>
    </row>
    <row r="719" spans="1:20" x14ac:dyDescent="0.25">
      <c r="A719" s="5">
        <v>43874</v>
      </c>
      <c r="B719">
        <v>0.3327</v>
      </c>
      <c r="C719">
        <v>0.34749999999999998</v>
      </c>
      <c r="D719">
        <v>0.31</v>
      </c>
      <c r="E719">
        <v>0.32240000000000002</v>
      </c>
      <c r="F719">
        <v>33267115.079999998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-0.33866666666666512</v>
      </c>
      <c r="Q719">
        <f t="shared" si="1000"/>
        <v>-11266462.973759947</v>
      </c>
      <c r="R719">
        <f t="shared" si="1001"/>
        <v>217524963.93718076</v>
      </c>
      <c r="S719">
        <f t="shared" si="1002"/>
        <v>2175.2496393718075</v>
      </c>
      <c r="T719">
        <f t="shared" si="1003"/>
        <v>2.1752496393718075</v>
      </c>
    </row>
    <row r="720" spans="1:20" x14ac:dyDescent="0.25">
      <c r="A720" s="5">
        <v>43873</v>
      </c>
      <c r="B720">
        <v>0.33210000000000001</v>
      </c>
      <c r="C720">
        <v>0.35449999999999998</v>
      </c>
      <c r="D720">
        <v>0.32879999999999998</v>
      </c>
      <c r="E720">
        <v>0.3327</v>
      </c>
      <c r="F720">
        <v>33139841.84</v>
      </c>
      <c r="G720">
        <v>0</v>
      </c>
      <c r="L720" t="s">
        <v>8</v>
      </c>
      <c r="M720" t="s">
        <v>7</v>
      </c>
      <c r="N720" t="s">
        <v>8</v>
      </c>
      <c r="P720">
        <f t="shared" si="999"/>
        <v>-0.69649805447470703</v>
      </c>
      <c r="Q720">
        <f t="shared" si="1000"/>
        <v>-23081835.367159493</v>
      </c>
      <c r="R720">
        <f t="shared" si="1001"/>
        <v>228791426.91094071</v>
      </c>
      <c r="S720">
        <f t="shared" si="1002"/>
        <v>2287.9142691094071</v>
      </c>
      <c r="T720">
        <f t="shared" si="1003"/>
        <v>2.287914269109407</v>
      </c>
    </row>
    <row r="721" spans="1:20" x14ac:dyDescent="0.25">
      <c r="A721" s="5">
        <v>43872</v>
      </c>
      <c r="B721">
        <v>0.3175</v>
      </c>
      <c r="C721">
        <v>0.33979999999999999</v>
      </c>
      <c r="D721">
        <v>0.30790000000000001</v>
      </c>
      <c r="E721">
        <v>0.3322</v>
      </c>
      <c r="F721">
        <v>25131232.91</v>
      </c>
      <c r="G721">
        <v>0</v>
      </c>
      <c r="L721" t="s">
        <v>8</v>
      </c>
      <c r="M721" t="s">
        <v>7</v>
      </c>
      <c r="N721" t="s">
        <v>8</v>
      </c>
      <c r="P721">
        <f t="shared" si="999"/>
        <v>0.52351097178683392</v>
      </c>
      <c r="Q721">
        <f t="shared" si="1000"/>
        <v>13156476.162915362</v>
      </c>
      <c r="R721">
        <f t="shared" si="1001"/>
        <v>251873262.27810019</v>
      </c>
      <c r="S721">
        <f t="shared" si="1002"/>
        <v>2518.7326227810017</v>
      </c>
      <c r="T721">
        <f t="shared" si="1003"/>
        <v>2.5187326227810019</v>
      </c>
    </row>
    <row r="722" spans="1:20" x14ac:dyDescent="0.25">
      <c r="A722" s="5">
        <v>43871</v>
      </c>
      <c r="B722">
        <v>0.32240000000000002</v>
      </c>
      <c r="C722">
        <v>0.33200000000000002</v>
      </c>
      <c r="D722">
        <v>0.30130000000000001</v>
      </c>
      <c r="E722">
        <v>0.31780000000000003</v>
      </c>
      <c r="F722">
        <v>15832155.09</v>
      </c>
      <c r="G722">
        <v>0</v>
      </c>
      <c r="L722" t="s">
        <v>8</v>
      </c>
      <c r="M722" t="s">
        <v>7</v>
      </c>
      <c r="N722" t="s">
        <v>8</v>
      </c>
      <c r="P722">
        <f t="shared" si="999"/>
        <v>7.4918566775245082E-2</v>
      </c>
      <c r="Q722">
        <f t="shared" si="1000"/>
        <v>1186122.3683062014</v>
      </c>
      <c r="R722">
        <f t="shared" si="1001"/>
        <v>238716786.11518484</v>
      </c>
      <c r="S722">
        <f t="shared" si="1002"/>
        <v>2387.1678611518482</v>
      </c>
      <c r="T722">
        <f t="shared" si="1003"/>
        <v>2.3871678611518483</v>
      </c>
    </row>
    <row r="723" spans="1:20" x14ac:dyDescent="0.25">
      <c r="A723" s="5">
        <v>43870</v>
      </c>
      <c r="B723">
        <v>0.30730000000000002</v>
      </c>
      <c r="C723">
        <v>0.32379999999999998</v>
      </c>
      <c r="D723">
        <v>0.307</v>
      </c>
      <c r="E723">
        <v>0.3226</v>
      </c>
      <c r="F723">
        <v>13159366.08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0.85714285714285954</v>
      </c>
      <c r="Q723">
        <f t="shared" si="1000"/>
        <v>11279456.640000032</v>
      </c>
      <c r="R723">
        <f t="shared" si="1001"/>
        <v>237530663.74687865</v>
      </c>
      <c r="S723">
        <f t="shared" si="1002"/>
        <v>2375.3066374687864</v>
      </c>
      <c r="T723">
        <f t="shared" si="1003"/>
        <v>2.3753066374687863</v>
      </c>
    </row>
    <row r="724" spans="1:20" x14ac:dyDescent="0.25">
      <c r="A724" s="5">
        <v>43869</v>
      </c>
      <c r="B724">
        <v>0.32100000000000001</v>
      </c>
      <c r="C724">
        <v>0.32190000000000002</v>
      </c>
      <c r="D724">
        <v>0.30009999999999998</v>
      </c>
      <c r="E724">
        <v>0.30730000000000002</v>
      </c>
      <c r="F724">
        <v>12209460.109999999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-0.3394495412844013</v>
      </c>
      <c r="Q724">
        <f t="shared" si="1000"/>
        <v>-4144495.6336696958</v>
      </c>
      <c r="R724">
        <f t="shared" si="1001"/>
        <v>226251207.10687861</v>
      </c>
      <c r="S724">
        <f t="shared" si="1002"/>
        <v>2262.5120710687861</v>
      </c>
      <c r="T724">
        <f t="shared" si="1003"/>
        <v>2.262512071068786</v>
      </c>
    </row>
    <row r="725" spans="1:20" x14ac:dyDescent="0.25">
      <c r="A725" s="5">
        <v>43868</v>
      </c>
      <c r="B725">
        <v>0.33090000000000003</v>
      </c>
      <c r="C725">
        <v>0.33289999999999997</v>
      </c>
      <c r="D725">
        <v>0.31850000000000001</v>
      </c>
      <c r="E725">
        <v>0.32090000000000002</v>
      </c>
      <c r="F725">
        <v>11003482.24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-0.66666666666666408</v>
      </c>
      <c r="Q725">
        <f t="shared" si="1000"/>
        <v>-7335654.8266666383</v>
      </c>
      <c r="R725">
        <f t="shared" si="1001"/>
        <v>230395702.74054831</v>
      </c>
      <c r="S725">
        <f t="shared" si="1002"/>
        <v>2303.9570274054831</v>
      </c>
      <c r="T725">
        <f t="shared" si="1003"/>
        <v>2.3039570274054832</v>
      </c>
    </row>
    <row r="726" spans="1:20" x14ac:dyDescent="0.25">
      <c r="A726" s="5">
        <v>43867</v>
      </c>
      <c r="B726">
        <v>0.32669999999999999</v>
      </c>
      <c r="C726">
        <v>0.34699999999999998</v>
      </c>
      <c r="D726">
        <v>0.32</v>
      </c>
      <c r="E726">
        <v>0.33090000000000003</v>
      </c>
      <c r="F726">
        <v>16887497.84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-0.19259259259259012</v>
      </c>
      <c r="Q726">
        <f t="shared" si="1000"/>
        <v>-3252406.9914073655</v>
      </c>
      <c r="R726">
        <f t="shared" si="1001"/>
        <v>237731357.56721494</v>
      </c>
      <c r="S726">
        <f t="shared" si="1002"/>
        <v>2377.3135756721495</v>
      </c>
      <c r="T726">
        <f t="shared" si="1003"/>
        <v>2.3773135756721495</v>
      </c>
    </row>
    <row r="727" spans="1:20" x14ac:dyDescent="0.25">
      <c r="A727" s="5">
        <v>43866</v>
      </c>
      <c r="B727">
        <v>0.33250000000000002</v>
      </c>
      <c r="C727">
        <v>0.34150000000000003</v>
      </c>
      <c r="D727">
        <v>0.32140000000000002</v>
      </c>
      <c r="E727">
        <v>0.32669999999999999</v>
      </c>
      <c r="F727">
        <v>15394984.720000001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-0.47263681592040102</v>
      </c>
      <c r="Q727">
        <f t="shared" si="1000"/>
        <v>-7276236.5592040271</v>
      </c>
      <c r="R727">
        <f t="shared" si="1001"/>
        <v>240983764.5586223</v>
      </c>
      <c r="S727">
        <f t="shared" si="1002"/>
        <v>2409.8376455862231</v>
      </c>
      <c r="T727">
        <f t="shared" si="1003"/>
        <v>2.4098376455862232</v>
      </c>
    </row>
    <row r="728" spans="1:20" x14ac:dyDescent="0.25">
      <c r="A728" s="5">
        <v>43865</v>
      </c>
      <c r="B728">
        <v>0.33610000000000001</v>
      </c>
      <c r="C728">
        <v>0.34499999999999997</v>
      </c>
      <c r="D728">
        <v>0.315</v>
      </c>
      <c r="E728">
        <v>0.33189999999999997</v>
      </c>
      <c r="F728">
        <v>19691749.629999999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0.12666666666666579</v>
      </c>
      <c r="Q728">
        <f t="shared" si="1000"/>
        <v>2494288.2864666493</v>
      </c>
      <c r="R728">
        <f t="shared" si="1001"/>
        <v>248260001.11782631</v>
      </c>
      <c r="S728">
        <f t="shared" si="1002"/>
        <v>2482.6000111782632</v>
      </c>
      <c r="T728">
        <f t="shared" si="1003"/>
        <v>2.4826000111782633</v>
      </c>
    </row>
    <row r="729" spans="1:20" x14ac:dyDescent="0.25">
      <c r="A729" s="5">
        <v>43864</v>
      </c>
      <c r="B729">
        <v>0.30790000000000001</v>
      </c>
      <c r="C729">
        <v>0.37</v>
      </c>
      <c r="D729">
        <v>0.30649999999999999</v>
      </c>
      <c r="E729">
        <v>0.33629999999999999</v>
      </c>
      <c r="F729">
        <v>33771282.93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-6.1417322834645897E-2</v>
      </c>
      <c r="Q729">
        <f t="shared" si="1000"/>
        <v>-2074141.7862519762</v>
      </c>
      <c r="R729">
        <f t="shared" si="1001"/>
        <v>245765712.83135965</v>
      </c>
      <c r="S729">
        <f t="shared" si="1002"/>
        <v>2457.6571283135963</v>
      </c>
      <c r="T729">
        <f t="shared" si="1003"/>
        <v>2.4576571283135964</v>
      </c>
    </row>
    <row r="730" spans="1:20" x14ac:dyDescent="0.25">
      <c r="A730" s="5">
        <v>43863</v>
      </c>
      <c r="B730">
        <v>0.30590000000000001</v>
      </c>
      <c r="C730">
        <v>0.32</v>
      </c>
      <c r="D730">
        <v>0.29330000000000001</v>
      </c>
      <c r="E730">
        <v>0.30830000000000002</v>
      </c>
      <c r="F730">
        <v>10629266.09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0.12359550561797847</v>
      </c>
      <c r="Q730">
        <f t="shared" si="1000"/>
        <v>1313729.5167415831</v>
      </c>
      <c r="R730">
        <f t="shared" si="1001"/>
        <v>247839854.61761162</v>
      </c>
      <c r="S730">
        <f t="shared" si="1002"/>
        <v>2478.3985461761163</v>
      </c>
      <c r="T730">
        <f t="shared" si="1003"/>
        <v>2.4783985461761162</v>
      </c>
    </row>
    <row r="731" spans="1:20" x14ac:dyDescent="0.25">
      <c r="A731" s="5">
        <v>43862</v>
      </c>
      <c r="B731">
        <v>0.2949</v>
      </c>
      <c r="C731">
        <v>0.30620000000000003</v>
      </c>
      <c r="D731">
        <v>0.28939999999999999</v>
      </c>
      <c r="E731">
        <v>0.30590000000000001</v>
      </c>
      <c r="F731">
        <v>5444130.4699999997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0.96428571428571164</v>
      </c>
      <c r="Q731">
        <f t="shared" si="1000"/>
        <v>5249697.2389285564</v>
      </c>
      <c r="R731">
        <f t="shared" si="1001"/>
        <v>246526125.10087004</v>
      </c>
      <c r="S731">
        <f t="shared" si="1002"/>
        <v>2465.2612510087006</v>
      </c>
      <c r="T731">
        <f t="shared" si="1003"/>
        <v>2.4652612510087004</v>
      </c>
    </row>
    <row r="732" spans="1:20" x14ac:dyDescent="0.25">
      <c r="A732" s="5">
        <v>43861</v>
      </c>
      <c r="B732">
        <v>0.29399999999999998</v>
      </c>
      <c r="C732">
        <v>0.29699999999999999</v>
      </c>
      <c r="D732">
        <v>0.28149999999999997</v>
      </c>
      <c r="E732">
        <v>0.29420000000000002</v>
      </c>
      <c r="F732">
        <v>7523080.54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0.63870967741935913</v>
      </c>
      <c r="Q732">
        <f t="shared" si="1000"/>
        <v>4805064.3449032586</v>
      </c>
      <c r="R732">
        <f t="shared" si="1001"/>
        <v>241276427.86194149</v>
      </c>
      <c r="S732">
        <f t="shared" si="1002"/>
        <v>2412.7642786194147</v>
      </c>
      <c r="T732">
        <f t="shared" si="1003"/>
        <v>2.4127642786194148</v>
      </c>
    </row>
    <row r="733" spans="1:20" x14ac:dyDescent="0.25">
      <c r="A733" s="5">
        <v>43860</v>
      </c>
      <c r="B733">
        <v>0.30399999999999999</v>
      </c>
      <c r="C733">
        <v>0.30590000000000001</v>
      </c>
      <c r="D733">
        <v>0.27300000000000002</v>
      </c>
      <c r="E733">
        <v>0.29399999999999998</v>
      </c>
      <c r="F733">
        <v>16892997.629999999</v>
      </c>
      <c r="G733">
        <v>0</v>
      </c>
      <c r="L733" t="s">
        <v>7</v>
      </c>
      <c r="M733" t="s">
        <v>8</v>
      </c>
      <c r="N733" t="s">
        <v>8</v>
      </c>
      <c r="P733">
        <f t="shared" si="999"/>
        <v>0.27659574468084941</v>
      </c>
      <c r="Q733">
        <f t="shared" si="1000"/>
        <v>4672531.2593616741</v>
      </c>
      <c r="R733">
        <f t="shared" si="1001"/>
        <v>236471363.51703823</v>
      </c>
      <c r="S733">
        <f t="shared" si="1002"/>
        <v>2364.7136351703821</v>
      </c>
      <c r="T733">
        <f t="shared" si="1003"/>
        <v>2.3647136351703821</v>
      </c>
    </row>
    <row r="734" spans="1:20" x14ac:dyDescent="0.25">
      <c r="A734" s="5">
        <v>43859</v>
      </c>
      <c r="B734">
        <v>0.28620000000000001</v>
      </c>
      <c r="C734">
        <v>0.31190000000000001</v>
      </c>
      <c r="D734">
        <v>0.27900000000000003</v>
      </c>
      <c r="E734">
        <v>0.30409999999999998</v>
      </c>
      <c r="F734">
        <v>20439548.030000001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0.52583586626139622</v>
      </c>
      <c r="Q734">
        <f t="shared" si="1000"/>
        <v>10747847.444346465</v>
      </c>
      <c r="R734">
        <f t="shared" si="1001"/>
        <v>231798832.25767654</v>
      </c>
      <c r="S734">
        <f t="shared" si="1002"/>
        <v>2317.9883225767653</v>
      </c>
      <c r="T734">
        <f t="shared" si="1003"/>
        <v>2.3179883225767655</v>
      </c>
    </row>
    <row r="735" spans="1:20" x14ac:dyDescent="0.25">
      <c r="A735" s="5">
        <v>43858</v>
      </c>
      <c r="B735">
        <v>0.25159999999999999</v>
      </c>
      <c r="C735">
        <v>0.2918</v>
      </c>
      <c r="D735">
        <v>0.247</v>
      </c>
      <c r="E735">
        <v>0.2863</v>
      </c>
      <c r="F735">
        <v>14906258.66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0.75446428571428548</v>
      </c>
      <c r="Q735">
        <f t="shared" si="1000"/>
        <v>11246239.792589283</v>
      </c>
      <c r="R735">
        <f t="shared" si="1001"/>
        <v>221050984.81333008</v>
      </c>
      <c r="S735">
        <f t="shared" si="1002"/>
        <v>2210.5098481333007</v>
      </c>
      <c r="T735">
        <f t="shared" si="1003"/>
        <v>2.2105098481333005</v>
      </c>
    </row>
    <row r="736" spans="1:20" x14ac:dyDescent="0.25">
      <c r="A736" s="5">
        <v>43857</v>
      </c>
      <c r="B736">
        <v>0.2455</v>
      </c>
      <c r="C736">
        <v>0.2535</v>
      </c>
      <c r="D736">
        <v>0.2422</v>
      </c>
      <c r="E736">
        <v>0.25219999999999998</v>
      </c>
      <c r="F736">
        <v>5603754.3600000003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0.76991150442477474</v>
      </c>
      <c r="Q736">
        <f t="shared" si="1000"/>
        <v>4314394.9497344913</v>
      </c>
      <c r="R736">
        <f t="shared" si="1001"/>
        <v>209804745.02074081</v>
      </c>
      <c r="S736">
        <f t="shared" si="1002"/>
        <v>2098.047450207408</v>
      </c>
      <c r="T736">
        <f t="shared" si="1003"/>
        <v>2.098047450207408</v>
      </c>
    </row>
    <row r="737" spans="1:20" x14ac:dyDescent="0.25">
      <c r="A737" s="5">
        <v>43856</v>
      </c>
      <c r="B737">
        <v>0.23280000000000001</v>
      </c>
      <c r="C737">
        <v>0.2462</v>
      </c>
      <c r="D737">
        <v>0.23200000000000001</v>
      </c>
      <c r="E737">
        <v>0.2457</v>
      </c>
      <c r="F737">
        <v>3038202.32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0.92957746478873227</v>
      </c>
      <c r="Q737">
        <f t="shared" si="1000"/>
        <v>2824244.4101408445</v>
      </c>
      <c r="R737">
        <f t="shared" si="1001"/>
        <v>205490350.07100633</v>
      </c>
      <c r="S737">
        <f t="shared" si="1002"/>
        <v>2054.9035007100633</v>
      </c>
      <c r="T737">
        <f t="shared" si="1003"/>
        <v>2.0549035007100631</v>
      </c>
    </row>
    <row r="738" spans="1:20" x14ac:dyDescent="0.25">
      <c r="A738" s="5">
        <v>43855</v>
      </c>
      <c r="B738">
        <v>0.23710000000000001</v>
      </c>
      <c r="C738">
        <v>0.23749999999999999</v>
      </c>
      <c r="D738">
        <v>0.22850000000000001</v>
      </c>
      <c r="E738">
        <v>0.2344</v>
      </c>
      <c r="F738">
        <v>2300014.2400000002</v>
      </c>
      <c r="G738">
        <v>0</v>
      </c>
      <c r="L738" t="s">
        <v>8</v>
      </c>
      <c r="M738" t="s">
        <v>8</v>
      </c>
      <c r="N738" t="s">
        <v>8</v>
      </c>
      <c r="P738">
        <f t="shared" si="999"/>
        <v>0.31111111111111145</v>
      </c>
      <c r="Q738">
        <f t="shared" si="1000"/>
        <v>715559.98577777867</v>
      </c>
      <c r="R738">
        <f t="shared" si="1001"/>
        <v>202666105.66086549</v>
      </c>
      <c r="S738">
        <f t="shared" si="1002"/>
        <v>2026.6610566086549</v>
      </c>
      <c r="T738">
        <f t="shared" si="1003"/>
        <v>2.0266610566086549</v>
      </c>
    </row>
    <row r="739" spans="1:20" x14ac:dyDescent="0.25">
      <c r="A739" s="5">
        <v>43854</v>
      </c>
      <c r="B739">
        <v>0.23710000000000001</v>
      </c>
      <c r="C739">
        <v>0.24049999999999999</v>
      </c>
      <c r="D739">
        <v>0.22650000000000001</v>
      </c>
      <c r="E739">
        <v>0.23699999999999999</v>
      </c>
      <c r="F739">
        <v>4340525.05</v>
      </c>
      <c r="G739">
        <v>0</v>
      </c>
      <c r="L739" t="s">
        <v>8</v>
      </c>
      <c r="M739" t="s">
        <v>8</v>
      </c>
      <c r="N739" t="s">
        <v>8</v>
      </c>
      <c r="P739">
        <f t="shared" si="999"/>
        <v>0.499999999999999</v>
      </c>
      <c r="Q739">
        <f t="shared" si="1000"/>
        <v>2170262.5249999957</v>
      </c>
      <c r="R739">
        <f t="shared" si="1001"/>
        <v>201950545.67508772</v>
      </c>
      <c r="S739">
        <f t="shared" si="1002"/>
        <v>2019.5054567508771</v>
      </c>
      <c r="T739">
        <f t="shared" si="1003"/>
        <v>2.0195054567508772</v>
      </c>
    </row>
    <row r="740" spans="1:20" x14ac:dyDescent="0.25">
      <c r="A740" s="5">
        <v>43853</v>
      </c>
      <c r="B740">
        <v>0.24940000000000001</v>
      </c>
      <c r="C740">
        <v>0.24940000000000001</v>
      </c>
      <c r="D740">
        <v>0.2258</v>
      </c>
      <c r="E740">
        <v>0.2369</v>
      </c>
      <c r="F740">
        <v>8931115.7699999996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-5.9322033898305586E-2</v>
      </c>
      <c r="Q740">
        <f t="shared" si="1000"/>
        <v>-529811.95245763159</v>
      </c>
      <c r="R740">
        <f t="shared" si="1001"/>
        <v>199780283.15008771</v>
      </c>
      <c r="S740">
        <f t="shared" si="1002"/>
        <v>1997.8028315008771</v>
      </c>
      <c r="T740">
        <f t="shared" si="1003"/>
        <v>1.9978028315008771</v>
      </c>
    </row>
    <row r="741" spans="1:20" x14ac:dyDescent="0.25">
      <c r="A741" s="5">
        <v>43852</v>
      </c>
      <c r="B741">
        <v>0.25069999999999998</v>
      </c>
      <c r="C741">
        <v>0.25430000000000003</v>
      </c>
      <c r="D741">
        <v>0.2442</v>
      </c>
      <c r="E741">
        <v>0.249</v>
      </c>
      <c r="F741">
        <v>3619282.75</v>
      </c>
      <c r="G741">
        <v>0</v>
      </c>
      <c r="L741" t="s">
        <v>7</v>
      </c>
      <c r="M741" t="s">
        <v>8</v>
      </c>
      <c r="N741" t="s">
        <v>8</v>
      </c>
      <c r="P741">
        <f t="shared" si="999"/>
        <v>-4.9504950495052172E-2</v>
      </c>
      <c r="Q741">
        <f t="shared" si="1000"/>
        <v>-179172.4133663463</v>
      </c>
      <c r="R741">
        <f t="shared" si="1001"/>
        <v>200310095.10254535</v>
      </c>
      <c r="S741">
        <f t="shared" si="1002"/>
        <v>2003.1009510254535</v>
      </c>
      <c r="T741">
        <f t="shared" si="1003"/>
        <v>2.0031009510254534</v>
      </c>
    </row>
    <row r="742" spans="1:20" x14ac:dyDescent="0.25">
      <c r="A742" s="5">
        <v>43851</v>
      </c>
      <c r="B742">
        <v>0.252</v>
      </c>
      <c r="C742">
        <v>0.25509999999999999</v>
      </c>
      <c r="D742">
        <v>0.2397</v>
      </c>
      <c r="E742">
        <v>0.25030000000000002</v>
      </c>
      <c r="F742">
        <v>6608670.0199999996</v>
      </c>
      <c r="G742">
        <v>0</v>
      </c>
      <c r="L742" t="s">
        <v>7</v>
      </c>
      <c r="M742" t="s">
        <v>8</v>
      </c>
      <c r="N742" t="s">
        <v>8</v>
      </c>
      <c r="P742">
        <f t="shared" si="999"/>
        <v>0.3766233766233803</v>
      </c>
      <c r="Q742">
        <f t="shared" si="1000"/>
        <v>2488979.6179221021</v>
      </c>
      <c r="R742">
        <f t="shared" si="1001"/>
        <v>200489267.5159117</v>
      </c>
      <c r="S742">
        <f t="shared" si="1002"/>
        <v>2004.8926751591171</v>
      </c>
      <c r="T742">
        <f t="shared" si="1003"/>
        <v>2.004892675159117</v>
      </c>
    </row>
    <row r="743" spans="1:20" x14ac:dyDescent="0.25">
      <c r="A743" s="5">
        <v>43850</v>
      </c>
      <c r="B743">
        <v>0.24610000000000001</v>
      </c>
      <c r="C743">
        <v>0.25800000000000001</v>
      </c>
      <c r="D743">
        <v>0.23599999999999999</v>
      </c>
      <c r="E743">
        <v>0.25230000000000002</v>
      </c>
      <c r="F743">
        <v>8613254.9700000007</v>
      </c>
      <c r="G743">
        <v>0</v>
      </c>
      <c r="L743" t="s">
        <v>8</v>
      </c>
      <c r="M743" t="s">
        <v>8</v>
      </c>
      <c r="N743" t="s">
        <v>8</v>
      </c>
      <c r="P743">
        <f t="shared" si="999"/>
        <v>0.48181818181818381</v>
      </c>
      <c r="Q743">
        <f t="shared" si="1000"/>
        <v>4150022.8491818355</v>
      </c>
      <c r="R743">
        <f t="shared" si="1001"/>
        <v>198000287.8979896</v>
      </c>
      <c r="S743">
        <f t="shared" si="1002"/>
        <v>1980.002878979896</v>
      </c>
      <c r="T743">
        <f t="shared" si="1003"/>
        <v>1.980002878979896</v>
      </c>
    </row>
    <row r="744" spans="1:20" x14ac:dyDescent="0.25">
      <c r="A744" s="5">
        <v>43849</v>
      </c>
      <c r="B744">
        <v>0.24560000000000001</v>
      </c>
      <c r="C744">
        <v>0.25109999999999999</v>
      </c>
      <c r="D744">
        <v>0.22550000000000001</v>
      </c>
      <c r="E744">
        <v>0.2462</v>
      </c>
      <c r="F744">
        <v>12162441.57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0.61718750000000067</v>
      </c>
      <c r="Q744">
        <f t="shared" si="1000"/>
        <v>7506506.9064843832</v>
      </c>
      <c r="R744">
        <f t="shared" si="1001"/>
        <v>193850265.04880777</v>
      </c>
      <c r="S744">
        <f t="shared" si="1002"/>
        <v>1938.5026504880777</v>
      </c>
      <c r="T744">
        <f t="shared" si="1003"/>
        <v>1.9385026504880778</v>
      </c>
    </row>
    <row r="745" spans="1:20" x14ac:dyDescent="0.25">
      <c r="A745" s="5">
        <v>43848</v>
      </c>
      <c r="B745">
        <v>0.23830000000000001</v>
      </c>
      <c r="C745">
        <v>0.25580000000000003</v>
      </c>
      <c r="D745">
        <v>0.23019999999999999</v>
      </c>
      <c r="E745">
        <v>0.24610000000000001</v>
      </c>
      <c r="F745">
        <v>12245162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0.24218750000000006</v>
      </c>
      <c r="Q745">
        <f t="shared" si="1000"/>
        <v>2965625.1718750005</v>
      </c>
      <c r="R745">
        <f t="shared" si="1001"/>
        <v>186343758.14232337</v>
      </c>
      <c r="S745">
        <f t="shared" si="1002"/>
        <v>1863.4375814232337</v>
      </c>
      <c r="T745">
        <f t="shared" si="1003"/>
        <v>1.8634375814232338</v>
      </c>
    </row>
    <row r="746" spans="1:20" x14ac:dyDescent="0.25">
      <c r="A746" s="5">
        <v>43847</v>
      </c>
      <c r="B746">
        <v>0.2291</v>
      </c>
      <c r="C746">
        <v>0.25840000000000002</v>
      </c>
      <c r="D746">
        <v>0.22009999999999999</v>
      </c>
      <c r="E746">
        <v>0.23830000000000001</v>
      </c>
      <c r="F746">
        <v>17384564.59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-4.9608355091383387E-2</v>
      </c>
      <c r="Q746">
        <f t="shared" si="1000"/>
        <v>-862419.65328980982</v>
      </c>
      <c r="R746">
        <f t="shared" si="1001"/>
        <v>183378132.97044837</v>
      </c>
      <c r="S746">
        <f t="shared" si="1002"/>
        <v>1833.7813297044838</v>
      </c>
      <c r="T746">
        <f t="shared" si="1003"/>
        <v>1.8337813297044838</v>
      </c>
    </row>
    <row r="747" spans="1:20" x14ac:dyDescent="0.25">
      <c r="A747" s="5">
        <v>43846</v>
      </c>
      <c r="B747">
        <v>0.23369999999999999</v>
      </c>
      <c r="C747">
        <v>0.23449999999999999</v>
      </c>
      <c r="D747">
        <v>0.21779999999999999</v>
      </c>
      <c r="E747">
        <v>0.22789999999999999</v>
      </c>
      <c r="F747">
        <v>7695294</v>
      </c>
      <c r="G747">
        <v>0</v>
      </c>
      <c r="L747" t="s">
        <v>8</v>
      </c>
      <c r="M747" t="s">
        <v>8</v>
      </c>
      <c r="N747" t="s">
        <v>8</v>
      </c>
      <c r="P747">
        <f t="shared" si="999"/>
        <v>0.20958083832335359</v>
      </c>
      <c r="Q747">
        <f t="shared" si="1000"/>
        <v>1612786.1676646729</v>
      </c>
      <c r="R747">
        <f t="shared" si="1001"/>
        <v>184240552.6237382</v>
      </c>
      <c r="S747">
        <f t="shared" si="1002"/>
        <v>1842.405526237382</v>
      </c>
      <c r="T747">
        <f t="shared" si="1003"/>
        <v>1.842405526237382</v>
      </c>
    </row>
    <row r="748" spans="1:20" x14ac:dyDescent="0.25">
      <c r="A748" s="5">
        <v>43845</v>
      </c>
      <c r="B748">
        <v>0.20979999999999999</v>
      </c>
      <c r="C748">
        <v>0.2349</v>
      </c>
      <c r="D748">
        <v>0.20730000000000001</v>
      </c>
      <c r="E748">
        <v>0.23350000000000001</v>
      </c>
      <c r="F748">
        <v>14770455.1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0.89855072463768226</v>
      </c>
      <c r="Q748">
        <f t="shared" si="1000"/>
        <v>13272003.13333335</v>
      </c>
      <c r="R748">
        <f t="shared" si="1001"/>
        <v>182627766.45607352</v>
      </c>
      <c r="S748">
        <f t="shared" si="1002"/>
        <v>1826.2776645607353</v>
      </c>
      <c r="T748">
        <f t="shared" si="1003"/>
        <v>1.8262776645607353</v>
      </c>
    </row>
    <row r="749" spans="1:20" x14ac:dyDescent="0.25">
      <c r="A749" s="5">
        <v>43844</v>
      </c>
      <c r="B749">
        <v>0.18859999999999999</v>
      </c>
      <c r="C749">
        <v>0.21740000000000001</v>
      </c>
      <c r="D749">
        <v>0.18859999999999999</v>
      </c>
      <c r="E749">
        <v>0.21049999999999999</v>
      </c>
      <c r="F749">
        <v>10670402.17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0.52083333333333248</v>
      </c>
      <c r="Q749">
        <f t="shared" si="1000"/>
        <v>5557501.1302083246</v>
      </c>
      <c r="R749">
        <f t="shared" si="1001"/>
        <v>169355763.32274017</v>
      </c>
      <c r="S749">
        <f t="shared" si="1002"/>
        <v>1693.5576332274018</v>
      </c>
      <c r="T749">
        <f t="shared" si="1003"/>
        <v>1.6935576332274018</v>
      </c>
    </row>
    <row r="750" spans="1:20" x14ac:dyDescent="0.25">
      <c r="A750" s="5">
        <v>43843</v>
      </c>
      <c r="B750">
        <v>0.19139999999999999</v>
      </c>
      <c r="C750">
        <v>0.19239999999999999</v>
      </c>
      <c r="D750">
        <v>0.18629999999999999</v>
      </c>
      <c r="E750">
        <v>0.18840000000000001</v>
      </c>
      <c r="F750">
        <v>1894458.17</v>
      </c>
      <c r="G750">
        <v>0</v>
      </c>
      <c r="L750" t="s">
        <v>8</v>
      </c>
      <c r="M750" t="s">
        <v>8</v>
      </c>
      <c r="N750" t="s">
        <v>7</v>
      </c>
      <c r="P750">
        <f t="shared" si="999"/>
        <v>-0.31147540983605887</v>
      </c>
      <c r="Q750">
        <f t="shared" si="1000"/>
        <v>-590077.13491802011</v>
      </c>
      <c r="R750">
        <f t="shared" si="1001"/>
        <v>163798262.19253185</v>
      </c>
      <c r="S750">
        <f t="shared" si="1002"/>
        <v>1637.9826219253184</v>
      </c>
      <c r="T750">
        <f t="shared" si="1003"/>
        <v>1.6379826219253184</v>
      </c>
    </row>
    <row r="751" spans="1:20" x14ac:dyDescent="0.25">
      <c r="A751" s="5">
        <v>43842</v>
      </c>
      <c r="B751">
        <v>0.19170000000000001</v>
      </c>
      <c r="C751">
        <v>0.19370000000000001</v>
      </c>
      <c r="D751">
        <v>0.18859999999999999</v>
      </c>
      <c r="E751">
        <v>0.1913</v>
      </c>
      <c r="F751">
        <v>2090017.71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5.8823529411763428E-2</v>
      </c>
      <c r="Q751">
        <f t="shared" si="1000"/>
        <v>122942.21823529144</v>
      </c>
      <c r="R751">
        <f t="shared" si="1001"/>
        <v>164388339.32744989</v>
      </c>
      <c r="S751">
        <f t="shared" si="1002"/>
        <v>1643.883393274499</v>
      </c>
      <c r="T751">
        <f t="shared" si="1003"/>
        <v>1.6438833932744989</v>
      </c>
    </row>
    <row r="752" spans="1:20" x14ac:dyDescent="0.25">
      <c r="A752" s="5">
        <v>43841</v>
      </c>
      <c r="B752">
        <v>0.19009999999999999</v>
      </c>
      <c r="C752">
        <v>0.19550000000000001</v>
      </c>
      <c r="D752">
        <v>0.18509999999999999</v>
      </c>
      <c r="E752">
        <v>0.1918</v>
      </c>
      <c r="F752">
        <v>5435320.8799999999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0.28846153846153816</v>
      </c>
      <c r="Q752">
        <f t="shared" si="1000"/>
        <v>1567881.0230769215</v>
      </c>
      <c r="R752">
        <f t="shared" si="1001"/>
        <v>164265397.1092146</v>
      </c>
      <c r="S752">
        <f t="shared" si="1002"/>
        <v>1642.6539710921461</v>
      </c>
      <c r="T752">
        <f t="shared" si="1003"/>
        <v>1.6426539710921462</v>
      </c>
    </row>
    <row r="753" spans="1:20" x14ac:dyDescent="0.25">
      <c r="A753" s="5">
        <v>43840</v>
      </c>
      <c r="B753">
        <v>0.17699999999999999</v>
      </c>
      <c r="C753">
        <v>0.19040000000000001</v>
      </c>
      <c r="D753">
        <v>0.1711</v>
      </c>
      <c r="E753">
        <v>0.19020000000000001</v>
      </c>
      <c r="F753">
        <v>6860062.6699999999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0.9792746113989631</v>
      </c>
      <c r="Q753">
        <f t="shared" si="1000"/>
        <v>6717885.2053367831</v>
      </c>
      <c r="R753">
        <f t="shared" si="1001"/>
        <v>162697516.08613768</v>
      </c>
      <c r="S753">
        <f t="shared" si="1002"/>
        <v>1626.9751608613769</v>
      </c>
      <c r="T753">
        <f t="shared" si="1003"/>
        <v>1.6269751608613769</v>
      </c>
    </row>
    <row r="754" spans="1:20" x14ac:dyDescent="0.25">
      <c r="A754" s="5">
        <v>43839</v>
      </c>
      <c r="B754">
        <v>0.18110000000000001</v>
      </c>
      <c r="C754">
        <v>0.18260000000000001</v>
      </c>
      <c r="D754">
        <v>0.17499999999999999</v>
      </c>
      <c r="E754">
        <v>0.17699999999999999</v>
      </c>
      <c r="F754">
        <v>3326219.25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-0.47368421052631693</v>
      </c>
      <c r="Q754">
        <f t="shared" si="1000"/>
        <v>-1575577.539473688</v>
      </c>
      <c r="R754">
        <f t="shared" si="1001"/>
        <v>155979630.8808009</v>
      </c>
      <c r="S754">
        <f t="shared" si="1002"/>
        <v>1559.7963088080089</v>
      </c>
      <c r="T754">
        <f t="shared" si="1003"/>
        <v>1.5597963088080089</v>
      </c>
    </row>
    <row r="755" spans="1:20" x14ac:dyDescent="0.25">
      <c r="A755" s="5">
        <v>43838</v>
      </c>
      <c r="B755">
        <v>0.18559999999999999</v>
      </c>
      <c r="C755">
        <v>0.19089999999999999</v>
      </c>
      <c r="D755">
        <v>0.17799999999999999</v>
      </c>
      <c r="E755">
        <v>0.18110000000000001</v>
      </c>
      <c r="F755">
        <v>6765806.29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-0.51937984496123712</v>
      </c>
      <c r="Q755">
        <f t="shared" si="1000"/>
        <v>-3514023.421937963</v>
      </c>
      <c r="R755">
        <f t="shared" si="1001"/>
        <v>157555208.42027459</v>
      </c>
      <c r="S755">
        <f t="shared" si="1002"/>
        <v>1575.5520842027458</v>
      </c>
      <c r="T755">
        <f t="shared" si="1003"/>
        <v>1.575552084202746</v>
      </c>
    </row>
    <row r="756" spans="1:20" x14ac:dyDescent="0.25">
      <c r="A756" s="5">
        <v>43837</v>
      </c>
      <c r="B756">
        <v>0.183</v>
      </c>
      <c r="C756">
        <v>0.19719999999999999</v>
      </c>
      <c r="D756">
        <v>0.1817</v>
      </c>
      <c r="E756">
        <v>0.1857</v>
      </c>
      <c r="F756">
        <v>10218379.460000001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-0.48387096774193455</v>
      </c>
      <c r="Q756">
        <f t="shared" si="1000"/>
        <v>-4944377.1580645069</v>
      </c>
      <c r="R756">
        <f t="shared" si="1001"/>
        <v>161069231.84221256</v>
      </c>
      <c r="S756">
        <f t="shared" si="1002"/>
        <v>1610.6923184221255</v>
      </c>
      <c r="T756">
        <f t="shared" si="1003"/>
        <v>1.6106923184221256</v>
      </c>
    </row>
    <row r="757" spans="1:20" x14ac:dyDescent="0.25">
      <c r="A757" s="5">
        <v>43836</v>
      </c>
      <c r="B757">
        <v>0.17169999999999999</v>
      </c>
      <c r="C757">
        <v>0.185</v>
      </c>
      <c r="D757">
        <v>0.17130000000000001</v>
      </c>
      <c r="E757">
        <v>0.18260000000000001</v>
      </c>
      <c r="F757">
        <v>11338999.48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0.64963503649635224</v>
      </c>
      <c r="Q757">
        <f t="shared" si="1000"/>
        <v>7366211.3410219196</v>
      </c>
      <c r="R757">
        <f t="shared" si="1001"/>
        <v>166013609.00027707</v>
      </c>
      <c r="S757">
        <f t="shared" si="1002"/>
        <v>1660.1360900027707</v>
      </c>
      <c r="T757">
        <f t="shared" si="1003"/>
        <v>1.6601360900027708</v>
      </c>
    </row>
    <row r="758" spans="1:20" x14ac:dyDescent="0.25">
      <c r="A758" s="5">
        <v>43835</v>
      </c>
      <c r="B758">
        <v>0.17330000000000001</v>
      </c>
      <c r="C758">
        <v>0.17449999999999999</v>
      </c>
      <c r="D758">
        <v>0.16750000000000001</v>
      </c>
      <c r="E758">
        <v>0.17180000000000001</v>
      </c>
      <c r="F758">
        <v>6918212.5700000003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0.22857142857143187</v>
      </c>
      <c r="Q758">
        <f t="shared" si="1000"/>
        <v>1581305.7302857372</v>
      </c>
      <c r="R758">
        <f t="shared" si="1001"/>
        <v>158647397.65925515</v>
      </c>
      <c r="S758">
        <f t="shared" si="1002"/>
        <v>1586.4739765925515</v>
      </c>
      <c r="T758">
        <f t="shared" si="1003"/>
        <v>1.5864739765925515</v>
      </c>
    </row>
    <row r="759" spans="1:20" x14ac:dyDescent="0.25">
      <c r="A759" s="5">
        <v>43834</v>
      </c>
      <c r="B759">
        <v>0.16619999999999999</v>
      </c>
      <c r="C759">
        <v>0.17449999999999999</v>
      </c>
      <c r="D759">
        <v>0.16420000000000001</v>
      </c>
      <c r="E759">
        <v>0.1734</v>
      </c>
      <c r="F759">
        <v>4841906.6100000003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0.78640776699029269</v>
      </c>
      <c r="Q759">
        <f t="shared" si="1000"/>
        <v>3807712.9651456382</v>
      </c>
      <c r="R759">
        <f t="shared" si="1001"/>
        <v>157066091.92896941</v>
      </c>
      <c r="S759">
        <f t="shared" si="1002"/>
        <v>1570.6609192896942</v>
      </c>
      <c r="T759">
        <f t="shared" si="1003"/>
        <v>1.5706609192896943</v>
      </c>
    </row>
    <row r="760" spans="1:20" x14ac:dyDescent="0.25">
      <c r="A760" s="5">
        <v>43833</v>
      </c>
      <c r="B760">
        <v>0.15790000000000001</v>
      </c>
      <c r="C760">
        <v>0.16750000000000001</v>
      </c>
      <c r="D760">
        <v>0.15459999999999999</v>
      </c>
      <c r="E760">
        <v>0.16639999999999999</v>
      </c>
      <c r="F760">
        <v>4428438.2300000004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0.82945736434108286</v>
      </c>
      <c r="Q760">
        <f t="shared" si="1000"/>
        <v>3673200.7024030904</v>
      </c>
      <c r="R760">
        <f t="shared" si="1001"/>
        <v>153258378.96382377</v>
      </c>
      <c r="S760">
        <f t="shared" si="1002"/>
        <v>1532.5837896382377</v>
      </c>
      <c r="T760">
        <f t="shared" si="1003"/>
        <v>1.5325837896382377</v>
      </c>
    </row>
    <row r="761" spans="1:20" x14ac:dyDescent="0.25">
      <c r="A761" s="5">
        <v>43832</v>
      </c>
      <c r="B761">
        <v>0.16070000000000001</v>
      </c>
      <c r="C761">
        <v>0.1618</v>
      </c>
      <c r="D761">
        <v>0.15670000000000001</v>
      </c>
      <c r="E761">
        <v>0.15840000000000001</v>
      </c>
      <c r="F761">
        <v>3055856.9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-0.33333333333332971</v>
      </c>
      <c r="Q761">
        <f t="shared" si="1000"/>
        <v>-1018618.9666666555</v>
      </c>
      <c r="R761">
        <f t="shared" si="1001"/>
        <v>149585178.26142067</v>
      </c>
      <c r="S761">
        <f t="shared" si="1002"/>
        <v>1495.8517826142067</v>
      </c>
      <c r="T761">
        <f t="shared" si="1003"/>
        <v>1.4958517826142068</v>
      </c>
    </row>
    <row r="762" spans="1:20" x14ac:dyDescent="0.25">
      <c r="A762" s="5">
        <v>43831</v>
      </c>
      <c r="B762">
        <v>0.15959999999999999</v>
      </c>
      <c r="C762">
        <v>0.1643</v>
      </c>
      <c r="D762">
        <v>0.1585</v>
      </c>
      <c r="E762">
        <v>0.16059999999999999</v>
      </c>
      <c r="F762">
        <v>2817899.66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-0.2758620689655204</v>
      </c>
      <c r="Q762">
        <f t="shared" si="1000"/>
        <v>-777351.63034483651</v>
      </c>
      <c r="R762">
        <f t="shared" si="1001"/>
        <v>150603797.22808734</v>
      </c>
      <c r="S762">
        <f t="shared" si="1002"/>
        <v>1506.0379722808734</v>
      </c>
      <c r="T762">
        <f t="shared" si="1003"/>
        <v>1.5060379722808734</v>
      </c>
    </row>
    <row r="763" spans="1:20" x14ac:dyDescent="0.25">
      <c r="A763" s="5">
        <v>43830</v>
      </c>
      <c r="B763">
        <v>0.15970000000000001</v>
      </c>
      <c r="C763">
        <v>0.1633</v>
      </c>
      <c r="D763">
        <v>0.1575</v>
      </c>
      <c r="E763">
        <v>0.15959999999999999</v>
      </c>
      <c r="F763">
        <v>3415977.7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-0.2758620689655204</v>
      </c>
      <c r="Q763">
        <f t="shared" si="1000"/>
        <v>-942338.67586207984</v>
      </c>
      <c r="R763">
        <f t="shared" si="1001"/>
        <v>151381148.85843217</v>
      </c>
      <c r="S763">
        <f t="shared" si="1002"/>
        <v>1513.8114885843218</v>
      </c>
      <c r="T763">
        <f t="shared" si="1003"/>
        <v>1.5138114885843217</v>
      </c>
    </row>
    <row r="764" spans="1:20" x14ac:dyDescent="0.25">
      <c r="A764" s="5">
        <v>43829</v>
      </c>
      <c r="B764">
        <v>0.16769999999999999</v>
      </c>
      <c r="C764">
        <v>0.1678</v>
      </c>
      <c r="D764">
        <v>0.15690000000000001</v>
      </c>
      <c r="E764">
        <v>0.1595</v>
      </c>
      <c r="F764">
        <v>5550220.7300000004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-0.52293577981651507</v>
      </c>
      <c r="Q764">
        <f t="shared" si="1000"/>
        <v>-2902409.0055963378</v>
      </c>
      <c r="R764">
        <f t="shared" si="1001"/>
        <v>152323487.53429425</v>
      </c>
      <c r="S764">
        <f t="shared" si="1002"/>
        <v>1523.2348753429426</v>
      </c>
      <c r="T764">
        <f t="shared" si="1003"/>
        <v>1.5232348753429426</v>
      </c>
    </row>
    <row r="765" spans="1:20" x14ac:dyDescent="0.25">
      <c r="A765" s="5">
        <v>43828</v>
      </c>
      <c r="B765">
        <v>0.16300000000000001</v>
      </c>
      <c r="C765">
        <v>0.1711</v>
      </c>
      <c r="D765">
        <v>0.1608</v>
      </c>
      <c r="E765">
        <v>0.16800000000000001</v>
      </c>
      <c r="F765">
        <v>4398594.8099999996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0.39805825242718629</v>
      </c>
      <c r="Q765">
        <f t="shared" si="1000"/>
        <v>1750896.9632038914</v>
      </c>
      <c r="R765">
        <f t="shared" si="1001"/>
        <v>155225896.53989059</v>
      </c>
      <c r="S765">
        <f t="shared" si="1002"/>
        <v>1552.258965398906</v>
      </c>
      <c r="T765">
        <f t="shared" si="1003"/>
        <v>1.5522589653989061</v>
      </c>
    </row>
    <row r="766" spans="1:20" x14ac:dyDescent="0.25">
      <c r="A766" s="5">
        <v>43827</v>
      </c>
      <c r="B766">
        <v>0.16209999999999999</v>
      </c>
      <c r="C766">
        <v>0.16420000000000001</v>
      </c>
      <c r="D766">
        <v>0.16</v>
      </c>
      <c r="E766">
        <v>0.1633</v>
      </c>
      <c r="F766">
        <v>3499211.73</v>
      </c>
      <c r="G766">
        <v>0</v>
      </c>
      <c r="L766" t="s">
        <v>8</v>
      </c>
      <c r="M766" t="s">
        <v>7</v>
      </c>
      <c r="N766" t="s">
        <v>7</v>
      </c>
      <c r="P766">
        <f t="shared" si="999"/>
        <v>0.57142857142856673</v>
      </c>
      <c r="Q766">
        <f t="shared" si="1000"/>
        <v>1999549.5599999835</v>
      </c>
      <c r="R766">
        <f t="shared" si="1001"/>
        <v>153474999.57668671</v>
      </c>
      <c r="S766">
        <f t="shared" si="1002"/>
        <v>1534.7499957668672</v>
      </c>
      <c r="T766">
        <f t="shared" si="1003"/>
        <v>1.5347499957668671</v>
      </c>
    </row>
    <row r="767" spans="1:20" x14ac:dyDescent="0.25">
      <c r="A767" s="5">
        <v>43826</v>
      </c>
      <c r="B767">
        <v>0.1578</v>
      </c>
      <c r="C767">
        <v>0.16250000000000001</v>
      </c>
      <c r="D767">
        <v>0.156</v>
      </c>
      <c r="E767">
        <v>0.16170000000000001</v>
      </c>
      <c r="F767">
        <v>4481426.28</v>
      </c>
      <c r="G767">
        <v>0</v>
      </c>
      <c r="L767" t="s">
        <v>8</v>
      </c>
      <c r="M767" t="s">
        <v>7</v>
      </c>
      <c r="N767" t="s">
        <v>7</v>
      </c>
      <c r="P767">
        <f t="shared" ref="P767:P830" si="1004">IF(C767=D767,0,((E767-D767)-(C767-E767))/(C767-D767))</f>
        <v>0.75384615384615561</v>
      </c>
      <c r="Q767">
        <f t="shared" ref="Q767:Q830" si="1005">F767*P767</f>
        <v>3378305.9649230852</v>
      </c>
      <c r="R767">
        <f t="shared" ref="R767:R830" si="1006">R768+Q767</f>
        <v>151475450.01668674</v>
      </c>
      <c r="S767">
        <f t="shared" ref="S767:S830" si="1007">R767/100000</f>
        <v>1514.7545001668673</v>
      </c>
      <c r="T767">
        <f t="shared" ref="T767:T830" si="1008">S767/1000</f>
        <v>1.5147545001668672</v>
      </c>
    </row>
    <row r="768" spans="1:20" x14ac:dyDescent="0.25">
      <c r="A768" s="5">
        <v>43825</v>
      </c>
      <c r="B768">
        <v>0.156</v>
      </c>
      <c r="C768">
        <v>0.16550000000000001</v>
      </c>
      <c r="D768">
        <v>0.1547</v>
      </c>
      <c r="E768">
        <v>0.158</v>
      </c>
      <c r="F768">
        <v>4503278.53</v>
      </c>
      <c r="G768">
        <v>0</v>
      </c>
      <c r="L768" t="s">
        <v>8</v>
      </c>
      <c r="M768" t="s">
        <v>7</v>
      </c>
      <c r="N768" t="s">
        <v>7</v>
      </c>
      <c r="P768">
        <f t="shared" si="1004"/>
        <v>-0.38888888888888962</v>
      </c>
      <c r="Q768">
        <f t="shared" si="1005"/>
        <v>-1751274.9838888922</v>
      </c>
      <c r="R768">
        <f t="shared" si="1006"/>
        <v>148097144.05176365</v>
      </c>
      <c r="S768">
        <f t="shared" si="1007"/>
        <v>1480.9714405176364</v>
      </c>
      <c r="T768">
        <f t="shared" si="1008"/>
        <v>1.4809714405176364</v>
      </c>
    </row>
    <row r="769" spans="1:20" x14ac:dyDescent="0.25">
      <c r="A769" s="5">
        <v>43824</v>
      </c>
      <c r="B769">
        <v>0.15559999999999999</v>
      </c>
      <c r="C769">
        <v>0.15740000000000001</v>
      </c>
      <c r="D769">
        <v>0.15090000000000001</v>
      </c>
      <c r="E769">
        <v>0.15590000000000001</v>
      </c>
      <c r="F769">
        <v>3334295.1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0.53846153846153844</v>
      </c>
      <c r="Q769">
        <f t="shared" si="1005"/>
        <v>1795389.6692307692</v>
      </c>
      <c r="R769">
        <f t="shared" si="1006"/>
        <v>149848419.03565255</v>
      </c>
      <c r="S769">
        <f t="shared" si="1007"/>
        <v>1498.4841903565255</v>
      </c>
      <c r="T769">
        <f t="shared" si="1008"/>
        <v>1.4984841903565254</v>
      </c>
    </row>
    <row r="770" spans="1:20" x14ac:dyDescent="0.25">
      <c r="A770" s="5">
        <v>43823</v>
      </c>
      <c r="B770">
        <v>0.1615</v>
      </c>
      <c r="C770">
        <v>0.16220000000000001</v>
      </c>
      <c r="D770">
        <v>0.15390000000000001</v>
      </c>
      <c r="E770">
        <v>0.15559999999999999</v>
      </c>
      <c r="F770">
        <v>3657703.97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-0.59036144578313765</v>
      </c>
      <c r="Q770">
        <f t="shared" si="1005"/>
        <v>-2159367.4039759226</v>
      </c>
      <c r="R770">
        <f t="shared" si="1006"/>
        <v>148053029.36642179</v>
      </c>
      <c r="S770">
        <f t="shared" si="1007"/>
        <v>1480.5302936642179</v>
      </c>
      <c r="T770">
        <f t="shared" si="1008"/>
        <v>1.480530293664218</v>
      </c>
    </row>
    <row r="771" spans="1:20" x14ac:dyDescent="0.25">
      <c r="A771" s="5">
        <v>43822</v>
      </c>
      <c r="B771">
        <v>0.1661</v>
      </c>
      <c r="C771">
        <v>0.16650000000000001</v>
      </c>
      <c r="D771">
        <v>0.1588</v>
      </c>
      <c r="E771">
        <v>0.1615</v>
      </c>
      <c r="F771">
        <v>3266921.69</v>
      </c>
      <c r="G771">
        <v>0</v>
      </c>
      <c r="L771" t="s">
        <v>8</v>
      </c>
      <c r="M771" t="s">
        <v>7</v>
      </c>
      <c r="N771" t="s">
        <v>7</v>
      </c>
      <c r="P771">
        <f t="shared" si="1004"/>
        <v>-0.29870129870129775</v>
      </c>
      <c r="Q771">
        <f t="shared" si="1005"/>
        <v>-975833.75155843841</v>
      </c>
      <c r="R771">
        <f t="shared" si="1006"/>
        <v>150212396.77039772</v>
      </c>
      <c r="S771">
        <f t="shared" si="1007"/>
        <v>1502.1239677039773</v>
      </c>
      <c r="T771">
        <f t="shared" si="1008"/>
        <v>1.5021239677039773</v>
      </c>
    </row>
    <row r="772" spans="1:20" x14ac:dyDescent="0.25">
      <c r="A772" s="5">
        <v>43821</v>
      </c>
      <c r="B772">
        <v>0.16139999999999999</v>
      </c>
      <c r="C772">
        <v>0.16769999999999999</v>
      </c>
      <c r="D772">
        <v>0.15790000000000001</v>
      </c>
      <c r="E772">
        <v>0.1661</v>
      </c>
      <c r="F772">
        <v>4597017.53</v>
      </c>
      <c r="G772">
        <v>0</v>
      </c>
      <c r="L772" t="s">
        <v>8</v>
      </c>
      <c r="M772" t="s">
        <v>7</v>
      </c>
      <c r="N772" t="s">
        <v>7</v>
      </c>
      <c r="P772">
        <f t="shared" si="1004"/>
        <v>0.67346938775510323</v>
      </c>
      <c r="Q772">
        <f t="shared" si="1005"/>
        <v>3095950.5814285772</v>
      </c>
      <c r="R772">
        <f t="shared" si="1006"/>
        <v>151188230.52195618</v>
      </c>
      <c r="S772">
        <f t="shared" si="1007"/>
        <v>1511.8823052195617</v>
      </c>
      <c r="T772">
        <f t="shared" si="1008"/>
        <v>1.5118823052195616</v>
      </c>
    </row>
    <row r="773" spans="1:20" x14ac:dyDescent="0.25">
      <c r="A773" s="5">
        <v>43820</v>
      </c>
      <c r="B773">
        <v>0.16370000000000001</v>
      </c>
      <c r="C773">
        <v>0.1661</v>
      </c>
      <c r="D773">
        <v>0.15909999999999999</v>
      </c>
      <c r="E773">
        <v>0.16139999999999999</v>
      </c>
      <c r="F773">
        <v>3875852.76</v>
      </c>
      <c r="G773">
        <v>0</v>
      </c>
      <c r="L773" t="s">
        <v>8</v>
      </c>
      <c r="M773" t="s">
        <v>7</v>
      </c>
      <c r="N773" t="s">
        <v>7</v>
      </c>
      <c r="P773">
        <f t="shared" si="1004"/>
        <v>-0.34285714285714447</v>
      </c>
      <c r="Q773">
        <f t="shared" si="1005"/>
        <v>-1328863.8034285775</v>
      </c>
      <c r="R773">
        <f t="shared" si="1006"/>
        <v>148092279.94052759</v>
      </c>
      <c r="S773">
        <f t="shared" si="1007"/>
        <v>1480.9227994052758</v>
      </c>
      <c r="T773">
        <f t="shared" si="1008"/>
        <v>1.4809227994052758</v>
      </c>
    </row>
    <row r="774" spans="1:20" x14ac:dyDescent="0.25">
      <c r="A774" s="5">
        <v>43819</v>
      </c>
      <c r="B774">
        <v>0.16320000000000001</v>
      </c>
      <c r="C774">
        <v>0.16400000000000001</v>
      </c>
      <c r="D774">
        <v>0.1575</v>
      </c>
      <c r="E774">
        <v>0.1636</v>
      </c>
      <c r="F774">
        <v>4320324.21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0.87692307692307347</v>
      </c>
      <c r="Q774">
        <f t="shared" si="1005"/>
        <v>3788591.9995384468</v>
      </c>
      <c r="R774">
        <f t="shared" si="1006"/>
        <v>149421143.74395618</v>
      </c>
      <c r="S774">
        <f t="shared" si="1007"/>
        <v>1494.2114374395617</v>
      </c>
      <c r="T774">
        <f t="shared" si="1008"/>
        <v>1.4942114374395616</v>
      </c>
    </row>
    <row r="775" spans="1:20" x14ac:dyDescent="0.25">
      <c r="A775" s="5">
        <v>43818</v>
      </c>
      <c r="B775">
        <v>0.158</v>
      </c>
      <c r="C775">
        <v>0.16619999999999999</v>
      </c>
      <c r="D775">
        <v>0.15160000000000001</v>
      </c>
      <c r="E775">
        <v>0.16300000000000001</v>
      </c>
      <c r="F775">
        <v>10769584.32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0.56164383561644027</v>
      </c>
      <c r="Q775">
        <f t="shared" si="1005"/>
        <v>6048670.6454794724</v>
      </c>
      <c r="R775">
        <f t="shared" si="1006"/>
        <v>145632551.74441773</v>
      </c>
      <c r="S775">
        <f t="shared" si="1007"/>
        <v>1456.3255174441772</v>
      </c>
      <c r="T775">
        <f t="shared" si="1008"/>
        <v>1.4563255174441772</v>
      </c>
    </row>
    <row r="776" spans="1:20" x14ac:dyDescent="0.25">
      <c r="A776" s="5">
        <v>43817</v>
      </c>
      <c r="B776">
        <v>0.15509999999999999</v>
      </c>
      <c r="C776">
        <v>0.1615</v>
      </c>
      <c r="D776">
        <v>0.14860000000000001</v>
      </c>
      <c r="E776">
        <v>0.1583</v>
      </c>
      <c r="F776">
        <v>37447239.979999997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0.50387596899224651</v>
      </c>
      <c r="Q776">
        <f t="shared" si="1005"/>
        <v>18868764.331007693</v>
      </c>
      <c r="R776">
        <f t="shared" si="1006"/>
        <v>139583881.09893826</v>
      </c>
      <c r="S776">
        <f t="shared" si="1007"/>
        <v>1395.8388109893826</v>
      </c>
      <c r="T776">
        <f t="shared" si="1008"/>
        <v>1.3958388109893827</v>
      </c>
    </row>
    <row r="777" spans="1:20" x14ac:dyDescent="0.25">
      <c r="A777" s="5">
        <v>43816</v>
      </c>
      <c r="B777">
        <v>0.1731</v>
      </c>
      <c r="C777">
        <v>0.17549999999999999</v>
      </c>
      <c r="D777">
        <v>0.1515</v>
      </c>
      <c r="E777">
        <v>0.155</v>
      </c>
      <c r="F777">
        <v>10631499.369999999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-0.70833333333333304</v>
      </c>
      <c r="Q777">
        <f t="shared" si="1005"/>
        <v>-7530645.3870833293</v>
      </c>
      <c r="R777">
        <f t="shared" si="1006"/>
        <v>120715116.76793057</v>
      </c>
      <c r="S777">
        <f t="shared" si="1007"/>
        <v>1207.1511676793057</v>
      </c>
      <c r="T777">
        <f t="shared" si="1008"/>
        <v>1.2071511676793056</v>
      </c>
    </row>
    <row r="778" spans="1:20" x14ac:dyDescent="0.25">
      <c r="A778" s="5">
        <v>43815</v>
      </c>
      <c r="B778">
        <v>0.18740000000000001</v>
      </c>
      <c r="C778">
        <v>0.18970000000000001</v>
      </c>
      <c r="D778">
        <v>0.17180000000000001</v>
      </c>
      <c r="E778">
        <v>0.17369999999999999</v>
      </c>
      <c r="F778">
        <v>4553766.1100000003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-0.78770949720670558</v>
      </c>
      <c r="Q778">
        <f t="shared" si="1005"/>
        <v>-3587044.8129050359</v>
      </c>
      <c r="R778">
        <f t="shared" si="1006"/>
        <v>128245762.15501389</v>
      </c>
      <c r="S778">
        <f t="shared" si="1007"/>
        <v>1282.4576215501388</v>
      </c>
      <c r="T778">
        <f t="shared" si="1008"/>
        <v>1.2824576215501389</v>
      </c>
    </row>
    <row r="779" spans="1:20" x14ac:dyDescent="0.25">
      <c r="A779" s="5">
        <v>43814</v>
      </c>
      <c r="B779">
        <v>0.18870000000000001</v>
      </c>
      <c r="C779">
        <v>0.1908</v>
      </c>
      <c r="D779">
        <v>0.18629999999999999</v>
      </c>
      <c r="E779">
        <v>0.18720000000000001</v>
      </c>
      <c r="F779">
        <v>2493047.5699999998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-0.59999999999999509</v>
      </c>
      <c r="Q779">
        <f t="shared" si="1005"/>
        <v>-1495828.5419999876</v>
      </c>
      <c r="R779">
        <f t="shared" si="1006"/>
        <v>131832806.96791892</v>
      </c>
      <c r="S779">
        <f t="shared" si="1007"/>
        <v>1318.3280696791892</v>
      </c>
      <c r="T779">
        <f t="shared" si="1008"/>
        <v>1.3183280696791893</v>
      </c>
    </row>
    <row r="780" spans="1:20" x14ac:dyDescent="0.25">
      <c r="A780" s="5">
        <v>43813</v>
      </c>
      <c r="B780">
        <v>0.19350000000000001</v>
      </c>
      <c r="C780">
        <v>0.19400000000000001</v>
      </c>
      <c r="D780">
        <v>0.18559999999999999</v>
      </c>
      <c r="E780">
        <v>0.1893</v>
      </c>
      <c r="F780">
        <v>1855349.35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-0.11904761904761889</v>
      </c>
      <c r="Q780">
        <f t="shared" si="1005"/>
        <v>-220874.92261904734</v>
      </c>
      <c r="R780">
        <f t="shared" si="1006"/>
        <v>133328635.5099189</v>
      </c>
      <c r="S780">
        <f t="shared" si="1007"/>
        <v>1333.286355099189</v>
      </c>
      <c r="T780">
        <f t="shared" si="1008"/>
        <v>1.3332863550991889</v>
      </c>
    </row>
    <row r="781" spans="1:20" x14ac:dyDescent="0.25">
      <c r="A781" s="5">
        <v>43812</v>
      </c>
      <c r="B781">
        <v>0.19339999999999999</v>
      </c>
      <c r="C781">
        <v>0.19500000000000001</v>
      </c>
      <c r="D781">
        <v>0.18920000000000001</v>
      </c>
      <c r="E781">
        <v>0.1933</v>
      </c>
      <c r="F781">
        <v>3313082.87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0.41379310344827341</v>
      </c>
      <c r="Q781">
        <f t="shared" si="1005"/>
        <v>1370930.8427586127</v>
      </c>
      <c r="R781">
        <f t="shared" si="1006"/>
        <v>133549510.43253794</v>
      </c>
      <c r="S781">
        <f t="shared" si="1007"/>
        <v>1335.4951043253795</v>
      </c>
      <c r="T781">
        <f t="shared" si="1008"/>
        <v>1.3354951043253795</v>
      </c>
    </row>
    <row r="782" spans="1:20" x14ac:dyDescent="0.25">
      <c r="A782" s="5">
        <v>43811</v>
      </c>
      <c r="B782">
        <v>0.1993</v>
      </c>
      <c r="C782">
        <v>0.20039999999999999</v>
      </c>
      <c r="D782">
        <v>0.1925</v>
      </c>
      <c r="E782">
        <v>0.19400000000000001</v>
      </c>
      <c r="F782">
        <v>1621520.51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-0.62025316455696122</v>
      </c>
      <c r="Q782">
        <f t="shared" si="1005"/>
        <v>-1005753.2277215177</v>
      </c>
      <c r="R782">
        <f t="shared" si="1006"/>
        <v>132178579.58977933</v>
      </c>
      <c r="S782">
        <f t="shared" si="1007"/>
        <v>1321.7857958977934</v>
      </c>
      <c r="T782">
        <f t="shared" si="1008"/>
        <v>1.3217857958977934</v>
      </c>
    </row>
    <row r="783" spans="1:20" x14ac:dyDescent="0.25">
      <c r="A783" s="5">
        <v>43810</v>
      </c>
      <c r="B783">
        <v>0.1976</v>
      </c>
      <c r="C783">
        <v>0.19989999999999999</v>
      </c>
      <c r="D783">
        <v>0.19550000000000001</v>
      </c>
      <c r="E783">
        <v>0.19889999999999999</v>
      </c>
      <c r="F783">
        <v>1433369.15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0.54545454545454375</v>
      </c>
      <c r="Q783">
        <f t="shared" si="1005"/>
        <v>781837.7181818157</v>
      </c>
      <c r="R783">
        <f t="shared" si="1006"/>
        <v>133184332.81750084</v>
      </c>
      <c r="S783">
        <f t="shared" si="1007"/>
        <v>1331.8433281750085</v>
      </c>
      <c r="T783">
        <f t="shared" si="1008"/>
        <v>1.3318433281750086</v>
      </c>
    </row>
    <row r="784" spans="1:20" x14ac:dyDescent="0.25">
      <c r="A784" s="5">
        <v>43809</v>
      </c>
      <c r="B784">
        <v>0.2019</v>
      </c>
      <c r="C784">
        <v>0.20380000000000001</v>
      </c>
      <c r="D784">
        <v>0.19439999999999999</v>
      </c>
      <c r="E784">
        <v>0.1973</v>
      </c>
      <c r="F784">
        <v>3101462.07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-0.38297872340425371</v>
      </c>
      <c r="Q784">
        <f t="shared" si="1005"/>
        <v>-1187793.9842553141</v>
      </c>
      <c r="R784">
        <f t="shared" si="1006"/>
        <v>132402495.09931903</v>
      </c>
      <c r="S784">
        <f t="shared" si="1007"/>
        <v>1324.0249509931903</v>
      </c>
      <c r="T784">
        <f t="shared" si="1008"/>
        <v>1.3240249509931903</v>
      </c>
    </row>
    <row r="785" spans="1:20" x14ac:dyDescent="0.25">
      <c r="A785" s="5">
        <v>43808</v>
      </c>
      <c r="B785">
        <v>0.20610000000000001</v>
      </c>
      <c r="C785">
        <v>0.21190000000000001</v>
      </c>
      <c r="D785">
        <v>0.20019999999999999</v>
      </c>
      <c r="E785">
        <v>0.2019</v>
      </c>
      <c r="F785">
        <v>2355638.94</v>
      </c>
      <c r="G785">
        <v>0</v>
      </c>
      <c r="L785" t="s">
        <v>8</v>
      </c>
      <c r="M785" t="s">
        <v>7</v>
      </c>
      <c r="N785" t="s">
        <v>7</v>
      </c>
      <c r="P785">
        <f t="shared" si="1004"/>
        <v>-0.70940170940170855</v>
      </c>
      <c r="Q785">
        <f t="shared" si="1005"/>
        <v>-1671094.2907692287</v>
      </c>
      <c r="R785">
        <f t="shared" si="1006"/>
        <v>133590289.08357434</v>
      </c>
      <c r="S785">
        <f t="shared" si="1007"/>
        <v>1335.9028908357434</v>
      </c>
      <c r="T785">
        <f t="shared" si="1008"/>
        <v>1.3359028908357433</v>
      </c>
    </row>
    <row r="786" spans="1:20" x14ac:dyDescent="0.25">
      <c r="A786" s="5">
        <v>43807</v>
      </c>
      <c r="B786">
        <v>0.2039</v>
      </c>
      <c r="C786">
        <v>0.2069</v>
      </c>
      <c r="D786">
        <v>0.2014</v>
      </c>
      <c r="E786">
        <v>0.2064</v>
      </c>
      <c r="F786">
        <v>1101020.1100000001</v>
      </c>
      <c r="G786">
        <v>0</v>
      </c>
      <c r="L786" t="s">
        <v>7</v>
      </c>
      <c r="M786" t="s">
        <v>7</v>
      </c>
      <c r="N786" t="s">
        <v>7</v>
      </c>
      <c r="P786">
        <f t="shared" si="1004"/>
        <v>0.81818181818181823</v>
      </c>
      <c r="Q786">
        <f t="shared" si="1005"/>
        <v>900834.63545454561</v>
      </c>
      <c r="R786">
        <f t="shared" si="1006"/>
        <v>135261383.37434357</v>
      </c>
      <c r="S786">
        <f t="shared" si="1007"/>
        <v>1352.6138337434356</v>
      </c>
      <c r="T786">
        <f t="shared" si="1008"/>
        <v>1.3526138337434357</v>
      </c>
    </row>
    <row r="787" spans="1:20" x14ac:dyDescent="0.25">
      <c r="A787" s="5">
        <v>43806</v>
      </c>
      <c r="B787">
        <v>0.20480000000000001</v>
      </c>
      <c r="C787">
        <v>0.20799999999999999</v>
      </c>
      <c r="D787">
        <v>0.2031</v>
      </c>
      <c r="E787">
        <v>0.2046</v>
      </c>
      <c r="F787">
        <v>1023753.27</v>
      </c>
      <c r="G787">
        <v>0</v>
      </c>
      <c r="L787" t="s">
        <v>7</v>
      </c>
      <c r="M787" t="s">
        <v>7</v>
      </c>
      <c r="N787" t="s">
        <v>7</v>
      </c>
      <c r="P787">
        <f t="shared" si="1004"/>
        <v>-0.38775510204081426</v>
      </c>
      <c r="Q787">
        <f t="shared" si="1005"/>
        <v>-396965.55367346725</v>
      </c>
      <c r="R787">
        <f t="shared" si="1006"/>
        <v>134360548.73888904</v>
      </c>
      <c r="S787">
        <f t="shared" si="1007"/>
        <v>1343.6054873888904</v>
      </c>
      <c r="T787">
        <f t="shared" si="1008"/>
        <v>1.3436054873888905</v>
      </c>
    </row>
    <row r="788" spans="1:20" x14ac:dyDescent="0.25">
      <c r="A788" s="5">
        <v>43805</v>
      </c>
      <c r="B788">
        <v>0.2041</v>
      </c>
      <c r="C788">
        <v>0.20610000000000001</v>
      </c>
      <c r="D788">
        <v>0.2</v>
      </c>
      <c r="E788">
        <v>0.20480000000000001</v>
      </c>
      <c r="F788">
        <v>1967008.98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0.57377049180327977</v>
      </c>
      <c r="Q788">
        <f t="shared" si="1005"/>
        <v>1128611.7098360676</v>
      </c>
      <c r="R788">
        <f t="shared" si="1006"/>
        <v>134757514.29256251</v>
      </c>
      <c r="S788">
        <f t="shared" si="1007"/>
        <v>1347.5751429256252</v>
      </c>
      <c r="T788">
        <f t="shared" si="1008"/>
        <v>1.3475751429256251</v>
      </c>
    </row>
    <row r="789" spans="1:20" x14ac:dyDescent="0.25">
      <c r="A789" s="5">
        <v>43804</v>
      </c>
      <c r="B789">
        <v>0.1963</v>
      </c>
      <c r="C789">
        <v>0.2056</v>
      </c>
      <c r="D789">
        <v>0.1956</v>
      </c>
      <c r="E789">
        <v>0.2036</v>
      </c>
      <c r="F789">
        <v>3043781.41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0.6</v>
      </c>
      <c r="Q789">
        <f t="shared" si="1005"/>
        <v>1826268.8460000001</v>
      </c>
      <c r="R789">
        <f t="shared" si="1006"/>
        <v>133628902.58272645</v>
      </c>
      <c r="S789">
        <f t="shared" si="1007"/>
        <v>1336.2890258272646</v>
      </c>
      <c r="T789">
        <f t="shared" si="1008"/>
        <v>1.3362890258272646</v>
      </c>
    </row>
    <row r="790" spans="1:20" x14ac:dyDescent="0.25">
      <c r="A790" s="5">
        <v>43803</v>
      </c>
      <c r="B790">
        <v>0.20269999999999999</v>
      </c>
      <c r="C790">
        <v>0.2099</v>
      </c>
      <c r="D790">
        <v>0.1933</v>
      </c>
      <c r="E790">
        <v>0.1966</v>
      </c>
      <c r="F790">
        <v>3457906.59</v>
      </c>
      <c r="G790">
        <v>0</v>
      </c>
      <c r="L790" t="s">
        <v>8</v>
      </c>
      <c r="M790" t="s">
        <v>7</v>
      </c>
      <c r="N790" t="s">
        <v>7</v>
      </c>
      <c r="P790">
        <f t="shared" si="1004"/>
        <v>-0.60240963855421725</v>
      </c>
      <c r="Q790">
        <f t="shared" si="1005"/>
        <v>-2083076.2590361459</v>
      </c>
      <c r="R790">
        <f t="shared" si="1006"/>
        <v>131802633.73672645</v>
      </c>
      <c r="S790">
        <f t="shared" si="1007"/>
        <v>1318.0263373672644</v>
      </c>
      <c r="T790">
        <f t="shared" si="1008"/>
        <v>1.3180263373672645</v>
      </c>
    </row>
    <row r="791" spans="1:20" x14ac:dyDescent="0.25">
      <c r="A791" s="5">
        <v>43802</v>
      </c>
      <c r="B791">
        <v>0.2077</v>
      </c>
      <c r="C791">
        <v>0.2097</v>
      </c>
      <c r="D791">
        <v>0.1875</v>
      </c>
      <c r="E791">
        <v>0.20330000000000001</v>
      </c>
      <c r="F791">
        <v>3897974.76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0.42342342342342437</v>
      </c>
      <c r="Q791">
        <f t="shared" si="1005"/>
        <v>1650493.8172973008</v>
      </c>
      <c r="R791">
        <f t="shared" si="1006"/>
        <v>133885709.99576259</v>
      </c>
      <c r="S791">
        <f t="shared" si="1007"/>
        <v>1338.8570999576259</v>
      </c>
      <c r="T791">
        <f t="shared" si="1008"/>
        <v>1.3388570999576259</v>
      </c>
    </row>
    <row r="792" spans="1:20" x14ac:dyDescent="0.25">
      <c r="A792" s="5">
        <v>43801</v>
      </c>
      <c r="B792">
        <v>0.2054</v>
      </c>
      <c r="C792">
        <v>0.22</v>
      </c>
      <c r="D792">
        <v>0.1966</v>
      </c>
      <c r="E792">
        <v>0.20780000000000001</v>
      </c>
      <c r="F792">
        <v>3841616.54</v>
      </c>
      <c r="G792">
        <v>0</v>
      </c>
      <c r="L792" t="s">
        <v>8</v>
      </c>
      <c r="M792" t="s">
        <v>7</v>
      </c>
      <c r="N792" t="s">
        <v>7</v>
      </c>
      <c r="P792">
        <f t="shared" si="1004"/>
        <v>-4.2735042735041577E-2</v>
      </c>
      <c r="Q792">
        <f t="shared" si="1005"/>
        <v>-164171.64700854255</v>
      </c>
      <c r="R792">
        <f t="shared" si="1006"/>
        <v>132235216.17846529</v>
      </c>
      <c r="S792">
        <f t="shared" si="1007"/>
        <v>1322.3521617846529</v>
      </c>
      <c r="T792">
        <f t="shared" si="1008"/>
        <v>1.322352161784653</v>
      </c>
    </row>
    <row r="793" spans="1:20" x14ac:dyDescent="0.25">
      <c r="A793" s="5">
        <v>43800</v>
      </c>
      <c r="B793">
        <v>0.20960000000000001</v>
      </c>
      <c r="C793">
        <v>0.20979999999999999</v>
      </c>
      <c r="D793">
        <v>0.19689999999999999</v>
      </c>
      <c r="E793">
        <v>0.2049</v>
      </c>
      <c r="F793">
        <v>2267692.52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0.24031007751938144</v>
      </c>
      <c r="Q793">
        <f t="shared" si="1005"/>
        <v>544949.3652713215</v>
      </c>
      <c r="R793">
        <f t="shared" si="1006"/>
        <v>132399387.82547383</v>
      </c>
      <c r="S793">
        <f t="shared" si="1007"/>
        <v>1323.9938782547383</v>
      </c>
      <c r="T793">
        <f t="shared" si="1008"/>
        <v>1.3239938782547382</v>
      </c>
    </row>
    <row r="794" spans="1:20" x14ac:dyDescent="0.25">
      <c r="A794" s="5">
        <v>43799</v>
      </c>
      <c r="B794">
        <v>0.21759999999999999</v>
      </c>
      <c r="C794">
        <v>0.21890000000000001</v>
      </c>
      <c r="D794">
        <v>0.20419999999999999</v>
      </c>
      <c r="E794">
        <v>0.20960000000000001</v>
      </c>
      <c r="F794">
        <v>3461986.24</v>
      </c>
      <c r="G794">
        <v>0</v>
      </c>
      <c r="L794" t="s">
        <v>7</v>
      </c>
      <c r="M794" t="s">
        <v>7</v>
      </c>
      <c r="N794" t="s">
        <v>7</v>
      </c>
      <c r="P794">
        <f t="shared" si="1004"/>
        <v>-0.26530612244897833</v>
      </c>
      <c r="Q794">
        <f t="shared" si="1005"/>
        <v>-918486.14530611818</v>
      </c>
      <c r="R794">
        <f t="shared" si="1006"/>
        <v>131854438.46020252</v>
      </c>
      <c r="S794">
        <f t="shared" si="1007"/>
        <v>1318.544384602025</v>
      </c>
      <c r="T794">
        <f t="shared" si="1008"/>
        <v>1.3185443846020251</v>
      </c>
    </row>
    <row r="795" spans="1:20" x14ac:dyDescent="0.25">
      <c r="A795" s="5">
        <v>43798</v>
      </c>
      <c r="B795">
        <v>0.20979999999999999</v>
      </c>
      <c r="C795">
        <v>0.219</v>
      </c>
      <c r="D795">
        <v>0.20949999999999999</v>
      </c>
      <c r="E795">
        <v>0.21759999999999999</v>
      </c>
      <c r="F795">
        <v>2429925.71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0.70526315789473448</v>
      </c>
      <c r="Q795">
        <f t="shared" si="1005"/>
        <v>1713737.0796842047</v>
      </c>
      <c r="R795">
        <f t="shared" si="1006"/>
        <v>132772924.60550864</v>
      </c>
      <c r="S795">
        <f t="shared" si="1007"/>
        <v>1327.7292460550864</v>
      </c>
      <c r="T795">
        <f t="shared" si="1008"/>
        <v>1.3277292460550865</v>
      </c>
    </row>
    <row r="796" spans="1:20" x14ac:dyDescent="0.25">
      <c r="A796" s="5">
        <v>43797</v>
      </c>
      <c r="B796">
        <v>0.21199999999999999</v>
      </c>
      <c r="C796">
        <v>0.21510000000000001</v>
      </c>
      <c r="D796">
        <v>0.20749999999999999</v>
      </c>
      <c r="E796">
        <v>0.2097</v>
      </c>
      <c r="F796">
        <v>2060175.8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-0.42105263157894718</v>
      </c>
      <c r="Q796">
        <f t="shared" si="1005"/>
        <v>-867442.44210526277</v>
      </c>
      <c r="R796">
        <f t="shared" si="1006"/>
        <v>131059187.52582444</v>
      </c>
      <c r="S796">
        <f t="shared" si="1007"/>
        <v>1310.5918752582445</v>
      </c>
      <c r="T796">
        <f t="shared" si="1008"/>
        <v>1.3105918752582446</v>
      </c>
    </row>
    <row r="797" spans="1:20" x14ac:dyDescent="0.25">
      <c r="A797" s="5">
        <v>43796</v>
      </c>
      <c r="B797">
        <v>0.21179999999999999</v>
      </c>
      <c r="C797">
        <v>0.21729999999999999</v>
      </c>
      <c r="D797">
        <v>0.2</v>
      </c>
      <c r="E797">
        <v>0.21160000000000001</v>
      </c>
      <c r="F797">
        <v>3277812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0.34104046242774694</v>
      </c>
      <c r="Q797">
        <f t="shared" si="1005"/>
        <v>1117866.5202312181</v>
      </c>
      <c r="R797">
        <f t="shared" si="1006"/>
        <v>131926629.96792971</v>
      </c>
      <c r="S797">
        <f t="shared" si="1007"/>
        <v>1319.2662996792972</v>
      </c>
      <c r="T797">
        <f t="shared" si="1008"/>
        <v>1.3192662996792972</v>
      </c>
    </row>
    <row r="798" spans="1:20" x14ac:dyDescent="0.25">
      <c r="A798" s="5">
        <v>43795</v>
      </c>
      <c r="B798">
        <v>0.2089</v>
      </c>
      <c r="C798">
        <v>0.21290000000000001</v>
      </c>
      <c r="D798">
        <v>0.20319999999999999</v>
      </c>
      <c r="E798">
        <v>0.21179999999999999</v>
      </c>
      <c r="F798">
        <v>1926316.84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0.77319587628865649</v>
      </c>
      <c r="Q798">
        <f t="shared" si="1005"/>
        <v>1489420.2371133957</v>
      </c>
      <c r="R798">
        <f t="shared" si="1006"/>
        <v>130808763.44769849</v>
      </c>
      <c r="S798">
        <f t="shared" si="1007"/>
        <v>1308.0876344769849</v>
      </c>
      <c r="T798">
        <f t="shared" si="1008"/>
        <v>1.308087634476985</v>
      </c>
    </row>
    <row r="799" spans="1:20" x14ac:dyDescent="0.25">
      <c r="A799" s="5">
        <v>43794</v>
      </c>
      <c r="B799">
        <v>0.20119999999999999</v>
      </c>
      <c r="C799">
        <v>0.21990000000000001</v>
      </c>
      <c r="D799">
        <v>0.189</v>
      </c>
      <c r="E799">
        <v>0.20880000000000001</v>
      </c>
      <c r="F799">
        <v>3876942.4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0.28155339805825275</v>
      </c>
      <c r="Q799">
        <f t="shared" si="1005"/>
        <v>1091566.3067961177</v>
      </c>
      <c r="R799">
        <f t="shared" si="1006"/>
        <v>129319343.21058509</v>
      </c>
      <c r="S799">
        <f t="shared" si="1007"/>
        <v>1293.1934321058509</v>
      </c>
      <c r="T799">
        <f t="shared" si="1008"/>
        <v>1.2931934321058509</v>
      </c>
    </row>
    <row r="800" spans="1:20" x14ac:dyDescent="0.25">
      <c r="A800" s="5">
        <v>43793</v>
      </c>
      <c r="B800">
        <v>0.21529999999999999</v>
      </c>
      <c r="C800">
        <v>0.21640000000000001</v>
      </c>
      <c r="D800">
        <v>0.1991</v>
      </c>
      <c r="E800">
        <v>0.20119999999999999</v>
      </c>
      <c r="F800">
        <v>2500960.4900000002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-0.75722543352601279</v>
      </c>
      <c r="Q800">
        <f t="shared" si="1005"/>
        <v>-1893790.8912716797</v>
      </c>
      <c r="R800">
        <f t="shared" si="1006"/>
        <v>128227776.90378897</v>
      </c>
      <c r="S800">
        <f t="shared" si="1007"/>
        <v>1282.2777690378896</v>
      </c>
      <c r="T800">
        <f t="shared" si="1008"/>
        <v>1.2822777690378895</v>
      </c>
    </row>
    <row r="801" spans="1:20" x14ac:dyDescent="0.25">
      <c r="A801" s="5">
        <v>43792</v>
      </c>
      <c r="B801">
        <v>0.20849999999999999</v>
      </c>
      <c r="C801">
        <v>0.21609999999999999</v>
      </c>
      <c r="D801">
        <v>0.20300000000000001</v>
      </c>
      <c r="E801">
        <v>0.215</v>
      </c>
      <c r="F801">
        <v>1907367.14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0.83206106870229124</v>
      </c>
      <c r="Q801">
        <f t="shared" si="1005"/>
        <v>1587045.9409160328</v>
      </c>
      <c r="R801">
        <f t="shared" si="1006"/>
        <v>130121567.79506065</v>
      </c>
      <c r="S801">
        <f t="shared" si="1007"/>
        <v>1301.2156779506065</v>
      </c>
      <c r="T801">
        <f t="shared" si="1008"/>
        <v>1.3012156779506066</v>
      </c>
    </row>
    <row r="802" spans="1:20" x14ac:dyDescent="0.25">
      <c r="A802" s="5">
        <v>43791</v>
      </c>
      <c r="B802">
        <v>0.2271</v>
      </c>
      <c r="C802">
        <v>0.22950000000000001</v>
      </c>
      <c r="D802">
        <v>0.18210000000000001</v>
      </c>
      <c r="E802">
        <v>0.2084</v>
      </c>
      <c r="F802">
        <v>10410902.189999999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0.1097046413502106</v>
      </c>
      <c r="Q802">
        <f t="shared" si="1005"/>
        <v>1142124.290886072</v>
      </c>
      <c r="R802">
        <f t="shared" si="1006"/>
        <v>128534521.85414462</v>
      </c>
      <c r="S802">
        <f t="shared" si="1007"/>
        <v>1285.3452185414462</v>
      </c>
      <c r="T802">
        <f t="shared" si="1008"/>
        <v>1.2853452185414462</v>
      </c>
    </row>
    <row r="803" spans="1:20" x14ac:dyDescent="0.25">
      <c r="A803" s="5">
        <v>43790</v>
      </c>
      <c r="B803">
        <v>0.24079999999999999</v>
      </c>
      <c r="C803">
        <v>0.24199999999999999</v>
      </c>
      <c r="D803">
        <v>0.21940000000000001</v>
      </c>
      <c r="E803">
        <v>0.22700000000000001</v>
      </c>
      <c r="F803">
        <v>3576943.35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-0.32743362831858391</v>
      </c>
      <c r="Q803">
        <f t="shared" si="1005"/>
        <v>-1171211.5393805304</v>
      </c>
      <c r="R803">
        <f t="shared" si="1006"/>
        <v>127392397.56325854</v>
      </c>
      <c r="S803">
        <f t="shared" si="1007"/>
        <v>1273.9239756325853</v>
      </c>
      <c r="T803">
        <f t="shared" si="1008"/>
        <v>1.2739239756325853</v>
      </c>
    </row>
    <row r="804" spans="1:20" x14ac:dyDescent="0.25">
      <c r="A804" s="5">
        <v>43789</v>
      </c>
      <c r="B804">
        <v>0.2457</v>
      </c>
      <c r="C804">
        <v>0.2477</v>
      </c>
      <c r="D804">
        <v>0.2389</v>
      </c>
      <c r="E804">
        <v>0.24079999999999999</v>
      </c>
      <c r="F804">
        <v>1654518.34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-0.56818181818182167</v>
      </c>
      <c r="Q804">
        <f t="shared" si="1005"/>
        <v>-940067.23863636947</v>
      </c>
      <c r="R804">
        <f t="shared" si="1006"/>
        <v>128563609.10263908</v>
      </c>
      <c r="S804">
        <f t="shared" si="1007"/>
        <v>1285.6360910263909</v>
      </c>
      <c r="T804">
        <f t="shared" si="1008"/>
        <v>1.2856360910263909</v>
      </c>
    </row>
    <row r="805" spans="1:20" x14ac:dyDescent="0.25">
      <c r="A805" s="5">
        <v>43788</v>
      </c>
      <c r="B805">
        <v>0.2492</v>
      </c>
      <c r="C805">
        <v>0.24979999999999999</v>
      </c>
      <c r="D805">
        <v>0.23899999999999999</v>
      </c>
      <c r="E805">
        <v>0.245</v>
      </c>
      <c r="F805">
        <v>1968003.86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0.11111111111111169</v>
      </c>
      <c r="Q805">
        <f t="shared" si="1005"/>
        <v>218667.09555555671</v>
      </c>
      <c r="R805">
        <f t="shared" si="1006"/>
        <v>129503676.34127545</v>
      </c>
      <c r="S805">
        <f t="shared" si="1007"/>
        <v>1295.0367634127545</v>
      </c>
      <c r="T805">
        <f t="shared" si="1008"/>
        <v>1.2950367634127544</v>
      </c>
    </row>
    <row r="806" spans="1:20" x14ac:dyDescent="0.25">
      <c r="A806" s="5">
        <v>43787</v>
      </c>
      <c r="B806">
        <v>0.25659999999999999</v>
      </c>
      <c r="C806">
        <v>0.26100000000000001</v>
      </c>
      <c r="D806">
        <v>0.2432</v>
      </c>
      <c r="E806">
        <v>0.24970000000000001</v>
      </c>
      <c r="F806">
        <v>2062420.57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-0.26966292134831438</v>
      </c>
      <c r="Q806">
        <f t="shared" si="1005"/>
        <v>-556158.35595505568</v>
      </c>
      <c r="R806">
        <f t="shared" si="1006"/>
        <v>129285009.24571989</v>
      </c>
      <c r="S806">
        <f t="shared" si="1007"/>
        <v>1292.850092457199</v>
      </c>
      <c r="T806">
        <f t="shared" si="1008"/>
        <v>1.2928500924571991</v>
      </c>
    </row>
    <row r="807" spans="1:20" x14ac:dyDescent="0.25">
      <c r="A807" s="5">
        <v>43786</v>
      </c>
      <c r="B807">
        <v>0.25619999999999998</v>
      </c>
      <c r="C807">
        <v>0.26029999999999998</v>
      </c>
      <c r="D807">
        <v>0.2545</v>
      </c>
      <c r="E807">
        <v>0.25659999999999999</v>
      </c>
      <c r="F807">
        <v>764800.94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-0.2758620689655169</v>
      </c>
      <c r="Q807">
        <f t="shared" si="1005"/>
        <v>-210979.56965517215</v>
      </c>
      <c r="R807">
        <f t="shared" si="1006"/>
        <v>129841167.60167494</v>
      </c>
      <c r="S807">
        <f t="shared" si="1007"/>
        <v>1298.4116760167494</v>
      </c>
      <c r="T807">
        <f t="shared" si="1008"/>
        <v>1.2984116760167494</v>
      </c>
    </row>
    <row r="808" spans="1:20" x14ac:dyDescent="0.25">
      <c r="A808" s="5">
        <v>43785</v>
      </c>
      <c r="B808">
        <v>0.25850000000000001</v>
      </c>
      <c r="C808">
        <v>0.25890000000000002</v>
      </c>
      <c r="D808">
        <v>0.25430000000000003</v>
      </c>
      <c r="E808">
        <v>0.25640000000000002</v>
      </c>
      <c r="F808">
        <v>1294735.79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-8.6956521739133055E-2</v>
      </c>
      <c r="Q808">
        <f t="shared" si="1005"/>
        <v>-112585.72086956861</v>
      </c>
      <c r="R808">
        <f t="shared" si="1006"/>
        <v>130052147.17133011</v>
      </c>
      <c r="S808">
        <f t="shared" si="1007"/>
        <v>1300.521471713301</v>
      </c>
      <c r="T808">
        <f t="shared" si="1008"/>
        <v>1.3005214717133011</v>
      </c>
    </row>
    <row r="809" spans="1:20" x14ac:dyDescent="0.25">
      <c r="A809" s="5">
        <v>43784</v>
      </c>
      <c r="B809">
        <v>0.26369999999999999</v>
      </c>
      <c r="C809">
        <v>0.26490000000000002</v>
      </c>
      <c r="D809">
        <v>0.25009999999999999</v>
      </c>
      <c r="E809">
        <v>0.25850000000000001</v>
      </c>
      <c r="F809">
        <v>3282919.79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0.13513513513513492</v>
      </c>
      <c r="Q809">
        <f t="shared" si="1005"/>
        <v>443637.80945945875</v>
      </c>
      <c r="R809">
        <f t="shared" si="1006"/>
        <v>130164732.89219968</v>
      </c>
      <c r="S809">
        <f t="shared" si="1007"/>
        <v>1301.6473289219969</v>
      </c>
      <c r="T809">
        <f t="shared" si="1008"/>
        <v>1.3016473289219967</v>
      </c>
    </row>
    <row r="810" spans="1:20" x14ac:dyDescent="0.25">
      <c r="A810" s="5">
        <v>43783</v>
      </c>
      <c r="B810">
        <v>0.25769999999999998</v>
      </c>
      <c r="C810">
        <v>0.26889999999999997</v>
      </c>
      <c r="D810">
        <v>0.255</v>
      </c>
      <c r="E810">
        <v>0.2636</v>
      </c>
      <c r="F810">
        <v>5987799.25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0.2374100719424484</v>
      </c>
      <c r="Q810">
        <f t="shared" si="1005"/>
        <v>1421563.8507194386</v>
      </c>
      <c r="R810">
        <f t="shared" si="1006"/>
        <v>129721095.08274022</v>
      </c>
      <c r="S810">
        <f t="shared" si="1007"/>
        <v>1297.2109508274023</v>
      </c>
      <c r="T810">
        <f t="shared" si="1008"/>
        <v>1.2972109508274023</v>
      </c>
    </row>
    <row r="811" spans="1:20" x14ac:dyDescent="0.25">
      <c r="A811" s="5">
        <v>43782</v>
      </c>
      <c r="B811">
        <v>0.26069999999999999</v>
      </c>
      <c r="C811">
        <v>0.26190000000000002</v>
      </c>
      <c r="D811">
        <v>0.25700000000000001</v>
      </c>
      <c r="E811">
        <v>0.25779999999999997</v>
      </c>
      <c r="F811">
        <v>1305940.27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-0.67346938775511633</v>
      </c>
      <c r="Q811">
        <f t="shared" si="1005"/>
        <v>-879510.79408165137</v>
      </c>
      <c r="R811">
        <f t="shared" si="1006"/>
        <v>128299531.23202078</v>
      </c>
      <c r="S811">
        <f t="shared" si="1007"/>
        <v>1282.9953123202079</v>
      </c>
      <c r="T811">
        <f t="shared" si="1008"/>
        <v>1.2829953123202078</v>
      </c>
    </row>
    <row r="812" spans="1:20" x14ac:dyDescent="0.25">
      <c r="A812" s="5">
        <v>43781</v>
      </c>
      <c r="B812">
        <v>0.25740000000000002</v>
      </c>
      <c r="C812">
        <v>0.26390000000000002</v>
      </c>
      <c r="D812">
        <v>0.25650000000000001</v>
      </c>
      <c r="E812">
        <v>0.26050000000000001</v>
      </c>
      <c r="F812">
        <v>1980127.13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8.1081081081079462E-2</v>
      </c>
      <c r="Q812">
        <f t="shared" si="1005"/>
        <v>160550.84837837517</v>
      </c>
      <c r="R812">
        <f t="shared" si="1006"/>
        <v>129179042.02610244</v>
      </c>
      <c r="S812">
        <f t="shared" si="1007"/>
        <v>1291.7904202610243</v>
      </c>
      <c r="T812">
        <f t="shared" si="1008"/>
        <v>1.2917904202610244</v>
      </c>
    </row>
    <row r="813" spans="1:20" x14ac:dyDescent="0.25">
      <c r="A813" s="5">
        <v>43780</v>
      </c>
      <c r="B813">
        <v>0.26679999999999998</v>
      </c>
      <c r="C813">
        <v>0.26800000000000002</v>
      </c>
      <c r="D813">
        <v>0.25590000000000002</v>
      </c>
      <c r="E813">
        <v>0.25769999999999998</v>
      </c>
      <c r="F813">
        <v>2179337.08</v>
      </c>
      <c r="G813">
        <v>0</v>
      </c>
      <c r="L813" t="s">
        <v>7</v>
      </c>
      <c r="M813" t="s">
        <v>8</v>
      </c>
      <c r="N813" t="s">
        <v>7</v>
      </c>
      <c r="P813">
        <f t="shared" si="1004"/>
        <v>-0.70247933884298042</v>
      </c>
      <c r="Q813">
        <f t="shared" si="1005"/>
        <v>-1530939.2710743917</v>
      </c>
      <c r="R813">
        <f t="shared" si="1006"/>
        <v>129018491.17772406</v>
      </c>
      <c r="S813">
        <f t="shared" si="1007"/>
        <v>1290.1849117772406</v>
      </c>
      <c r="T813">
        <f t="shared" si="1008"/>
        <v>1.2901849117772406</v>
      </c>
    </row>
    <row r="814" spans="1:20" x14ac:dyDescent="0.25">
      <c r="A814" s="5">
        <v>43779</v>
      </c>
      <c r="B814">
        <v>0.2661</v>
      </c>
      <c r="C814">
        <v>0.26919999999999999</v>
      </c>
      <c r="D814">
        <v>0.26329999999999998</v>
      </c>
      <c r="E814">
        <v>0.26690000000000003</v>
      </c>
      <c r="F814">
        <v>1301895.07</v>
      </c>
      <c r="G814">
        <v>0</v>
      </c>
      <c r="L814" t="s">
        <v>7</v>
      </c>
      <c r="M814" t="s">
        <v>8</v>
      </c>
      <c r="N814" t="s">
        <v>7</v>
      </c>
      <c r="P814">
        <f t="shared" si="1004"/>
        <v>0.22033898305086022</v>
      </c>
      <c r="Q814">
        <f t="shared" si="1005"/>
        <v>286858.23576272849</v>
      </c>
      <c r="R814">
        <f t="shared" si="1006"/>
        <v>130549430.44879845</v>
      </c>
      <c r="S814">
        <f t="shared" si="1007"/>
        <v>1305.4943044879844</v>
      </c>
      <c r="T814">
        <f t="shared" si="1008"/>
        <v>1.3054943044879845</v>
      </c>
    </row>
    <row r="815" spans="1:20" x14ac:dyDescent="0.25">
      <c r="A815" s="5">
        <v>43778</v>
      </c>
      <c r="B815">
        <v>0.26490000000000002</v>
      </c>
      <c r="C815">
        <v>0.26679999999999998</v>
      </c>
      <c r="D815">
        <v>0.26200000000000001</v>
      </c>
      <c r="E815">
        <v>0.2661</v>
      </c>
      <c r="F815">
        <v>1111045.33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0.70833333333334059</v>
      </c>
      <c r="Q815">
        <f t="shared" si="1005"/>
        <v>786990.44208334142</v>
      </c>
      <c r="R815">
        <f t="shared" si="1006"/>
        <v>130262572.21303572</v>
      </c>
      <c r="S815">
        <f t="shared" si="1007"/>
        <v>1302.6257221303572</v>
      </c>
      <c r="T815">
        <f t="shared" si="1008"/>
        <v>1.3026257221303572</v>
      </c>
    </row>
    <row r="816" spans="1:20" x14ac:dyDescent="0.25">
      <c r="A816" s="5">
        <v>43777</v>
      </c>
      <c r="B816">
        <v>0.27029999999999998</v>
      </c>
      <c r="C816">
        <v>0.27189999999999998</v>
      </c>
      <c r="D816">
        <v>0.26</v>
      </c>
      <c r="E816">
        <v>0.26490000000000002</v>
      </c>
      <c r="F816">
        <v>2617031.5099999998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-0.17647058823528919</v>
      </c>
      <c r="Q816">
        <f t="shared" si="1005"/>
        <v>-461829.08999998705</v>
      </c>
      <c r="R816">
        <f t="shared" si="1006"/>
        <v>129475581.77095237</v>
      </c>
      <c r="S816">
        <f t="shared" si="1007"/>
        <v>1294.7558177095236</v>
      </c>
      <c r="T816">
        <f t="shared" si="1008"/>
        <v>1.2947558177095235</v>
      </c>
    </row>
    <row r="817" spans="1:20" x14ac:dyDescent="0.25">
      <c r="A817" s="5">
        <v>43776</v>
      </c>
      <c r="B817">
        <v>0.27939999999999998</v>
      </c>
      <c r="C817">
        <v>0.28249999999999997</v>
      </c>
      <c r="D817">
        <v>0.26500000000000001</v>
      </c>
      <c r="E817">
        <v>0.2702</v>
      </c>
      <c r="F817">
        <v>3405946.95</v>
      </c>
      <c r="G817">
        <v>0</v>
      </c>
      <c r="L817" t="s">
        <v>7</v>
      </c>
      <c r="M817" t="s">
        <v>8</v>
      </c>
      <c r="N817" t="s">
        <v>7</v>
      </c>
      <c r="P817">
        <f t="shared" si="1004"/>
        <v>-0.40571428571428636</v>
      </c>
      <c r="Q817">
        <f t="shared" si="1005"/>
        <v>-1381841.3340000024</v>
      </c>
      <c r="R817">
        <f t="shared" si="1006"/>
        <v>129937410.86095236</v>
      </c>
      <c r="S817">
        <f t="shared" si="1007"/>
        <v>1299.3741086095235</v>
      </c>
      <c r="T817">
        <f t="shared" si="1008"/>
        <v>1.2993741086095236</v>
      </c>
    </row>
    <row r="818" spans="1:20" x14ac:dyDescent="0.25">
      <c r="A818" s="5">
        <v>43775</v>
      </c>
      <c r="B818">
        <v>0.27489999999999998</v>
      </c>
      <c r="C818">
        <v>0.2843</v>
      </c>
      <c r="D818">
        <v>0.27429999999999999</v>
      </c>
      <c r="E818">
        <v>0.27939999999999998</v>
      </c>
      <c r="F818">
        <v>2158758.85</v>
      </c>
      <c r="G818">
        <v>0</v>
      </c>
      <c r="L818" t="s">
        <v>7</v>
      </c>
      <c r="M818" t="s">
        <v>8</v>
      </c>
      <c r="N818" t="s">
        <v>7</v>
      </c>
      <c r="P818">
        <f t="shared" si="1004"/>
        <v>1.999999999999778E-2</v>
      </c>
      <c r="Q818">
        <f t="shared" si="1005"/>
        <v>43175.176999995208</v>
      </c>
      <c r="R818">
        <f t="shared" si="1006"/>
        <v>131319252.19495237</v>
      </c>
      <c r="S818">
        <f t="shared" si="1007"/>
        <v>1313.1925219495238</v>
      </c>
      <c r="T818">
        <f t="shared" si="1008"/>
        <v>1.3131925219495237</v>
      </c>
    </row>
    <row r="819" spans="1:20" x14ac:dyDescent="0.25">
      <c r="A819" s="5">
        <v>43774</v>
      </c>
      <c r="B819">
        <v>0.27400000000000002</v>
      </c>
      <c r="C819">
        <v>0.27729999999999999</v>
      </c>
      <c r="D819">
        <v>0.26860000000000001</v>
      </c>
      <c r="E819">
        <v>0.27460000000000001</v>
      </c>
      <c r="F819">
        <v>2515662.37</v>
      </c>
      <c r="G819">
        <v>0</v>
      </c>
      <c r="L819" t="s">
        <v>7</v>
      </c>
      <c r="M819" t="s">
        <v>8</v>
      </c>
      <c r="N819" t="s">
        <v>7</v>
      </c>
      <c r="P819">
        <f t="shared" si="1004"/>
        <v>0.37931034482758974</v>
      </c>
      <c r="Q819">
        <f t="shared" si="1005"/>
        <v>954216.7610344917</v>
      </c>
      <c r="R819">
        <f t="shared" si="1006"/>
        <v>131276077.01795237</v>
      </c>
      <c r="S819">
        <f t="shared" si="1007"/>
        <v>1312.7607701795237</v>
      </c>
      <c r="T819">
        <f t="shared" si="1008"/>
        <v>1.3127607701795236</v>
      </c>
    </row>
    <row r="820" spans="1:20" x14ac:dyDescent="0.25">
      <c r="A820" s="5">
        <v>43773</v>
      </c>
      <c r="B820">
        <v>0.26829999999999998</v>
      </c>
      <c r="C820">
        <v>0.27429999999999999</v>
      </c>
      <c r="D820">
        <v>0.2671</v>
      </c>
      <c r="E820">
        <v>0.27400000000000002</v>
      </c>
      <c r="F820">
        <v>2115794.23</v>
      </c>
      <c r="G820">
        <v>0</v>
      </c>
      <c r="L820" t="s">
        <v>7</v>
      </c>
      <c r="M820" t="s">
        <v>8</v>
      </c>
      <c r="N820" t="s">
        <v>7</v>
      </c>
      <c r="P820">
        <f t="shared" si="1004"/>
        <v>0.91666666666667562</v>
      </c>
      <c r="Q820">
        <f t="shared" si="1005"/>
        <v>1939478.0441666855</v>
      </c>
      <c r="R820">
        <f t="shared" si="1006"/>
        <v>130321860.25691788</v>
      </c>
      <c r="S820">
        <f t="shared" si="1007"/>
        <v>1303.2186025691788</v>
      </c>
      <c r="T820">
        <f t="shared" si="1008"/>
        <v>1.3032186025691788</v>
      </c>
    </row>
    <row r="821" spans="1:20" x14ac:dyDescent="0.25">
      <c r="A821" s="5">
        <v>43772</v>
      </c>
      <c r="B821">
        <v>0.27300000000000002</v>
      </c>
      <c r="C821">
        <v>0.27479999999999999</v>
      </c>
      <c r="D821">
        <v>0.26669999999999999</v>
      </c>
      <c r="E821">
        <v>0.26840000000000003</v>
      </c>
      <c r="F821">
        <v>1581309.15</v>
      </c>
      <c r="G821">
        <v>0</v>
      </c>
      <c r="L821" t="s">
        <v>7</v>
      </c>
      <c r="M821" t="s">
        <v>8</v>
      </c>
      <c r="N821" t="s">
        <v>7</v>
      </c>
      <c r="P821">
        <f t="shared" si="1004"/>
        <v>-0.58024691358023817</v>
      </c>
      <c r="Q821">
        <f t="shared" si="1005"/>
        <v>-917549.75370368978</v>
      </c>
      <c r="R821">
        <f t="shared" si="1006"/>
        <v>128382382.21275119</v>
      </c>
      <c r="S821">
        <f t="shared" si="1007"/>
        <v>1283.8238221275119</v>
      </c>
      <c r="T821">
        <f t="shared" si="1008"/>
        <v>1.283823822127512</v>
      </c>
    </row>
    <row r="822" spans="1:20" x14ac:dyDescent="0.25">
      <c r="A822" s="5">
        <v>43771</v>
      </c>
      <c r="B822">
        <v>0.2737</v>
      </c>
      <c r="C822">
        <v>0.27689999999999998</v>
      </c>
      <c r="D822">
        <v>0.27060000000000001</v>
      </c>
      <c r="E822">
        <v>0.27239999999999998</v>
      </c>
      <c r="F822">
        <v>1117256.77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-0.4285714285714361</v>
      </c>
      <c r="Q822">
        <f t="shared" si="1005"/>
        <v>-478824.3300000084</v>
      </c>
      <c r="R822">
        <f t="shared" si="1006"/>
        <v>129299931.96645488</v>
      </c>
      <c r="S822">
        <f t="shared" si="1007"/>
        <v>1292.9993196645487</v>
      </c>
      <c r="T822">
        <f t="shared" si="1008"/>
        <v>1.2929993196645486</v>
      </c>
    </row>
    <row r="823" spans="1:20" x14ac:dyDescent="0.25">
      <c r="A823" s="5">
        <v>43770</v>
      </c>
      <c r="B823">
        <v>0.27160000000000001</v>
      </c>
      <c r="C823">
        <v>0.2762</v>
      </c>
      <c r="D823">
        <v>0.26600000000000001</v>
      </c>
      <c r="E823">
        <v>0.27289999999999998</v>
      </c>
      <c r="F823">
        <v>1789665.44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0.35294117647058248</v>
      </c>
      <c r="Q823">
        <f t="shared" si="1005"/>
        <v>631646.62588234257</v>
      </c>
      <c r="R823">
        <f t="shared" si="1006"/>
        <v>129778756.29645489</v>
      </c>
      <c r="S823">
        <f t="shared" si="1007"/>
        <v>1297.7875629645489</v>
      </c>
      <c r="T823">
        <f t="shared" si="1008"/>
        <v>1.297787562964549</v>
      </c>
    </row>
    <row r="824" spans="1:20" x14ac:dyDescent="0.25">
      <c r="A824" s="5">
        <v>43769</v>
      </c>
      <c r="B824">
        <v>0.28210000000000002</v>
      </c>
      <c r="C824">
        <v>0.2833</v>
      </c>
      <c r="D824">
        <v>0.26600000000000001</v>
      </c>
      <c r="E824">
        <v>0.27189999999999998</v>
      </c>
      <c r="F824">
        <v>3123781.32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-0.31791907514451251</v>
      </c>
      <c r="Q824">
        <f t="shared" si="1005"/>
        <v>-993109.66820810444</v>
      </c>
      <c r="R824">
        <f t="shared" si="1006"/>
        <v>129147109.67057255</v>
      </c>
      <c r="S824">
        <f t="shared" si="1007"/>
        <v>1291.4710967057256</v>
      </c>
      <c r="T824">
        <f t="shared" si="1008"/>
        <v>1.2914710967057257</v>
      </c>
    </row>
    <row r="825" spans="1:20" x14ac:dyDescent="0.25">
      <c r="A825" s="5">
        <v>43768</v>
      </c>
      <c r="B825">
        <v>0.28039999999999998</v>
      </c>
      <c r="C825">
        <v>0.29260000000000003</v>
      </c>
      <c r="D825">
        <v>0.27410000000000001</v>
      </c>
      <c r="E825">
        <v>0.28160000000000002</v>
      </c>
      <c r="F825">
        <v>3370504.13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-0.1891891891891892</v>
      </c>
      <c r="Q825">
        <f t="shared" si="1005"/>
        <v>-637662.94351351354</v>
      </c>
      <c r="R825">
        <f t="shared" si="1006"/>
        <v>130140219.33878066</v>
      </c>
      <c r="S825">
        <f t="shared" si="1007"/>
        <v>1301.4021933878066</v>
      </c>
      <c r="T825">
        <f t="shared" si="1008"/>
        <v>1.3014021933878066</v>
      </c>
    </row>
    <row r="826" spans="1:20" x14ac:dyDescent="0.25">
      <c r="A826" s="5">
        <v>43767</v>
      </c>
      <c r="B826">
        <v>0.28510000000000002</v>
      </c>
      <c r="C826">
        <v>0.29010000000000002</v>
      </c>
      <c r="D826">
        <v>0.27600000000000002</v>
      </c>
      <c r="E826">
        <v>0.2802</v>
      </c>
      <c r="F826">
        <v>5159398.8499999996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-0.40425531914893886</v>
      </c>
      <c r="Q826">
        <f t="shared" si="1005"/>
        <v>-2085714.4287234179</v>
      </c>
      <c r="R826">
        <f t="shared" si="1006"/>
        <v>130777882.28229417</v>
      </c>
      <c r="S826">
        <f t="shared" si="1007"/>
        <v>1307.7788228229417</v>
      </c>
      <c r="T826">
        <f t="shared" si="1008"/>
        <v>1.3077788228229417</v>
      </c>
    </row>
    <row r="827" spans="1:20" x14ac:dyDescent="0.25">
      <c r="A827" s="5">
        <v>43766</v>
      </c>
      <c r="B827">
        <v>0.27300000000000002</v>
      </c>
      <c r="C827">
        <v>0.3</v>
      </c>
      <c r="D827">
        <v>0.26819999999999999</v>
      </c>
      <c r="E827">
        <v>0.28449999999999998</v>
      </c>
      <c r="F827">
        <v>12461792.109999999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2.5157232704401494E-2</v>
      </c>
      <c r="Q827">
        <f t="shared" si="1005"/>
        <v>313504.20402514446</v>
      </c>
      <c r="R827">
        <f t="shared" si="1006"/>
        <v>132863596.71101759</v>
      </c>
      <c r="S827">
        <f t="shared" si="1007"/>
        <v>1328.6359671101759</v>
      </c>
      <c r="T827">
        <f t="shared" si="1008"/>
        <v>1.328635967110176</v>
      </c>
    </row>
    <row r="828" spans="1:20" x14ac:dyDescent="0.25">
      <c r="A828" s="5">
        <v>43765</v>
      </c>
      <c r="B828">
        <v>0.26910000000000001</v>
      </c>
      <c r="C828">
        <v>0.2772</v>
      </c>
      <c r="D828">
        <v>0.25840000000000002</v>
      </c>
      <c r="E828">
        <v>0.27229999999999999</v>
      </c>
      <c r="F828">
        <v>4783565.22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0.47872340425531706</v>
      </c>
      <c r="Q828">
        <f t="shared" si="1005"/>
        <v>2290004.6265957346</v>
      </c>
      <c r="R828">
        <f t="shared" si="1006"/>
        <v>132550092.50699244</v>
      </c>
      <c r="S828">
        <f t="shared" si="1007"/>
        <v>1325.5009250699245</v>
      </c>
      <c r="T828">
        <f t="shared" si="1008"/>
        <v>1.3255009250699246</v>
      </c>
    </row>
    <row r="829" spans="1:20" x14ac:dyDescent="0.25">
      <c r="A829" s="5">
        <v>43764</v>
      </c>
      <c r="B829">
        <v>0.27189999999999998</v>
      </c>
      <c r="C829">
        <v>0.28149999999999997</v>
      </c>
      <c r="D829">
        <v>0.26</v>
      </c>
      <c r="E829">
        <v>0.26869999999999999</v>
      </c>
      <c r="F829">
        <v>6287332.5199999996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-0.19069767441860463</v>
      </c>
      <c r="Q829">
        <f t="shared" si="1005"/>
        <v>-1198979.689860465</v>
      </c>
      <c r="R829">
        <f t="shared" si="1006"/>
        <v>130260087.88039671</v>
      </c>
      <c r="S829">
        <f t="shared" si="1007"/>
        <v>1302.6008788039671</v>
      </c>
      <c r="T829">
        <f t="shared" si="1008"/>
        <v>1.3026008788039671</v>
      </c>
    </row>
    <row r="830" spans="1:20" x14ac:dyDescent="0.25">
      <c r="A830" s="5">
        <v>43763</v>
      </c>
      <c r="B830">
        <v>0.2545</v>
      </c>
      <c r="C830">
        <v>0.27360000000000001</v>
      </c>
      <c r="D830">
        <v>0.25130000000000002</v>
      </c>
      <c r="E830">
        <v>0.27160000000000001</v>
      </c>
      <c r="F830">
        <v>4446989.74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0.82062780269058266</v>
      </c>
      <c r="Q830">
        <f t="shared" si="1005"/>
        <v>3649323.4189237659</v>
      </c>
      <c r="R830">
        <f t="shared" si="1006"/>
        <v>131459067.57025717</v>
      </c>
      <c r="S830">
        <f t="shared" si="1007"/>
        <v>1314.5906757025716</v>
      </c>
      <c r="T830">
        <f t="shared" si="1008"/>
        <v>1.3145906757025716</v>
      </c>
    </row>
    <row r="831" spans="1:20" x14ac:dyDescent="0.25">
      <c r="A831" s="5">
        <v>43762</v>
      </c>
      <c r="B831">
        <v>0.25309999999999999</v>
      </c>
      <c r="C831">
        <v>0.25609999999999999</v>
      </c>
      <c r="D831">
        <v>0.251</v>
      </c>
      <c r="E831">
        <v>0.25390000000000001</v>
      </c>
      <c r="F831">
        <v>1430138.33</v>
      </c>
      <c r="G831">
        <v>0</v>
      </c>
      <c r="L831" t="s">
        <v>7</v>
      </c>
      <c r="M831" t="s">
        <v>7</v>
      </c>
      <c r="N831" t="s">
        <v>7</v>
      </c>
      <c r="P831">
        <f t="shared" ref="P831:P894" si="1009">IF(C831=D831,0,((E831-D831)-(C831-E831))/(C831-D831))</f>
        <v>0.13725490196079115</v>
      </c>
      <c r="Q831">
        <f t="shared" ref="Q831:Q894" si="1010">F831*P831</f>
        <v>196293.4962745196</v>
      </c>
      <c r="R831">
        <f t="shared" ref="R831:R894" si="1011">R832+Q831</f>
        <v>127809744.15133341</v>
      </c>
      <c r="S831">
        <f t="shared" ref="S831:S894" si="1012">R831/100000</f>
        <v>1278.0974415133342</v>
      </c>
      <c r="T831">
        <f t="shared" ref="T831:T894" si="1013">S831/1000</f>
        <v>1.2780974415133342</v>
      </c>
    </row>
    <row r="832" spans="1:20" x14ac:dyDescent="0.25">
      <c r="A832" s="5">
        <v>43761</v>
      </c>
      <c r="B832">
        <v>0.26950000000000002</v>
      </c>
      <c r="C832">
        <v>0.27379999999999999</v>
      </c>
      <c r="D832">
        <v>0.24249999999999999</v>
      </c>
      <c r="E832">
        <v>0.2535</v>
      </c>
      <c r="F832">
        <v>3872771.63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-0.29712460063897689</v>
      </c>
      <c r="Q832">
        <f t="shared" si="1010"/>
        <v>-1150695.7239297095</v>
      </c>
      <c r="R832">
        <f t="shared" si="1011"/>
        <v>127613450.65505889</v>
      </c>
      <c r="S832">
        <f t="shared" si="1012"/>
        <v>1276.1345065505889</v>
      </c>
      <c r="T832">
        <f t="shared" si="1013"/>
        <v>1.2761345065505889</v>
      </c>
    </row>
    <row r="833" spans="1:20" x14ac:dyDescent="0.25">
      <c r="A833" s="5">
        <v>43760</v>
      </c>
      <c r="B833">
        <v>0.26860000000000001</v>
      </c>
      <c r="C833">
        <v>0.27839999999999998</v>
      </c>
      <c r="D833">
        <v>0.26669999999999999</v>
      </c>
      <c r="E833">
        <v>0.26919999999999999</v>
      </c>
      <c r="F833">
        <v>3106231.79</v>
      </c>
      <c r="G833">
        <v>0</v>
      </c>
      <c r="L833" t="s">
        <v>7</v>
      </c>
      <c r="M833" t="s">
        <v>8</v>
      </c>
      <c r="N833" t="s">
        <v>7</v>
      </c>
      <c r="P833">
        <f t="shared" si="1009"/>
        <v>-0.57264957264957184</v>
      </c>
      <c r="Q833">
        <f t="shared" si="1010"/>
        <v>-1778782.3070940145</v>
      </c>
      <c r="R833">
        <f t="shared" si="1011"/>
        <v>128764146.37898859</v>
      </c>
      <c r="S833">
        <f t="shared" si="1012"/>
        <v>1287.6414637898858</v>
      </c>
      <c r="T833">
        <f t="shared" si="1013"/>
        <v>1.2876414637898859</v>
      </c>
    </row>
    <row r="834" spans="1:20" x14ac:dyDescent="0.25">
      <c r="A834" s="5">
        <v>43759</v>
      </c>
      <c r="B834">
        <v>0.2707</v>
      </c>
      <c r="C834">
        <v>0.27089999999999997</v>
      </c>
      <c r="D834">
        <v>0.2636</v>
      </c>
      <c r="E834">
        <v>0.26889999999999997</v>
      </c>
      <c r="F834">
        <v>2017834.33</v>
      </c>
      <c r="G834">
        <v>0</v>
      </c>
      <c r="L834" t="s">
        <v>7</v>
      </c>
      <c r="M834" t="s">
        <v>8</v>
      </c>
      <c r="N834" t="s">
        <v>7</v>
      </c>
      <c r="P834">
        <f t="shared" si="1009"/>
        <v>0.45205479452054542</v>
      </c>
      <c r="Q834">
        <f t="shared" si="1010"/>
        <v>912171.68342465244</v>
      </c>
      <c r="R834">
        <f t="shared" si="1011"/>
        <v>130542928.6860826</v>
      </c>
      <c r="S834">
        <f t="shared" si="1012"/>
        <v>1305.4292868608261</v>
      </c>
      <c r="T834">
        <f t="shared" si="1013"/>
        <v>1.3054292868608262</v>
      </c>
    </row>
    <row r="835" spans="1:20" x14ac:dyDescent="0.25">
      <c r="A835" s="5">
        <v>43758</v>
      </c>
      <c r="B835">
        <v>0.26790000000000003</v>
      </c>
      <c r="C835">
        <v>0.2737</v>
      </c>
      <c r="D835">
        <v>0.26579999999999998</v>
      </c>
      <c r="E835">
        <v>0.27</v>
      </c>
      <c r="F835">
        <v>1060362.1100000001</v>
      </c>
      <c r="G835">
        <v>0</v>
      </c>
      <c r="L835" t="s">
        <v>7</v>
      </c>
      <c r="M835" t="s">
        <v>8</v>
      </c>
      <c r="N835" t="s">
        <v>7</v>
      </c>
      <c r="P835">
        <f t="shared" si="1009"/>
        <v>6.3291139240513272E-2</v>
      </c>
      <c r="Q835">
        <f t="shared" si="1010"/>
        <v>67111.525949374452</v>
      </c>
      <c r="R835">
        <f t="shared" si="1011"/>
        <v>129630757.00265795</v>
      </c>
      <c r="S835">
        <f t="shared" si="1012"/>
        <v>1296.3075700265795</v>
      </c>
      <c r="T835">
        <f t="shared" si="1013"/>
        <v>1.2963075700265794</v>
      </c>
    </row>
    <row r="836" spans="1:20" x14ac:dyDescent="0.25">
      <c r="A836" s="5">
        <v>43757</v>
      </c>
      <c r="B836">
        <v>0.2712</v>
      </c>
      <c r="C836">
        <v>0.27300000000000002</v>
      </c>
      <c r="D836">
        <v>0.26590000000000003</v>
      </c>
      <c r="E836">
        <v>0.26850000000000002</v>
      </c>
      <c r="F836">
        <v>736491.92</v>
      </c>
      <c r="G836">
        <v>0</v>
      </c>
      <c r="L836" t="s">
        <v>7</v>
      </c>
      <c r="M836" t="s">
        <v>8</v>
      </c>
      <c r="N836" t="s">
        <v>7</v>
      </c>
      <c r="P836">
        <f t="shared" si="1009"/>
        <v>-0.26760563380281888</v>
      </c>
      <c r="Q836">
        <f t="shared" si="1010"/>
        <v>-197089.387042255</v>
      </c>
      <c r="R836">
        <f t="shared" si="1011"/>
        <v>129563645.47670858</v>
      </c>
      <c r="S836">
        <f t="shared" si="1012"/>
        <v>1295.6364547670858</v>
      </c>
      <c r="T836">
        <f t="shared" si="1013"/>
        <v>1.2956364547670858</v>
      </c>
    </row>
    <row r="837" spans="1:20" x14ac:dyDescent="0.25">
      <c r="A837" s="5">
        <v>43756</v>
      </c>
      <c r="B837">
        <v>0.2772</v>
      </c>
      <c r="C837">
        <v>0.27850000000000003</v>
      </c>
      <c r="D837">
        <v>0.26069999999999999</v>
      </c>
      <c r="E837">
        <v>0.27100000000000002</v>
      </c>
      <c r="F837">
        <v>2362010.1</v>
      </c>
      <c r="G837">
        <v>0</v>
      </c>
      <c r="L837" t="s">
        <v>7</v>
      </c>
      <c r="M837" t="s">
        <v>8</v>
      </c>
      <c r="N837" t="s">
        <v>7</v>
      </c>
      <c r="P837">
        <f t="shared" si="1009"/>
        <v>0.1573033707865179</v>
      </c>
      <c r="Q837">
        <f t="shared" si="1010"/>
        <v>371552.15056180023</v>
      </c>
      <c r="R837">
        <f t="shared" si="1011"/>
        <v>129760734.86375083</v>
      </c>
      <c r="S837">
        <f t="shared" si="1012"/>
        <v>1297.6073486375083</v>
      </c>
      <c r="T837">
        <f t="shared" si="1013"/>
        <v>1.2976073486375084</v>
      </c>
    </row>
    <row r="838" spans="1:20" x14ac:dyDescent="0.25">
      <c r="A838" s="5">
        <v>43755</v>
      </c>
      <c r="B838">
        <v>0.27189999999999998</v>
      </c>
      <c r="C838">
        <v>0.2802</v>
      </c>
      <c r="D838">
        <v>0.26840000000000003</v>
      </c>
      <c r="E838">
        <v>0.27629999999999999</v>
      </c>
      <c r="F838">
        <v>1557292.81</v>
      </c>
      <c r="G838">
        <v>0</v>
      </c>
      <c r="L838" t="s">
        <v>7</v>
      </c>
      <c r="M838" t="s">
        <v>8</v>
      </c>
      <c r="N838" t="s">
        <v>7</v>
      </c>
      <c r="P838">
        <f t="shared" si="1009"/>
        <v>0.33898305084745389</v>
      </c>
      <c r="Q838">
        <f t="shared" si="1010"/>
        <v>527895.86779660441</v>
      </c>
      <c r="R838">
        <f t="shared" si="1011"/>
        <v>129389182.71318904</v>
      </c>
      <c r="S838">
        <f t="shared" si="1012"/>
        <v>1293.8918271318903</v>
      </c>
      <c r="T838">
        <f t="shared" si="1013"/>
        <v>1.2938918271318902</v>
      </c>
    </row>
    <row r="839" spans="1:20" x14ac:dyDescent="0.25">
      <c r="A839" s="5">
        <v>43754</v>
      </c>
      <c r="B839">
        <v>0.27960000000000002</v>
      </c>
      <c r="C839">
        <v>0.28179999999999999</v>
      </c>
      <c r="D839">
        <v>0.26519999999999999</v>
      </c>
      <c r="E839">
        <v>0.27139999999999997</v>
      </c>
      <c r="F839">
        <v>2454180.75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-0.25301204819277329</v>
      </c>
      <c r="Q839">
        <f t="shared" si="1010"/>
        <v>-620937.29819277651</v>
      </c>
      <c r="R839">
        <f t="shared" si="1011"/>
        <v>128861286.84539244</v>
      </c>
      <c r="S839">
        <f t="shared" si="1012"/>
        <v>1288.6128684539244</v>
      </c>
      <c r="T839">
        <f t="shared" si="1013"/>
        <v>1.2886128684539244</v>
      </c>
    </row>
    <row r="840" spans="1:20" x14ac:dyDescent="0.25">
      <c r="A840" s="5">
        <v>43753</v>
      </c>
      <c r="B840">
        <v>0.28439999999999999</v>
      </c>
      <c r="C840">
        <v>0.28649999999999998</v>
      </c>
      <c r="D840">
        <v>0.27400000000000002</v>
      </c>
      <c r="E840">
        <v>0.27960000000000002</v>
      </c>
      <c r="F840">
        <v>1526377.02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-0.1039999999999978</v>
      </c>
      <c r="Q840">
        <f t="shared" si="1010"/>
        <v>-158743.21007999664</v>
      </c>
      <c r="R840">
        <f t="shared" si="1011"/>
        <v>129482224.14358521</v>
      </c>
      <c r="S840">
        <f t="shared" si="1012"/>
        <v>1294.822241435852</v>
      </c>
      <c r="T840">
        <f t="shared" si="1013"/>
        <v>1.2948222414358519</v>
      </c>
    </row>
    <row r="841" spans="1:20" x14ac:dyDescent="0.25">
      <c r="A841" s="5">
        <v>43752</v>
      </c>
      <c r="B841">
        <v>0.27750000000000002</v>
      </c>
      <c r="C841">
        <v>0.28489999999999999</v>
      </c>
      <c r="D841">
        <v>0.27689999999999998</v>
      </c>
      <c r="E841">
        <v>0.28439999999999999</v>
      </c>
      <c r="F841">
        <v>1167403.55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0.875</v>
      </c>
      <c r="Q841">
        <f t="shared" si="1010"/>
        <v>1021478.1062500001</v>
      </c>
      <c r="R841">
        <f t="shared" si="1011"/>
        <v>129640967.3536652</v>
      </c>
      <c r="S841">
        <f t="shared" si="1012"/>
        <v>1296.409673536652</v>
      </c>
      <c r="T841">
        <f t="shared" si="1013"/>
        <v>1.2964096735366519</v>
      </c>
    </row>
    <row r="842" spans="1:20" x14ac:dyDescent="0.25">
      <c r="A842" s="5">
        <v>43751</v>
      </c>
      <c r="B842">
        <v>0.26879999999999998</v>
      </c>
      <c r="C842">
        <v>0.28689999999999999</v>
      </c>
      <c r="D842">
        <v>0.26879999999999998</v>
      </c>
      <c r="E842">
        <v>0.27800000000000002</v>
      </c>
      <c r="F842">
        <v>1654469.08</v>
      </c>
      <c r="G842">
        <v>0</v>
      </c>
      <c r="L842" t="s">
        <v>8</v>
      </c>
      <c r="M842" t="s">
        <v>8</v>
      </c>
      <c r="N842" t="s">
        <v>7</v>
      </c>
      <c r="P842">
        <f t="shared" si="1009"/>
        <v>1.6574585635363421E-2</v>
      </c>
      <c r="Q842">
        <f t="shared" si="1010"/>
        <v>27422.139447520934</v>
      </c>
      <c r="R842">
        <f t="shared" si="1011"/>
        <v>128619489.2474152</v>
      </c>
      <c r="S842">
        <f t="shared" si="1012"/>
        <v>1286.1948924741521</v>
      </c>
      <c r="T842">
        <f t="shared" si="1013"/>
        <v>1.286194892474152</v>
      </c>
    </row>
    <row r="843" spans="1:20" x14ac:dyDescent="0.25">
      <c r="A843" s="5">
        <v>43750</v>
      </c>
      <c r="B843">
        <v>0.26889999999999997</v>
      </c>
      <c r="C843">
        <v>0.27400000000000002</v>
      </c>
      <c r="D843">
        <v>0.26769999999999999</v>
      </c>
      <c r="E843">
        <v>0.26879999999999998</v>
      </c>
      <c r="F843">
        <v>529977.81999999995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-0.65079365079365559</v>
      </c>
      <c r="Q843">
        <f t="shared" si="1010"/>
        <v>-344906.20031746285</v>
      </c>
      <c r="R843">
        <f t="shared" si="1011"/>
        <v>128592067.10796767</v>
      </c>
      <c r="S843">
        <f t="shared" si="1012"/>
        <v>1285.9206710796768</v>
      </c>
      <c r="T843">
        <f t="shared" si="1013"/>
        <v>1.2859206710796769</v>
      </c>
    </row>
    <row r="844" spans="1:20" x14ac:dyDescent="0.25">
      <c r="A844" s="5">
        <v>43749</v>
      </c>
      <c r="B844">
        <v>0.2762</v>
      </c>
      <c r="C844">
        <v>0.27950000000000003</v>
      </c>
      <c r="D844">
        <v>0.26600000000000001</v>
      </c>
      <c r="E844">
        <v>0.26950000000000002</v>
      </c>
      <c r="F844">
        <v>1443567.21</v>
      </c>
      <c r="G844">
        <v>0</v>
      </c>
      <c r="L844" t="s">
        <v>8</v>
      </c>
      <c r="M844" t="s">
        <v>8</v>
      </c>
      <c r="N844" t="s">
        <v>7</v>
      </c>
      <c r="P844">
        <f t="shared" si="1009"/>
        <v>-0.48148148148148145</v>
      </c>
      <c r="Q844">
        <f t="shared" si="1010"/>
        <v>-695050.87888888887</v>
      </c>
      <c r="R844">
        <f t="shared" si="1011"/>
        <v>128936973.30828513</v>
      </c>
      <c r="S844">
        <f t="shared" si="1012"/>
        <v>1289.3697330828513</v>
      </c>
      <c r="T844">
        <f t="shared" si="1013"/>
        <v>1.2893697330828513</v>
      </c>
    </row>
    <row r="845" spans="1:20" x14ac:dyDescent="0.25">
      <c r="A845" s="5">
        <v>43748</v>
      </c>
      <c r="B845">
        <v>0.27889999999999998</v>
      </c>
      <c r="C845">
        <v>0.28029999999999999</v>
      </c>
      <c r="D845">
        <v>0.2697</v>
      </c>
      <c r="E845">
        <v>0.27600000000000002</v>
      </c>
      <c r="F845">
        <v>2086829.09</v>
      </c>
      <c r="G845">
        <v>0</v>
      </c>
      <c r="L845" t="s">
        <v>8</v>
      </c>
      <c r="M845" t="s">
        <v>8</v>
      </c>
      <c r="N845" t="s">
        <v>7</v>
      </c>
      <c r="P845">
        <f t="shared" si="1009"/>
        <v>0.18867924528302429</v>
      </c>
      <c r="Q845">
        <f t="shared" si="1010"/>
        <v>393741.33773586038</v>
      </c>
      <c r="R845">
        <f t="shared" si="1011"/>
        <v>129632024.18717402</v>
      </c>
      <c r="S845">
        <f t="shared" si="1012"/>
        <v>1296.3202418717401</v>
      </c>
      <c r="T845">
        <f t="shared" si="1013"/>
        <v>1.2963202418717401</v>
      </c>
    </row>
    <row r="846" spans="1:20" x14ac:dyDescent="0.25">
      <c r="A846" s="5">
        <v>43747</v>
      </c>
      <c r="B846">
        <v>0.2757</v>
      </c>
      <c r="C846">
        <v>0.28289999999999998</v>
      </c>
      <c r="D846">
        <v>0.26829999999999998</v>
      </c>
      <c r="E846">
        <v>0.27889999999999998</v>
      </c>
      <c r="F846">
        <v>4539449.72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0.45205479452054753</v>
      </c>
      <c r="Q846">
        <f t="shared" si="1010"/>
        <v>2052080.0104109568</v>
      </c>
      <c r="R846">
        <f t="shared" si="1011"/>
        <v>129238282.84943816</v>
      </c>
      <c r="S846">
        <f t="shared" si="1012"/>
        <v>1292.3828284943816</v>
      </c>
      <c r="T846">
        <f t="shared" si="1013"/>
        <v>1.2923828284943815</v>
      </c>
    </row>
    <row r="847" spans="1:20" x14ac:dyDescent="0.25">
      <c r="A847" s="5">
        <v>43746</v>
      </c>
      <c r="B847">
        <v>0.28220000000000001</v>
      </c>
      <c r="C847">
        <v>0.28699999999999998</v>
      </c>
      <c r="D847">
        <v>0.26979999999999998</v>
      </c>
      <c r="E847">
        <v>0.2752</v>
      </c>
      <c r="F847">
        <v>2790001.86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-0.37209302325581184</v>
      </c>
      <c r="Q847">
        <f t="shared" si="1010"/>
        <v>-1038140.2269767382</v>
      </c>
      <c r="R847">
        <f t="shared" si="1011"/>
        <v>127186202.83902721</v>
      </c>
      <c r="S847">
        <f t="shared" si="1012"/>
        <v>1271.8620283902721</v>
      </c>
      <c r="T847">
        <f t="shared" si="1013"/>
        <v>1.2718620283902722</v>
      </c>
    </row>
    <row r="848" spans="1:20" x14ac:dyDescent="0.25">
      <c r="A848" s="5">
        <v>43745</v>
      </c>
      <c r="B848">
        <v>0.26790000000000003</v>
      </c>
      <c r="C848">
        <v>0.28399999999999997</v>
      </c>
      <c r="D848">
        <v>0.26469999999999999</v>
      </c>
      <c r="E848">
        <v>0.28160000000000002</v>
      </c>
      <c r="F848">
        <v>3072529.93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0.75129533678756899</v>
      </c>
      <c r="Q848">
        <f t="shared" si="1010"/>
        <v>2308377.4085492357</v>
      </c>
      <c r="R848">
        <f t="shared" si="1011"/>
        <v>128224343.06600395</v>
      </c>
      <c r="S848">
        <f t="shared" si="1012"/>
        <v>1282.2434306600394</v>
      </c>
      <c r="T848">
        <f t="shared" si="1013"/>
        <v>1.2822434306600394</v>
      </c>
    </row>
    <row r="849" spans="1:20" x14ac:dyDescent="0.25">
      <c r="A849" s="5">
        <v>43744</v>
      </c>
      <c r="B849">
        <v>0.27660000000000001</v>
      </c>
      <c r="C849">
        <v>0.27660000000000001</v>
      </c>
      <c r="D849">
        <v>0.26340000000000002</v>
      </c>
      <c r="E849">
        <v>0.26750000000000002</v>
      </c>
      <c r="F849">
        <v>1717156.35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-0.37878787878787945</v>
      </c>
      <c r="Q849">
        <f t="shared" si="1010"/>
        <v>-650438.01136363752</v>
      </c>
      <c r="R849">
        <f t="shared" si="1011"/>
        <v>125915965.65745471</v>
      </c>
      <c r="S849">
        <f t="shared" si="1012"/>
        <v>1259.1596565745472</v>
      </c>
      <c r="T849">
        <f t="shared" si="1013"/>
        <v>1.2591596565745471</v>
      </c>
    </row>
    <row r="850" spans="1:20" x14ac:dyDescent="0.25">
      <c r="A850" s="5">
        <v>43743</v>
      </c>
      <c r="B850">
        <v>0.26889999999999997</v>
      </c>
      <c r="C850">
        <v>0.27910000000000001</v>
      </c>
      <c r="D850">
        <v>0.2666</v>
      </c>
      <c r="E850">
        <v>0.27660000000000001</v>
      </c>
      <c r="F850">
        <v>1526232.68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0.6</v>
      </c>
      <c r="Q850">
        <f t="shared" si="1010"/>
        <v>915739.60799999989</v>
      </c>
      <c r="R850">
        <f t="shared" si="1011"/>
        <v>126566403.66881835</v>
      </c>
      <c r="S850">
        <f t="shared" si="1012"/>
        <v>1265.6640366881836</v>
      </c>
      <c r="T850">
        <f t="shared" si="1013"/>
        <v>1.2656640366881837</v>
      </c>
    </row>
    <row r="851" spans="1:20" x14ac:dyDescent="0.25">
      <c r="A851" s="5">
        <v>43742</v>
      </c>
      <c r="B851">
        <v>0.27029999999999998</v>
      </c>
      <c r="C851">
        <v>0.2727</v>
      </c>
      <c r="D851">
        <v>0.26429999999999998</v>
      </c>
      <c r="E851">
        <v>0.26950000000000002</v>
      </c>
      <c r="F851">
        <v>1389251.54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0.23809523809524438</v>
      </c>
      <c r="Q851">
        <f t="shared" si="1010"/>
        <v>330774.17619048496</v>
      </c>
      <c r="R851">
        <f t="shared" si="1011"/>
        <v>125650664.06081836</v>
      </c>
      <c r="S851">
        <f t="shared" si="1012"/>
        <v>1256.5066406081835</v>
      </c>
      <c r="T851">
        <f t="shared" si="1013"/>
        <v>1.2565066406081835</v>
      </c>
    </row>
    <row r="852" spans="1:20" x14ac:dyDescent="0.25">
      <c r="A852" s="5">
        <v>43741</v>
      </c>
      <c r="B852">
        <v>0.28170000000000001</v>
      </c>
      <c r="C852">
        <v>0.28179999999999999</v>
      </c>
      <c r="D852">
        <v>0.26569999999999999</v>
      </c>
      <c r="E852">
        <v>0.26989999999999997</v>
      </c>
      <c r="F852">
        <v>1389934.35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-0.47826086956521979</v>
      </c>
      <c r="Q852">
        <f t="shared" si="1010"/>
        <v>-664751.21086956863</v>
      </c>
      <c r="R852">
        <f t="shared" si="1011"/>
        <v>125319889.88462788</v>
      </c>
      <c r="S852">
        <f t="shared" si="1012"/>
        <v>1253.1988988462788</v>
      </c>
      <c r="T852">
        <f t="shared" si="1013"/>
        <v>1.2531988988462788</v>
      </c>
    </row>
    <row r="853" spans="1:20" x14ac:dyDescent="0.25">
      <c r="A853" s="5">
        <v>43740</v>
      </c>
      <c r="B853">
        <v>0.26879999999999998</v>
      </c>
      <c r="C853">
        <v>0.28189999999999998</v>
      </c>
      <c r="D853">
        <v>0.26669999999999999</v>
      </c>
      <c r="E853">
        <v>0.28170000000000001</v>
      </c>
      <c r="F853">
        <v>2888961.02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0.97368421052631871</v>
      </c>
      <c r="Q853">
        <f t="shared" si="1010"/>
        <v>2812935.7300000084</v>
      </c>
      <c r="R853">
        <f t="shared" si="1011"/>
        <v>125984641.09549744</v>
      </c>
      <c r="S853">
        <f t="shared" si="1012"/>
        <v>1259.8464109549745</v>
      </c>
      <c r="T853">
        <f t="shared" si="1013"/>
        <v>1.2598464109549745</v>
      </c>
    </row>
    <row r="854" spans="1:20" x14ac:dyDescent="0.25">
      <c r="A854" s="5">
        <v>43739</v>
      </c>
      <c r="B854">
        <v>0.2656</v>
      </c>
      <c r="C854">
        <v>0.27700000000000002</v>
      </c>
      <c r="D854">
        <v>0.26129999999999998</v>
      </c>
      <c r="E854">
        <v>0.26860000000000001</v>
      </c>
      <c r="F854">
        <v>2438457.38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-7.0063694267515061E-2</v>
      </c>
      <c r="Q854">
        <f t="shared" si="1010"/>
        <v>-170847.3323566858</v>
      </c>
      <c r="R854">
        <f t="shared" si="1011"/>
        <v>123171705.36549744</v>
      </c>
      <c r="S854">
        <f t="shared" si="1012"/>
        <v>1231.7170536549745</v>
      </c>
      <c r="T854">
        <f t="shared" si="1013"/>
        <v>1.2317170536549744</v>
      </c>
    </row>
    <row r="855" spans="1:20" x14ac:dyDescent="0.25">
      <c r="A855" s="5">
        <v>43738</v>
      </c>
      <c r="B855">
        <v>0.25890000000000002</v>
      </c>
      <c r="C855">
        <v>0.26790000000000003</v>
      </c>
      <c r="D855">
        <v>0.25069999999999998</v>
      </c>
      <c r="E855">
        <v>0.26540000000000002</v>
      </c>
      <c r="F855">
        <v>1767534.55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0.70930232558139594</v>
      </c>
      <c r="Q855">
        <f t="shared" si="1010"/>
        <v>1253716.3668604663</v>
      </c>
      <c r="R855">
        <f t="shared" si="1011"/>
        <v>123342552.69785413</v>
      </c>
      <c r="S855">
        <f t="shared" si="1012"/>
        <v>1233.4255269785413</v>
      </c>
      <c r="T855">
        <f t="shared" si="1013"/>
        <v>1.2334255269785412</v>
      </c>
    </row>
    <row r="856" spans="1:20" x14ac:dyDescent="0.25">
      <c r="A856" s="5">
        <v>43737</v>
      </c>
      <c r="B856">
        <v>0.26350000000000001</v>
      </c>
      <c r="C856">
        <v>0.26419999999999999</v>
      </c>
      <c r="D856">
        <v>0.2482</v>
      </c>
      <c r="E856">
        <v>0.25890000000000002</v>
      </c>
      <c r="F856">
        <v>971544.66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0.33750000000000302</v>
      </c>
      <c r="Q856">
        <f t="shared" si="1010"/>
        <v>327896.32275000296</v>
      </c>
      <c r="R856">
        <f t="shared" si="1011"/>
        <v>122088836.33099367</v>
      </c>
      <c r="S856">
        <f t="shared" si="1012"/>
        <v>1220.8883633099367</v>
      </c>
      <c r="T856">
        <f t="shared" si="1013"/>
        <v>1.2208883633099368</v>
      </c>
    </row>
    <row r="857" spans="1:20" x14ac:dyDescent="0.25">
      <c r="A857" s="5">
        <v>43736</v>
      </c>
      <c r="B857">
        <v>0.26329999999999998</v>
      </c>
      <c r="C857">
        <v>0.26450000000000001</v>
      </c>
      <c r="D857">
        <v>0.25679999999999997</v>
      </c>
      <c r="E857">
        <v>0.26240000000000002</v>
      </c>
      <c r="F857">
        <v>1107914.17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0.4545454545454598</v>
      </c>
      <c r="Q857">
        <f t="shared" si="1010"/>
        <v>503597.3500000058</v>
      </c>
      <c r="R857">
        <f t="shared" si="1011"/>
        <v>121760940.00824367</v>
      </c>
      <c r="S857">
        <f t="shared" si="1012"/>
        <v>1217.6094000824367</v>
      </c>
      <c r="T857">
        <f t="shared" si="1013"/>
        <v>1.2176094000824367</v>
      </c>
    </row>
    <row r="858" spans="1:20" x14ac:dyDescent="0.25">
      <c r="A858" s="5">
        <v>43735</v>
      </c>
      <c r="B858">
        <v>0.26669999999999999</v>
      </c>
      <c r="C858">
        <v>0.26910000000000001</v>
      </c>
      <c r="D858">
        <v>0.25230000000000002</v>
      </c>
      <c r="E858">
        <v>0.26329999999999998</v>
      </c>
      <c r="F858">
        <v>2897006.81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0.30952380952380554</v>
      </c>
      <c r="Q858">
        <f t="shared" si="1010"/>
        <v>896692.5840476075</v>
      </c>
      <c r="R858">
        <f t="shared" si="1011"/>
        <v>121257342.65824366</v>
      </c>
      <c r="S858">
        <f t="shared" si="1012"/>
        <v>1212.5734265824365</v>
      </c>
      <c r="T858">
        <f t="shared" si="1013"/>
        <v>1.2125734265824364</v>
      </c>
    </row>
    <row r="859" spans="1:20" x14ac:dyDescent="0.25">
      <c r="A859" s="5">
        <v>43734</v>
      </c>
      <c r="B859">
        <v>0.26</v>
      </c>
      <c r="C859">
        <v>0.2712</v>
      </c>
      <c r="D859">
        <v>0.2452</v>
      </c>
      <c r="E859">
        <v>0.26719999999999999</v>
      </c>
      <c r="F859">
        <v>3837799.32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0.69230769230769196</v>
      </c>
      <c r="Q859">
        <f t="shared" si="1010"/>
        <v>2656937.9907692294</v>
      </c>
      <c r="R859">
        <f t="shared" si="1011"/>
        <v>120360650.07419606</v>
      </c>
      <c r="S859">
        <f t="shared" si="1012"/>
        <v>1203.6065007419606</v>
      </c>
      <c r="T859">
        <f t="shared" si="1013"/>
        <v>1.2036065007419607</v>
      </c>
    </row>
    <row r="860" spans="1:20" x14ac:dyDescent="0.25">
      <c r="A860" s="5">
        <v>43733</v>
      </c>
      <c r="B860">
        <v>0.25359999999999999</v>
      </c>
      <c r="C860">
        <v>0.27500000000000002</v>
      </c>
      <c r="D860">
        <v>0.23799999999999999</v>
      </c>
      <c r="E860">
        <v>0.26050000000000001</v>
      </c>
      <c r="F860">
        <v>6319429.8499999996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0.21621621621621623</v>
      </c>
      <c r="Q860">
        <f t="shared" si="1010"/>
        <v>1366363.2108108108</v>
      </c>
      <c r="R860">
        <f t="shared" si="1011"/>
        <v>117703712.08342683</v>
      </c>
      <c r="S860">
        <f t="shared" si="1012"/>
        <v>1177.0371208342683</v>
      </c>
      <c r="T860">
        <f t="shared" si="1013"/>
        <v>1.1770371208342683</v>
      </c>
    </row>
    <row r="861" spans="1:20" x14ac:dyDescent="0.25">
      <c r="A861" s="5">
        <v>43732</v>
      </c>
      <c r="B861">
        <v>0.27789999999999998</v>
      </c>
      <c r="C861">
        <v>0.28620000000000001</v>
      </c>
      <c r="D861">
        <v>0.23430000000000001</v>
      </c>
      <c r="E861">
        <v>0.25380000000000003</v>
      </c>
      <c r="F861">
        <v>5836161.2300000004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-0.24855491329479704</v>
      </c>
      <c r="Q861">
        <f t="shared" si="1010"/>
        <v>-1450606.5484971062</v>
      </c>
      <c r="R861">
        <f t="shared" si="1011"/>
        <v>116337348.87261602</v>
      </c>
      <c r="S861">
        <f t="shared" si="1012"/>
        <v>1163.3734887261603</v>
      </c>
      <c r="T861">
        <f t="shared" si="1013"/>
        <v>1.1633734887261602</v>
      </c>
    </row>
    <row r="862" spans="1:20" x14ac:dyDescent="0.25">
      <c r="A862" s="5">
        <v>43731</v>
      </c>
      <c r="B862">
        <v>0.27829999999999999</v>
      </c>
      <c r="C862">
        <v>0.29599999999999999</v>
      </c>
      <c r="D862">
        <v>0.2767</v>
      </c>
      <c r="E862">
        <v>0.27889999999999998</v>
      </c>
      <c r="F862">
        <v>3690118.24</v>
      </c>
      <c r="G862">
        <v>0</v>
      </c>
      <c r="L862" t="s">
        <v>8</v>
      </c>
      <c r="M862" t="s">
        <v>8</v>
      </c>
      <c r="N862" t="s">
        <v>7</v>
      </c>
      <c r="P862">
        <f t="shared" si="1009"/>
        <v>-0.77202072538860289</v>
      </c>
      <c r="Q862">
        <f t="shared" si="1010"/>
        <v>-2848847.7604145147</v>
      </c>
      <c r="R862">
        <f t="shared" si="1011"/>
        <v>117787955.42111313</v>
      </c>
      <c r="S862">
        <f t="shared" si="1012"/>
        <v>1177.8795542111313</v>
      </c>
      <c r="T862">
        <f t="shared" si="1013"/>
        <v>1.1778795542111313</v>
      </c>
    </row>
    <row r="863" spans="1:20" x14ac:dyDescent="0.25">
      <c r="A863" s="5">
        <v>43730</v>
      </c>
      <c r="B863">
        <v>0.29389999999999999</v>
      </c>
      <c r="C863">
        <v>0.29420000000000002</v>
      </c>
      <c r="D863">
        <v>0.27400000000000002</v>
      </c>
      <c r="E863">
        <v>0.27850000000000003</v>
      </c>
      <c r="F863">
        <v>2283143.06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-0.55445544554455395</v>
      </c>
      <c r="Q863">
        <f t="shared" si="1010"/>
        <v>-1265901.1025742562</v>
      </c>
      <c r="R863">
        <f t="shared" si="1011"/>
        <v>120636803.18152764</v>
      </c>
      <c r="S863">
        <f t="shared" si="1012"/>
        <v>1206.3680318152765</v>
      </c>
      <c r="T863">
        <f t="shared" si="1013"/>
        <v>1.2063680318152765</v>
      </c>
    </row>
    <row r="864" spans="1:20" x14ac:dyDescent="0.25">
      <c r="A864" s="5">
        <v>43729</v>
      </c>
      <c r="B864">
        <v>0.31340000000000001</v>
      </c>
      <c r="C864">
        <v>0.31540000000000001</v>
      </c>
      <c r="D864">
        <v>0.29020000000000001</v>
      </c>
      <c r="E864">
        <v>0.29399999999999998</v>
      </c>
      <c r="F864">
        <v>2809513.73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-0.69841269841270082</v>
      </c>
      <c r="Q864">
        <f t="shared" si="1010"/>
        <v>-1962200.0653968321</v>
      </c>
      <c r="R864">
        <f t="shared" si="1011"/>
        <v>121902704.2841019</v>
      </c>
      <c r="S864">
        <f t="shared" si="1012"/>
        <v>1219.027042841019</v>
      </c>
      <c r="T864">
        <f t="shared" si="1013"/>
        <v>1.219027042841019</v>
      </c>
    </row>
    <row r="865" spans="1:20" x14ac:dyDescent="0.25">
      <c r="A865" s="5">
        <v>43728</v>
      </c>
      <c r="B865">
        <v>0.2974</v>
      </c>
      <c r="C865">
        <v>0.31640000000000001</v>
      </c>
      <c r="D865">
        <v>0.28460000000000002</v>
      </c>
      <c r="E865">
        <v>0.31369999999999998</v>
      </c>
      <c r="F865">
        <v>5482817.5599999996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0.83018867924528073</v>
      </c>
      <c r="Q865">
        <f t="shared" si="1010"/>
        <v>4551773.0686792322</v>
      </c>
      <c r="R865">
        <f t="shared" si="1011"/>
        <v>123864904.34949873</v>
      </c>
      <c r="S865">
        <f t="shared" si="1012"/>
        <v>1238.6490434949874</v>
      </c>
      <c r="T865">
        <f t="shared" si="1013"/>
        <v>1.2386490434949873</v>
      </c>
    </row>
    <row r="866" spans="1:20" x14ac:dyDescent="0.25">
      <c r="A866" s="5">
        <v>43727</v>
      </c>
      <c r="B866">
        <v>0.29730000000000001</v>
      </c>
      <c r="C866">
        <v>0.30570000000000003</v>
      </c>
      <c r="D866">
        <v>0.27179999999999999</v>
      </c>
      <c r="E866">
        <v>0.29730000000000001</v>
      </c>
      <c r="F866">
        <v>6442696.1500000004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0.5044247787610614</v>
      </c>
      <c r="Q866">
        <f t="shared" si="1010"/>
        <v>3249855.580088492</v>
      </c>
      <c r="R866">
        <f t="shared" si="1011"/>
        <v>119313131.28081951</v>
      </c>
      <c r="S866">
        <f t="shared" si="1012"/>
        <v>1193.1313128081952</v>
      </c>
      <c r="T866">
        <f t="shared" si="1013"/>
        <v>1.1931313128081951</v>
      </c>
    </row>
    <row r="867" spans="1:20" x14ac:dyDescent="0.25">
      <c r="A867" s="5">
        <v>43726</v>
      </c>
      <c r="B867">
        <v>0.26169999999999999</v>
      </c>
      <c r="C867">
        <v>0.315</v>
      </c>
      <c r="D867">
        <v>0.26119999999999999</v>
      </c>
      <c r="E867">
        <v>0.29730000000000001</v>
      </c>
      <c r="F867">
        <v>6592913.0199999996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0.34200743494423835</v>
      </c>
      <c r="Q867">
        <f t="shared" si="1010"/>
        <v>2254825.2707806719</v>
      </c>
      <c r="R867">
        <f t="shared" si="1011"/>
        <v>116063275.70073101</v>
      </c>
      <c r="S867">
        <f t="shared" si="1012"/>
        <v>1160.6327570073101</v>
      </c>
      <c r="T867">
        <f t="shared" si="1013"/>
        <v>1.1606327570073101</v>
      </c>
    </row>
    <row r="868" spans="1:20" x14ac:dyDescent="0.25">
      <c r="A868" s="5">
        <v>43725</v>
      </c>
      <c r="B868">
        <v>0.2487</v>
      </c>
      <c r="C868">
        <v>0.27</v>
      </c>
      <c r="D868">
        <v>0.2467</v>
      </c>
      <c r="E868">
        <v>0.26169999999999999</v>
      </c>
      <c r="F868">
        <v>4183414.49</v>
      </c>
      <c r="G868">
        <v>0</v>
      </c>
      <c r="L868" t="s">
        <v>8</v>
      </c>
      <c r="M868" t="s">
        <v>8</v>
      </c>
      <c r="N868" t="s">
        <v>7</v>
      </c>
      <c r="P868">
        <f t="shared" si="1009"/>
        <v>0.28755364806866746</v>
      </c>
      <c r="Q868">
        <f t="shared" si="1010"/>
        <v>1202956.0979828241</v>
      </c>
      <c r="R868">
        <f t="shared" si="1011"/>
        <v>113808450.42995034</v>
      </c>
      <c r="S868">
        <f t="shared" si="1012"/>
        <v>1138.0845042995034</v>
      </c>
      <c r="T868">
        <f t="shared" si="1013"/>
        <v>1.1380845042995034</v>
      </c>
    </row>
    <row r="869" spans="1:20" x14ac:dyDescent="0.25">
      <c r="A869" s="5">
        <v>43724</v>
      </c>
      <c r="B869">
        <v>0.24879999999999999</v>
      </c>
      <c r="C869">
        <v>0.25319999999999998</v>
      </c>
      <c r="D869">
        <v>0.24110000000000001</v>
      </c>
      <c r="E869">
        <v>0.2485</v>
      </c>
      <c r="F869">
        <v>2551777.61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0.22314049586776977</v>
      </c>
      <c r="Q869">
        <f t="shared" si="1010"/>
        <v>569404.92123967235</v>
      </c>
      <c r="R869">
        <f t="shared" si="1011"/>
        <v>112605494.33196752</v>
      </c>
      <c r="S869">
        <f t="shared" si="1012"/>
        <v>1126.0549433196752</v>
      </c>
      <c r="T869">
        <f t="shared" si="1013"/>
        <v>1.1260549433196752</v>
      </c>
    </row>
    <row r="870" spans="1:20" x14ac:dyDescent="0.25">
      <c r="A870" s="5">
        <v>43723</v>
      </c>
      <c r="B870">
        <v>0.24759999999999999</v>
      </c>
      <c r="C870">
        <v>0.24970000000000001</v>
      </c>
      <c r="D870">
        <v>0.24310000000000001</v>
      </c>
      <c r="E870">
        <v>0.24859999999999999</v>
      </c>
      <c r="F870">
        <v>1587653.16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0.66666666666666108</v>
      </c>
      <c r="Q870">
        <f t="shared" si="1010"/>
        <v>1058435.4399999911</v>
      </c>
      <c r="R870">
        <f t="shared" si="1011"/>
        <v>112036089.41072784</v>
      </c>
      <c r="S870">
        <f t="shared" si="1012"/>
        <v>1120.3608941072785</v>
      </c>
      <c r="T870">
        <f t="shared" si="1013"/>
        <v>1.1203608941072785</v>
      </c>
    </row>
    <row r="871" spans="1:20" x14ac:dyDescent="0.25">
      <c r="A871" s="5">
        <v>43722</v>
      </c>
      <c r="B871">
        <v>0.2412</v>
      </c>
      <c r="C871">
        <v>0.249</v>
      </c>
      <c r="D871">
        <v>0.23899999999999999</v>
      </c>
      <c r="E871">
        <v>0.24759999999999999</v>
      </c>
      <c r="F871">
        <v>1341449.23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0.71999999999999775</v>
      </c>
      <c r="Q871">
        <f t="shared" si="1010"/>
        <v>965843.44559999695</v>
      </c>
      <c r="R871">
        <f t="shared" si="1011"/>
        <v>110977653.97072785</v>
      </c>
      <c r="S871">
        <f t="shared" si="1012"/>
        <v>1109.7765397072785</v>
      </c>
      <c r="T871">
        <f t="shared" si="1013"/>
        <v>1.1097765397072785</v>
      </c>
    </row>
    <row r="872" spans="1:20" x14ac:dyDescent="0.25">
      <c r="A872" s="5">
        <v>43721</v>
      </c>
      <c r="B872">
        <v>0.23549999999999999</v>
      </c>
      <c r="C872">
        <v>0.24260000000000001</v>
      </c>
      <c r="D872">
        <v>0.23449999999999999</v>
      </c>
      <c r="E872">
        <v>0.24110000000000001</v>
      </c>
      <c r="F872">
        <v>1171722.3899999999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0.62962962962963043</v>
      </c>
      <c r="Q872">
        <f t="shared" si="1010"/>
        <v>737751.13444444537</v>
      </c>
      <c r="R872">
        <f t="shared" si="1011"/>
        <v>110011810.52512784</v>
      </c>
      <c r="S872">
        <f t="shared" si="1012"/>
        <v>1100.1181052512784</v>
      </c>
      <c r="T872">
        <f t="shared" si="1013"/>
        <v>1.1001181052512783</v>
      </c>
    </row>
    <row r="873" spans="1:20" x14ac:dyDescent="0.25">
      <c r="A873" s="5">
        <v>43720</v>
      </c>
      <c r="B873">
        <v>0.2387</v>
      </c>
      <c r="C873">
        <v>0.2394</v>
      </c>
      <c r="D873">
        <v>0.23300000000000001</v>
      </c>
      <c r="E873">
        <v>0.23569999999999999</v>
      </c>
      <c r="F873">
        <v>998723.82</v>
      </c>
      <c r="G873">
        <v>0</v>
      </c>
      <c r="L873" t="s">
        <v>8</v>
      </c>
      <c r="M873" t="s">
        <v>7</v>
      </c>
      <c r="N873" t="s">
        <v>7</v>
      </c>
      <c r="P873">
        <f t="shared" si="1009"/>
        <v>-0.15625000000000475</v>
      </c>
      <c r="Q873">
        <f t="shared" si="1010"/>
        <v>-156050.59687500473</v>
      </c>
      <c r="R873">
        <f t="shared" si="1011"/>
        <v>109274059.3906834</v>
      </c>
      <c r="S873">
        <f t="shared" si="1012"/>
        <v>1092.740593906834</v>
      </c>
      <c r="T873">
        <f t="shared" si="1013"/>
        <v>1.092740593906834</v>
      </c>
    </row>
    <row r="874" spans="1:20" x14ac:dyDescent="0.25">
      <c r="A874" s="5">
        <v>43719</v>
      </c>
      <c r="B874">
        <v>0.2384</v>
      </c>
      <c r="C874">
        <v>0.24110000000000001</v>
      </c>
      <c r="D874">
        <v>0.23449999999999999</v>
      </c>
      <c r="E874">
        <v>0.23860000000000001</v>
      </c>
      <c r="F874">
        <v>985383.53</v>
      </c>
      <c r="G874">
        <v>0</v>
      </c>
      <c r="L874" t="s">
        <v>8</v>
      </c>
      <c r="M874" t="s">
        <v>7</v>
      </c>
      <c r="N874" t="s">
        <v>7</v>
      </c>
      <c r="P874">
        <f t="shared" si="1009"/>
        <v>0.24242424242424435</v>
      </c>
      <c r="Q874">
        <f t="shared" si="1010"/>
        <v>238880.85575757766</v>
      </c>
      <c r="R874">
        <f t="shared" si="1011"/>
        <v>109430109.98755841</v>
      </c>
      <c r="S874">
        <f t="shared" si="1012"/>
        <v>1094.301099875584</v>
      </c>
      <c r="T874">
        <f t="shared" si="1013"/>
        <v>1.094301099875584</v>
      </c>
    </row>
    <row r="875" spans="1:20" x14ac:dyDescent="0.25">
      <c r="A875" s="5">
        <v>43718</v>
      </c>
      <c r="B875">
        <v>0.23930000000000001</v>
      </c>
      <c r="C875">
        <v>0.2429</v>
      </c>
      <c r="D875">
        <v>0.23649999999999999</v>
      </c>
      <c r="E875">
        <v>0.2384</v>
      </c>
      <c r="F875">
        <v>1593865.2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-0.40624999999999756</v>
      </c>
      <c r="Q875">
        <f t="shared" si="1010"/>
        <v>-647507.73749999609</v>
      </c>
      <c r="R875">
        <f t="shared" si="1011"/>
        <v>109191229.13180083</v>
      </c>
      <c r="S875">
        <f t="shared" si="1012"/>
        <v>1091.9122913180083</v>
      </c>
      <c r="T875">
        <f t="shared" si="1013"/>
        <v>1.0919122913180084</v>
      </c>
    </row>
    <row r="876" spans="1:20" x14ac:dyDescent="0.25">
      <c r="A876" s="5">
        <v>43717</v>
      </c>
      <c r="B876">
        <v>0.24429999999999999</v>
      </c>
      <c r="C876">
        <v>0.24460000000000001</v>
      </c>
      <c r="D876">
        <v>0.23319999999999999</v>
      </c>
      <c r="E876">
        <v>0.23930000000000001</v>
      </c>
      <c r="F876">
        <v>2402475.37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7.0175438596493112E-2</v>
      </c>
      <c r="Q876">
        <f t="shared" si="1010"/>
        <v>168594.76280702208</v>
      </c>
      <c r="R876">
        <f t="shared" si="1011"/>
        <v>109838736.86930083</v>
      </c>
      <c r="S876">
        <f t="shared" si="1012"/>
        <v>1098.3873686930083</v>
      </c>
      <c r="T876">
        <f t="shared" si="1013"/>
        <v>1.0983873686930083</v>
      </c>
    </row>
    <row r="877" spans="1:20" x14ac:dyDescent="0.25">
      <c r="A877" s="5">
        <v>43716</v>
      </c>
      <c r="B877">
        <v>0.2412</v>
      </c>
      <c r="C877">
        <v>0.2485</v>
      </c>
      <c r="D877">
        <v>0.23780000000000001</v>
      </c>
      <c r="E877">
        <v>0.24440000000000001</v>
      </c>
      <c r="F877">
        <v>1629662.64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0.23364485981308461</v>
      </c>
      <c r="Q877">
        <f t="shared" si="1010"/>
        <v>380762.29906542134</v>
      </c>
      <c r="R877">
        <f t="shared" si="1011"/>
        <v>109670142.1064938</v>
      </c>
      <c r="S877">
        <f t="shared" si="1012"/>
        <v>1096.7014210649379</v>
      </c>
      <c r="T877">
        <f t="shared" si="1013"/>
        <v>1.096701421064938</v>
      </c>
    </row>
    <row r="878" spans="1:20" x14ac:dyDescent="0.25">
      <c r="A878" s="5">
        <v>43715</v>
      </c>
      <c r="B878">
        <v>0.23100000000000001</v>
      </c>
      <c r="C878">
        <v>0.24199999999999999</v>
      </c>
      <c r="D878">
        <v>0.22950000000000001</v>
      </c>
      <c r="E878">
        <v>0.2412</v>
      </c>
      <c r="F878">
        <v>1391869.5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0.87200000000000055</v>
      </c>
      <c r="Q878">
        <f t="shared" si="1010"/>
        <v>1213710.2040000008</v>
      </c>
      <c r="R878">
        <f t="shared" si="1011"/>
        <v>109289379.80742837</v>
      </c>
      <c r="S878">
        <f t="shared" si="1012"/>
        <v>1092.8937980742837</v>
      </c>
      <c r="T878">
        <f t="shared" si="1013"/>
        <v>1.0928937980742837</v>
      </c>
    </row>
    <row r="879" spans="1:20" x14ac:dyDescent="0.25">
      <c r="A879" s="5">
        <v>43714</v>
      </c>
      <c r="B879">
        <v>0.24179999999999999</v>
      </c>
      <c r="C879">
        <v>0.24399999999999999</v>
      </c>
      <c r="D879">
        <v>0.22670000000000001</v>
      </c>
      <c r="E879">
        <v>0.2306</v>
      </c>
      <c r="F879">
        <v>3072167.06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-0.54913294797687962</v>
      </c>
      <c r="Q879">
        <f t="shared" si="1010"/>
        <v>-1687028.1543352632</v>
      </c>
      <c r="R879">
        <f t="shared" si="1011"/>
        <v>108075669.60342838</v>
      </c>
      <c r="S879">
        <f t="shared" si="1012"/>
        <v>1080.7566960342838</v>
      </c>
      <c r="T879">
        <f t="shared" si="1013"/>
        <v>1.0807566960342838</v>
      </c>
    </row>
    <row r="880" spans="1:20" x14ac:dyDescent="0.25">
      <c r="A880" s="5">
        <v>43713</v>
      </c>
      <c r="B880">
        <v>0.24579999999999999</v>
      </c>
      <c r="C880">
        <v>0.24840000000000001</v>
      </c>
      <c r="D880">
        <v>0.23830000000000001</v>
      </c>
      <c r="E880">
        <v>0.24179999999999999</v>
      </c>
      <c r="F880">
        <v>1332722.8999999999</v>
      </c>
      <c r="G880">
        <v>0</v>
      </c>
      <c r="L880" t="s">
        <v>8</v>
      </c>
      <c r="M880" t="s">
        <v>8</v>
      </c>
      <c r="N880" t="s">
        <v>7</v>
      </c>
      <c r="P880">
        <f t="shared" si="1009"/>
        <v>-0.30693069306931164</v>
      </c>
      <c r="Q880">
        <f t="shared" si="1010"/>
        <v>-409053.56336634286</v>
      </c>
      <c r="R880">
        <f t="shared" si="1011"/>
        <v>109762697.75776364</v>
      </c>
      <c r="S880">
        <f t="shared" si="1012"/>
        <v>1097.6269775776364</v>
      </c>
      <c r="T880">
        <f t="shared" si="1013"/>
        <v>1.0976269775776364</v>
      </c>
    </row>
    <row r="881" spans="1:20" x14ac:dyDescent="0.25">
      <c r="A881" s="5">
        <v>43712</v>
      </c>
      <c r="B881">
        <v>0.2492</v>
      </c>
      <c r="C881">
        <v>0.25030000000000002</v>
      </c>
      <c r="D881">
        <v>0.24110000000000001</v>
      </c>
      <c r="E881">
        <v>0.2462</v>
      </c>
      <c r="F881">
        <v>1226092.67</v>
      </c>
      <c r="G881">
        <v>0</v>
      </c>
      <c r="L881" t="s">
        <v>8</v>
      </c>
      <c r="M881" t="s">
        <v>8</v>
      </c>
      <c r="N881" t="s">
        <v>7</v>
      </c>
      <c r="P881">
        <f t="shared" si="1009"/>
        <v>0.10869565217390996</v>
      </c>
      <c r="Q881">
        <f t="shared" si="1010"/>
        <v>133270.94239130054</v>
      </c>
      <c r="R881">
        <f t="shared" si="1011"/>
        <v>110171751.32112998</v>
      </c>
      <c r="S881">
        <f t="shared" si="1012"/>
        <v>1101.7175132112998</v>
      </c>
      <c r="T881">
        <f t="shared" si="1013"/>
        <v>1.1017175132112997</v>
      </c>
    </row>
    <row r="882" spans="1:20" x14ac:dyDescent="0.25">
      <c r="A882" s="5">
        <v>43711</v>
      </c>
      <c r="B882">
        <v>0.24940000000000001</v>
      </c>
      <c r="C882">
        <v>0.25169999999999998</v>
      </c>
      <c r="D882">
        <v>0.24560000000000001</v>
      </c>
      <c r="E882">
        <v>0.24909999999999999</v>
      </c>
      <c r="F882">
        <v>2022602.34</v>
      </c>
      <c r="G882">
        <v>0</v>
      </c>
      <c r="L882" t="s">
        <v>8</v>
      </c>
      <c r="M882" t="s">
        <v>8</v>
      </c>
      <c r="N882" t="s">
        <v>7</v>
      </c>
      <c r="P882">
        <f t="shared" si="1009"/>
        <v>0.1475409836065556</v>
      </c>
      <c r="Q882">
        <f t="shared" si="1010"/>
        <v>298416.73868852103</v>
      </c>
      <c r="R882">
        <f t="shared" si="1011"/>
        <v>110038480.37873867</v>
      </c>
      <c r="S882">
        <f t="shared" si="1012"/>
        <v>1100.3848037873868</v>
      </c>
      <c r="T882">
        <f t="shared" si="1013"/>
        <v>1.1003848037873867</v>
      </c>
    </row>
    <row r="883" spans="1:20" x14ac:dyDescent="0.25">
      <c r="A883" s="5">
        <v>43710</v>
      </c>
      <c r="B883">
        <v>0.24079999999999999</v>
      </c>
      <c r="C883">
        <v>0.255</v>
      </c>
      <c r="D883">
        <v>0.24010000000000001</v>
      </c>
      <c r="E883">
        <v>0.2485</v>
      </c>
      <c r="F883">
        <v>1546205.35</v>
      </c>
      <c r="G883">
        <v>0</v>
      </c>
      <c r="L883" t="s">
        <v>8</v>
      </c>
      <c r="M883" t="s">
        <v>8</v>
      </c>
      <c r="N883" t="s">
        <v>7</v>
      </c>
      <c r="P883">
        <f t="shared" si="1009"/>
        <v>0.12751677852348894</v>
      </c>
      <c r="Q883">
        <f t="shared" si="1010"/>
        <v>197167.12516778373</v>
      </c>
      <c r="R883">
        <f t="shared" si="1011"/>
        <v>109740063.64005016</v>
      </c>
      <c r="S883">
        <f t="shared" si="1012"/>
        <v>1097.4006364005015</v>
      </c>
      <c r="T883">
        <f t="shared" si="1013"/>
        <v>1.0974006364005016</v>
      </c>
    </row>
    <row r="884" spans="1:20" x14ac:dyDescent="0.25">
      <c r="A884" s="5">
        <v>43709</v>
      </c>
      <c r="B884">
        <v>0.2465</v>
      </c>
      <c r="C884">
        <v>0.25059999999999999</v>
      </c>
      <c r="D884">
        <v>0.23910000000000001</v>
      </c>
      <c r="E884">
        <v>0.2402</v>
      </c>
      <c r="F884">
        <v>883645.76</v>
      </c>
      <c r="G884">
        <v>0</v>
      </c>
      <c r="L884" t="s">
        <v>8</v>
      </c>
      <c r="M884" t="s">
        <v>8</v>
      </c>
      <c r="N884" t="s">
        <v>7</v>
      </c>
      <c r="P884">
        <f t="shared" si="1009"/>
        <v>-0.80869565217391448</v>
      </c>
      <c r="Q884">
        <f t="shared" si="1010"/>
        <v>-714600.4841739143</v>
      </c>
      <c r="R884">
        <f t="shared" si="1011"/>
        <v>109542896.51488237</v>
      </c>
      <c r="S884">
        <f t="shared" si="1012"/>
        <v>1095.4289651488236</v>
      </c>
      <c r="T884">
        <f t="shared" si="1013"/>
        <v>1.0954289651488236</v>
      </c>
    </row>
    <row r="885" spans="1:20" x14ac:dyDescent="0.25">
      <c r="A885" s="5">
        <v>43708</v>
      </c>
      <c r="B885">
        <v>0.25230000000000002</v>
      </c>
      <c r="C885">
        <v>0.25290000000000001</v>
      </c>
      <c r="D885">
        <v>0.2417</v>
      </c>
      <c r="E885">
        <v>0.2465</v>
      </c>
      <c r="F885">
        <v>968700.8</v>
      </c>
      <c r="G885">
        <v>0</v>
      </c>
      <c r="L885" t="s">
        <v>8</v>
      </c>
      <c r="M885" t="s">
        <v>8</v>
      </c>
      <c r="N885" t="s">
        <v>7</v>
      </c>
      <c r="P885">
        <f t="shared" si="1009"/>
        <v>-0.14285714285714426</v>
      </c>
      <c r="Q885">
        <f t="shared" si="1010"/>
        <v>-138385.82857142994</v>
      </c>
      <c r="R885">
        <f t="shared" si="1011"/>
        <v>110257496.99905628</v>
      </c>
      <c r="S885">
        <f t="shared" si="1012"/>
        <v>1102.5749699905627</v>
      </c>
      <c r="T885">
        <f t="shared" si="1013"/>
        <v>1.1025749699905627</v>
      </c>
    </row>
    <row r="886" spans="1:20" x14ac:dyDescent="0.25">
      <c r="A886" s="5">
        <v>43707</v>
      </c>
      <c r="B886">
        <v>0.25019999999999998</v>
      </c>
      <c r="C886">
        <v>0.25309999999999999</v>
      </c>
      <c r="D886">
        <v>0.2442</v>
      </c>
      <c r="E886">
        <v>0.25219999999999998</v>
      </c>
      <c r="F886">
        <v>1656896.33</v>
      </c>
      <c r="G886">
        <v>0</v>
      </c>
      <c r="L886" t="s">
        <v>8</v>
      </c>
      <c r="M886" t="s">
        <v>8</v>
      </c>
      <c r="N886" t="s">
        <v>7</v>
      </c>
      <c r="P886">
        <f t="shared" si="1009"/>
        <v>0.79775280898876122</v>
      </c>
      <c r="Q886">
        <f t="shared" si="1010"/>
        <v>1321793.7014606695</v>
      </c>
      <c r="R886">
        <f t="shared" si="1011"/>
        <v>110395882.8276277</v>
      </c>
      <c r="S886">
        <f t="shared" si="1012"/>
        <v>1103.958828276277</v>
      </c>
      <c r="T886">
        <f t="shared" si="1013"/>
        <v>1.1039588282762771</v>
      </c>
    </row>
    <row r="887" spans="1:20" x14ac:dyDescent="0.25">
      <c r="A887" s="5">
        <v>43706</v>
      </c>
      <c r="B887">
        <v>0.2424</v>
      </c>
      <c r="C887">
        <v>0.26100000000000001</v>
      </c>
      <c r="D887">
        <v>0.2324</v>
      </c>
      <c r="E887">
        <v>0.25030000000000002</v>
      </c>
      <c r="F887">
        <v>4320896.79</v>
      </c>
      <c r="G887">
        <v>0</v>
      </c>
      <c r="L887" t="s">
        <v>7</v>
      </c>
      <c r="M887" t="s">
        <v>8</v>
      </c>
      <c r="N887" t="s">
        <v>7</v>
      </c>
      <c r="P887">
        <f t="shared" si="1009"/>
        <v>0.25174825174825299</v>
      </c>
      <c r="Q887">
        <f t="shared" si="1010"/>
        <v>1087778.2128671382</v>
      </c>
      <c r="R887">
        <f t="shared" si="1011"/>
        <v>109074089.12616703</v>
      </c>
      <c r="S887">
        <f t="shared" si="1012"/>
        <v>1090.7408912616702</v>
      </c>
      <c r="T887">
        <f t="shared" si="1013"/>
        <v>1.0907408912616703</v>
      </c>
    </row>
    <row r="888" spans="1:20" x14ac:dyDescent="0.25">
      <c r="A888" s="5">
        <v>43705</v>
      </c>
      <c r="B888">
        <v>0.26019999999999999</v>
      </c>
      <c r="C888">
        <v>0.26200000000000001</v>
      </c>
      <c r="D888">
        <v>0.24129999999999999</v>
      </c>
      <c r="E888">
        <v>0.2424</v>
      </c>
      <c r="F888">
        <v>1894590.36</v>
      </c>
      <c r="G888">
        <v>0</v>
      </c>
      <c r="L888" t="s">
        <v>7</v>
      </c>
      <c r="M888" t="s">
        <v>8</v>
      </c>
      <c r="N888" t="s">
        <v>7</v>
      </c>
      <c r="P888">
        <f t="shared" si="1009"/>
        <v>-0.89371980676328344</v>
      </c>
      <c r="Q888">
        <f t="shared" si="1010"/>
        <v>-1693232.9304347797</v>
      </c>
      <c r="R888">
        <f t="shared" si="1011"/>
        <v>107986310.91329989</v>
      </c>
      <c r="S888">
        <f t="shared" si="1012"/>
        <v>1079.8631091329989</v>
      </c>
      <c r="T888">
        <f t="shared" si="1013"/>
        <v>1.0798631091329989</v>
      </c>
    </row>
    <row r="889" spans="1:20" x14ac:dyDescent="0.25">
      <c r="A889" s="5">
        <v>43704</v>
      </c>
      <c r="B889">
        <v>0.26929999999999998</v>
      </c>
      <c r="C889">
        <v>0.27010000000000001</v>
      </c>
      <c r="D889">
        <v>0.2576</v>
      </c>
      <c r="E889">
        <v>0.26019999999999999</v>
      </c>
      <c r="F889">
        <v>1689603.09</v>
      </c>
      <c r="G889">
        <v>0</v>
      </c>
      <c r="L889" t="s">
        <v>7</v>
      </c>
      <c r="M889" t="s">
        <v>8</v>
      </c>
      <c r="N889" t="s">
        <v>7</v>
      </c>
      <c r="P889">
        <f t="shared" si="1009"/>
        <v>-0.58400000000000174</v>
      </c>
      <c r="Q889">
        <f t="shared" si="1010"/>
        <v>-986728.20456000301</v>
      </c>
      <c r="R889">
        <f t="shared" si="1011"/>
        <v>109679543.84373467</v>
      </c>
      <c r="S889">
        <f t="shared" si="1012"/>
        <v>1096.7954384373468</v>
      </c>
      <c r="T889">
        <f t="shared" si="1013"/>
        <v>1.0967954384373468</v>
      </c>
    </row>
    <row r="890" spans="1:20" x14ac:dyDescent="0.25">
      <c r="A890" s="5">
        <v>43703</v>
      </c>
      <c r="B890">
        <v>0.2666</v>
      </c>
      <c r="C890">
        <v>0.27589999999999998</v>
      </c>
      <c r="D890">
        <v>0.26279999999999998</v>
      </c>
      <c r="E890">
        <v>0.26879999999999998</v>
      </c>
      <c r="F890">
        <v>1883892.77</v>
      </c>
      <c r="G890">
        <v>0</v>
      </c>
      <c r="L890" t="s">
        <v>8</v>
      </c>
      <c r="M890" t="s">
        <v>8</v>
      </c>
      <c r="N890" t="s">
        <v>7</v>
      </c>
      <c r="P890">
        <f t="shared" si="1009"/>
        <v>-8.3969465648854186E-2</v>
      </c>
      <c r="Q890">
        <f t="shared" si="1010"/>
        <v>-158189.46923663976</v>
      </c>
      <c r="R890">
        <f t="shared" si="1011"/>
        <v>110666272.04829466</v>
      </c>
      <c r="S890">
        <f t="shared" si="1012"/>
        <v>1106.6627204829467</v>
      </c>
      <c r="T890">
        <f t="shared" si="1013"/>
        <v>1.1066627204829467</v>
      </c>
    </row>
    <row r="891" spans="1:20" x14ac:dyDescent="0.25">
      <c r="A891" s="5">
        <v>43702</v>
      </c>
      <c r="B891">
        <v>0.25829999999999997</v>
      </c>
      <c r="C891">
        <v>0.27650000000000002</v>
      </c>
      <c r="D891">
        <v>0.25800000000000001</v>
      </c>
      <c r="E891">
        <v>0.2666</v>
      </c>
      <c r="F891">
        <v>3235407.71</v>
      </c>
      <c r="G891">
        <v>0</v>
      </c>
      <c r="L891" t="s">
        <v>8</v>
      </c>
      <c r="M891" t="s">
        <v>8</v>
      </c>
      <c r="N891" t="s">
        <v>7</v>
      </c>
      <c r="P891">
        <f t="shared" si="1009"/>
        <v>-7.0270270270271468E-2</v>
      </c>
      <c r="Q891">
        <f t="shared" si="1010"/>
        <v>-227352.97421622009</v>
      </c>
      <c r="R891">
        <f t="shared" si="1011"/>
        <v>110824461.51753131</v>
      </c>
      <c r="S891">
        <f t="shared" si="1012"/>
        <v>1108.2446151753131</v>
      </c>
      <c r="T891">
        <f t="shared" si="1013"/>
        <v>1.1082446151753131</v>
      </c>
    </row>
    <row r="892" spans="1:20" x14ac:dyDescent="0.25">
      <c r="A892" s="5">
        <v>43701</v>
      </c>
      <c r="B892">
        <v>0.25919999999999999</v>
      </c>
      <c r="C892">
        <v>0.26500000000000001</v>
      </c>
      <c r="D892">
        <v>0.25209999999999999</v>
      </c>
      <c r="E892">
        <v>0.2581</v>
      </c>
      <c r="F892">
        <v>1660276.45</v>
      </c>
      <c r="G892">
        <v>0</v>
      </c>
      <c r="L892" t="s">
        <v>8</v>
      </c>
      <c r="M892" t="s">
        <v>8</v>
      </c>
      <c r="N892" t="s">
        <v>7</v>
      </c>
      <c r="P892">
        <f t="shared" si="1009"/>
        <v>-6.976744186046592E-2</v>
      </c>
      <c r="Q892">
        <f t="shared" si="1010"/>
        <v>-115833.24069767575</v>
      </c>
      <c r="R892">
        <f t="shared" si="1011"/>
        <v>111051814.49174753</v>
      </c>
      <c r="S892">
        <f t="shared" si="1012"/>
        <v>1110.5181449174752</v>
      </c>
      <c r="T892">
        <f t="shared" si="1013"/>
        <v>1.1105181449174752</v>
      </c>
    </row>
    <row r="893" spans="1:20" x14ac:dyDescent="0.25">
      <c r="A893" s="5">
        <v>43700</v>
      </c>
      <c r="B893">
        <v>0.26090000000000002</v>
      </c>
      <c r="C893">
        <v>0.26579999999999998</v>
      </c>
      <c r="D893">
        <v>0.2555</v>
      </c>
      <c r="E893">
        <v>0.25919999999999999</v>
      </c>
      <c r="F893">
        <v>2680749.56</v>
      </c>
      <c r="G893">
        <v>0</v>
      </c>
      <c r="L893" t="s">
        <v>8</v>
      </c>
      <c r="M893" t="s">
        <v>8</v>
      </c>
      <c r="N893" t="s">
        <v>7</v>
      </c>
      <c r="P893">
        <f t="shared" si="1009"/>
        <v>-0.28155339805825441</v>
      </c>
      <c r="Q893">
        <f t="shared" si="1010"/>
        <v>-754774.14796117041</v>
      </c>
      <c r="R893">
        <f t="shared" si="1011"/>
        <v>111167647.73244521</v>
      </c>
      <c r="S893">
        <f t="shared" si="1012"/>
        <v>1111.6764773244522</v>
      </c>
      <c r="T893">
        <f t="shared" si="1013"/>
        <v>1.1116764773244523</v>
      </c>
    </row>
    <row r="894" spans="1:20" x14ac:dyDescent="0.25">
      <c r="A894" s="5">
        <v>43699</v>
      </c>
      <c r="B894">
        <v>0.2399</v>
      </c>
      <c r="C894">
        <v>0.27039999999999997</v>
      </c>
      <c r="D894">
        <v>0.23300000000000001</v>
      </c>
      <c r="E894">
        <v>0.2611</v>
      </c>
      <c r="F894">
        <v>4551470.1100000003</v>
      </c>
      <c r="G894">
        <v>0</v>
      </c>
      <c r="L894" t="s">
        <v>8</v>
      </c>
      <c r="M894" t="s">
        <v>8</v>
      </c>
      <c r="N894" t="s">
        <v>7</v>
      </c>
      <c r="P894">
        <f t="shared" si="1009"/>
        <v>0.50267379679144464</v>
      </c>
      <c r="Q894">
        <f t="shared" si="1010"/>
        <v>2287904.7611764744</v>
      </c>
      <c r="R894">
        <f t="shared" si="1011"/>
        <v>111922421.88040638</v>
      </c>
      <c r="S894">
        <f t="shared" si="1012"/>
        <v>1119.2242188040639</v>
      </c>
      <c r="T894">
        <f t="shared" si="1013"/>
        <v>1.119224218804064</v>
      </c>
    </row>
    <row r="895" spans="1:20" x14ac:dyDescent="0.25">
      <c r="A895" s="5">
        <v>43698</v>
      </c>
      <c r="B895">
        <v>0.2492</v>
      </c>
      <c r="C895">
        <v>0.25030000000000002</v>
      </c>
      <c r="D895">
        <v>0.23300000000000001</v>
      </c>
      <c r="E895">
        <v>0.2399</v>
      </c>
      <c r="F895">
        <v>1723895.88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-0.20231213872832537</v>
      </c>
      <c r="Q895">
        <f t="shared" ref="Q895:Q958" si="1015">F895*P895</f>
        <v>-348765.06242774852</v>
      </c>
      <c r="R895">
        <f t="shared" ref="R895:R958" si="1016">R896+Q895</f>
        <v>109634517.1192299</v>
      </c>
      <c r="S895">
        <f t="shared" ref="S895:S958" si="1017">R895/100000</f>
        <v>1096.3451711922989</v>
      </c>
      <c r="T895">
        <f t="shared" ref="T895:T958" si="1018">S895/1000</f>
        <v>1.0963451711922989</v>
      </c>
    </row>
    <row r="896" spans="1:20" x14ac:dyDescent="0.25">
      <c r="A896" s="5">
        <v>43697</v>
      </c>
      <c r="B896">
        <v>0.252</v>
      </c>
      <c r="C896">
        <v>0.25269999999999998</v>
      </c>
      <c r="D896">
        <v>0.2402</v>
      </c>
      <c r="E896">
        <v>0.24940000000000001</v>
      </c>
      <c r="F896">
        <v>1450805.92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0.47200000000000414</v>
      </c>
      <c r="Q896">
        <f t="shared" si="1015"/>
        <v>684780.39424000599</v>
      </c>
      <c r="R896">
        <f t="shared" si="1016"/>
        <v>109983282.18165764</v>
      </c>
      <c r="S896">
        <f t="shared" si="1017"/>
        <v>1099.8328218165764</v>
      </c>
      <c r="T896">
        <f t="shared" si="1018"/>
        <v>1.0998328218165763</v>
      </c>
    </row>
    <row r="897" spans="1:20" x14ac:dyDescent="0.25">
      <c r="A897" s="5">
        <v>43696</v>
      </c>
      <c r="B897">
        <v>0.2472</v>
      </c>
      <c r="C897">
        <v>0.255</v>
      </c>
      <c r="D897">
        <v>0.24579999999999999</v>
      </c>
      <c r="E897">
        <v>0.25109999999999999</v>
      </c>
      <c r="F897">
        <v>1961412.06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0.15217391304347636</v>
      </c>
      <c r="Q897">
        <f t="shared" si="1015"/>
        <v>298475.74826086586</v>
      </c>
      <c r="R897">
        <f t="shared" si="1016"/>
        <v>109298501.78741764</v>
      </c>
      <c r="S897">
        <f t="shared" si="1017"/>
        <v>1092.9850178741763</v>
      </c>
      <c r="T897">
        <f t="shared" si="1018"/>
        <v>1.0929850178741762</v>
      </c>
    </row>
    <row r="898" spans="1:20" x14ac:dyDescent="0.25">
      <c r="A898" s="5">
        <v>43695</v>
      </c>
      <c r="B898">
        <v>0.24229999999999999</v>
      </c>
      <c r="C898">
        <v>0.25290000000000001</v>
      </c>
      <c r="D898">
        <v>0.2397</v>
      </c>
      <c r="E898">
        <v>0.2472</v>
      </c>
      <c r="F898">
        <v>1968426.27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0.13636363636363588</v>
      </c>
      <c r="Q898">
        <f t="shared" si="1015"/>
        <v>268421.76409090817</v>
      </c>
      <c r="R898">
        <f t="shared" si="1016"/>
        <v>109000026.03915676</v>
      </c>
      <c r="S898">
        <f t="shared" si="1017"/>
        <v>1090.0002603915677</v>
      </c>
      <c r="T898">
        <f t="shared" si="1018"/>
        <v>1.0900002603915677</v>
      </c>
    </row>
    <row r="899" spans="1:20" x14ac:dyDescent="0.25">
      <c r="A899" s="5">
        <v>43694</v>
      </c>
      <c r="B899">
        <v>0.2417</v>
      </c>
      <c r="C899">
        <v>0.2485</v>
      </c>
      <c r="D899">
        <v>0.23810000000000001</v>
      </c>
      <c r="E899">
        <v>0.2422</v>
      </c>
      <c r="F899">
        <v>1094928.42</v>
      </c>
      <c r="G899">
        <v>0</v>
      </c>
      <c r="L899" t="s">
        <v>8</v>
      </c>
      <c r="M899" t="s">
        <v>7</v>
      </c>
      <c r="N899" t="s">
        <v>7</v>
      </c>
      <c r="P899">
        <f t="shared" si="1014"/>
        <v>-0.21153846153846242</v>
      </c>
      <c r="Q899">
        <f t="shared" si="1015"/>
        <v>-231619.47346153943</v>
      </c>
      <c r="R899">
        <f t="shared" si="1016"/>
        <v>108731604.27506585</v>
      </c>
      <c r="S899">
        <f t="shared" si="1017"/>
        <v>1087.3160427506587</v>
      </c>
      <c r="T899">
        <f t="shared" si="1018"/>
        <v>1.0873160427506587</v>
      </c>
    </row>
    <row r="900" spans="1:20" x14ac:dyDescent="0.25">
      <c r="A900" s="5">
        <v>43693</v>
      </c>
      <c r="B900">
        <v>0.24279999999999999</v>
      </c>
      <c r="C900">
        <v>0.24709999999999999</v>
      </c>
      <c r="D900">
        <v>0.23</v>
      </c>
      <c r="E900">
        <v>0.24129999999999999</v>
      </c>
      <c r="F900">
        <v>2436570.13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0.32163742690058389</v>
      </c>
      <c r="Q900">
        <f t="shared" si="1015"/>
        <v>783692.14707602118</v>
      </c>
      <c r="R900">
        <f t="shared" si="1016"/>
        <v>108963223.74852739</v>
      </c>
      <c r="S900">
        <f t="shared" si="1017"/>
        <v>1089.6322374852739</v>
      </c>
      <c r="T900">
        <f t="shared" si="1018"/>
        <v>1.0896322374852738</v>
      </c>
    </row>
    <row r="901" spans="1:20" x14ac:dyDescent="0.25">
      <c r="A901" s="5">
        <v>43692</v>
      </c>
      <c r="B901">
        <v>0.23250000000000001</v>
      </c>
      <c r="C901">
        <v>0.2457</v>
      </c>
      <c r="D901">
        <v>0.2301</v>
      </c>
      <c r="E901">
        <v>0.24279999999999999</v>
      </c>
      <c r="F901">
        <v>2747862.98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0.62820512820512653</v>
      </c>
      <c r="Q901">
        <f t="shared" si="1015"/>
        <v>1726221.6156410209</v>
      </c>
      <c r="R901">
        <f t="shared" si="1016"/>
        <v>108179531.60145137</v>
      </c>
      <c r="S901">
        <f t="shared" si="1017"/>
        <v>1081.7953160145137</v>
      </c>
      <c r="T901">
        <f t="shared" si="1018"/>
        <v>1.0817953160145137</v>
      </c>
    </row>
    <row r="902" spans="1:20" x14ac:dyDescent="0.25">
      <c r="A902" s="5">
        <v>43691</v>
      </c>
      <c r="B902">
        <v>0.25690000000000002</v>
      </c>
      <c r="C902">
        <v>0.25690000000000002</v>
      </c>
      <c r="D902">
        <v>0.22850000000000001</v>
      </c>
      <c r="E902">
        <v>0.23219999999999999</v>
      </c>
      <c r="F902">
        <v>3801518.52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-0.73943661971831132</v>
      </c>
      <c r="Q902">
        <f t="shared" si="1015"/>
        <v>-2810982.0042253574</v>
      </c>
      <c r="R902">
        <f t="shared" si="1016"/>
        <v>106453309.98581034</v>
      </c>
      <c r="S902">
        <f t="shared" si="1017"/>
        <v>1064.5330998581035</v>
      </c>
      <c r="T902">
        <f t="shared" si="1018"/>
        <v>1.0645330998581035</v>
      </c>
    </row>
    <row r="903" spans="1:20" x14ac:dyDescent="0.25">
      <c r="A903" s="5">
        <v>43690</v>
      </c>
      <c r="B903">
        <v>0.25940000000000002</v>
      </c>
      <c r="C903">
        <v>0.2596</v>
      </c>
      <c r="D903">
        <v>0.25109999999999999</v>
      </c>
      <c r="E903">
        <v>0.25669999999999998</v>
      </c>
      <c r="F903">
        <v>2473554.19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0.31764705882352678</v>
      </c>
      <c r="Q903">
        <f t="shared" si="1015"/>
        <v>785717.21329411108</v>
      </c>
      <c r="R903">
        <f t="shared" si="1016"/>
        <v>109264291.9900357</v>
      </c>
      <c r="S903">
        <f t="shared" si="1017"/>
        <v>1092.6429199003569</v>
      </c>
      <c r="T903">
        <f t="shared" si="1018"/>
        <v>1.0926429199003569</v>
      </c>
    </row>
    <row r="904" spans="1:20" x14ac:dyDescent="0.25">
      <c r="A904" s="5">
        <v>43689</v>
      </c>
      <c r="B904">
        <v>0.26869999999999999</v>
      </c>
      <c r="C904">
        <v>0.27</v>
      </c>
      <c r="D904">
        <v>0.25590000000000002</v>
      </c>
      <c r="E904">
        <v>0.25929999999999997</v>
      </c>
      <c r="F904">
        <v>2141776.15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-0.51773049645390667</v>
      </c>
      <c r="Q904">
        <f t="shared" si="1015"/>
        <v>-1108862.8294326367</v>
      </c>
      <c r="R904">
        <f t="shared" si="1016"/>
        <v>108478574.77674159</v>
      </c>
      <c r="S904">
        <f t="shared" si="1017"/>
        <v>1084.7857477674158</v>
      </c>
      <c r="T904">
        <f t="shared" si="1018"/>
        <v>1.0847857477674159</v>
      </c>
    </row>
    <row r="905" spans="1:20" x14ac:dyDescent="0.25">
      <c r="A905" s="5">
        <v>43688</v>
      </c>
      <c r="B905">
        <v>0.2611</v>
      </c>
      <c r="C905">
        <v>0.27189999999999998</v>
      </c>
      <c r="D905">
        <v>0.26029999999999998</v>
      </c>
      <c r="E905">
        <v>0.26869999999999999</v>
      </c>
      <c r="F905">
        <v>1871799.56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0.4482758620689688</v>
      </c>
      <c r="Q905">
        <f t="shared" si="1015"/>
        <v>839082.5613793165</v>
      </c>
      <c r="R905">
        <f t="shared" si="1016"/>
        <v>109587437.60617423</v>
      </c>
      <c r="S905">
        <f t="shared" si="1017"/>
        <v>1095.8743760617424</v>
      </c>
      <c r="T905">
        <f t="shared" si="1018"/>
        <v>1.0958743760617424</v>
      </c>
    </row>
    <row r="906" spans="1:20" x14ac:dyDescent="0.25">
      <c r="A906" s="5">
        <v>43687</v>
      </c>
      <c r="B906">
        <v>0.25440000000000002</v>
      </c>
      <c r="C906">
        <v>0.26319999999999999</v>
      </c>
      <c r="D906">
        <v>0.25030000000000002</v>
      </c>
      <c r="E906">
        <v>0.2611</v>
      </c>
      <c r="F906">
        <v>3028840.83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0.67441860465116343</v>
      </c>
      <c r="Q906">
        <f t="shared" si="1015"/>
        <v>2042706.6062790717</v>
      </c>
      <c r="R906">
        <f t="shared" si="1016"/>
        <v>108748355.04479492</v>
      </c>
      <c r="S906">
        <f t="shared" si="1017"/>
        <v>1087.4835504479493</v>
      </c>
      <c r="T906">
        <f t="shared" si="1018"/>
        <v>1.0874835504479492</v>
      </c>
    </row>
    <row r="907" spans="1:20" x14ac:dyDescent="0.25">
      <c r="A907" s="5">
        <v>43686</v>
      </c>
      <c r="B907">
        <v>0.27479999999999999</v>
      </c>
      <c r="C907">
        <v>0.27579999999999999</v>
      </c>
      <c r="D907">
        <v>0.25</v>
      </c>
      <c r="E907">
        <v>0.2545</v>
      </c>
      <c r="F907">
        <v>4175173.98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-0.65116279069767402</v>
      </c>
      <c r="Q907">
        <f t="shared" si="1015"/>
        <v>-2718717.9404651145</v>
      </c>
      <c r="R907">
        <f t="shared" si="1016"/>
        <v>106705648.43851584</v>
      </c>
      <c r="S907">
        <f t="shared" si="1017"/>
        <v>1067.0564843851585</v>
      </c>
      <c r="T907">
        <f t="shared" si="1018"/>
        <v>1.0670564843851584</v>
      </c>
    </row>
    <row r="908" spans="1:20" x14ac:dyDescent="0.25">
      <c r="A908" s="5">
        <v>43685</v>
      </c>
      <c r="B908">
        <v>0.2757</v>
      </c>
      <c r="C908">
        <v>0.27810000000000001</v>
      </c>
      <c r="D908">
        <v>0.26669999999999999</v>
      </c>
      <c r="E908">
        <v>0.27479999999999999</v>
      </c>
      <c r="F908">
        <v>1914778.13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0.42105263157894401</v>
      </c>
      <c r="Q908">
        <f t="shared" si="1015"/>
        <v>806222.37052630936</v>
      </c>
      <c r="R908">
        <f t="shared" si="1016"/>
        <v>109424366.37898095</v>
      </c>
      <c r="S908">
        <f t="shared" si="1017"/>
        <v>1094.2436637898095</v>
      </c>
      <c r="T908">
        <f t="shared" si="1018"/>
        <v>1.0942436637898094</v>
      </c>
    </row>
    <row r="909" spans="1:20" x14ac:dyDescent="0.25">
      <c r="A909" s="5">
        <v>43684</v>
      </c>
      <c r="B909">
        <v>0.2782</v>
      </c>
      <c r="C909">
        <v>0.28639999999999999</v>
      </c>
      <c r="D909">
        <v>0.27139999999999997</v>
      </c>
      <c r="E909">
        <v>0.27589999999999998</v>
      </c>
      <c r="F909">
        <v>2626546.65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-0.4</v>
      </c>
      <c r="Q909">
        <f t="shared" si="1015"/>
        <v>-1050618.6599999999</v>
      </c>
      <c r="R909">
        <f t="shared" si="1016"/>
        <v>108618144.00845464</v>
      </c>
      <c r="S909">
        <f t="shared" si="1017"/>
        <v>1086.1814400845465</v>
      </c>
      <c r="T909">
        <f t="shared" si="1018"/>
        <v>1.0861814400845464</v>
      </c>
    </row>
    <row r="910" spans="1:20" x14ac:dyDescent="0.25">
      <c r="A910" s="5">
        <v>43683</v>
      </c>
      <c r="B910">
        <v>0.29099999999999998</v>
      </c>
      <c r="C910">
        <v>0.29709999999999998</v>
      </c>
      <c r="D910">
        <v>0.2742</v>
      </c>
      <c r="E910">
        <v>0.27879999999999999</v>
      </c>
      <c r="F910">
        <v>3131623.1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-0.59825327510917048</v>
      </c>
      <c r="Q910">
        <f t="shared" si="1015"/>
        <v>-1873503.7759825333</v>
      </c>
      <c r="R910">
        <f t="shared" si="1016"/>
        <v>109668762.66845463</v>
      </c>
      <c r="S910">
        <f t="shared" si="1017"/>
        <v>1096.6876266845463</v>
      </c>
      <c r="T910">
        <f t="shared" si="1018"/>
        <v>1.0966876266845462</v>
      </c>
    </row>
    <row r="911" spans="1:20" x14ac:dyDescent="0.25">
      <c r="A911" s="5">
        <v>43682</v>
      </c>
      <c r="B911">
        <v>0.28410000000000002</v>
      </c>
      <c r="C911">
        <v>0.29849999999999999</v>
      </c>
      <c r="D911">
        <v>0.28360000000000002</v>
      </c>
      <c r="E911">
        <v>0.29089999999999999</v>
      </c>
      <c r="F911">
        <v>2383515.59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-2.0134228187921013E-2</v>
      </c>
      <c r="Q911">
        <f t="shared" si="1015"/>
        <v>-47990.24677852718</v>
      </c>
      <c r="R911">
        <f t="shared" si="1016"/>
        <v>111542266.44443716</v>
      </c>
      <c r="S911">
        <f t="shared" si="1017"/>
        <v>1115.4226644443715</v>
      </c>
      <c r="T911">
        <f t="shared" si="1018"/>
        <v>1.1154226644443717</v>
      </c>
    </row>
    <row r="912" spans="1:20" x14ac:dyDescent="0.25">
      <c r="A912" s="5">
        <v>43681</v>
      </c>
      <c r="B912">
        <v>0.28320000000000001</v>
      </c>
      <c r="C912">
        <v>0.2873</v>
      </c>
      <c r="D912">
        <v>0.27700000000000002</v>
      </c>
      <c r="E912">
        <v>0.28370000000000001</v>
      </c>
      <c r="F912">
        <v>1885506.15</v>
      </c>
      <c r="G912">
        <v>0</v>
      </c>
      <c r="L912" t="s">
        <v>8</v>
      </c>
      <c r="M912" t="s">
        <v>7</v>
      </c>
      <c r="N912" t="s">
        <v>7</v>
      </c>
      <c r="P912">
        <f t="shared" si="1014"/>
        <v>0.30097087378640769</v>
      </c>
      <c r="Q912">
        <f t="shared" si="1015"/>
        <v>567482.43349514541</v>
      </c>
      <c r="R912">
        <f t="shared" si="1016"/>
        <v>111590256.69121569</v>
      </c>
      <c r="S912">
        <f t="shared" si="1017"/>
        <v>1115.902566912157</v>
      </c>
      <c r="T912">
        <f t="shared" si="1018"/>
        <v>1.1159025669121569</v>
      </c>
    </row>
    <row r="913" spans="1:20" x14ac:dyDescent="0.25">
      <c r="A913" s="5">
        <v>43680</v>
      </c>
      <c r="B913">
        <v>0.28770000000000001</v>
      </c>
      <c r="C913">
        <v>0.29210000000000003</v>
      </c>
      <c r="D913">
        <v>0.28249999999999997</v>
      </c>
      <c r="E913">
        <v>0.28320000000000001</v>
      </c>
      <c r="F913">
        <v>2139270.64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-0.85416666666666041</v>
      </c>
      <c r="Q913">
        <f t="shared" si="1015"/>
        <v>-1827293.6716666534</v>
      </c>
      <c r="R913">
        <f t="shared" si="1016"/>
        <v>111022774.25772054</v>
      </c>
      <c r="S913">
        <f t="shared" si="1017"/>
        <v>1110.2277425772054</v>
      </c>
      <c r="T913">
        <f t="shared" si="1018"/>
        <v>1.1102277425772054</v>
      </c>
    </row>
    <row r="914" spans="1:20" x14ac:dyDescent="0.25">
      <c r="A914" s="5">
        <v>43679</v>
      </c>
      <c r="B914">
        <v>0.28749999999999998</v>
      </c>
      <c r="C914">
        <v>0.2944</v>
      </c>
      <c r="D914">
        <v>0.28399999999999997</v>
      </c>
      <c r="E914">
        <v>0.28749999999999998</v>
      </c>
      <c r="F914">
        <v>2690817.22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-0.32692307692307765</v>
      </c>
      <c r="Q914">
        <f t="shared" si="1015"/>
        <v>-879690.24500000197</v>
      </c>
      <c r="R914">
        <f t="shared" si="1016"/>
        <v>112850067.9293872</v>
      </c>
      <c r="S914">
        <f t="shared" si="1017"/>
        <v>1128.5006792938721</v>
      </c>
      <c r="T914">
        <f t="shared" si="1018"/>
        <v>1.1285006792938721</v>
      </c>
    </row>
    <row r="915" spans="1:20" x14ac:dyDescent="0.25">
      <c r="A915" s="5">
        <v>43678</v>
      </c>
      <c r="B915">
        <v>0.28989999999999999</v>
      </c>
      <c r="C915">
        <v>0.2913</v>
      </c>
      <c r="D915">
        <v>0.28149999999999997</v>
      </c>
      <c r="E915">
        <v>0.28760000000000002</v>
      </c>
      <c r="F915">
        <v>2055600.99</v>
      </c>
      <c r="G915">
        <v>0</v>
      </c>
      <c r="L915" t="s">
        <v>8</v>
      </c>
      <c r="M915" t="s">
        <v>7</v>
      </c>
      <c r="N915" t="s">
        <v>7</v>
      </c>
      <c r="P915">
        <f t="shared" si="1014"/>
        <v>0.24489795918367971</v>
      </c>
      <c r="Q915">
        <f t="shared" si="1015"/>
        <v>503412.48734695162</v>
      </c>
      <c r="R915">
        <f t="shared" si="1016"/>
        <v>113729758.1743872</v>
      </c>
      <c r="S915">
        <f t="shared" si="1017"/>
        <v>1137.2975817438721</v>
      </c>
      <c r="T915">
        <f t="shared" si="1018"/>
        <v>1.1372975817438722</v>
      </c>
    </row>
    <row r="916" spans="1:20" x14ac:dyDescent="0.25">
      <c r="A916" s="5">
        <v>43677</v>
      </c>
      <c r="B916">
        <v>0.28499999999999998</v>
      </c>
      <c r="C916">
        <v>0.2964</v>
      </c>
      <c r="D916">
        <v>0.2843</v>
      </c>
      <c r="E916">
        <v>0.28999999999999998</v>
      </c>
      <c r="F916">
        <v>3291557.26</v>
      </c>
      <c r="G916">
        <v>0</v>
      </c>
      <c r="L916" t="s">
        <v>8</v>
      </c>
      <c r="M916" t="s">
        <v>7</v>
      </c>
      <c r="N916" t="s">
        <v>7</v>
      </c>
      <c r="P916">
        <f t="shared" si="1014"/>
        <v>-5.7851239669424293E-2</v>
      </c>
      <c r="Q916">
        <f t="shared" si="1015"/>
        <v>-190420.66793389351</v>
      </c>
      <c r="R916">
        <f t="shared" si="1016"/>
        <v>113226345.68704025</v>
      </c>
      <c r="S916">
        <f t="shared" si="1017"/>
        <v>1132.2634568704025</v>
      </c>
      <c r="T916">
        <f t="shared" si="1018"/>
        <v>1.1322634568704024</v>
      </c>
    </row>
    <row r="917" spans="1:20" x14ac:dyDescent="0.25">
      <c r="A917" s="5">
        <v>43676</v>
      </c>
      <c r="B917">
        <v>0.28299999999999997</v>
      </c>
      <c r="C917">
        <v>0.28899999999999998</v>
      </c>
      <c r="D917">
        <v>0.27689999999999998</v>
      </c>
      <c r="E917">
        <v>0.28489999999999999</v>
      </c>
      <c r="F917">
        <v>1254808.77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0.32231404958677806</v>
      </c>
      <c r="Q917">
        <f t="shared" si="1015"/>
        <v>404442.49611570401</v>
      </c>
      <c r="R917">
        <f t="shared" si="1016"/>
        <v>113416766.35497415</v>
      </c>
      <c r="S917">
        <f t="shared" si="1017"/>
        <v>1134.1676635497415</v>
      </c>
      <c r="T917">
        <f t="shared" si="1018"/>
        <v>1.1341676635497415</v>
      </c>
    </row>
    <row r="918" spans="1:20" x14ac:dyDescent="0.25">
      <c r="A918" s="5">
        <v>43675</v>
      </c>
      <c r="B918">
        <v>0.28460000000000002</v>
      </c>
      <c r="C918">
        <v>0.28960000000000002</v>
      </c>
      <c r="D918">
        <v>0.2782</v>
      </c>
      <c r="E918">
        <v>0.28320000000000001</v>
      </c>
      <c r="F918">
        <v>1667587.98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-0.1228070175438605</v>
      </c>
      <c r="Q918">
        <f t="shared" si="1015"/>
        <v>-204791.5063157909</v>
      </c>
      <c r="R918">
        <f t="shared" si="1016"/>
        <v>113012323.85885845</v>
      </c>
      <c r="S918">
        <f t="shared" si="1017"/>
        <v>1130.1232385885844</v>
      </c>
      <c r="T918">
        <f t="shared" si="1018"/>
        <v>1.1301232385885844</v>
      </c>
    </row>
    <row r="919" spans="1:20" x14ac:dyDescent="0.25">
      <c r="A919" s="5">
        <v>43674</v>
      </c>
      <c r="B919">
        <v>0.2868</v>
      </c>
      <c r="C919">
        <v>0.29220000000000002</v>
      </c>
      <c r="D919">
        <v>0.26879999999999998</v>
      </c>
      <c r="E919">
        <v>0.28439999999999999</v>
      </c>
      <c r="F919">
        <v>2695287.4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0.33333333333333176</v>
      </c>
      <c r="Q919">
        <f t="shared" si="1015"/>
        <v>898429.13333332911</v>
      </c>
      <c r="R919">
        <f t="shared" si="1016"/>
        <v>113217115.36517425</v>
      </c>
      <c r="S919">
        <f t="shared" si="1017"/>
        <v>1132.1711536517425</v>
      </c>
      <c r="T919">
        <f t="shared" si="1018"/>
        <v>1.1321711536517425</v>
      </c>
    </row>
    <row r="920" spans="1:20" x14ac:dyDescent="0.25">
      <c r="A920" s="5">
        <v>43673</v>
      </c>
      <c r="B920">
        <v>0.29970000000000002</v>
      </c>
      <c r="C920">
        <v>0.30740000000000001</v>
      </c>
      <c r="D920">
        <v>0.28199999999999997</v>
      </c>
      <c r="E920">
        <v>0.28710000000000002</v>
      </c>
      <c r="F920">
        <v>4215279.33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-0.59842519685039042</v>
      </c>
      <c r="Q920">
        <f t="shared" si="1015"/>
        <v>-2522529.3628346319</v>
      </c>
      <c r="R920">
        <f t="shared" si="1016"/>
        <v>112318686.23184092</v>
      </c>
      <c r="S920">
        <f t="shared" si="1017"/>
        <v>1123.1868623184093</v>
      </c>
      <c r="T920">
        <f t="shared" si="1018"/>
        <v>1.1231868623184094</v>
      </c>
    </row>
    <row r="921" spans="1:20" x14ac:dyDescent="0.25">
      <c r="A921" s="5">
        <v>43672</v>
      </c>
      <c r="B921">
        <v>0.30370000000000003</v>
      </c>
      <c r="C921">
        <v>0.30620000000000003</v>
      </c>
      <c r="D921">
        <v>0.28889999999999999</v>
      </c>
      <c r="E921">
        <v>0.29980000000000001</v>
      </c>
      <c r="F921">
        <v>4201164.1500000004</v>
      </c>
      <c r="G921">
        <v>0</v>
      </c>
      <c r="L921" t="s">
        <v>7</v>
      </c>
      <c r="M921" t="s">
        <v>8</v>
      </c>
      <c r="N921" t="s">
        <v>7</v>
      </c>
      <c r="P921">
        <f t="shared" si="1014"/>
        <v>0.26011560693641583</v>
      </c>
      <c r="Q921">
        <f t="shared" si="1015"/>
        <v>1092788.3627167617</v>
      </c>
      <c r="R921">
        <f t="shared" si="1016"/>
        <v>114841215.59467556</v>
      </c>
      <c r="S921">
        <f t="shared" si="1017"/>
        <v>1148.4121559467555</v>
      </c>
      <c r="T921">
        <f t="shared" si="1018"/>
        <v>1.1484121559467555</v>
      </c>
    </row>
    <row r="922" spans="1:20" x14ac:dyDescent="0.25">
      <c r="A922" s="5">
        <v>43671</v>
      </c>
      <c r="B922">
        <v>0.31009999999999999</v>
      </c>
      <c r="C922">
        <v>0.315</v>
      </c>
      <c r="D922">
        <v>0.30099999999999999</v>
      </c>
      <c r="E922">
        <v>0.30380000000000001</v>
      </c>
      <c r="F922">
        <v>4301316.26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-0.59999999999999687</v>
      </c>
      <c r="Q922">
        <f t="shared" si="1015"/>
        <v>-2580789.7559999865</v>
      </c>
      <c r="R922">
        <f t="shared" si="1016"/>
        <v>113748427.23195879</v>
      </c>
      <c r="S922">
        <f t="shared" si="1017"/>
        <v>1137.4842723195879</v>
      </c>
      <c r="T922">
        <f t="shared" si="1018"/>
        <v>1.1374842723195879</v>
      </c>
    </row>
    <row r="923" spans="1:20" x14ac:dyDescent="0.25">
      <c r="A923" s="5">
        <v>43670</v>
      </c>
      <c r="B923">
        <v>0.2923</v>
      </c>
      <c r="C923">
        <v>0.3115</v>
      </c>
      <c r="D923">
        <v>0.28560000000000002</v>
      </c>
      <c r="E923">
        <v>0.31080000000000002</v>
      </c>
      <c r="F923">
        <v>4207862.22</v>
      </c>
      <c r="G923">
        <v>0</v>
      </c>
      <c r="L923" t="s">
        <v>8</v>
      </c>
      <c r="M923" t="s">
        <v>8</v>
      </c>
      <c r="N923" t="s">
        <v>7</v>
      </c>
      <c r="P923">
        <f t="shared" si="1014"/>
        <v>0.94594594594594761</v>
      </c>
      <c r="Q923">
        <f t="shared" si="1015"/>
        <v>3980410.208108115</v>
      </c>
      <c r="R923">
        <f t="shared" si="1016"/>
        <v>116329216.98795877</v>
      </c>
      <c r="S923">
        <f t="shared" si="1017"/>
        <v>1163.2921698795878</v>
      </c>
      <c r="T923">
        <f t="shared" si="1018"/>
        <v>1.1632921698795879</v>
      </c>
    </row>
    <row r="924" spans="1:20" x14ac:dyDescent="0.25">
      <c r="A924" s="5">
        <v>43669</v>
      </c>
      <c r="B924">
        <v>0.30009999999999998</v>
      </c>
      <c r="C924">
        <v>0.3039</v>
      </c>
      <c r="D924">
        <v>0.28649999999999998</v>
      </c>
      <c r="E924">
        <v>0.2928</v>
      </c>
      <c r="F924">
        <v>3613864.22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-0.27586206896551513</v>
      </c>
      <c r="Q924">
        <f t="shared" si="1015"/>
        <v>-996928.06068964757</v>
      </c>
      <c r="R924">
        <f t="shared" si="1016"/>
        <v>112348806.77985066</v>
      </c>
      <c r="S924">
        <f t="shared" si="1017"/>
        <v>1123.4880677985066</v>
      </c>
      <c r="T924">
        <f t="shared" si="1018"/>
        <v>1.1234880677985066</v>
      </c>
    </row>
    <row r="925" spans="1:20" x14ac:dyDescent="0.25">
      <c r="A925" s="5">
        <v>43668</v>
      </c>
      <c r="B925">
        <v>0.31480000000000002</v>
      </c>
      <c r="C925">
        <v>0.3175</v>
      </c>
      <c r="D925">
        <v>0.29499999999999998</v>
      </c>
      <c r="E925">
        <v>0.30059999999999998</v>
      </c>
      <c r="F925">
        <v>3465869.13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-0.50222222222222324</v>
      </c>
      <c r="Q925">
        <f t="shared" si="1015"/>
        <v>-1740636.4964000036</v>
      </c>
      <c r="R925">
        <f t="shared" si="1016"/>
        <v>113345734.8405403</v>
      </c>
      <c r="S925">
        <f t="shared" si="1017"/>
        <v>1133.4573484054031</v>
      </c>
      <c r="T925">
        <f t="shared" si="1018"/>
        <v>1.1334573484054031</v>
      </c>
    </row>
    <row r="926" spans="1:20" x14ac:dyDescent="0.25">
      <c r="A926" s="5">
        <v>43667</v>
      </c>
      <c r="B926">
        <v>0.31819999999999998</v>
      </c>
      <c r="C926">
        <v>0.32519999999999999</v>
      </c>
      <c r="D926">
        <v>0.30790000000000001</v>
      </c>
      <c r="E926">
        <v>0.31480000000000002</v>
      </c>
      <c r="F926">
        <v>2002269.54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-0.20231213872832088</v>
      </c>
      <c r="Q926">
        <f t="shared" si="1015"/>
        <v>-405083.43294797122</v>
      </c>
      <c r="R926">
        <f t="shared" si="1016"/>
        <v>115086371.3369403</v>
      </c>
      <c r="S926">
        <f t="shared" si="1017"/>
        <v>1150.8637133694031</v>
      </c>
      <c r="T926">
        <f t="shared" si="1018"/>
        <v>1.1508637133694031</v>
      </c>
    </row>
    <row r="927" spans="1:20" x14ac:dyDescent="0.25">
      <c r="A927" s="5">
        <v>43666</v>
      </c>
      <c r="B927">
        <v>0.3034</v>
      </c>
      <c r="C927">
        <v>0.33460000000000001</v>
      </c>
      <c r="D927">
        <v>0.29949999999999999</v>
      </c>
      <c r="E927">
        <v>0.31879999999999997</v>
      </c>
      <c r="F927">
        <v>5173871.68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9.9715099715098163E-2</v>
      </c>
      <c r="Q927">
        <f t="shared" si="1015"/>
        <v>515913.13048432244</v>
      </c>
      <c r="R927">
        <f t="shared" si="1016"/>
        <v>115491454.76988828</v>
      </c>
      <c r="S927">
        <f t="shared" si="1017"/>
        <v>1154.9145476988829</v>
      </c>
      <c r="T927">
        <f t="shared" si="1018"/>
        <v>1.1549145476988829</v>
      </c>
    </row>
    <row r="928" spans="1:20" x14ac:dyDescent="0.25">
      <c r="A928" s="5">
        <v>43665</v>
      </c>
      <c r="B928">
        <v>0.30559999999999998</v>
      </c>
      <c r="C928">
        <v>0.3085</v>
      </c>
      <c r="D928">
        <v>0.29220000000000002</v>
      </c>
      <c r="E928">
        <v>0.30259999999999998</v>
      </c>
      <c r="F928">
        <v>2852010.22</v>
      </c>
      <c r="G928">
        <v>0</v>
      </c>
      <c r="L928" t="s">
        <v>8</v>
      </c>
      <c r="M928" t="s">
        <v>7</v>
      </c>
      <c r="N928" t="s">
        <v>7</v>
      </c>
      <c r="P928">
        <f t="shared" si="1014"/>
        <v>0.27607361963189903</v>
      </c>
      <c r="Q928">
        <f t="shared" si="1015"/>
        <v>787364.78466256871</v>
      </c>
      <c r="R928">
        <f t="shared" si="1016"/>
        <v>114975541.63940395</v>
      </c>
      <c r="S928">
        <f t="shared" si="1017"/>
        <v>1149.7554163940395</v>
      </c>
      <c r="T928">
        <f t="shared" si="1018"/>
        <v>1.1497554163940396</v>
      </c>
    </row>
    <row r="929" spans="1:20" x14ac:dyDescent="0.25">
      <c r="A929" s="5">
        <v>43664</v>
      </c>
      <c r="B929">
        <v>0.2858</v>
      </c>
      <c r="C929">
        <v>0.30969999999999998</v>
      </c>
      <c r="D929">
        <v>0.27350000000000002</v>
      </c>
      <c r="E929">
        <v>0.30520000000000003</v>
      </c>
      <c r="F929">
        <v>5255492.24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0.75138121546961578</v>
      </c>
      <c r="Q929">
        <f t="shared" si="1015"/>
        <v>3948878.1471823337</v>
      </c>
      <c r="R929">
        <f t="shared" si="1016"/>
        <v>114188176.85474138</v>
      </c>
      <c r="S929">
        <f t="shared" si="1017"/>
        <v>1141.8817685474137</v>
      </c>
      <c r="T929">
        <f t="shared" si="1018"/>
        <v>1.1418817685474136</v>
      </c>
    </row>
    <row r="930" spans="1:20" x14ac:dyDescent="0.25">
      <c r="A930" s="5">
        <v>43663</v>
      </c>
      <c r="B930">
        <v>0.26889999999999997</v>
      </c>
      <c r="C930">
        <v>0.2979</v>
      </c>
      <c r="D930">
        <v>0.26190000000000002</v>
      </c>
      <c r="E930">
        <v>0.2863</v>
      </c>
      <c r="F930">
        <v>5681249.0700000003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0.35555555555555518</v>
      </c>
      <c r="Q930">
        <f t="shared" si="1015"/>
        <v>2019999.6693333313</v>
      </c>
      <c r="R930">
        <f t="shared" si="1016"/>
        <v>110239298.70755905</v>
      </c>
      <c r="S930">
        <f t="shared" si="1017"/>
        <v>1102.3929870755906</v>
      </c>
      <c r="T930">
        <f t="shared" si="1018"/>
        <v>1.1023929870755906</v>
      </c>
    </row>
    <row r="931" spans="1:20" x14ac:dyDescent="0.25">
      <c r="A931" s="5">
        <v>43662</v>
      </c>
      <c r="B931">
        <v>0.30969999999999998</v>
      </c>
      <c r="C931">
        <v>0.31080000000000002</v>
      </c>
      <c r="D931">
        <v>0.25869999999999999</v>
      </c>
      <c r="E931">
        <v>0.26860000000000001</v>
      </c>
      <c r="F931">
        <v>6926043.8399999999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-0.61996161228406854</v>
      </c>
      <c r="Q931">
        <f t="shared" si="1015"/>
        <v>-4293881.3057965413</v>
      </c>
      <c r="R931">
        <f t="shared" si="1016"/>
        <v>108219299.03822571</v>
      </c>
      <c r="S931">
        <f t="shared" si="1017"/>
        <v>1082.192990382257</v>
      </c>
      <c r="T931">
        <f t="shared" si="1018"/>
        <v>1.0821929903822569</v>
      </c>
    </row>
    <row r="932" spans="1:20" x14ac:dyDescent="0.25">
      <c r="A932" s="5">
        <v>43661</v>
      </c>
      <c r="B932">
        <v>0.30480000000000002</v>
      </c>
      <c r="C932">
        <v>0.312</v>
      </c>
      <c r="D932">
        <v>0.2853</v>
      </c>
      <c r="E932">
        <v>0.30940000000000001</v>
      </c>
      <c r="F932">
        <v>4458963.07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0.80524344569288453</v>
      </c>
      <c r="Q932">
        <f t="shared" si="1015"/>
        <v>3590550.786704123</v>
      </c>
      <c r="R932">
        <f t="shared" si="1016"/>
        <v>112513180.34402224</v>
      </c>
      <c r="S932">
        <f t="shared" si="1017"/>
        <v>1125.1318034402225</v>
      </c>
      <c r="T932">
        <f t="shared" si="1018"/>
        <v>1.1251318034402225</v>
      </c>
    </row>
    <row r="933" spans="1:20" x14ac:dyDescent="0.25">
      <c r="A933" s="5">
        <v>43660</v>
      </c>
      <c r="B933">
        <v>0.3448</v>
      </c>
      <c r="C933">
        <v>0.34639999999999999</v>
      </c>
      <c r="D933">
        <v>0.30149999999999999</v>
      </c>
      <c r="E933">
        <v>0.3044</v>
      </c>
      <c r="F933">
        <v>4063657.19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-0.87082405345211522</v>
      </c>
      <c r="Q933">
        <f t="shared" si="1015"/>
        <v>-3538730.4260356324</v>
      </c>
      <c r="R933">
        <f t="shared" si="1016"/>
        <v>108922629.55731812</v>
      </c>
      <c r="S933">
        <f t="shared" si="1017"/>
        <v>1089.2262955731812</v>
      </c>
      <c r="T933">
        <f t="shared" si="1018"/>
        <v>1.0892262955731813</v>
      </c>
    </row>
    <row r="934" spans="1:20" x14ac:dyDescent="0.25">
      <c r="A934" s="5">
        <v>43659</v>
      </c>
      <c r="B934">
        <v>0.35389999999999999</v>
      </c>
      <c r="C934">
        <v>0.35489999999999999</v>
      </c>
      <c r="D934">
        <v>0.33410000000000001</v>
      </c>
      <c r="E934">
        <v>0.34539999999999998</v>
      </c>
      <c r="F934">
        <v>3124895.17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8.6538461538460079E-2</v>
      </c>
      <c r="Q934">
        <f t="shared" si="1015"/>
        <v>270423.62048076466</v>
      </c>
      <c r="R934">
        <f t="shared" si="1016"/>
        <v>112461359.98335375</v>
      </c>
      <c r="S934">
        <f t="shared" si="1017"/>
        <v>1124.6135998335376</v>
      </c>
      <c r="T934">
        <f t="shared" si="1018"/>
        <v>1.1246135998335376</v>
      </c>
    </row>
    <row r="935" spans="1:20" x14ac:dyDescent="0.25">
      <c r="A935" s="5">
        <v>43658</v>
      </c>
      <c r="B935">
        <v>0.34439999999999998</v>
      </c>
      <c r="C935">
        <v>0.36099999999999999</v>
      </c>
      <c r="D935">
        <v>0.3357</v>
      </c>
      <c r="E935">
        <v>0.35399999999999998</v>
      </c>
      <c r="F935">
        <v>3150493.81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0.44664031620553285</v>
      </c>
      <c r="Q935">
        <f t="shared" si="1015"/>
        <v>1407137.551501974</v>
      </c>
      <c r="R935">
        <f t="shared" si="1016"/>
        <v>112190936.36287299</v>
      </c>
      <c r="S935">
        <f t="shared" si="1017"/>
        <v>1121.9093636287298</v>
      </c>
      <c r="T935">
        <f t="shared" si="1018"/>
        <v>1.1219093636287298</v>
      </c>
    </row>
    <row r="936" spans="1:20" x14ac:dyDescent="0.25">
      <c r="A936" s="5">
        <v>43657</v>
      </c>
      <c r="B936">
        <v>0.36580000000000001</v>
      </c>
      <c r="C936">
        <v>0.37040000000000001</v>
      </c>
      <c r="D936">
        <v>0.32890000000000003</v>
      </c>
      <c r="E936">
        <v>0.34370000000000001</v>
      </c>
      <c r="F936">
        <v>4843844.3899999997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-0.28674698795180786</v>
      </c>
      <c r="Q936">
        <f t="shared" si="1015"/>
        <v>-1388957.7889397619</v>
      </c>
      <c r="R936">
        <f t="shared" si="1016"/>
        <v>110783798.81137101</v>
      </c>
      <c r="S936">
        <f t="shared" si="1017"/>
        <v>1107.83798811371</v>
      </c>
      <c r="T936">
        <f t="shared" si="1018"/>
        <v>1.1078379881137099</v>
      </c>
    </row>
    <row r="937" spans="1:20" x14ac:dyDescent="0.25">
      <c r="A937" s="5">
        <v>43656</v>
      </c>
      <c r="B937">
        <v>0.39489999999999997</v>
      </c>
      <c r="C937">
        <v>0.4</v>
      </c>
      <c r="D937">
        <v>0.35410000000000003</v>
      </c>
      <c r="E937">
        <v>0.3654</v>
      </c>
      <c r="F937">
        <v>5688108.1299999999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-0.50762527233115562</v>
      </c>
      <c r="Q937">
        <f t="shared" si="1015"/>
        <v>-2887427.4385403101</v>
      </c>
      <c r="R937">
        <f t="shared" si="1016"/>
        <v>112172756.60031077</v>
      </c>
      <c r="S937">
        <f t="shared" si="1017"/>
        <v>1121.7275660031078</v>
      </c>
      <c r="T937">
        <f t="shared" si="1018"/>
        <v>1.1217275660031079</v>
      </c>
    </row>
    <row r="938" spans="1:20" x14ac:dyDescent="0.25">
      <c r="A938" s="5">
        <v>43655</v>
      </c>
      <c r="B938">
        <v>0.40289999999999998</v>
      </c>
      <c r="C938">
        <v>0.40889999999999999</v>
      </c>
      <c r="D938">
        <v>0.3881</v>
      </c>
      <c r="E938">
        <v>0.39560000000000001</v>
      </c>
      <c r="F938">
        <v>3403939.46</v>
      </c>
      <c r="G938">
        <v>0</v>
      </c>
      <c r="L938" t="s">
        <v>8</v>
      </c>
      <c r="M938" t="s">
        <v>7</v>
      </c>
      <c r="N938" t="s">
        <v>7</v>
      </c>
      <c r="P938">
        <f t="shared" si="1014"/>
        <v>-0.27884615384615269</v>
      </c>
      <c r="Q938">
        <f t="shared" si="1015"/>
        <v>-949175.42634614988</v>
      </c>
      <c r="R938">
        <f t="shared" si="1016"/>
        <v>115060184.03885108</v>
      </c>
      <c r="S938">
        <f t="shared" si="1017"/>
        <v>1150.6018403885109</v>
      </c>
      <c r="T938">
        <f t="shared" si="1018"/>
        <v>1.150601840388511</v>
      </c>
    </row>
    <row r="939" spans="1:20" x14ac:dyDescent="0.25">
      <c r="A939" s="5">
        <v>43654</v>
      </c>
      <c r="B939">
        <v>0.39529999999999998</v>
      </c>
      <c r="C939">
        <v>0.41160000000000002</v>
      </c>
      <c r="D939">
        <v>0.39350000000000002</v>
      </c>
      <c r="E939">
        <v>0.40329999999999999</v>
      </c>
      <c r="F939">
        <v>4130366.44</v>
      </c>
      <c r="G939">
        <v>0</v>
      </c>
      <c r="L939" t="s">
        <v>8</v>
      </c>
      <c r="M939" t="s">
        <v>7</v>
      </c>
      <c r="N939" t="s">
        <v>7</v>
      </c>
      <c r="P939">
        <f t="shared" si="1014"/>
        <v>8.2872928176792565E-2</v>
      </c>
      <c r="Q939">
        <f t="shared" si="1015"/>
        <v>342295.56132595439</v>
      </c>
      <c r="R939">
        <f t="shared" si="1016"/>
        <v>116009359.46519724</v>
      </c>
      <c r="S939">
        <f t="shared" si="1017"/>
        <v>1160.0935946519724</v>
      </c>
      <c r="T939">
        <f t="shared" si="1018"/>
        <v>1.1600935946519724</v>
      </c>
    </row>
    <row r="940" spans="1:20" x14ac:dyDescent="0.25">
      <c r="A940" s="5">
        <v>43653</v>
      </c>
      <c r="B940">
        <v>0.38940000000000002</v>
      </c>
      <c r="C940">
        <v>0.3977</v>
      </c>
      <c r="D940">
        <v>0.38650000000000001</v>
      </c>
      <c r="E940">
        <v>0.39489999999999997</v>
      </c>
      <c r="F940">
        <v>2189499.8199999998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0.49999999999999506</v>
      </c>
      <c r="Q940">
        <f t="shared" si="1015"/>
        <v>1094749.9099999892</v>
      </c>
      <c r="R940">
        <f t="shared" si="1016"/>
        <v>115667063.90387128</v>
      </c>
      <c r="S940">
        <f t="shared" si="1017"/>
        <v>1156.6706390387128</v>
      </c>
      <c r="T940">
        <f t="shared" si="1018"/>
        <v>1.1566706390387127</v>
      </c>
    </row>
    <row r="941" spans="1:20" x14ac:dyDescent="0.25">
      <c r="A941" s="5">
        <v>43652</v>
      </c>
      <c r="B941">
        <v>0.38300000000000001</v>
      </c>
      <c r="C941">
        <v>0.3982</v>
      </c>
      <c r="D941">
        <v>0.38109999999999999</v>
      </c>
      <c r="E941">
        <v>0.38940000000000002</v>
      </c>
      <c r="F941">
        <v>2918118.63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-2.9239766081868117E-2</v>
      </c>
      <c r="Q941">
        <f t="shared" si="1015"/>
        <v>-85325.10614034145</v>
      </c>
      <c r="R941">
        <f t="shared" si="1016"/>
        <v>114572313.99387129</v>
      </c>
      <c r="S941">
        <f t="shared" si="1017"/>
        <v>1145.7231399387128</v>
      </c>
      <c r="T941">
        <f t="shared" si="1018"/>
        <v>1.1457231399387129</v>
      </c>
    </row>
    <row r="942" spans="1:20" x14ac:dyDescent="0.25">
      <c r="A942" s="5">
        <v>43651</v>
      </c>
      <c r="B942">
        <v>0.3871</v>
      </c>
      <c r="C942">
        <v>0.39300000000000002</v>
      </c>
      <c r="D942">
        <v>0.37909999999999999</v>
      </c>
      <c r="E942">
        <v>0.38300000000000001</v>
      </c>
      <c r="F942">
        <v>2958817.5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-0.43884892086330818</v>
      </c>
      <c r="Q942">
        <f t="shared" si="1015"/>
        <v>-1298473.8669064713</v>
      </c>
      <c r="R942">
        <f t="shared" si="1016"/>
        <v>114657639.10001163</v>
      </c>
      <c r="S942">
        <f t="shared" si="1017"/>
        <v>1146.5763910001162</v>
      </c>
      <c r="T942">
        <f t="shared" si="1018"/>
        <v>1.1465763910001163</v>
      </c>
    </row>
    <row r="943" spans="1:20" x14ac:dyDescent="0.25">
      <c r="A943" s="5">
        <v>43650</v>
      </c>
      <c r="B943">
        <v>0.4037</v>
      </c>
      <c r="C943">
        <v>0.40560000000000002</v>
      </c>
      <c r="D943">
        <v>0.38329999999999997</v>
      </c>
      <c r="E943">
        <v>0.38619999999999999</v>
      </c>
      <c r="F943">
        <v>2928595.97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-0.73991031390134454</v>
      </c>
      <c r="Q943">
        <f t="shared" si="1015"/>
        <v>-2166898.3634529128</v>
      </c>
      <c r="R943">
        <f t="shared" si="1016"/>
        <v>115956112.9669181</v>
      </c>
      <c r="S943">
        <f t="shared" si="1017"/>
        <v>1159.5611296691809</v>
      </c>
      <c r="T943">
        <f t="shared" si="1018"/>
        <v>1.1595611296691808</v>
      </c>
    </row>
    <row r="944" spans="1:20" x14ac:dyDescent="0.25">
      <c r="A944" s="5">
        <v>43649</v>
      </c>
      <c r="B944">
        <v>0.3987</v>
      </c>
      <c r="C944">
        <v>0.40689999999999998</v>
      </c>
      <c r="D944">
        <v>0.39050000000000001</v>
      </c>
      <c r="E944">
        <v>0.40339999999999998</v>
      </c>
      <c r="F944">
        <v>3497945.94</v>
      </c>
      <c r="G944">
        <v>0</v>
      </c>
      <c r="L944" t="s">
        <v>7</v>
      </c>
      <c r="M944" t="s">
        <v>7</v>
      </c>
      <c r="N944" t="s">
        <v>7</v>
      </c>
      <c r="P944">
        <f t="shared" si="1014"/>
        <v>0.57317073170731592</v>
      </c>
      <c r="Q944">
        <f t="shared" si="1015"/>
        <v>2004920.2339024351</v>
      </c>
      <c r="R944">
        <f t="shared" si="1016"/>
        <v>118123011.33037101</v>
      </c>
      <c r="S944">
        <f t="shared" si="1017"/>
        <v>1181.2301133037101</v>
      </c>
      <c r="T944">
        <f t="shared" si="1018"/>
        <v>1.1812301133037102</v>
      </c>
    </row>
    <row r="945" spans="1:20" x14ac:dyDescent="0.25">
      <c r="A945" s="5">
        <v>43648</v>
      </c>
      <c r="B945">
        <v>0.40500000000000003</v>
      </c>
      <c r="C945">
        <v>0.40670000000000001</v>
      </c>
      <c r="D945">
        <v>0.38080000000000003</v>
      </c>
      <c r="E945">
        <v>0.3987</v>
      </c>
      <c r="F945">
        <v>5171780.75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0.3822393822393812</v>
      </c>
      <c r="Q945">
        <f t="shared" si="1015"/>
        <v>1976858.2789575236</v>
      </c>
      <c r="R945">
        <f t="shared" si="1016"/>
        <v>116118091.09646857</v>
      </c>
      <c r="S945">
        <f t="shared" si="1017"/>
        <v>1161.1809109646856</v>
      </c>
      <c r="T945">
        <f t="shared" si="1018"/>
        <v>1.1611809109646856</v>
      </c>
    </row>
    <row r="946" spans="1:20" x14ac:dyDescent="0.25">
      <c r="A946" s="5">
        <v>43647</v>
      </c>
      <c r="B946">
        <v>0.39129999999999998</v>
      </c>
      <c r="C946">
        <v>0.4098</v>
      </c>
      <c r="D946">
        <v>0.38190000000000002</v>
      </c>
      <c r="E946">
        <v>0.40500000000000003</v>
      </c>
      <c r="F946">
        <v>6249996.6399999997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0.65591397849462552</v>
      </c>
      <c r="Q946">
        <f t="shared" si="1015"/>
        <v>4099460.1617204417</v>
      </c>
      <c r="R946">
        <f t="shared" si="1016"/>
        <v>114141232.81751104</v>
      </c>
      <c r="S946">
        <f t="shared" si="1017"/>
        <v>1141.4123281751104</v>
      </c>
      <c r="T946">
        <f t="shared" si="1018"/>
        <v>1.1414123281751103</v>
      </c>
    </row>
    <row r="947" spans="1:20" x14ac:dyDescent="0.25">
      <c r="A947" s="5">
        <v>43646</v>
      </c>
      <c r="B947">
        <v>0.42209999999999998</v>
      </c>
      <c r="C947">
        <v>0.42699999999999999</v>
      </c>
      <c r="D947">
        <v>0.38750000000000001</v>
      </c>
      <c r="E947">
        <v>0.3906</v>
      </c>
      <c r="F947">
        <v>6736636.9400000004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-0.84303797468354469</v>
      </c>
      <c r="Q947">
        <f t="shared" si="1015"/>
        <v>-5679240.7620759523</v>
      </c>
      <c r="R947">
        <f t="shared" si="1016"/>
        <v>110041772.6557906</v>
      </c>
      <c r="S947">
        <f t="shared" si="1017"/>
        <v>1100.417726557906</v>
      </c>
      <c r="T947">
        <f t="shared" si="1018"/>
        <v>1.100417726557906</v>
      </c>
    </row>
    <row r="948" spans="1:20" x14ac:dyDescent="0.25">
      <c r="A948" s="5">
        <v>43645</v>
      </c>
      <c r="B948">
        <v>0.41470000000000001</v>
      </c>
      <c r="C948">
        <v>0.42799999999999999</v>
      </c>
      <c r="D948">
        <v>0.39860000000000001</v>
      </c>
      <c r="E948">
        <v>0.42220000000000002</v>
      </c>
      <c r="F948">
        <v>7548810.96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0.60544217687074997</v>
      </c>
      <c r="Q948">
        <f t="shared" si="1015"/>
        <v>4570368.5404081754</v>
      </c>
      <c r="R948">
        <f t="shared" si="1016"/>
        <v>115721013.41786654</v>
      </c>
      <c r="S948">
        <f t="shared" si="1017"/>
        <v>1157.2101341786654</v>
      </c>
      <c r="T948">
        <f t="shared" si="1018"/>
        <v>1.1572101341786654</v>
      </c>
    </row>
    <row r="949" spans="1:20" x14ac:dyDescent="0.25">
      <c r="A949" s="5">
        <v>43644</v>
      </c>
      <c r="B949">
        <v>0.40200000000000002</v>
      </c>
      <c r="C949">
        <v>0.42380000000000001</v>
      </c>
      <c r="D949">
        <v>0.38979999999999998</v>
      </c>
      <c r="E949">
        <v>0.4153</v>
      </c>
      <c r="F949">
        <v>9493003.6099999994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0.5</v>
      </c>
      <c r="Q949">
        <f t="shared" si="1015"/>
        <v>4746501.8049999997</v>
      </c>
      <c r="R949">
        <f t="shared" si="1016"/>
        <v>111150644.87745836</v>
      </c>
      <c r="S949">
        <f t="shared" si="1017"/>
        <v>1111.5064487745835</v>
      </c>
      <c r="T949">
        <f t="shared" si="1018"/>
        <v>1.1115064487745836</v>
      </c>
    </row>
    <row r="950" spans="1:20" x14ac:dyDescent="0.25">
      <c r="A950" s="5">
        <v>43643</v>
      </c>
      <c r="B950">
        <v>0.44740000000000002</v>
      </c>
      <c r="C950">
        <v>0.45400000000000001</v>
      </c>
      <c r="D950">
        <v>0.37680000000000002</v>
      </c>
      <c r="E950">
        <v>0.40200000000000002</v>
      </c>
      <c r="F950">
        <v>14844013.07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-0.34715025906735741</v>
      </c>
      <c r="Q950">
        <f t="shared" si="1015"/>
        <v>-5153102.9828497395</v>
      </c>
      <c r="R950">
        <f t="shared" si="1016"/>
        <v>106404143.07245836</v>
      </c>
      <c r="S950">
        <f t="shared" si="1017"/>
        <v>1064.0414307245835</v>
      </c>
      <c r="T950">
        <f t="shared" si="1018"/>
        <v>1.0640414307245836</v>
      </c>
    </row>
    <row r="951" spans="1:20" x14ac:dyDescent="0.25">
      <c r="A951" s="5">
        <v>43642</v>
      </c>
      <c r="B951">
        <v>0.44879999999999998</v>
      </c>
      <c r="C951">
        <v>0.49059999999999998</v>
      </c>
      <c r="D951">
        <v>0.42</v>
      </c>
      <c r="E951">
        <v>0.44719999999999999</v>
      </c>
      <c r="F951">
        <v>21275481.550000001</v>
      </c>
      <c r="G951">
        <v>0</v>
      </c>
      <c r="L951" t="s">
        <v>7</v>
      </c>
      <c r="M951" t="s">
        <v>8</v>
      </c>
      <c r="N951" t="s">
        <v>8</v>
      </c>
      <c r="P951">
        <f t="shared" si="1014"/>
        <v>-0.22946175637393759</v>
      </c>
      <c r="Q951">
        <f t="shared" si="1015"/>
        <v>-4881909.364164304</v>
      </c>
      <c r="R951">
        <f t="shared" si="1016"/>
        <v>111557246.05530809</v>
      </c>
      <c r="S951">
        <f t="shared" si="1017"/>
        <v>1115.5724605530809</v>
      </c>
      <c r="T951">
        <f t="shared" si="1018"/>
        <v>1.1155724605530808</v>
      </c>
    </row>
    <row r="952" spans="1:20" x14ac:dyDescent="0.25">
      <c r="A952" s="5">
        <v>43641</v>
      </c>
      <c r="B952">
        <v>0.45810000000000001</v>
      </c>
      <c r="C952">
        <v>0.46129999999999999</v>
      </c>
      <c r="D952">
        <v>0.44140000000000001</v>
      </c>
      <c r="E952">
        <v>0.4481</v>
      </c>
      <c r="F952">
        <v>5960430.21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-0.32663316582914648</v>
      </c>
      <c r="Q952">
        <f t="shared" si="1015"/>
        <v>-1946874.1891959843</v>
      </c>
      <c r="R952">
        <f t="shared" si="1016"/>
        <v>116439155.4194724</v>
      </c>
      <c r="S952">
        <f t="shared" si="1017"/>
        <v>1164.391554194724</v>
      </c>
      <c r="T952">
        <f t="shared" si="1018"/>
        <v>1.1643915541947241</v>
      </c>
    </row>
    <row r="953" spans="1:20" x14ac:dyDescent="0.25">
      <c r="A953" s="5">
        <v>43640</v>
      </c>
      <c r="B953">
        <v>0.44990000000000002</v>
      </c>
      <c r="C953">
        <v>0.46250000000000002</v>
      </c>
      <c r="D953">
        <v>0.44009999999999999</v>
      </c>
      <c r="E953">
        <v>0.45789999999999997</v>
      </c>
      <c r="F953">
        <v>4707786.8899999997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0.58928571428571053</v>
      </c>
      <c r="Q953">
        <f t="shared" si="1015"/>
        <v>2774231.5601785537</v>
      </c>
      <c r="R953">
        <f t="shared" si="1016"/>
        <v>118386029.60866839</v>
      </c>
      <c r="S953">
        <f t="shared" si="1017"/>
        <v>1183.8602960866838</v>
      </c>
      <c r="T953">
        <f t="shared" si="1018"/>
        <v>1.1838602960866837</v>
      </c>
    </row>
    <row r="954" spans="1:20" x14ac:dyDescent="0.25">
      <c r="A954" s="5">
        <v>43639</v>
      </c>
      <c r="B954">
        <v>0.46389999999999998</v>
      </c>
      <c r="C954">
        <v>0.4788</v>
      </c>
      <c r="D954">
        <v>0.44669999999999999</v>
      </c>
      <c r="E954">
        <v>0.44990000000000002</v>
      </c>
      <c r="F954">
        <v>8610803.5600000005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-0.80062305295949943</v>
      </c>
      <c r="Q954">
        <f t="shared" si="1015"/>
        <v>-6894007.8346417267</v>
      </c>
      <c r="R954">
        <f t="shared" si="1016"/>
        <v>115611798.04848984</v>
      </c>
      <c r="S954">
        <f t="shared" si="1017"/>
        <v>1156.1179804848985</v>
      </c>
      <c r="T954">
        <f t="shared" si="1018"/>
        <v>1.1561179804848984</v>
      </c>
    </row>
    <row r="955" spans="1:20" x14ac:dyDescent="0.25">
      <c r="A955" s="5">
        <v>43638</v>
      </c>
      <c r="B955">
        <v>0.42409999999999998</v>
      </c>
      <c r="C955">
        <v>0.47670000000000001</v>
      </c>
      <c r="D955">
        <v>0.41699999999999998</v>
      </c>
      <c r="E955">
        <v>0.46389999999999998</v>
      </c>
      <c r="F955">
        <v>15480217.9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0.57118927973199241</v>
      </c>
      <c r="Q955">
        <f t="shared" si="1015"/>
        <v>8842134.5123952962</v>
      </c>
      <c r="R955">
        <f t="shared" si="1016"/>
        <v>122505805.88313156</v>
      </c>
      <c r="S955">
        <f t="shared" si="1017"/>
        <v>1225.0580588313157</v>
      </c>
      <c r="T955">
        <f t="shared" si="1018"/>
        <v>1.2250580588313158</v>
      </c>
    </row>
    <row r="956" spans="1:20" x14ac:dyDescent="0.25">
      <c r="A956" s="5">
        <v>43637</v>
      </c>
      <c r="B956">
        <v>0.41560000000000002</v>
      </c>
      <c r="C956">
        <v>0.436</v>
      </c>
      <c r="D956">
        <v>0.41460000000000002</v>
      </c>
      <c r="E956">
        <v>0.4239</v>
      </c>
      <c r="F956">
        <v>5575699.1799999997</v>
      </c>
      <c r="G956">
        <v>0</v>
      </c>
      <c r="L956" t="s">
        <v>8</v>
      </c>
      <c r="M956" t="s">
        <v>8</v>
      </c>
      <c r="N956" t="s">
        <v>8</v>
      </c>
      <c r="P956">
        <f t="shared" si="1014"/>
        <v>-0.13084112149532842</v>
      </c>
      <c r="Q956">
        <f t="shared" si="1015"/>
        <v>-729530.73383178306</v>
      </c>
      <c r="R956">
        <f t="shared" si="1016"/>
        <v>113663671.37073627</v>
      </c>
      <c r="S956">
        <f t="shared" si="1017"/>
        <v>1136.6367137073628</v>
      </c>
      <c r="T956">
        <f t="shared" si="1018"/>
        <v>1.1366367137073627</v>
      </c>
    </row>
    <row r="957" spans="1:20" x14ac:dyDescent="0.25">
      <c r="A957" s="5">
        <v>43636</v>
      </c>
      <c r="B957">
        <v>0.43419999999999997</v>
      </c>
      <c r="C957">
        <v>0.43769999999999998</v>
      </c>
      <c r="D957">
        <v>0.4</v>
      </c>
      <c r="E957">
        <v>0.41610000000000003</v>
      </c>
      <c r="F957">
        <v>8576924.1099999994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-0.14588859416445507</v>
      </c>
      <c r="Q957">
        <f t="shared" si="1015"/>
        <v>-1251275.40066312</v>
      </c>
      <c r="R957">
        <f t="shared" si="1016"/>
        <v>114393202.10456805</v>
      </c>
      <c r="S957">
        <f t="shared" si="1017"/>
        <v>1143.9320210456806</v>
      </c>
      <c r="T957">
        <f t="shared" si="1018"/>
        <v>1.1439320210456805</v>
      </c>
    </row>
    <row r="958" spans="1:20" x14ac:dyDescent="0.25">
      <c r="A958" s="5">
        <v>43635</v>
      </c>
      <c r="B958">
        <v>0.43030000000000002</v>
      </c>
      <c r="C958">
        <v>0.44259999999999999</v>
      </c>
      <c r="D958">
        <v>0.42580000000000001</v>
      </c>
      <c r="E958">
        <v>0.43419999999999997</v>
      </c>
      <c r="F958">
        <v>3806761.29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-3.3042351923367791E-15</v>
      </c>
      <c r="Q958">
        <f t="shared" si="1015"/>
        <v>-1.2578434623243355E-8</v>
      </c>
      <c r="R958">
        <f t="shared" si="1016"/>
        <v>115644477.50523117</v>
      </c>
      <c r="S958">
        <f t="shared" si="1017"/>
        <v>1156.4447750523118</v>
      </c>
      <c r="T958">
        <f t="shared" si="1018"/>
        <v>1.1564447750523117</v>
      </c>
    </row>
    <row r="959" spans="1:20" x14ac:dyDescent="0.25">
      <c r="A959" s="5">
        <v>43634</v>
      </c>
      <c r="B959">
        <v>0.43530000000000002</v>
      </c>
      <c r="C959">
        <v>0.438</v>
      </c>
      <c r="D959">
        <v>0.42509999999999998</v>
      </c>
      <c r="E959">
        <v>0.42980000000000002</v>
      </c>
      <c r="F959">
        <v>5895092.1500000004</v>
      </c>
      <c r="G959">
        <v>0</v>
      </c>
      <c r="L959" t="s">
        <v>7</v>
      </c>
      <c r="M959" t="s">
        <v>8</v>
      </c>
      <c r="N959" t="s">
        <v>8</v>
      </c>
      <c r="P959">
        <f t="shared" ref="P959:P1022" si="1019">IF(C959=D959,0,((E959-D959)-(C959-E959))/(C959-D959))</f>
        <v>-0.27131782945735983</v>
      </c>
      <c r="Q959">
        <f t="shared" ref="Q959:Q1022" si="1020">F959*P959</f>
        <v>-1599443.6065891208</v>
      </c>
      <c r="R959">
        <f t="shared" ref="R959:R1022" si="1021">R960+Q959</f>
        <v>115644477.50523119</v>
      </c>
      <c r="S959">
        <f t="shared" ref="S959:S1022" si="1022">R959/100000</f>
        <v>1156.4447750523118</v>
      </c>
      <c r="T959">
        <f t="shared" ref="T959:T1022" si="1023">S959/1000</f>
        <v>1.1564447750523117</v>
      </c>
    </row>
    <row r="960" spans="1:20" x14ac:dyDescent="0.25">
      <c r="A960" s="5">
        <v>43633</v>
      </c>
      <c r="B960">
        <v>0.44440000000000002</v>
      </c>
      <c r="C960">
        <v>0.45500000000000002</v>
      </c>
      <c r="D960">
        <v>0.42</v>
      </c>
      <c r="E960">
        <v>0.43530000000000002</v>
      </c>
      <c r="F960">
        <v>11798780.550000001</v>
      </c>
      <c r="G960">
        <v>0</v>
      </c>
      <c r="L960" t="s">
        <v>7</v>
      </c>
      <c r="M960" t="s">
        <v>8</v>
      </c>
      <c r="N960" t="s">
        <v>8</v>
      </c>
      <c r="P960">
        <f t="shared" si="1019"/>
        <v>-0.12571428571428445</v>
      </c>
      <c r="Q960">
        <f t="shared" si="1020"/>
        <v>-1483275.2691428424</v>
      </c>
      <c r="R960">
        <f t="shared" si="1021"/>
        <v>117243921.11182031</v>
      </c>
      <c r="S960">
        <f t="shared" si="1022"/>
        <v>1172.439211118203</v>
      </c>
      <c r="T960">
        <f t="shared" si="1023"/>
        <v>1.1724392111182032</v>
      </c>
    </row>
    <row r="961" spans="1:20" x14ac:dyDescent="0.25">
      <c r="A961" s="5">
        <v>43632</v>
      </c>
      <c r="B961">
        <v>0.43380000000000002</v>
      </c>
      <c r="C961">
        <v>0.46</v>
      </c>
      <c r="D961">
        <v>0.43020000000000003</v>
      </c>
      <c r="E961">
        <v>0.44440000000000002</v>
      </c>
      <c r="F961">
        <v>8859744.7300000004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-4.6979865771812505E-2</v>
      </c>
      <c r="Q961">
        <f t="shared" si="1020"/>
        <v>-416229.61818792328</v>
      </c>
      <c r="R961">
        <f t="shared" si="1021"/>
        <v>118727196.38096315</v>
      </c>
      <c r="S961">
        <f t="shared" si="1022"/>
        <v>1187.2719638096314</v>
      </c>
      <c r="T961">
        <f t="shared" si="1023"/>
        <v>1.1872719638096314</v>
      </c>
    </row>
    <row r="962" spans="1:20" x14ac:dyDescent="0.25">
      <c r="A962" s="5">
        <v>43631</v>
      </c>
      <c r="B962">
        <v>0.42859999999999998</v>
      </c>
      <c r="C962">
        <v>0.439</v>
      </c>
      <c r="D962">
        <v>0.42459999999999998</v>
      </c>
      <c r="E962">
        <v>0.43340000000000001</v>
      </c>
      <c r="F962">
        <v>4211890.21</v>
      </c>
      <c r="G962">
        <v>0</v>
      </c>
      <c r="L962" t="s">
        <v>7</v>
      </c>
      <c r="M962" t="s">
        <v>7</v>
      </c>
      <c r="N962" t="s">
        <v>8</v>
      </c>
      <c r="P962">
        <f t="shared" si="1019"/>
        <v>0.22222222222222437</v>
      </c>
      <c r="Q962">
        <f t="shared" si="1020"/>
        <v>935975.60222223133</v>
      </c>
      <c r="R962">
        <f t="shared" si="1021"/>
        <v>119143425.99915107</v>
      </c>
      <c r="S962">
        <f t="shared" si="1022"/>
        <v>1191.4342599915108</v>
      </c>
      <c r="T962">
        <f t="shared" si="1023"/>
        <v>1.1914342599915109</v>
      </c>
    </row>
    <row r="963" spans="1:20" x14ac:dyDescent="0.25">
      <c r="A963" s="5">
        <v>43630</v>
      </c>
      <c r="B963">
        <v>0.43640000000000001</v>
      </c>
      <c r="C963">
        <v>0.43919999999999998</v>
      </c>
      <c r="D963">
        <v>0.41299999999999998</v>
      </c>
      <c r="E963">
        <v>0.42870000000000003</v>
      </c>
      <c r="F963">
        <v>6399555.5700000003</v>
      </c>
      <c r="G963">
        <v>0</v>
      </c>
      <c r="L963" t="s">
        <v>7</v>
      </c>
      <c r="M963" t="s">
        <v>7</v>
      </c>
      <c r="N963" t="s">
        <v>8</v>
      </c>
      <c r="P963">
        <f t="shared" si="1019"/>
        <v>0.19847328244275164</v>
      </c>
      <c r="Q963">
        <f t="shared" si="1020"/>
        <v>1270140.8001526946</v>
      </c>
      <c r="R963">
        <f t="shared" si="1021"/>
        <v>118207450.39692883</v>
      </c>
      <c r="S963">
        <f t="shared" si="1022"/>
        <v>1182.0745039692883</v>
      </c>
      <c r="T963">
        <f t="shared" si="1023"/>
        <v>1.1820745039692884</v>
      </c>
    </row>
    <row r="964" spans="1:20" x14ac:dyDescent="0.25">
      <c r="A964" s="5">
        <v>43629</v>
      </c>
      <c r="B964">
        <v>0.434</v>
      </c>
      <c r="C964">
        <v>0.44869999999999999</v>
      </c>
      <c r="D964">
        <v>0.42670000000000002</v>
      </c>
      <c r="E964">
        <v>0.43719999999999998</v>
      </c>
      <c r="F964">
        <v>6244479.2199999997</v>
      </c>
      <c r="G964">
        <v>0</v>
      </c>
      <c r="L964" t="s">
        <v>8</v>
      </c>
      <c r="M964" t="s">
        <v>7</v>
      </c>
      <c r="N964" t="s">
        <v>8</v>
      </c>
      <c r="P964">
        <f t="shared" si="1019"/>
        <v>-4.5454545454548093E-2</v>
      </c>
      <c r="Q964">
        <f t="shared" si="1020"/>
        <v>-283839.96454547101</v>
      </c>
      <c r="R964">
        <f t="shared" si="1021"/>
        <v>116937309.59677614</v>
      </c>
      <c r="S964">
        <f t="shared" si="1022"/>
        <v>1169.3730959677614</v>
      </c>
      <c r="T964">
        <f t="shared" si="1023"/>
        <v>1.1693730959677615</v>
      </c>
    </row>
    <row r="965" spans="1:20" x14ac:dyDescent="0.25">
      <c r="A965" s="5">
        <v>43628</v>
      </c>
      <c r="B965">
        <v>0.42230000000000001</v>
      </c>
      <c r="C965">
        <v>0.44240000000000002</v>
      </c>
      <c r="D965">
        <v>0.41620000000000001</v>
      </c>
      <c r="E965">
        <v>0.43419999999999997</v>
      </c>
      <c r="F965">
        <v>7031331.29</v>
      </c>
      <c r="G965">
        <v>0</v>
      </c>
      <c r="L965" t="s">
        <v>8</v>
      </c>
      <c r="M965" t="s">
        <v>7</v>
      </c>
      <c r="N965" t="s">
        <v>8</v>
      </c>
      <c r="P965">
        <f t="shared" si="1019"/>
        <v>0.37404580152671446</v>
      </c>
      <c r="Q965">
        <f t="shared" si="1020"/>
        <v>2630039.9481679173</v>
      </c>
      <c r="R965">
        <f t="shared" si="1021"/>
        <v>117221149.56132162</v>
      </c>
      <c r="S965">
        <f t="shared" si="1022"/>
        <v>1172.2114956132161</v>
      </c>
      <c r="T965">
        <f t="shared" si="1023"/>
        <v>1.1722114956132161</v>
      </c>
    </row>
    <row r="966" spans="1:20" x14ac:dyDescent="0.25">
      <c r="A966" s="5">
        <v>43627</v>
      </c>
      <c r="B966">
        <v>0.4279</v>
      </c>
      <c r="C966">
        <v>0.43</v>
      </c>
      <c r="D966">
        <v>0.40629999999999999</v>
      </c>
      <c r="E966">
        <v>0.4209</v>
      </c>
      <c r="F966">
        <v>4042380.07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0.23206751054852343</v>
      </c>
      <c r="Q966">
        <f t="shared" si="1020"/>
        <v>938105.07953586581</v>
      </c>
      <c r="R966">
        <f t="shared" si="1021"/>
        <v>114591109.6131537</v>
      </c>
      <c r="S966">
        <f t="shared" si="1022"/>
        <v>1145.9110961315369</v>
      </c>
      <c r="T966">
        <f t="shared" si="1023"/>
        <v>1.1459110961315369</v>
      </c>
    </row>
    <row r="967" spans="1:20" x14ac:dyDescent="0.25">
      <c r="A967" s="5">
        <v>43626</v>
      </c>
      <c r="B967">
        <v>0.40560000000000002</v>
      </c>
      <c r="C967">
        <v>0.43209999999999998</v>
      </c>
      <c r="D967">
        <v>0.39789999999999998</v>
      </c>
      <c r="E967">
        <v>0.42870000000000003</v>
      </c>
      <c r="F967">
        <v>5509852.5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0.80116959064327731</v>
      </c>
      <c r="Q967">
        <f t="shared" si="1020"/>
        <v>4414326.2719298378</v>
      </c>
      <c r="R967">
        <f t="shared" si="1021"/>
        <v>113653004.53361782</v>
      </c>
      <c r="S967">
        <f t="shared" si="1022"/>
        <v>1136.5300453361783</v>
      </c>
      <c r="T967">
        <f t="shared" si="1023"/>
        <v>1.1365300453361784</v>
      </c>
    </row>
    <row r="968" spans="1:20" x14ac:dyDescent="0.25">
      <c r="A968" s="5">
        <v>43625</v>
      </c>
      <c r="B968">
        <v>0.42859999999999998</v>
      </c>
      <c r="C968">
        <v>0.43109999999999998</v>
      </c>
      <c r="D968">
        <v>0.39329999999999998</v>
      </c>
      <c r="E968">
        <v>0.40550000000000003</v>
      </c>
      <c r="F968">
        <v>5503022.6799999997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-0.35449735449735215</v>
      </c>
      <c r="Q968">
        <f t="shared" si="1020"/>
        <v>-1950806.9817989287</v>
      </c>
      <c r="R968">
        <f t="shared" si="1021"/>
        <v>109238678.26168798</v>
      </c>
      <c r="S968">
        <f t="shared" si="1022"/>
        <v>1092.3867826168798</v>
      </c>
      <c r="T968">
        <f t="shared" si="1023"/>
        <v>1.0923867826168798</v>
      </c>
    </row>
    <row r="969" spans="1:20" x14ac:dyDescent="0.25">
      <c r="A969" s="5">
        <v>43624</v>
      </c>
      <c r="B969">
        <v>0.442</v>
      </c>
      <c r="C969">
        <v>0.45</v>
      </c>
      <c r="D969">
        <v>0.41610000000000003</v>
      </c>
      <c r="E969">
        <v>0.4284</v>
      </c>
      <c r="F969">
        <v>8038280.3399999999</v>
      </c>
      <c r="G969">
        <v>0</v>
      </c>
      <c r="L969" t="s">
        <v>7</v>
      </c>
      <c r="M969" t="s">
        <v>7</v>
      </c>
      <c r="N969" t="s">
        <v>8</v>
      </c>
      <c r="P969">
        <f t="shared" si="1019"/>
        <v>-0.27433628318584174</v>
      </c>
      <c r="Q969">
        <f t="shared" si="1020"/>
        <v>-2205191.9516814244</v>
      </c>
      <c r="R969">
        <f t="shared" si="1021"/>
        <v>111189485.24348691</v>
      </c>
      <c r="S969">
        <f t="shared" si="1022"/>
        <v>1111.8948524348691</v>
      </c>
      <c r="T969">
        <f t="shared" si="1023"/>
        <v>1.1118948524348691</v>
      </c>
    </row>
    <row r="970" spans="1:20" x14ac:dyDescent="0.25">
      <c r="A970" s="5">
        <v>43623</v>
      </c>
      <c r="B970">
        <v>0.42199999999999999</v>
      </c>
      <c r="C970">
        <v>0.45600000000000002</v>
      </c>
      <c r="D970">
        <v>0.41689999999999999</v>
      </c>
      <c r="E970">
        <v>0.44230000000000003</v>
      </c>
      <c r="F970">
        <v>7584633.54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0.29923273657289096</v>
      </c>
      <c r="Q970">
        <f t="shared" si="1020"/>
        <v>2269570.6500767334</v>
      </c>
      <c r="R970">
        <f t="shared" si="1021"/>
        <v>113394677.19516833</v>
      </c>
      <c r="S970">
        <f t="shared" si="1022"/>
        <v>1133.9467719516833</v>
      </c>
      <c r="T970">
        <f t="shared" si="1023"/>
        <v>1.1339467719516834</v>
      </c>
    </row>
    <row r="971" spans="1:20" x14ac:dyDescent="0.25">
      <c r="A971" s="5">
        <v>43622</v>
      </c>
      <c r="B971">
        <v>0.42870000000000003</v>
      </c>
      <c r="C971">
        <v>0.43459999999999999</v>
      </c>
      <c r="D971">
        <v>0.39900000000000002</v>
      </c>
      <c r="E971">
        <v>0.42180000000000001</v>
      </c>
      <c r="F971">
        <v>7373767.3499999996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0.2808988764044949</v>
      </c>
      <c r="Q971">
        <f t="shared" si="1020"/>
        <v>2071282.9634831499</v>
      </c>
      <c r="R971">
        <f t="shared" si="1021"/>
        <v>111125106.5450916</v>
      </c>
      <c r="S971">
        <f t="shared" si="1022"/>
        <v>1111.251065450916</v>
      </c>
      <c r="T971">
        <f t="shared" si="1023"/>
        <v>1.111251065450916</v>
      </c>
    </row>
    <row r="972" spans="1:20" x14ac:dyDescent="0.25">
      <c r="A972" s="5">
        <v>43621</v>
      </c>
      <c r="B972">
        <v>0.42480000000000001</v>
      </c>
      <c r="C972">
        <v>0.43719999999999998</v>
      </c>
      <c r="D972">
        <v>0.41410000000000002</v>
      </c>
      <c r="E972">
        <v>0.42870000000000003</v>
      </c>
      <c r="F972">
        <v>6748664.6900000004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0.26406926406926673</v>
      </c>
      <c r="Q972">
        <f t="shared" si="1020"/>
        <v>1782114.9181385462</v>
      </c>
      <c r="R972">
        <f t="shared" si="1021"/>
        <v>109053823.58160844</v>
      </c>
      <c r="S972">
        <f t="shared" si="1022"/>
        <v>1090.5382358160844</v>
      </c>
      <c r="T972">
        <f t="shared" si="1023"/>
        <v>1.0905382358160844</v>
      </c>
    </row>
    <row r="973" spans="1:20" x14ac:dyDescent="0.25">
      <c r="A973" s="5">
        <v>43620</v>
      </c>
      <c r="B973">
        <v>0.44419999999999998</v>
      </c>
      <c r="C973">
        <v>0.44779999999999998</v>
      </c>
      <c r="D973">
        <v>0.40849999999999997</v>
      </c>
      <c r="E973">
        <v>0.42409999999999998</v>
      </c>
      <c r="F973">
        <v>13131626.08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-0.20610687022900753</v>
      </c>
      <c r="Q973">
        <f t="shared" si="1020"/>
        <v>-2706518.3523664111</v>
      </c>
      <c r="R973">
        <f t="shared" si="1021"/>
        <v>107271708.6634699</v>
      </c>
      <c r="S973">
        <f t="shared" si="1022"/>
        <v>1072.7170866346989</v>
      </c>
      <c r="T973">
        <f t="shared" si="1023"/>
        <v>1.0727170866346989</v>
      </c>
    </row>
    <row r="974" spans="1:20" x14ac:dyDescent="0.25">
      <c r="A974" s="5">
        <v>43619</v>
      </c>
      <c r="B974">
        <v>0.48909999999999998</v>
      </c>
      <c r="C974">
        <v>0.49149999999999999</v>
      </c>
      <c r="D974">
        <v>0.442</v>
      </c>
      <c r="E974">
        <v>0.44419999999999998</v>
      </c>
      <c r="F974">
        <v>10918689.23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-0.91111111111111187</v>
      </c>
      <c r="Q974">
        <f t="shared" si="1020"/>
        <v>-9948139.0762222316</v>
      </c>
      <c r="R974">
        <f t="shared" si="1021"/>
        <v>109978227.01583631</v>
      </c>
      <c r="S974">
        <f t="shared" si="1022"/>
        <v>1099.7822701583632</v>
      </c>
      <c r="T974">
        <f t="shared" si="1023"/>
        <v>1.0997822701583633</v>
      </c>
    </row>
    <row r="975" spans="1:20" x14ac:dyDescent="0.25">
      <c r="A975" s="5">
        <v>43618</v>
      </c>
      <c r="B975">
        <v>0.47849999999999998</v>
      </c>
      <c r="C975">
        <v>0.49990000000000001</v>
      </c>
      <c r="D975">
        <v>0.4753</v>
      </c>
      <c r="E975">
        <v>0.48909999999999998</v>
      </c>
      <c r="F975">
        <v>8166808.6900000004</v>
      </c>
      <c r="G975">
        <v>0</v>
      </c>
      <c r="L975" t="s">
        <v>7</v>
      </c>
      <c r="M975" t="s">
        <v>7</v>
      </c>
      <c r="N975" t="s">
        <v>8</v>
      </c>
      <c r="P975">
        <f t="shared" si="1019"/>
        <v>0.12195121951219293</v>
      </c>
      <c r="Q975">
        <f t="shared" si="1020"/>
        <v>995952.27926827478</v>
      </c>
      <c r="R975">
        <f t="shared" si="1021"/>
        <v>119926366.09205854</v>
      </c>
      <c r="S975">
        <f t="shared" si="1022"/>
        <v>1199.2636609205854</v>
      </c>
      <c r="T975">
        <f t="shared" si="1023"/>
        <v>1.1992636609205853</v>
      </c>
    </row>
    <row r="976" spans="1:20" x14ac:dyDescent="0.25">
      <c r="A976" s="5">
        <v>43617</v>
      </c>
      <c r="B976">
        <v>0.50780000000000003</v>
      </c>
      <c r="C976">
        <v>0.51559999999999995</v>
      </c>
      <c r="D976">
        <v>0.46600000000000003</v>
      </c>
      <c r="E976">
        <v>0.47849999999999998</v>
      </c>
      <c r="F976">
        <v>13620083.75</v>
      </c>
      <c r="G976">
        <v>0</v>
      </c>
      <c r="L976" t="s">
        <v>7</v>
      </c>
      <c r="M976" t="s">
        <v>7</v>
      </c>
      <c r="N976" t="s">
        <v>8</v>
      </c>
      <c r="P976">
        <f t="shared" si="1019"/>
        <v>-0.49596774193548487</v>
      </c>
      <c r="Q976">
        <f t="shared" si="1020"/>
        <v>-6755122.1824596915</v>
      </c>
      <c r="R976">
        <f t="shared" si="1021"/>
        <v>118930413.81279026</v>
      </c>
      <c r="S976">
        <f t="shared" si="1022"/>
        <v>1189.3041381279027</v>
      </c>
      <c r="T976">
        <f t="shared" si="1023"/>
        <v>1.1893041381279026</v>
      </c>
    </row>
    <row r="977" spans="1:20" x14ac:dyDescent="0.25">
      <c r="A977" s="5">
        <v>43616</v>
      </c>
      <c r="B977">
        <v>0.47199999999999998</v>
      </c>
      <c r="C977">
        <v>0.51239999999999997</v>
      </c>
      <c r="D977">
        <v>0.45669999999999999</v>
      </c>
      <c r="E977">
        <v>0.50800000000000001</v>
      </c>
      <c r="F977">
        <v>15232847.130000001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0.84201077199282004</v>
      </c>
      <c r="Q977">
        <f t="shared" si="1020"/>
        <v>12826221.371579913</v>
      </c>
      <c r="R977">
        <f t="shared" si="1021"/>
        <v>125685535.99524996</v>
      </c>
      <c r="S977">
        <f t="shared" si="1022"/>
        <v>1256.8553599524996</v>
      </c>
      <c r="T977">
        <f t="shared" si="1023"/>
        <v>1.2568553599524996</v>
      </c>
    </row>
    <row r="978" spans="1:20" x14ac:dyDescent="0.25">
      <c r="A978" s="5">
        <v>43615</v>
      </c>
      <c r="B978">
        <v>0.51149999999999995</v>
      </c>
      <c r="C978">
        <v>0.55000000000000004</v>
      </c>
      <c r="D978">
        <v>0.45989999999999998</v>
      </c>
      <c r="E978">
        <v>0.4723</v>
      </c>
      <c r="F978">
        <v>30319049.059999999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-0.72475027746947807</v>
      </c>
      <c r="Q978">
        <f t="shared" si="1020"/>
        <v>-21973739.218845718</v>
      </c>
      <c r="R978">
        <f t="shared" si="1021"/>
        <v>112859314.62367004</v>
      </c>
      <c r="S978">
        <f t="shared" si="1022"/>
        <v>1128.5931462367005</v>
      </c>
      <c r="T978">
        <f t="shared" si="1023"/>
        <v>1.1285931462367005</v>
      </c>
    </row>
    <row r="979" spans="1:20" x14ac:dyDescent="0.25">
      <c r="A979" s="5">
        <v>43614</v>
      </c>
      <c r="B979">
        <v>0.48060000000000003</v>
      </c>
      <c r="C979">
        <v>0.56310000000000004</v>
      </c>
      <c r="D979">
        <v>0.45600000000000002</v>
      </c>
      <c r="E979">
        <v>0.51139999999999997</v>
      </c>
      <c r="F979">
        <v>45914594.649999999</v>
      </c>
      <c r="G979">
        <v>0</v>
      </c>
      <c r="L979" t="s">
        <v>8</v>
      </c>
      <c r="M979" t="s">
        <v>8</v>
      </c>
      <c r="N979" t="s">
        <v>8</v>
      </c>
      <c r="P979">
        <f t="shared" si="1019"/>
        <v>3.4547152194209799E-2</v>
      </c>
      <c r="Q979">
        <f t="shared" si="1020"/>
        <v>1586218.489309001</v>
      </c>
      <c r="R979">
        <f t="shared" si="1021"/>
        <v>134833053.84251577</v>
      </c>
      <c r="S979">
        <f t="shared" si="1022"/>
        <v>1348.3305384251576</v>
      </c>
      <c r="T979">
        <f t="shared" si="1023"/>
        <v>1.3483305384251576</v>
      </c>
    </row>
    <row r="980" spans="1:20" x14ac:dyDescent="0.25">
      <c r="A980" s="5">
        <v>43613</v>
      </c>
      <c r="B980">
        <v>0.4335</v>
      </c>
      <c r="C980">
        <v>0.51</v>
      </c>
      <c r="D980">
        <v>0.41510000000000002</v>
      </c>
      <c r="E980">
        <v>0.48060000000000003</v>
      </c>
      <c r="F980">
        <v>30380467.09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0.3804004214963122</v>
      </c>
      <c r="Q980">
        <f t="shared" si="1020"/>
        <v>11556742.48629084</v>
      </c>
      <c r="R980">
        <f t="shared" si="1021"/>
        <v>133246835.35320675</v>
      </c>
      <c r="S980">
        <f t="shared" si="1022"/>
        <v>1332.4683535320676</v>
      </c>
      <c r="T980">
        <f t="shared" si="1023"/>
        <v>1.3324683535320676</v>
      </c>
    </row>
    <row r="981" spans="1:20" x14ac:dyDescent="0.25">
      <c r="A981" s="5">
        <v>43612</v>
      </c>
      <c r="B981">
        <v>0.4047</v>
      </c>
      <c r="C981">
        <v>0.44569999999999999</v>
      </c>
      <c r="D981">
        <v>0.3962</v>
      </c>
      <c r="E981">
        <v>0.43290000000000001</v>
      </c>
      <c r="F981">
        <v>13898373.73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0.48282828282828361</v>
      </c>
      <c r="Q981">
        <f t="shared" si="1020"/>
        <v>6710527.9221616276</v>
      </c>
      <c r="R981">
        <f t="shared" si="1021"/>
        <v>121690092.86691591</v>
      </c>
      <c r="S981">
        <f t="shared" si="1022"/>
        <v>1216.9009286691592</v>
      </c>
      <c r="T981">
        <f t="shared" si="1023"/>
        <v>1.2169009286691592</v>
      </c>
    </row>
    <row r="982" spans="1:20" x14ac:dyDescent="0.25">
      <c r="A982" s="5">
        <v>43611</v>
      </c>
      <c r="B982">
        <v>0.38190000000000002</v>
      </c>
      <c r="C982">
        <v>0.41349999999999998</v>
      </c>
      <c r="D982">
        <v>0.37169999999999997</v>
      </c>
      <c r="E982">
        <v>0.40570000000000001</v>
      </c>
      <c r="F982">
        <v>7042348.1500000004</v>
      </c>
      <c r="G982">
        <v>0</v>
      </c>
      <c r="L982" t="s">
        <v>8</v>
      </c>
      <c r="M982" t="s">
        <v>7</v>
      </c>
      <c r="N982" t="s">
        <v>8</v>
      </c>
      <c r="P982">
        <f t="shared" si="1019"/>
        <v>0.62679425837320701</v>
      </c>
      <c r="Q982">
        <f t="shared" si="1020"/>
        <v>4414103.3858851762</v>
      </c>
      <c r="R982">
        <f t="shared" si="1021"/>
        <v>114979564.94475429</v>
      </c>
      <c r="S982">
        <f t="shared" si="1022"/>
        <v>1149.7956494475429</v>
      </c>
      <c r="T982">
        <f t="shared" si="1023"/>
        <v>1.149795649447543</v>
      </c>
    </row>
    <row r="983" spans="1:20" x14ac:dyDescent="0.25">
      <c r="A983" s="5">
        <v>43610</v>
      </c>
      <c r="B983">
        <v>0.38040000000000002</v>
      </c>
      <c r="C983">
        <v>0.39200000000000002</v>
      </c>
      <c r="D983">
        <v>0.37490000000000001</v>
      </c>
      <c r="E983">
        <v>0.38190000000000002</v>
      </c>
      <c r="F983">
        <v>5259878.16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-0.1812865497076018</v>
      </c>
      <c r="Q983">
        <f t="shared" si="1020"/>
        <v>-953545.16350876912</v>
      </c>
      <c r="R983">
        <f t="shared" si="1021"/>
        <v>110565461.55886911</v>
      </c>
      <c r="S983">
        <f t="shared" si="1022"/>
        <v>1105.6546155886911</v>
      </c>
      <c r="T983">
        <f t="shared" si="1023"/>
        <v>1.105654615588691</v>
      </c>
    </row>
    <row r="984" spans="1:20" x14ac:dyDescent="0.25">
      <c r="A984" s="5">
        <v>43609</v>
      </c>
      <c r="B984">
        <v>0.3856</v>
      </c>
      <c r="C984">
        <v>0.39989999999999998</v>
      </c>
      <c r="D984">
        <v>0.37609999999999999</v>
      </c>
      <c r="E984">
        <v>0.38059999999999999</v>
      </c>
      <c r="F984">
        <v>6854664.2599999998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-0.62184873949579778</v>
      </c>
      <c r="Q984">
        <f t="shared" si="1020"/>
        <v>-4262564.3297478957</v>
      </c>
      <c r="R984">
        <f t="shared" si="1021"/>
        <v>111519006.72237788</v>
      </c>
      <c r="S984">
        <f t="shared" si="1022"/>
        <v>1115.1900672237789</v>
      </c>
      <c r="T984">
        <f t="shared" si="1023"/>
        <v>1.1151900672237789</v>
      </c>
    </row>
    <row r="985" spans="1:20" x14ac:dyDescent="0.25">
      <c r="A985" s="5">
        <v>43608</v>
      </c>
      <c r="B985">
        <v>0.38250000000000001</v>
      </c>
      <c r="C985">
        <v>0.39</v>
      </c>
      <c r="D985">
        <v>0.35749999999999998</v>
      </c>
      <c r="E985">
        <v>0.38590000000000002</v>
      </c>
      <c r="F985">
        <v>10891690.130000001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0.74769230769230832</v>
      </c>
      <c r="Q985">
        <f t="shared" si="1020"/>
        <v>8143632.9279692378</v>
      </c>
      <c r="R985">
        <f t="shared" si="1021"/>
        <v>115781571.05212578</v>
      </c>
      <c r="S985">
        <f t="shared" si="1022"/>
        <v>1157.8157105212579</v>
      </c>
      <c r="T985">
        <f t="shared" si="1023"/>
        <v>1.1578157105212579</v>
      </c>
    </row>
    <row r="986" spans="1:20" x14ac:dyDescent="0.25">
      <c r="A986" s="5">
        <v>43607</v>
      </c>
      <c r="B986">
        <v>0.41310000000000002</v>
      </c>
      <c r="C986">
        <v>0.4234</v>
      </c>
      <c r="D986">
        <v>0.38150000000000001</v>
      </c>
      <c r="E986">
        <v>0.38240000000000002</v>
      </c>
      <c r="F986">
        <v>10093624.130000001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-0.95704057279236221</v>
      </c>
      <c r="Q986">
        <f t="shared" si="1020"/>
        <v>-9660007.8189260103</v>
      </c>
      <c r="R986">
        <f t="shared" si="1021"/>
        <v>107637938.12415655</v>
      </c>
      <c r="S986">
        <f t="shared" si="1022"/>
        <v>1076.3793812415654</v>
      </c>
      <c r="T986">
        <f t="shared" si="1023"/>
        <v>1.0763793812415654</v>
      </c>
    </row>
    <row r="987" spans="1:20" x14ac:dyDescent="0.25">
      <c r="A987" s="5">
        <v>43606</v>
      </c>
      <c r="B987">
        <v>0.40239999999999998</v>
      </c>
      <c r="C987">
        <v>0.43099999999999999</v>
      </c>
      <c r="D987">
        <v>0.39660000000000001</v>
      </c>
      <c r="E987">
        <v>0.41270000000000001</v>
      </c>
      <c r="F987">
        <v>10774521.93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-6.3953488372092457E-2</v>
      </c>
      <c r="Q987">
        <f t="shared" si="1020"/>
        <v>-689068.26296511013</v>
      </c>
      <c r="R987">
        <f t="shared" si="1021"/>
        <v>117297945.94308256</v>
      </c>
      <c r="S987">
        <f t="shared" si="1022"/>
        <v>1172.9794594308255</v>
      </c>
      <c r="T987">
        <f t="shared" si="1023"/>
        <v>1.1729794594308256</v>
      </c>
    </row>
    <row r="988" spans="1:20" x14ac:dyDescent="0.25">
      <c r="A988" s="5">
        <v>43605</v>
      </c>
      <c r="B988">
        <v>0.42099999999999999</v>
      </c>
      <c r="C988">
        <v>0.4219</v>
      </c>
      <c r="D988">
        <v>0.38300000000000001</v>
      </c>
      <c r="E988">
        <v>0.40260000000000001</v>
      </c>
      <c r="F988">
        <v>10503867.359999999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7.7120822622113762E-3</v>
      </c>
      <c r="Q988">
        <f t="shared" si="1020"/>
        <v>81006.689151677027</v>
      </c>
      <c r="R988">
        <f t="shared" si="1021"/>
        <v>117987014.20604767</v>
      </c>
      <c r="S988">
        <f t="shared" si="1022"/>
        <v>1179.8701420604766</v>
      </c>
      <c r="T988">
        <f t="shared" si="1023"/>
        <v>1.1798701420604767</v>
      </c>
    </row>
    <row r="989" spans="1:20" x14ac:dyDescent="0.25">
      <c r="A989" s="5">
        <v>43604</v>
      </c>
      <c r="B989">
        <v>0.37980000000000003</v>
      </c>
      <c r="C989">
        <v>0.42959999999999998</v>
      </c>
      <c r="D989">
        <v>0.379</v>
      </c>
      <c r="E989">
        <v>0.4219</v>
      </c>
      <c r="F989">
        <v>14242200.560000001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0.6956521739130439</v>
      </c>
      <c r="Q989">
        <f t="shared" si="1020"/>
        <v>9907617.7808695715</v>
      </c>
      <c r="R989">
        <f t="shared" si="1021"/>
        <v>117906007.51689599</v>
      </c>
      <c r="S989">
        <f t="shared" si="1022"/>
        <v>1179.0600751689599</v>
      </c>
      <c r="T989">
        <f t="shared" si="1023"/>
        <v>1.1790600751689599</v>
      </c>
    </row>
    <row r="990" spans="1:20" x14ac:dyDescent="0.25">
      <c r="A990" s="5">
        <v>43603</v>
      </c>
      <c r="B990">
        <v>0.39229999999999998</v>
      </c>
      <c r="C990">
        <v>0.40139999999999998</v>
      </c>
      <c r="D990">
        <v>0.37390000000000001</v>
      </c>
      <c r="E990">
        <v>0.37980000000000003</v>
      </c>
      <c r="F990">
        <v>7955008.1299999999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-0.57090909090908926</v>
      </c>
      <c r="Q990">
        <f t="shared" si="1020"/>
        <v>-4541586.4596727137</v>
      </c>
      <c r="R990">
        <f t="shared" si="1021"/>
        <v>107998389.73602642</v>
      </c>
      <c r="S990">
        <f t="shared" si="1022"/>
        <v>1079.9838973602641</v>
      </c>
      <c r="T990">
        <f t="shared" si="1023"/>
        <v>1.079983897360264</v>
      </c>
    </row>
    <row r="991" spans="1:20" x14ac:dyDescent="0.25">
      <c r="A991" s="5">
        <v>43602</v>
      </c>
      <c r="B991">
        <v>0.41499999999999998</v>
      </c>
      <c r="C991">
        <v>0.42670000000000002</v>
      </c>
      <c r="D991">
        <v>0.35189999999999999</v>
      </c>
      <c r="E991">
        <v>0.39240000000000003</v>
      </c>
      <c r="F991">
        <v>19113328.949999999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8.2887700534759842E-2</v>
      </c>
      <c r="Q991">
        <f t="shared" si="1020"/>
        <v>1584259.8862299558</v>
      </c>
      <c r="R991">
        <f t="shared" si="1021"/>
        <v>112539976.19569914</v>
      </c>
      <c r="S991">
        <f t="shared" si="1022"/>
        <v>1125.3997619569914</v>
      </c>
      <c r="T991">
        <f t="shared" si="1023"/>
        <v>1.1253997619569913</v>
      </c>
    </row>
    <row r="992" spans="1:20" x14ac:dyDescent="0.25">
      <c r="A992" s="5">
        <v>43601</v>
      </c>
      <c r="B992">
        <v>0.43959999999999999</v>
      </c>
      <c r="C992">
        <v>0.46529999999999999</v>
      </c>
      <c r="D992">
        <v>0.3947</v>
      </c>
      <c r="E992">
        <v>0.41539999999999999</v>
      </c>
      <c r="F992">
        <v>24602977.870000001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-0.41359773371104824</v>
      </c>
      <c r="Q992">
        <f t="shared" si="1020"/>
        <v>-10175735.889575073</v>
      </c>
      <c r="R992">
        <f t="shared" si="1021"/>
        <v>110955716.30946918</v>
      </c>
      <c r="S992">
        <f t="shared" si="1022"/>
        <v>1109.5571630946918</v>
      </c>
      <c r="T992">
        <f t="shared" si="1023"/>
        <v>1.1095571630946917</v>
      </c>
    </row>
    <row r="993" spans="1:20" x14ac:dyDescent="0.25">
      <c r="A993" s="5">
        <v>43600</v>
      </c>
      <c r="B993">
        <v>0.3735</v>
      </c>
      <c r="C993">
        <v>0.44359999999999999</v>
      </c>
      <c r="D993">
        <v>0.37240000000000001</v>
      </c>
      <c r="E993">
        <v>0.43980000000000002</v>
      </c>
      <c r="F993">
        <v>17406071.329999998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0.89325842696629298</v>
      </c>
      <c r="Q993">
        <f t="shared" si="1020"/>
        <v>15548119.89589889</v>
      </c>
      <c r="R993">
        <f t="shared" si="1021"/>
        <v>121131452.19904426</v>
      </c>
      <c r="S993">
        <f t="shared" si="1022"/>
        <v>1211.3145219904425</v>
      </c>
      <c r="T993">
        <f t="shared" si="1023"/>
        <v>1.2113145219904424</v>
      </c>
    </row>
    <row r="994" spans="1:20" x14ac:dyDescent="0.25">
      <c r="A994" s="5">
        <v>43599</v>
      </c>
      <c r="B994">
        <v>0.33500000000000002</v>
      </c>
      <c r="C994">
        <v>0.38</v>
      </c>
      <c r="D994">
        <v>0.32919999999999999</v>
      </c>
      <c r="E994">
        <v>0.37340000000000001</v>
      </c>
      <c r="F994">
        <v>26488022.789999999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0.74015748031496087</v>
      </c>
      <c r="Q994">
        <f t="shared" si="1020"/>
        <v>19605308.206771661</v>
      </c>
      <c r="R994">
        <f t="shared" si="1021"/>
        <v>105583332.30314536</v>
      </c>
      <c r="S994">
        <f t="shared" si="1022"/>
        <v>1055.8333230314536</v>
      </c>
      <c r="T994">
        <f t="shared" si="1023"/>
        <v>1.0558333230314536</v>
      </c>
    </row>
    <row r="995" spans="1:20" x14ac:dyDescent="0.25">
      <c r="A995" s="5">
        <v>43598</v>
      </c>
      <c r="B995">
        <v>0.29959999999999998</v>
      </c>
      <c r="C995">
        <v>0.34560000000000002</v>
      </c>
      <c r="D995">
        <v>0.29680000000000001</v>
      </c>
      <c r="E995">
        <v>0.33500000000000002</v>
      </c>
      <c r="F995">
        <v>13876764.15</v>
      </c>
      <c r="G995">
        <v>0</v>
      </c>
      <c r="L995" t="s">
        <v>8</v>
      </c>
      <c r="M995" t="s">
        <v>8</v>
      </c>
      <c r="N995" t="s">
        <v>8</v>
      </c>
      <c r="P995">
        <f t="shared" si="1019"/>
        <v>0.56557377049180346</v>
      </c>
      <c r="Q995">
        <f t="shared" si="1020"/>
        <v>7848333.8225409864</v>
      </c>
      <c r="R995">
        <f t="shared" si="1021"/>
        <v>85978024.096373707</v>
      </c>
      <c r="S995">
        <f t="shared" si="1022"/>
        <v>859.78024096373701</v>
      </c>
      <c r="T995">
        <f t="shared" si="1023"/>
        <v>0.85978024096373706</v>
      </c>
    </row>
    <row r="996" spans="1:20" x14ac:dyDescent="0.25">
      <c r="A996" s="5">
        <v>43597</v>
      </c>
      <c r="B996">
        <v>0.3085</v>
      </c>
      <c r="C996">
        <v>0.32</v>
      </c>
      <c r="D996">
        <v>0.28999999999999998</v>
      </c>
      <c r="E996">
        <v>0.29970000000000002</v>
      </c>
      <c r="F996">
        <v>10549540.529999999</v>
      </c>
      <c r="G996">
        <v>0</v>
      </c>
      <c r="L996" t="s">
        <v>7</v>
      </c>
      <c r="M996" t="s">
        <v>8</v>
      </c>
      <c r="N996" t="s">
        <v>8</v>
      </c>
      <c r="P996">
        <f t="shared" si="1019"/>
        <v>-0.35333333333333111</v>
      </c>
      <c r="Q996">
        <f t="shared" si="1020"/>
        <v>-3727504.3205999765</v>
      </c>
      <c r="R996">
        <f t="shared" si="1021"/>
        <v>78129690.273832723</v>
      </c>
      <c r="S996">
        <f t="shared" si="1022"/>
        <v>781.29690273832728</v>
      </c>
      <c r="T996">
        <f t="shared" si="1023"/>
        <v>0.7812969027383273</v>
      </c>
    </row>
    <row r="997" spans="1:20" x14ac:dyDescent="0.25">
      <c r="A997" s="5">
        <v>43596</v>
      </c>
      <c r="B997">
        <v>0.2787</v>
      </c>
      <c r="C997">
        <v>0.31840000000000002</v>
      </c>
      <c r="D997">
        <v>0.27700000000000002</v>
      </c>
      <c r="E997">
        <v>0.3085</v>
      </c>
      <c r="F997">
        <v>14151301.18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0.5217391304347816</v>
      </c>
      <c r="Q997">
        <f t="shared" si="1020"/>
        <v>7383287.5721738981</v>
      </c>
      <c r="R997">
        <f t="shared" si="1021"/>
        <v>81857194.594432697</v>
      </c>
      <c r="S997">
        <f t="shared" si="1022"/>
        <v>818.57194594432701</v>
      </c>
      <c r="T997">
        <f t="shared" si="1023"/>
        <v>0.81857194594432703</v>
      </c>
    </row>
    <row r="998" spans="1:20" x14ac:dyDescent="0.25">
      <c r="A998" s="5">
        <v>43595</v>
      </c>
      <c r="B998">
        <v>0.26919999999999999</v>
      </c>
      <c r="C998">
        <v>0.28310000000000002</v>
      </c>
      <c r="D998">
        <v>0.26790000000000003</v>
      </c>
      <c r="E998">
        <v>0.27839999999999998</v>
      </c>
      <c r="F998">
        <v>4796192.5</v>
      </c>
      <c r="G998">
        <v>0</v>
      </c>
      <c r="L998" t="s">
        <v>8</v>
      </c>
      <c r="M998" t="s">
        <v>7</v>
      </c>
      <c r="N998" t="s">
        <v>8</v>
      </c>
      <c r="P998">
        <f t="shared" si="1019"/>
        <v>0.38157894736841574</v>
      </c>
      <c r="Q998">
        <f t="shared" si="1020"/>
        <v>1830126.0855262903</v>
      </c>
      <c r="R998">
        <f t="shared" si="1021"/>
        <v>74473907.022258803</v>
      </c>
      <c r="S998">
        <f t="shared" si="1022"/>
        <v>744.739070222588</v>
      </c>
      <c r="T998">
        <f t="shared" si="1023"/>
        <v>0.74473907022258801</v>
      </c>
    </row>
    <row r="999" spans="1:20" x14ac:dyDescent="0.25">
      <c r="A999" s="5">
        <v>43594</v>
      </c>
      <c r="B999">
        <v>0.28000000000000003</v>
      </c>
      <c r="C999">
        <v>0.28070000000000001</v>
      </c>
      <c r="D999">
        <v>0.26419999999999999</v>
      </c>
      <c r="E999">
        <v>0.26950000000000002</v>
      </c>
      <c r="F999">
        <v>4351168.12</v>
      </c>
      <c r="G999">
        <v>0</v>
      </c>
      <c r="L999" t="s">
        <v>7</v>
      </c>
      <c r="M999" t="s">
        <v>7</v>
      </c>
      <c r="N999" t="s">
        <v>8</v>
      </c>
      <c r="P999">
        <f t="shared" si="1019"/>
        <v>-0.35757575757575488</v>
      </c>
      <c r="Q999">
        <f t="shared" si="1020"/>
        <v>-1555872.2368484731</v>
      </c>
      <c r="R999">
        <f t="shared" si="1021"/>
        <v>72643780.936732516</v>
      </c>
      <c r="S999">
        <f t="shared" si="1022"/>
        <v>726.43780936732514</v>
      </c>
      <c r="T999">
        <f t="shared" si="1023"/>
        <v>0.72643780936732516</v>
      </c>
    </row>
    <row r="1000" spans="1:20" x14ac:dyDescent="0.25">
      <c r="A1000" s="5">
        <v>43593</v>
      </c>
      <c r="B1000">
        <v>0.26529999999999998</v>
      </c>
      <c r="C1000">
        <v>0.28889999999999999</v>
      </c>
      <c r="D1000">
        <v>0.2611</v>
      </c>
      <c r="E1000">
        <v>0.27989999999999998</v>
      </c>
      <c r="F1000">
        <v>6421599.7699999996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0.35251798561151004</v>
      </c>
      <c r="Q1000">
        <f t="shared" si="1020"/>
        <v>2263729.4153237361</v>
      </c>
      <c r="R1000">
        <f t="shared" si="1021"/>
        <v>74199653.173580989</v>
      </c>
      <c r="S1000">
        <f t="shared" si="1022"/>
        <v>741.99653173580987</v>
      </c>
      <c r="T1000">
        <f t="shared" si="1023"/>
        <v>0.74199653173580982</v>
      </c>
    </row>
    <row r="1001" spans="1:20" x14ac:dyDescent="0.25">
      <c r="A1001" s="5">
        <v>43592</v>
      </c>
      <c r="B1001">
        <v>0.28060000000000002</v>
      </c>
      <c r="C1001">
        <v>0.28999999999999998</v>
      </c>
      <c r="D1001">
        <v>0.2626</v>
      </c>
      <c r="E1001">
        <v>0.2661</v>
      </c>
      <c r="F1001">
        <v>5263603.29</v>
      </c>
      <c r="G1001">
        <v>0</v>
      </c>
      <c r="L1001" t="s">
        <v>8</v>
      </c>
      <c r="M1001" t="s">
        <v>7</v>
      </c>
      <c r="N1001" t="s">
        <v>8</v>
      </c>
      <c r="P1001">
        <f t="shared" si="1019"/>
        <v>-0.74452554744525501</v>
      </c>
      <c r="Q1001">
        <f t="shared" si="1020"/>
        <v>-3918887.1210218952</v>
      </c>
      <c r="R1001">
        <f t="shared" si="1021"/>
        <v>71935923.758257255</v>
      </c>
      <c r="S1001">
        <f t="shared" si="1022"/>
        <v>719.35923758257252</v>
      </c>
      <c r="T1001">
        <f t="shared" si="1023"/>
        <v>0.71935923758257247</v>
      </c>
    </row>
    <row r="1002" spans="1:20" x14ac:dyDescent="0.25">
      <c r="A1002" s="5">
        <v>43591</v>
      </c>
      <c r="B1002">
        <v>0.2828</v>
      </c>
      <c r="C1002">
        <v>0.28560000000000002</v>
      </c>
      <c r="D1002">
        <v>0.26</v>
      </c>
      <c r="E1002">
        <v>0.28039999999999998</v>
      </c>
      <c r="F1002">
        <v>7660713.1299999999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0.59374999999999722</v>
      </c>
      <c r="Q1002">
        <f t="shared" si="1020"/>
        <v>4548548.4209374785</v>
      </c>
      <c r="R1002">
        <f t="shared" si="1021"/>
        <v>75854810.879279152</v>
      </c>
      <c r="S1002">
        <f t="shared" si="1022"/>
        <v>758.54810879279148</v>
      </c>
      <c r="T1002">
        <f t="shared" si="1023"/>
        <v>0.75854810879279144</v>
      </c>
    </row>
    <row r="1003" spans="1:20" x14ac:dyDescent="0.25">
      <c r="A1003" s="5">
        <v>43590</v>
      </c>
      <c r="B1003">
        <v>0.28420000000000001</v>
      </c>
      <c r="C1003">
        <v>0.28539999999999999</v>
      </c>
      <c r="D1003">
        <v>0.27750000000000002</v>
      </c>
      <c r="E1003">
        <v>0.28260000000000002</v>
      </c>
      <c r="F1003">
        <v>3452348.83</v>
      </c>
      <c r="G1003">
        <v>0</v>
      </c>
      <c r="L1003" t="s">
        <v>7</v>
      </c>
      <c r="M1003" t="s">
        <v>7</v>
      </c>
      <c r="N1003" t="s">
        <v>8</v>
      </c>
      <c r="P1003">
        <f t="shared" si="1019"/>
        <v>0.29113924050633355</v>
      </c>
      <c r="Q1003">
        <f t="shared" si="1020"/>
        <v>1005114.2163291293</v>
      </c>
      <c r="R1003">
        <f t="shared" si="1021"/>
        <v>71306262.458341673</v>
      </c>
      <c r="S1003">
        <f t="shared" si="1022"/>
        <v>713.06262458341678</v>
      </c>
      <c r="T1003">
        <f t="shared" si="1023"/>
        <v>0.71306262458341674</v>
      </c>
    </row>
    <row r="1004" spans="1:20" x14ac:dyDescent="0.25">
      <c r="A1004" s="5">
        <v>43589</v>
      </c>
      <c r="B1004">
        <v>0.2883</v>
      </c>
      <c r="C1004">
        <v>0.29089999999999999</v>
      </c>
      <c r="D1004">
        <v>0.2717</v>
      </c>
      <c r="E1004">
        <v>0.28399999999999997</v>
      </c>
      <c r="F1004">
        <v>7174856.9400000004</v>
      </c>
      <c r="G1004">
        <v>0</v>
      </c>
      <c r="L1004" t="s">
        <v>7</v>
      </c>
      <c r="M1004" t="s">
        <v>7</v>
      </c>
      <c r="N1004" t="s">
        <v>8</v>
      </c>
      <c r="P1004">
        <f t="shared" si="1019"/>
        <v>0.281249999999998</v>
      </c>
      <c r="Q1004">
        <f t="shared" si="1020"/>
        <v>2017928.5143749858</v>
      </c>
      <c r="R1004">
        <f t="shared" si="1021"/>
        <v>70301148.242012545</v>
      </c>
      <c r="S1004">
        <f t="shared" si="1022"/>
        <v>703.0114824201255</v>
      </c>
      <c r="T1004">
        <f t="shared" si="1023"/>
        <v>0.70301148242012546</v>
      </c>
    </row>
    <row r="1005" spans="1:20" x14ac:dyDescent="0.25">
      <c r="A1005" s="5">
        <v>43588</v>
      </c>
      <c r="B1005">
        <v>0.2868</v>
      </c>
      <c r="C1005">
        <v>0.29360000000000003</v>
      </c>
      <c r="D1005">
        <v>0.28170000000000001</v>
      </c>
      <c r="E1005">
        <v>0.28799999999999998</v>
      </c>
      <c r="F1005">
        <v>8983363.1999999993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5.882352941175812E-2</v>
      </c>
      <c r="Q1005">
        <f t="shared" si="1020"/>
        <v>528433.12941170554</v>
      </c>
      <c r="R1005">
        <f t="shared" si="1021"/>
        <v>68283219.727637559</v>
      </c>
      <c r="S1005">
        <f t="shared" si="1022"/>
        <v>682.83219727637561</v>
      </c>
      <c r="T1005">
        <f t="shared" si="1023"/>
        <v>0.68283219727637556</v>
      </c>
    </row>
    <row r="1006" spans="1:20" x14ac:dyDescent="0.25">
      <c r="A1006" s="5">
        <v>43587</v>
      </c>
      <c r="B1006">
        <v>0.2944</v>
      </c>
      <c r="C1006">
        <v>0.2969</v>
      </c>
      <c r="D1006">
        <v>0.27300000000000002</v>
      </c>
      <c r="E1006">
        <v>0.2868</v>
      </c>
      <c r="F1006">
        <v>7711925.54</v>
      </c>
      <c r="G1006">
        <v>0</v>
      </c>
      <c r="L1006" t="s">
        <v>7</v>
      </c>
      <c r="M1006" t="s">
        <v>7</v>
      </c>
      <c r="N1006" t="s">
        <v>8</v>
      </c>
      <c r="P1006">
        <f t="shared" si="1019"/>
        <v>0.1548117154811709</v>
      </c>
      <c r="Q1006">
        <f t="shared" si="1020"/>
        <v>1193896.4225104551</v>
      </c>
      <c r="R1006">
        <f t="shared" si="1021"/>
        <v>67754786.598225847</v>
      </c>
      <c r="S1006">
        <f t="shared" si="1022"/>
        <v>677.54786598225849</v>
      </c>
      <c r="T1006">
        <f t="shared" si="1023"/>
        <v>0.67754786598225847</v>
      </c>
    </row>
    <row r="1007" spans="1:20" x14ac:dyDescent="0.25">
      <c r="A1007" s="5">
        <v>43586</v>
      </c>
      <c r="B1007">
        <v>0.30130000000000001</v>
      </c>
      <c r="C1007">
        <v>0.30640000000000001</v>
      </c>
      <c r="D1007">
        <v>0.2853</v>
      </c>
      <c r="E1007">
        <v>0.2944</v>
      </c>
      <c r="F1007">
        <v>6815363.5199999996</v>
      </c>
      <c r="G1007">
        <v>0</v>
      </c>
      <c r="L1007" t="s">
        <v>8</v>
      </c>
      <c r="M1007" t="s">
        <v>8</v>
      </c>
      <c r="N1007" t="s">
        <v>8</v>
      </c>
      <c r="P1007">
        <f t="shared" si="1019"/>
        <v>-0.13744075829383945</v>
      </c>
      <c r="Q1007">
        <f t="shared" si="1020"/>
        <v>-936708.7302369707</v>
      </c>
      <c r="R1007">
        <f t="shared" si="1021"/>
        <v>66560890.175715394</v>
      </c>
      <c r="S1007">
        <f t="shared" si="1022"/>
        <v>665.60890175715394</v>
      </c>
      <c r="T1007">
        <f t="shared" si="1023"/>
        <v>0.66560890175715393</v>
      </c>
    </row>
    <row r="1008" spans="1:20" x14ac:dyDescent="0.25">
      <c r="A1008" s="5">
        <v>43585</v>
      </c>
      <c r="B1008">
        <v>0.30730000000000002</v>
      </c>
      <c r="C1008">
        <v>0.315</v>
      </c>
      <c r="D1008">
        <v>0.28439999999999999</v>
      </c>
      <c r="E1008">
        <v>0.30130000000000001</v>
      </c>
      <c r="F1008">
        <v>18264650.550000001</v>
      </c>
      <c r="G1008">
        <v>0</v>
      </c>
      <c r="L1008" t="s">
        <v>7</v>
      </c>
      <c r="M1008" t="s">
        <v>8</v>
      </c>
      <c r="N1008" t="s">
        <v>8</v>
      </c>
      <c r="P1008">
        <f t="shared" si="1019"/>
        <v>0.10457516339869394</v>
      </c>
      <c r="Q1008">
        <f t="shared" si="1020"/>
        <v>1910028.8156862953</v>
      </c>
      <c r="R1008">
        <f t="shared" si="1021"/>
        <v>67497598.905952364</v>
      </c>
      <c r="S1008">
        <f t="shared" si="1022"/>
        <v>674.97598905952361</v>
      </c>
      <c r="T1008">
        <f t="shared" si="1023"/>
        <v>0.67497598905952361</v>
      </c>
    </row>
    <row r="1009" spans="1:20" x14ac:dyDescent="0.25">
      <c r="A1009" s="5">
        <v>43584</v>
      </c>
      <c r="B1009">
        <v>0.26989999999999997</v>
      </c>
      <c r="C1009">
        <v>0.32900000000000001</v>
      </c>
      <c r="D1009">
        <v>0.2697</v>
      </c>
      <c r="E1009">
        <v>0.30740000000000001</v>
      </c>
      <c r="F1009">
        <v>50388267.450000003</v>
      </c>
      <c r="G1009">
        <v>0</v>
      </c>
      <c r="L1009" t="s">
        <v>8</v>
      </c>
      <c r="M1009" t="s">
        <v>8</v>
      </c>
      <c r="N1009" t="s">
        <v>8</v>
      </c>
      <c r="P1009">
        <f t="shared" si="1019"/>
        <v>0.27150084317032036</v>
      </c>
      <c r="Q1009">
        <f t="shared" si="1020"/>
        <v>13680457.098566609</v>
      </c>
      <c r="R1009">
        <f t="shared" si="1021"/>
        <v>65587570.090266071</v>
      </c>
      <c r="S1009">
        <f t="shared" si="1022"/>
        <v>655.8757009026607</v>
      </c>
      <c r="T1009">
        <f t="shared" si="1023"/>
        <v>0.65587570090266067</v>
      </c>
    </row>
    <row r="1010" spans="1:20" x14ac:dyDescent="0.25">
      <c r="A1010" s="5">
        <v>43583</v>
      </c>
      <c r="B1010">
        <v>0.2631</v>
      </c>
      <c r="C1010">
        <v>0.28170000000000001</v>
      </c>
      <c r="D1010">
        <v>0.25</v>
      </c>
      <c r="E1010">
        <v>0.26989999999999997</v>
      </c>
      <c r="F1010">
        <v>7471718.6100000003</v>
      </c>
      <c r="G1010">
        <v>0</v>
      </c>
      <c r="L1010" t="s">
        <v>8</v>
      </c>
      <c r="M1010" t="s">
        <v>8</v>
      </c>
      <c r="N1010" t="s">
        <v>7</v>
      </c>
      <c r="P1010">
        <f t="shared" si="1019"/>
        <v>0.25552050473185928</v>
      </c>
      <c r="Q1010">
        <f t="shared" si="1020"/>
        <v>1909177.310441626</v>
      </c>
      <c r="R1010">
        <f t="shared" si="1021"/>
        <v>51907112.991699465</v>
      </c>
      <c r="S1010">
        <f t="shared" si="1022"/>
        <v>519.07112991699466</v>
      </c>
      <c r="T1010">
        <f t="shared" si="1023"/>
        <v>0.51907112991699467</v>
      </c>
    </row>
    <row r="1011" spans="1:20" x14ac:dyDescent="0.25">
      <c r="A1011" s="5">
        <v>43582</v>
      </c>
      <c r="B1011">
        <v>0.26960000000000001</v>
      </c>
      <c r="C1011">
        <v>0.26989999999999997</v>
      </c>
      <c r="D1011">
        <v>0.25430000000000003</v>
      </c>
      <c r="E1011">
        <v>0.26300000000000001</v>
      </c>
      <c r="F1011">
        <v>7005834.1900000004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0.11538461538461731</v>
      </c>
      <c r="Q1011">
        <f t="shared" si="1020"/>
        <v>808365.48346155195</v>
      </c>
      <c r="R1011">
        <f t="shared" si="1021"/>
        <v>49997935.681257837</v>
      </c>
      <c r="S1011">
        <f t="shared" si="1022"/>
        <v>499.97935681257837</v>
      </c>
      <c r="T1011">
        <f t="shared" si="1023"/>
        <v>0.49997935681257838</v>
      </c>
    </row>
    <row r="1012" spans="1:20" x14ac:dyDescent="0.25">
      <c r="A1012" s="5">
        <v>43581</v>
      </c>
      <c r="B1012">
        <v>0.2631</v>
      </c>
      <c r="C1012">
        <v>0.27160000000000001</v>
      </c>
      <c r="D1012">
        <v>0.2351</v>
      </c>
      <c r="E1012">
        <v>0.26960000000000001</v>
      </c>
      <c r="F1012">
        <v>11720765.029999999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0.89041095890410948</v>
      </c>
      <c r="Q1012">
        <f t="shared" si="1020"/>
        <v>10436297.629452053</v>
      </c>
      <c r="R1012">
        <f t="shared" si="1021"/>
        <v>49189570.197796285</v>
      </c>
      <c r="S1012">
        <f t="shared" si="1022"/>
        <v>491.89570197796286</v>
      </c>
      <c r="T1012">
        <f t="shared" si="1023"/>
        <v>0.49189570197796284</v>
      </c>
    </row>
    <row r="1013" spans="1:20" x14ac:dyDescent="0.25">
      <c r="A1013" s="5">
        <v>43580</v>
      </c>
      <c r="B1013">
        <v>0.28010000000000002</v>
      </c>
      <c r="C1013">
        <v>0.2833</v>
      </c>
      <c r="D1013">
        <v>0.2586</v>
      </c>
      <c r="E1013">
        <v>0.26369999999999999</v>
      </c>
      <c r="F1013">
        <v>5123786.83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-0.58704453441295601</v>
      </c>
      <c r="Q1013">
        <f t="shared" si="1020"/>
        <v>-3007891.0540485857</v>
      </c>
      <c r="R1013">
        <f t="shared" si="1021"/>
        <v>38753272.568344228</v>
      </c>
      <c r="S1013">
        <f t="shared" si="1022"/>
        <v>387.53272568344227</v>
      </c>
      <c r="T1013">
        <f t="shared" si="1023"/>
        <v>0.38753272568344227</v>
      </c>
    </row>
    <row r="1014" spans="1:20" x14ac:dyDescent="0.25">
      <c r="A1014" s="5">
        <v>43579</v>
      </c>
      <c r="B1014">
        <v>0.2918</v>
      </c>
      <c r="C1014">
        <v>0.29420000000000002</v>
      </c>
      <c r="D1014">
        <v>0.26850000000000002</v>
      </c>
      <c r="E1014">
        <v>0.28010000000000002</v>
      </c>
      <c r="F1014">
        <v>8527890.3000000007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-9.7276264591439773E-2</v>
      </c>
      <c r="Q1014">
        <f t="shared" si="1020"/>
        <v>-829561.31322957273</v>
      </c>
      <c r="R1014">
        <f t="shared" si="1021"/>
        <v>41761163.622392811</v>
      </c>
      <c r="S1014">
        <f t="shared" si="1022"/>
        <v>417.61163622392809</v>
      </c>
      <c r="T1014">
        <f t="shared" si="1023"/>
        <v>0.41761163622392811</v>
      </c>
    </row>
    <row r="1015" spans="1:20" x14ac:dyDescent="0.25">
      <c r="A1015" s="5">
        <v>43578</v>
      </c>
      <c r="B1015">
        <v>0.30509999999999998</v>
      </c>
      <c r="C1015">
        <v>0.30940000000000001</v>
      </c>
      <c r="D1015">
        <v>0.28799999999999998</v>
      </c>
      <c r="E1015">
        <v>0.2928</v>
      </c>
      <c r="F1015">
        <v>5358872.49</v>
      </c>
      <c r="G1015">
        <v>0</v>
      </c>
      <c r="L1015" t="s">
        <v>7</v>
      </c>
      <c r="M1015" t="s">
        <v>7</v>
      </c>
      <c r="N1015" t="s">
        <v>8</v>
      </c>
      <c r="P1015">
        <f t="shared" si="1019"/>
        <v>-0.55140186915887668</v>
      </c>
      <c r="Q1015">
        <f t="shared" si="1020"/>
        <v>-2954892.307570084</v>
      </c>
      <c r="R1015">
        <f t="shared" si="1021"/>
        <v>42590724.935622387</v>
      </c>
      <c r="S1015">
        <f t="shared" si="1022"/>
        <v>425.90724935622387</v>
      </c>
      <c r="T1015">
        <f t="shared" si="1023"/>
        <v>0.42590724935622387</v>
      </c>
    </row>
    <row r="1016" spans="1:20" x14ac:dyDescent="0.25">
      <c r="A1016" s="5">
        <v>43577</v>
      </c>
      <c r="B1016">
        <v>0.30109999999999998</v>
      </c>
      <c r="C1016">
        <v>0.30959999999999999</v>
      </c>
      <c r="D1016">
        <v>0.29680000000000001</v>
      </c>
      <c r="E1016">
        <v>0.30509999999999998</v>
      </c>
      <c r="F1016">
        <v>3894482.49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0.29687499999999817</v>
      </c>
      <c r="Q1016">
        <f t="shared" si="1020"/>
        <v>1156174.4892187428</v>
      </c>
      <c r="R1016">
        <f t="shared" si="1021"/>
        <v>45545617.243192472</v>
      </c>
      <c r="S1016">
        <f t="shared" si="1022"/>
        <v>455.4561724319247</v>
      </c>
      <c r="T1016">
        <f t="shared" si="1023"/>
        <v>0.45545617243192471</v>
      </c>
    </row>
    <row r="1017" spans="1:20" x14ac:dyDescent="0.25">
      <c r="A1017" s="5">
        <v>43576</v>
      </c>
      <c r="B1017">
        <v>0.30940000000000001</v>
      </c>
      <c r="C1017">
        <v>0.31280000000000002</v>
      </c>
      <c r="D1017">
        <v>0.2928</v>
      </c>
      <c r="E1017">
        <v>0.30120000000000002</v>
      </c>
      <c r="F1017">
        <v>4597423.6900000004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-0.15999999999999889</v>
      </c>
      <c r="Q1017">
        <f t="shared" si="1020"/>
        <v>-735587.79039999493</v>
      </c>
      <c r="R1017">
        <f t="shared" si="1021"/>
        <v>44389442.75397373</v>
      </c>
      <c r="S1017">
        <f t="shared" si="1022"/>
        <v>443.89442753973731</v>
      </c>
      <c r="T1017">
        <f t="shared" si="1023"/>
        <v>0.44389442753973729</v>
      </c>
    </row>
    <row r="1018" spans="1:20" x14ac:dyDescent="0.25">
      <c r="A1018" s="5">
        <v>43575</v>
      </c>
      <c r="B1018">
        <v>0.30730000000000002</v>
      </c>
      <c r="C1018">
        <v>0.31209999999999999</v>
      </c>
      <c r="D1018">
        <v>0.30499999999999999</v>
      </c>
      <c r="E1018">
        <v>0.30940000000000001</v>
      </c>
      <c r="F1018">
        <v>4405145.82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0.23943661971831492</v>
      </c>
      <c r="Q1018">
        <f t="shared" si="1020"/>
        <v>1054753.2245070646</v>
      </c>
      <c r="R1018">
        <f t="shared" si="1021"/>
        <v>45125030.544373728</v>
      </c>
      <c r="S1018">
        <f t="shared" si="1022"/>
        <v>451.25030544373726</v>
      </c>
      <c r="T1018">
        <f t="shared" si="1023"/>
        <v>0.45125030544373729</v>
      </c>
    </row>
    <row r="1019" spans="1:20" x14ac:dyDescent="0.25">
      <c r="A1019" s="5">
        <v>43574</v>
      </c>
      <c r="B1019">
        <v>0.30649999999999999</v>
      </c>
      <c r="C1019">
        <v>0.31</v>
      </c>
      <c r="D1019">
        <v>0.3</v>
      </c>
      <c r="E1019">
        <v>0.30709999999999998</v>
      </c>
      <c r="F1019">
        <v>4331861.97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0.41999999999999776</v>
      </c>
      <c r="Q1019">
        <f t="shared" si="1020"/>
        <v>1819382.0273999902</v>
      </c>
      <c r="R1019">
        <f t="shared" si="1021"/>
        <v>44070277.319866665</v>
      </c>
      <c r="S1019">
        <f t="shared" si="1022"/>
        <v>440.70277319866665</v>
      </c>
      <c r="T1019">
        <f t="shared" si="1023"/>
        <v>0.44070277319866663</v>
      </c>
    </row>
    <row r="1020" spans="1:20" x14ac:dyDescent="0.25">
      <c r="A1020" s="5">
        <v>43573</v>
      </c>
      <c r="B1020">
        <v>0.30640000000000001</v>
      </c>
      <c r="C1020">
        <v>0.31509999999999999</v>
      </c>
      <c r="D1020">
        <v>0.30420000000000003</v>
      </c>
      <c r="E1020">
        <v>0.30649999999999999</v>
      </c>
      <c r="F1020">
        <v>5704160.4800000004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-0.57798165137615121</v>
      </c>
      <c r="Q1020">
        <f t="shared" si="1020"/>
        <v>-3296900.0939449794</v>
      </c>
      <c r="R1020">
        <f t="shared" si="1021"/>
        <v>42250895.292466678</v>
      </c>
      <c r="S1020">
        <f t="shared" si="1022"/>
        <v>422.5089529246668</v>
      </c>
      <c r="T1020">
        <f t="shared" si="1023"/>
        <v>0.42250895292466678</v>
      </c>
    </row>
    <row r="1021" spans="1:20" x14ac:dyDescent="0.25">
      <c r="A1021" s="5">
        <v>43572</v>
      </c>
      <c r="B1021">
        <v>0.30859999999999999</v>
      </c>
      <c r="C1021">
        <v>0.31119999999999998</v>
      </c>
      <c r="D1021">
        <v>0.29449999999999998</v>
      </c>
      <c r="E1021">
        <v>0.30649999999999999</v>
      </c>
      <c r="F1021">
        <v>8172210.0499999998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0.4371257485029959</v>
      </c>
      <c r="Q1021">
        <f t="shared" si="1020"/>
        <v>3572283.4350299556</v>
      </c>
      <c r="R1021">
        <f t="shared" si="1021"/>
        <v>45547795.386411659</v>
      </c>
      <c r="S1021">
        <f t="shared" si="1022"/>
        <v>455.47795386411661</v>
      </c>
      <c r="T1021">
        <f t="shared" si="1023"/>
        <v>0.4554779538641166</v>
      </c>
    </row>
    <row r="1022" spans="1:20" x14ac:dyDescent="0.25">
      <c r="A1022" s="5">
        <v>43571</v>
      </c>
      <c r="B1022">
        <v>0.30030000000000001</v>
      </c>
      <c r="C1022">
        <v>0.314</v>
      </c>
      <c r="D1022">
        <v>0.2999</v>
      </c>
      <c r="E1022">
        <v>0.30869999999999997</v>
      </c>
      <c r="F1022">
        <v>3602987.95</v>
      </c>
      <c r="G1022">
        <v>0</v>
      </c>
      <c r="L1022" t="s">
        <v>8</v>
      </c>
      <c r="M1022" t="s">
        <v>7</v>
      </c>
      <c r="N1022" t="s">
        <v>8</v>
      </c>
      <c r="P1022">
        <f t="shared" si="1019"/>
        <v>0.24822695035460618</v>
      </c>
      <c r="Q1022">
        <f t="shared" si="1020"/>
        <v>894358.71099289437</v>
      </c>
      <c r="R1022">
        <f t="shared" si="1021"/>
        <v>41975511.951381706</v>
      </c>
      <c r="S1022">
        <f t="shared" si="1022"/>
        <v>419.75511951381708</v>
      </c>
      <c r="T1022">
        <f t="shared" si="1023"/>
        <v>0.41975511951381705</v>
      </c>
    </row>
    <row r="1023" spans="1:20" x14ac:dyDescent="0.25">
      <c r="A1023" s="5">
        <v>43570</v>
      </c>
      <c r="B1023">
        <v>0.31440000000000001</v>
      </c>
      <c r="C1023">
        <v>0.31590000000000001</v>
      </c>
      <c r="D1023">
        <v>0.29049999999999998</v>
      </c>
      <c r="E1023">
        <v>0.3009</v>
      </c>
      <c r="F1023">
        <v>7232701.9299999997</v>
      </c>
      <c r="G1023">
        <v>0</v>
      </c>
      <c r="L1023" t="s">
        <v>8</v>
      </c>
      <c r="M1023" t="s">
        <v>7</v>
      </c>
      <c r="N1023" t="s">
        <v>8</v>
      </c>
      <c r="P1023">
        <f t="shared" ref="P1023:P1086" si="1024">IF(C1023=D1023,0,((E1023-D1023)-(C1023-E1023))/(C1023-D1023))</f>
        <v>-0.18110236220472389</v>
      </c>
      <c r="Q1023">
        <f t="shared" ref="Q1023:Q1086" si="1025">F1023*P1023</f>
        <v>-1309859.4046456655</v>
      </c>
      <c r="R1023">
        <f t="shared" ref="R1023:R1086" si="1026">R1024+Q1023</f>
        <v>41081153.240388811</v>
      </c>
      <c r="S1023">
        <f t="shared" ref="S1023:S1086" si="1027">R1023/100000</f>
        <v>410.81153240388812</v>
      </c>
      <c r="T1023">
        <f t="shared" ref="T1023:T1086" si="1028">S1023/1000</f>
        <v>0.41081153240388812</v>
      </c>
    </row>
    <row r="1024" spans="1:20" x14ac:dyDescent="0.25">
      <c r="A1024" s="5">
        <v>43569</v>
      </c>
      <c r="B1024">
        <v>0.31759999999999999</v>
      </c>
      <c r="C1024">
        <v>0.3206</v>
      </c>
      <c r="D1024">
        <v>0.28760000000000002</v>
      </c>
      <c r="E1024">
        <v>0.31469999999999998</v>
      </c>
      <c r="F1024">
        <v>15910966.380000001</v>
      </c>
      <c r="G1024">
        <v>0</v>
      </c>
      <c r="L1024" t="s">
        <v>7</v>
      </c>
      <c r="M1024" t="s">
        <v>7</v>
      </c>
      <c r="N1024" t="s">
        <v>8</v>
      </c>
      <c r="P1024">
        <f t="shared" si="1024"/>
        <v>0.64242424242424112</v>
      </c>
      <c r="Q1024">
        <f t="shared" si="1025"/>
        <v>10221590.522909071</v>
      </c>
      <c r="R1024">
        <f t="shared" si="1026"/>
        <v>42391012.645034477</v>
      </c>
      <c r="S1024">
        <f t="shared" si="1027"/>
        <v>423.91012645034476</v>
      </c>
      <c r="T1024">
        <f t="shared" si="1028"/>
        <v>0.42391012645034476</v>
      </c>
    </row>
    <row r="1025" spans="1:20" x14ac:dyDescent="0.25">
      <c r="A1025" s="5">
        <v>43568</v>
      </c>
      <c r="B1025">
        <v>0.32040000000000002</v>
      </c>
      <c r="C1025">
        <v>0.32819999999999999</v>
      </c>
      <c r="D1025">
        <v>0.31590000000000001</v>
      </c>
      <c r="E1025">
        <v>0.31850000000000001</v>
      </c>
      <c r="F1025">
        <v>2078305.43</v>
      </c>
      <c r="G1025">
        <v>0</v>
      </c>
      <c r="L1025" t="s">
        <v>7</v>
      </c>
      <c r="M1025" t="s">
        <v>7</v>
      </c>
      <c r="N1025" t="s">
        <v>8</v>
      </c>
      <c r="P1025">
        <f t="shared" si="1024"/>
        <v>-0.57723577235772427</v>
      </c>
      <c r="Q1025">
        <f t="shared" si="1025"/>
        <v>-1199672.2400813021</v>
      </c>
      <c r="R1025">
        <f t="shared" si="1026"/>
        <v>32169422.122125406</v>
      </c>
      <c r="S1025">
        <f t="shared" si="1027"/>
        <v>321.69422122125405</v>
      </c>
      <c r="T1025">
        <f t="shared" si="1028"/>
        <v>0.32169422122125407</v>
      </c>
    </row>
    <row r="1026" spans="1:20" x14ac:dyDescent="0.25">
      <c r="A1026" s="5">
        <v>43567</v>
      </c>
      <c r="B1026">
        <v>0.32490000000000002</v>
      </c>
      <c r="C1026">
        <v>0.32650000000000001</v>
      </c>
      <c r="D1026">
        <v>0.31330000000000002</v>
      </c>
      <c r="E1026">
        <v>0.32040000000000002</v>
      </c>
      <c r="F1026">
        <v>2598595.37</v>
      </c>
      <c r="G1026">
        <v>0</v>
      </c>
      <c r="L1026" t="s">
        <v>7</v>
      </c>
      <c r="M1026" t="s">
        <v>7</v>
      </c>
      <c r="N1026" t="s">
        <v>8</v>
      </c>
      <c r="P1026">
        <f t="shared" si="1024"/>
        <v>7.5757575757575885E-2</v>
      </c>
      <c r="Q1026">
        <f t="shared" si="1025"/>
        <v>196863.28560606093</v>
      </c>
      <c r="R1026">
        <f t="shared" si="1026"/>
        <v>33369094.362206709</v>
      </c>
      <c r="S1026">
        <f t="shared" si="1027"/>
        <v>333.6909436220671</v>
      </c>
      <c r="T1026">
        <f t="shared" si="1028"/>
        <v>0.33369094362206708</v>
      </c>
    </row>
    <row r="1027" spans="1:20" x14ac:dyDescent="0.25">
      <c r="A1027" s="5">
        <v>43566</v>
      </c>
      <c r="B1027">
        <v>0.34820000000000001</v>
      </c>
      <c r="C1027">
        <v>0.34960000000000002</v>
      </c>
      <c r="D1027">
        <v>0.312</v>
      </c>
      <c r="E1027">
        <v>0.3256</v>
      </c>
      <c r="F1027">
        <v>7132757.9699999997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-0.27659574468085146</v>
      </c>
      <c r="Q1027">
        <f t="shared" si="1025"/>
        <v>-1972890.5023404283</v>
      </c>
      <c r="R1027">
        <f t="shared" si="1026"/>
        <v>33172231.076600648</v>
      </c>
      <c r="S1027">
        <f t="shared" si="1027"/>
        <v>331.7223107660065</v>
      </c>
      <c r="T1027">
        <f t="shared" si="1028"/>
        <v>0.3317223107660065</v>
      </c>
    </row>
    <row r="1028" spans="1:20" x14ac:dyDescent="0.25">
      <c r="A1028" s="5">
        <v>43565</v>
      </c>
      <c r="B1028">
        <v>0.34549999999999997</v>
      </c>
      <c r="C1028">
        <v>0.36309999999999998</v>
      </c>
      <c r="D1028">
        <v>0.34</v>
      </c>
      <c r="E1028">
        <v>0.34799999999999998</v>
      </c>
      <c r="F1028">
        <v>5496534.1699999999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-0.30735930735931016</v>
      </c>
      <c r="Q1028">
        <f t="shared" si="1025"/>
        <v>-1689410.9353679807</v>
      </c>
      <c r="R1028">
        <f t="shared" si="1026"/>
        <v>35145121.578941077</v>
      </c>
      <c r="S1028">
        <f t="shared" si="1027"/>
        <v>351.45121578941075</v>
      </c>
      <c r="T1028">
        <f t="shared" si="1028"/>
        <v>0.35145121578941074</v>
      </c>
    </row>
    <row r="1029" spans="1:20" x14ac:dyDescent="0.25">
      <c r="A1029" s="5">
        <v>43564</v>
      </c>
      <c r="B1029">
        <v>0.35399999999999998</v>
      </c>
      <c r="C1029">
        <v>0.35399999999999998</v>
      </c>
      <c r="D1029">
        <v>0.33779999999999999</v>
      </c>
      <c r="E1029">
        <v>0.34549999999999997</v>
      </c>
      <c r="F1029">
        <v>3933347.59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-4.9382716049384157E-2</v>
      </c>
      <c r="Q1029">
        <f t="shared" si="1025"/>
        <v>-194239.38716049949</v>
      </c>
      <c r="R1029">
        <f t="shared" si="1026"/>
        <v>36834532.514309056</v>
      </c>
      <c r="S1029">
        <f t="shared" si="1027"/>
        <v>368.34532514309058</v>
      </c>
      <c r="T1029">
        <f t="shared" si="1028"/>
        <v>0.3683453251430906</v>
      </c>
    </row>
    <row r="1030" spans="1:20" x14ac:dyDescent="0.25">
      <c r="A1030" s="5">
        <v>43563</v>
      </c>
      <c r="B1030">
        <v>0.35799999999999998</v>
      </c>
      <c r="C1030">
        <v>0.36159999999999998</v>
      </c>
      <c r="D1030">
        <v>0.33379999999999999</v>
      </c>
      <c r="E1030">
        <v>0.3538</v>
      </c>
      <c r="F1030">
        <v>11729697.77</v>
      </c>
      <c r="G1030">
        <v>0</v>
      </c>
      <c r="L1030" t="s">
        <v>7</v>
      </c>
      <c r="M1030" t="s">
        <v>7</v>
      </c>
      <c r="N1030" t="s">
        <v>8</v>
      </c>
      <c r="P1030">
        <f t="shared" si="1024"/>
        <v>0.43884892086331106</v>
      </c>
      <c r="Q1030">
        <f t="shared" si="1025"/>
        <v>5147565.2084172862</v>
      </c>
      <c r="R1030">
        <f t="shared" si="1026"/>
        <v>37028771.901469558</v>
      </c>
      <c r="S1030">
        <f t="shared" si="1027"/>
        <v>370.2877190146956</v>
      </c>
      <c r="T1030">
        <f t="shared" si="1028"/>
        <v>0.37028771901469559</v>
      </c>
    </row>
    <row r="1031" spans="1:20" x14ac:dyDescent="0.25">
      <c r="A1031" s="5">
        <v>43562</v>
      </c>
      <c r="B1031">
        <v>0.3448</v>
      </c>
      <c r="C1031">
        <v>0.36749999999999999</v>
      </c>
      <c r="D1031">
        <v>0.34279999999999999</v>
      </c>
      <c r="E1031">
        <v>0.3579</v>
      </c>
      <c r="F1031">
        <v>7663411.04</v>
      </c>
      <c r="G1031">
        <v>0</v>
      </c>
      <c r="L1031" t="s">
        <v>8</v>
      </c>
      <c r="M1031" t="s">
        <v>7</v>
      </c>
      <c r="N1031" t="s">
        <v>8</v>
      </c>
      <c r="P1031">
        <f t="shared" si="1024"/>
        <v>0.22267206477732815</v>
      </c>
      <c r="Q1031">
        <f t="shared" si="1025"/>
        <v>1706427.5595141717</v>
      </c>
      <c r="R1031">
        <f t="shared" si="1026"/>
        <v>31881206.693052273</v>
      </c>
      <c r="S1031">
        <f t="shared" si="1027"/>
        <v>318.81206693052275</v>
      </c>
      <c r="T1031">
        <f t="shared" si="1028"/>
        <v>0.31881206693052272</v>
      </c>
    </row>
    <row r="1032" spans="1:20" x14ac:dyDescent="0.25">
      <c r="A1032" s="5">
        <v>43561</v>
      </c>
      <c r="B1032">
        <v>0.3508</v>
      </c>
      <c r="C1032">
        <v>0.35470000000000002</v>
      </c>
      <c r="D1032">
        <v>0.33560000000000001</v>
      </c>
      <c r="E1032">
        <v>0.34499999999999997</v>
      </c>
      <c r="F1032">
        <v>6216515.3499999996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-1.5706806282726592E-2</v>
      </c>
      <c r="Q1032">
        <f t="shared" si="1025"/>
        <v>-97641.602356046293</v>
      </c>
      <c r="R1032">
        <f t="shared" si="1026"/>
        <v>30174779.133538101</v>
      </c>
      <c r="S1032">
        <f t="shared" si="1027"/>
        <v>301.74779133538101</v>
      </c>
      <c r="T1032">
        <f t="shared" si="1028"/>
        <v>0.30174779133538099</v>
      </c>
    </row>
    <row r="1033" spans="1:20" x14ac:dyDescent="0.25">
      <c r="A1033" s="5">
        <v>43560</v>
      </c>
      <c r="B1033">
        <v>0.33139999999999997</v>
      </c>
      <c r="C1033">
        <v>0.35239999999999999</v>
      </c>
      <c r="D1033">
        <v>0.33100000000000002</v>
      </c>
      <c r="E1033">
        <v>0.35099999999999998</v>
      </c>
      <c r="F1033">
        <v>5956609.9699999997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0.86915887850467155</v>
      </c>
      <c r="Q1033">
        <f t="shared" si="1025"/>
        <v>5177240.4412149452</v>
      </c>
      <c r="R1033">
        <f t="shared" si="1026"/>
        <v>30272420.735894147</v>
      </c>
      <c r="S1033">
        <f t="shared" si="1027"/>
        <v>302.7242073589415</v>
      </c>
      <c r="T1033">
        <f t="shared" si="1028"/>
        <v>0.30272420735894151</v>
      </c>
    </row>
    <row r="1034" spans="1:20" x14ac:dyDescent="0.25">
      <c r="A1034" s="5">
        <v>43559</v>
      </c>
      <c r="B1034">
        <v>0.33589999999999998</v>
      </c>
      <c r="C1034">
        <v>0.35</v>
      </c>
      <c r="D1034">
        <v>0.32150000000000001</v>
      </c>
      <c r="E1034">
        <v>0.33100000000000002</v>
      </c>
      <c r="F1034">
        <v>9626685.9700000007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-0.33333333333333204</v>
      </c>
      <c r="Q1034">
        <f t="shared" si="1025"/>
        <v>-3208895.3233333211</v>
      </c>
      <c r="R1034">
        <f t="shared" si="1026"/>
        <v>25095180.294679202</v>
      </c>
      <c r="S1034">
        <f t="shared" si="1027"/>
        <v>250.95180294679201</v>
      </c>
      <c r="T1034">
        <f t="shared" si="1028"/>
        <v>0.25095180294679204</v>
      </c>
    </row>
    <row r="1035" spans="1:20" x14ac:dyDescent="0.25">
      <c r="A1035" s="5">
        <v>43558</v>
      </c>
      <c r="B1035">
        <v>0.35010000000000002</v>
      </c>
      <c r="C1035">
        <v>0.37819999999999998</v>
      </c>
      <c r="D1035">
        <v>0.317</v>
      </c>
      <c r="E1035">
        <v>0.33589999999999998</v>
      </c>
      <c r="F1035">
        <v>27943978.59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-0.38235294117647123</v>
      </c>
      <c r="Q1035">
        <f t="shared" si="1025"/>
        <v>-10684462.402058842</v>
      </c>
      <c r="R1035">
        <f t="shared" si="1026"/>
        <v>28304075.618012525</v>
      </c>
      <c r="S1035">
        <f t="shared" si="1027"/>
        <v>283.04075618012524</v>
      </c>
      <c r="T1035">
        <f t="shared" si="1028"/>
        <v>0.28304075618012525</v>
      </c>
    </row>
    <row r="1036" spans="1:20" x14ac:dyDescent="0.25">
      <c r="A1036" s="5">
        <v>43557</v>
      </c>
      <c r="B1036">
        <v>0.32119999999999999</v>
      </c>
      <c r="C1036">
        <v>0.35699999999999998</v>
      </c>
      <c r="D1036">
        <v>0.32040000000000002</v>
      </c>
      <c r="E1036">
        <v>0.35010000000000002</v>
      </c>
      <c r="F1036">
        <v>15639021.869999999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0.62295081967213284</v>
      </c>
      <c r="Q1036">
        <f t="shared" si="1025"/>
        <v>9742341.4927869104</v>
      </c>
      <c r="R1036">
        <f t="shared" si="1026"/>
        <v>38988538.020071365</v>
      </c>
      <c r="S1036">
        <f t="shared" si="1027"/>
        <v>389.88538020071366</v>
      </c>
      <c r="T1036">
        <f t="shared" si="1028"/>
        <v>0.38988538020071367</v>
      </c>
    </row>
    <row r="1037" spans="1:20" x14ac:dyDescent="0.25">
      <c r="A1037" s="5">
        <v>43556</v>
      </c>
      <c r="B1037">
        <v>0.30630000000000002</v>
      </c>
      <c r="C1037">
        <v>0.32500000000000001</v>
      </c>
      <c r="D1037">
        <v>0.30259999999999998</v>
      </c>
      <c r="E1037">
        <v>0.32100000000000001</v>
      </c>
      <c r="F1037">
        <v>6334247.9199999999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0.64285714285714302</v>
      </c>
      <c r="Q1037">
        <f t="shared" si="1025"/>
        <v>4072016.5200000009</v>
      </c>
      <c r="R1037">
        <f t="shared" si="1026"/>
        <v>29246196.527284455</v>
      </c>
      <c r="S1037">
        <f t="shared" si="1027"/>
        <v>292.46196527284457</v>
      </c>
      <c r="T1037">
        <f t="shared" si="1028"/>
        <v>0.29246196527284457</v>
      </c>
    </row>
    <row r="1038" spans="1:20" x14ac:dyDescent="0.25">
      <c r="A1038" s="5">
        <v>43555</v>
      </c>
      <c r="B1038">
        <v>0.30730000000000002</v>
      </c>
      <c r="C1038">
        <v>0.31030000000000002</v>
      </c>
      <c r="D1038">
        <v>0.30080000000000001</v>
      </c>
      <c r="E1038">
        <v>0.30630000000000002</v>
      </c>
      <c r="F1038">
        <v>2992628.95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0.15789473684210525</v>
      </c>
      <c r="Q1038">
        <f t="shared" si="1025"/>
        <v>472520.36052631581</v>
      </c>
      <c r="R1038">
        <f t="shared" si="1026"/>
        <v>25174180.007284455</v>
      </c>
      <c r="S1038">
        <f t="shared" si="1027"/>
        <v>251.74180007284454</v>
      </c>
      <c r="T1038">
        <f t="shared" si="1028"/>
        <v>0.25174180007284452</v>
      </c>
    </row>
    <row r="1039" spans="1:20" x14ac:dyDescent="0.25">
      <c r="A1039" s="5">
        <v>43554</v>
      </c>
      <c r="B1039">
        <v>0.3085</v>
      </c>
      <c r="C1039">
        <v>0.3135</v>
      </c>
      <c r="D1039">
        <v>0.3004</v>
      </c>
      <c r="E1039">
        <v>0.30719999999999997</v>
      </c>
      <c r="F1039">
        <v>2355544.2599999998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3.8167938931293506E-2</v>
      </c>
      <c r="Q1039">
        <f t="shared" si="1025"/>
        <v>89906.26946563895</v>
      </c>
      <c r="R1039">
        <f t="shared" si="1026"/>
        <v>24701659.646758139</v>
      </c>
      <c r="S1039">
        <f t="shared" si="1027"/>
        <v>247.01659646758139</v>
      </c>
      <c r="T1039">
        <f t="shared" si="1028"/>
        <v>0.2470165964675814</v>
      </c>
    </row>
    <row r="1040" spans="1:20" x14ac:dyDescent="0.25">
      <c r="A1040" s="5">
        <v>43553</v>
      </c>
      <c r="B1040">
        <v>0.30359999999999998</v>
      </c>
      <c r="C1040">
        <v>0.31140000000000001</v>
      </c>
      <c r="D1040">
        <v>0.30199999999999999</v>
      </c>
      <c r="E1040">
        <v>0.30890000000000001</v>
      </c>
      <c r="F1040">
        <v>2872184.67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0.46808510638297934</v>
      </c>
      <c r="Q1040">
        <f t="shared" si="1025"/>
        <v>1344426.8668085125</v>
      </c>
      <c r="R1040">
        <f t="shared" si="1026"/>
        <v>24611753.377292499</v>
      </c>
      <c r="S1040">
        <f t="shared" si="1027"/>
        <v>246.11753377292499</v>
      </c>
      <c r="T1040">
        <f t="shared" si="1028"/>
        <v>0.24611753377292497</v>
      </c>
    </row>
    <row r="1041" spans="1:20" x14ac:dyDescent="0.25">
      <c r="A1041" s="5">
        <v>43552</v>
      </c>
      <c r="B1041">
        <v>0.30559999999999998</v>
      </c>
      <c r="C1041">
        <v>0.308</v>
      </c>
      <c r="D1041">
        <v>0.29880000000000001</v>
      </c>
      <c r="E1041">
        <v>0.30349999999999999</v>
      </c>
      <c r="F1041">
        <v>2633835.98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2.1739130434780249E-2</v>
      </c>
      <c r="Q1041">
        <f t="shared" si="1025"/>
        <v>57257.303913037264</v>
      </c>
      <c r="R1041">
        <f t="shared" si="1026"/>
        <v>23267326.510483988</v>
      </c>
      <c r="S1041">
        <f t="shared" si="1027"/>
        <v>232.67326510483988</v>
      </c>
      <c r="T1041">
        <f t="shared" si="1028"/>
        <v>0.23267326510483988</v>
      </c>
    </row>
    <row r="1042" spans="1:20" x14ac:dyDescent="0.25">
      <c r="A1042" s="5">
        <v>43551</v>
      </c>
      <c r="B1042">
        <v>0.29470000000000002</v>
      </c>
      <c r="C1042">
        <v>0.30680000000000002</v>
      </c>
      <c r="D1042">
        <v>0.29399999999999998</v>
      </c>
      <c r="E1042">
        <v>0.30570000000000003</v>
      </c>
      <c r="F1042">
        <v>4197222.01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0.828125000000002</v>
      </c>
      <c r="Q1042">
        <f t="shared" si="1025"/>
        <v>3475824.4770312584</v>
      </c>
      <c r="R1042">
        <f t="shared" si="1026"/>
        <v>23210069.206570949</v>
      </c>
      <c r="S1042">
        <f t="shared" si="1027"/>
        <v>232.1006920657095</v>
      </c>
      <c r="T1042">
        <f t="shared" si="1028"/>
        <v>0.23210069206570949</v>
      </c>
    </row>
    <row r="1043" spans="1:20" x14ac:dyDescent="0.25">
      <c r="A1043" s="5">
        <v>43550</v>
      </c>
      <c r="B1043">
        <v>0.2974</v>
      </c>
      <c r="C1043">
        <v>0.29859999999999998</v>
      </c>
      <c r="D1043">
        <v>0.28639999999999999</v>
      </c>
      <c r="E1043">
        <v>0.2944</v>
      </c>
      <c r="F1043">
        <v>3394461.78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0.31147540983606797</v>
      </c>
      <c r="Q1043">
        <f t="shared" si="1025"/>
        <v>1057291.3740983687</v>
      </c>
      <c r="R1043">
        <f t="shared" si="1026"/>
        <v>19734244.729539692</v>
      </c>
      <c r="S1043">
        <f t="shared" si="1027"/>
        <v>197.34244729539694</v>
      </c>
      <c r="T1043">
        <f t="shared" si="1028"/>
        <v>0.19734244729539693</v>
      </c>
    </row>
    <row r="1044" spans="1:20" x14ac:dyDescent="0.25">
      <c r="A1044" s="5">
        <v>43549</v>
      </c>
      <c r="B1044">
        <v>0.307</v>
      </c>
      <c r="C1044">
        <v>0.30730000000000002</v>
      </c>
      <c r="D1044">
        <v>0.2913</v>
      </c>
      <c r="E1044">
        <v>0.29720000000000002</v>
      </c>
      <c r="F1044">
        <v>6103242.2800000003</v>
      </c>
      <c r="G1044">
        <v>0</v>
      </c>
      <c r="L1044" t="s">
        <v>7</v>
      </c>
      <c r="M1044" t="s">
        <v>8</v>
      </c>
      <c r="N1044" t="s">
        <v>8</v>
      </c>
      <c r="P1044">
        <f t="shared" si="1024"/>
        <v>-0.26249999999999862</v>
      </c>
      <c r="Q1044">
        <f t="shared" si="1025"/>
        <v>-1602101.0984999917</v>
      </c>
      <c r="R1044">
        <f t="shared" si="1026"/>
        <v>18676953.355441324</v>
      </c>
      <c r="S1044">
        <f t="shared" si="1027"/>
        <v>186.76953355441324</v>
      </c>
      <c r="T1044">
        <f t="shared" si="1028"/>
        <v>0.18676953355441325</v>
      </c>
    </row>
    <row r="1045" spans="1:20" x14ac:dyDescent="0.25">
      <c r="A1045" s="5">
        <v>43548</v>
      </c>
      <c r="B1045">
        <v>0.31230000000000002</v>
      </c>
      <c r="C1045">
        <v>0.31269999999999998</v>
      </c>
      <c r="D1045">
        <v>0.30409999999999998</v>
      </c>
      <c r="E1045">
        <v>0.30730000000000002</v>
      </c>
      <c r="F1045">
        <v>3790246.96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-0.25581395348836339</v>
      </c>
      <c r="Q1045">
        <f t="shared" si="1025"/>
        <v>-969598.05953485076</v>
      </c>
      <c r="R1045">
        <f t="shared" si="1026"/>
        <v>20279054.453941315</v>
      </c>
      <c r="S1045">
        <f t="shared" si="1027"/>
        <v>202.79054453941316</v>
      </c>
      <c r="T1045">
        <f t="shared" si="1028"/>
        <v>0.20279054453941317</v>
      </c>
    </row>
    <row r="1046" spans="1:20" x14ac:dyDescent="0.25">
      <c r="A1046" s="5">
        <v>43547</v>
      </c>
      <c r="B1046">
        <v>0.3105</v>
      </c>
      <c r="C1046">
        <v>0.32190000000000002</v>
      </c>
      <c r="D1046">
        <v>0.3085</v>
      </c>
      <c r="E1046">
        <v>0.31240000000000001</v>
      </c>
      <c r="F1046">
        <v>6431481.8899999997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-0.41791044776119285</v>
      </c>
      <c r="Q1046">
        <f t="shared" si="1025"/>
        <v>-2687783.4764179029</v>
      </c>
      <c r="R1046">
        <f t="shared" si="1026"/>
        <v>21248652.513476167</v>
      </c>
      <c r="S1046">
        <f t="shared" si="1027"/>
        <v>212.48652513476168</v>
      </c>
      <c r="T1046">
        <f t="shared" si="1028"/>
        <v>0.21248652513476168</v>
      </c>
    </row>
    <row r="1047" spans="1:20" x14ac:dyDescent="0.25">
      <c r="A1047" s="5">
        <v>43546</v>
      </c>
      <c r="B1047">
        <v>0.32150000000000001</v>
      </c>
      <c r="C1047">
        <v>0.32269999999999999</v>
      </c>
      <c r="D1047">
        <v>0.30599999999999999</v>
      </c>
      <c r="E1047">
        <v>0.31069999999999998</v>
      </c>
      <c r="F1047">
        <v>11746398.65</v>
      </c>
      <c r="G1047">
        <v>0</v>
      </c>
      <c r="L1047" t="s">
        <v>8</v>
      </c>
      <c r="M1047" t="s">
        <v>8</v>
      </c>
      <c r="N1047" t="s">
        <v>8</v>
      </c>
      <c r="P1047">
        <f t="shared" si="1024"/>
        <v>-0.4371257485029959</v>
      </c>
      <c r="Q1047">
        <f t="shared" si="1025"/>
        <v>-5134653.3020958304</v>
      </c>
      <c r="R1047">
        <f t="shared" si="1026"/>
        <v>23936435.98989407</v>
      </c>
      <c r="S1047">
        <f t="shared" si="1027"/>
        <v>239.36435989894071</v>
      </c>
      <c r="T1047">
        <f t="shared" si="1028"/>
        <v>0.2393643598989407</v>
      </c>
    </row>
    <row r="1048" spans="1:20" x14ac:dyDescent="0.25">
      <c r="A1048" s="5">
        <v>43545</v>
      </c>
      <c r="B1048">
        <v>0.29849999999999999</v>
      </c>
      <c r="C1048">
        <v>0.32250000000000001</v>
      </c>
      <c r="D1048">
        <v>0.27950000000000003</v>
      </c>
      <c r="E1048">
        <v>0.32129999999999997</v>
      </c>
      <c r="F1048">
        <v>12088788.880000001</v>
      </c>
      <c r="G1048">
        <v>0</v>
      </c>
      <c r="L1048" t="s">
        <v>7</v>
      </c>
      <c r="M1048" t="s">
        <v>8</v>
      </c>
      <c r="N1048" t="s">
        <v>8</v>
      </c>
      <c r="P1048">
        <f t="shared" si="1024"/>
        <v>0.9441860465116263</v>
      </c>
      <c r="Q1048">
        <f t="shared" si="1025"/>
        <v>11414065.779720912</v>
      </c>
      <c r="R1048">
        <f t="shared" si="1026"/>
        <v>29071089.2919899</v>
      </c>
      <c r="S1048">
        <f t="shared" si="1027"/>
        <v>290.71089291989898</v>
      </c>
      <c r="T1048">
        <f t="shared" si="1028"/>
        <v>0.29071089291989899</v>
      </c>
    </row>
    <row r="1049" spans="1:20" x14ac:dyDescent="0.25">
      <c r="A1049" s="5">
        <v>43544</v>
      </c>
      <c r="B1049">
        <v>0.29620000000000002</v>
      </c>
      <c r="C1049">
        <v>0.30370000000000003</v>
      </c>
      <c r="D1049">
        <v>0.28799999999999998</v>
      </c>
      <c r="E1049">
        <v>0.29849999999999999</v>
      </c>
      <c r="F1049">
        <v>5023192</v>
      </c>
      <c r="G1049">
        <v>0</v>
      </c>
      <c r="L1049" t="s">
        <v>7</v>
      </c>
      <c r="M1049" t="s">
        <v>8</v>
      </c>
      <c r="N1049" t="s">
        <v>8</v>
      </c>
      <c r="P1049">
        <f t="shared" si="1024"/>
        <v>0.33757961783439205</v>
      </c>
      <c r="Q1049">
        <f t="shared" si="1025"/>
        <v>1695727.2356687754</v>
      </c>
      <c r="R1049">
        <f t="shared" si="1026"/>
        <v>17657023.512268987</v>
      </c>
      <c r="S1049">
        <f t="shared" si="1027"/>
        <v>176.57023512268987</v>
      </c>
      <c r="T1049">
        <f t="shared" si="1028"/>
        <v>0.17657023512268988</v>
      </c>
    </row>
    <row r="1050" spans="1:20" x14ac:dyDescent="0.25">
      <c r="A1050" s="5">
        <v>43543</v>
      </c>
      <c r="B1050">
        <v>0.29389999999999999</v>
      </c>
      <c r="C1050">
        <v>0.29849999999999999</v>
      </c>
      <c r="D1050">
        <v>0.29170000000000001</v>
      </c>
      <c r="E1050">
        <v>0.29549999999999998</v>
      </c>
      <c r="F1050">
        <v>2807990.33</v>
      </c>
      <c r="G1050">
        <v>0</v>
      </c>
      <c r="L1050" t="s">
        <v>7</v>
      </c>
      <c r="M1050" t="s">
        <v>8</v>
      </c>
      <c r="N1050" t="s">
        <v>8</v>
      </c>
      <c r="P1050">
        <f t="shared" si="1024"/>
        <v>0.11764705882352509</v>
      </c>
      <c r="Q1050">
        <f t="shared" si="1025"/>
        <v>330351.80352939962</v>
      </c>
      <c r="R1050">
        <f t="shared" si="1026"/>
        <v>15961296.276600212</v>
      </c>
      <c r="S1050">
        <f t="shared" si="1027"/>
        <v>159.61296276600211</v>
      </c>
      <c r="T1050">
        <f t="shared" si="1028"/>
        <v>0.15961296276600212</v>
      </c>
    </row>
    <row r="1051" spans="1:20" x14ac:dyDescent="0.25">
      <c r="A1051" s="5">
        <v>43542</v>
      </c>
      <c r="B1051">
        <v>0.29509999999999997</v>
      </c>
      <c r="C1051">
        <v>0.30049999999999999</v>
      </c>
      <c r="D1051">
        <v>0.28720000000000001</v>
      </c>
      <c r="E1051">
        <v>0.29430000000000001</v>
      </c>
      <c r="F1051">
        <v>3286292.77</v>
      </c>
      <c r="G1051">
        <v>0</v>
      </c>
      <c r="L1051" t="s">
        <v>7</v>
      </c>
      <c r="M1051" t="s">
        <v>8</v>
      </c>
      <c r="N1051" t="s">
        <v>8</v>
      </c>
      <c r="P1051">
        <f t="shared" si="1024"/>
        <v>6.7669172932331836E-2</v>
      </c>
      <c r="Q1051">
        <f t="shared" si="1025"/>
        <v>222380.71375940181</v>
      </c>
      <c r="R1051">
        <f t="shared" si="1026"/>
        <v>15630944.473070811</v>
      </c>
      <c r="S1051">
        <f t="shared" si="1027"/>
        <v>156.30944473070812</v>
      </c>
      <c r="T1051">
        <f t="shared" si="1028"/>
        <v>0.15630944473070812</v>
      </c>
    </row>
    <row r="1052" spans="1:20" x14ac:dyDescent="0.25">
      <c r="A1052" s="5">
        <v>43541</v>
      </c>
      <c r="B1052">
        <v>0.30470000000000003</v>
      </c>
      <c r="C1052">
        <v>0.30480000000000002</v>
      </c>
      <c r="D1052">
        <v>0.29260000000000003</v>
      </c>
      <c r="E1052">
        <v>0.2954</v>
      </c>
      <c r="F1052">
        <v>5236815.58</v>
      </c>
      <c r="G1052">
        <v>0</v>
      </c>
      <c r="L1052" t="s">
        <v>7</v>
      </c>
      <c r="M1052" t="s">
        <v>8</v>
      </c>
      <c r="N1052" t="s">
        <v>8</v>
      </c>
      <c r="P1052">
        <f t="shared" si="1024"/>
        <v>-0.54098360655738165</v>
      </c>
      <c r="Q1052">
        <f t="shared" si="1025"/>
        <v>-2833031.3793442864</v>
      </c>
      <c r="R1052">
        <f t="shared" si="1026"/>
        <v>15408563.75931141</v>
      </c>
      <c r="S1052">
        <f t="shared" si="1027"/>
        <v>154.08563759311409</v>
      </c>
      <c r="T1052">
        <f t="shared" si="1028"/>
        <v>0.15408563759311408</v>
      </c>
    </row>
    <row r="1053" spans="1:20" x14ac:dyDescent="0.25">
      <c r="A1053" s="5">
        <v>43540</v>
      </c>
      <c r="B1053">
        <v>0.29899999999999999</v>
      </c>
      <c r="C1053">
        <v>0.31119999999999998</v>
      </c>
      <c r="D1053">
        <v>0.2979</v>
      </c>
      <c r="E1053">
        <v>0.30459999999999998</v>
      </c>
      <c r="F1053">
        <v>5999567.8300000001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7.5187969924803873E-3</v>
      </c>
      <c r="Q1053">
        <f t="shared" si="1025"/>
        <v>45109.532556386082</v>
      </c>
      <c r="R1053">
        <f t="shared" si="1026"/>
        <v>18241595.138655696</v>
      </c>
      <c r="S1053">
        <f t="shared" si="1027"/>
        <v>182.41595138655697</v>
      </c>
      <c r="T1053">
        <f t="shared" si="1028"/>
        <v>0.18241595138655697</v>
      </c>
    </row>
    <row r="1054" spans="1:20" x14ac:dyDescent="0.25">
      <c r="A1054" s="5">
        <v>43539</v>
      </c>
      <c r="B1054">
        <v>0.29709999999999998</v>
      </c>
      <c r="C1054">
        <v>0.30349999999999999</v>
      </c>
      <c r="D1054">
        <v>0.29470000000000002</v>
      </c>
      <c r="E1054">
        <v>0.29909999999999998</v>
      </c>
      <c r="F1054">
        <v>4979599.34</v>
      </c>
      <c r="G1054">
        <v>0</v>
      </c>
      <c r="L1054" t="s">
        <v>8</v>
      </c>
      <c r="M1054" t="s">
        <v>7</v>
      </c>
      <c r="N1054" t="s">
        <v>8</v>
      </c>
      <c r="P1054">
        <f t="shared" si="1024"/>
        <v>-6.3080853671884078E-15</v>
      </c>
      <c r="Q1054">
        <f t="shared" si="1025"/>
        <v>-3.1411737731115055E-8</v>
      </c>
      <c r="R1054">
        <f t="shared" si="1026"/>
        <v>18196485.606099311</v>
      </c>
      <c r="S1054">
        <f t="shared" si="1027"/>
        <v>181.9648560609931</v>
      </c>
      <c r="T1054">
        <f t="shared" si="1028"/>
        <v>0.18196485606099311</v>
      </c>
    </row>
    <row r="1055" spans="1:20" x14ac:dyDescent="0.25">
      <c r="A1055" s="5">
        <v>43538</v>
      </c>
      <c r="B1055">
        <v>0.28370000000000001</v>
      </c>
      <c r="C1055">
        <v>0.30149999999999999</v>
      </c>
      <c r="D1055">
        <v>0.27689999999999998</v>
      </c>
      <c r="E1055">
        <v>0.29699999999999999</v>
      </c>
      <c r="F1055">
        <v>11230472.060000001</v>
      </c>
      <c r="G1055">
        <v>0</v>
      </c>
      <c r="L1055" t="s">
        <v>8</v>
      </c>
      <c r="M1055" t="s">
        <v>7</v>
      </c>
      <c r="N1055" t="s">
        <v>8</v>
      </c>
      <c r="P1055">
        <f t="shared" si="1024"/>
        <v>0.63414634146341442</v>
      </c>
      <c r="Q1055">
        <f t="shared" si="1025"/>
        <v>7121762.7697560955</v>
      </c>
      <c r="R1055">
        <f t="shared" si="1026"/>
        <v>18196485.606099341</v>
      </c>
      <c r="S1055">
        <f t="shared" si="1027"/>
        <v>181.96485606099341</v>
      </c>
      <c r="T1055">
        <f t="shared" si="1028"/>
        <v>0.18196485606099341</v>
      </c>
    </row>
    <row r="1056" spans="1:20" x14ac:dyDescent="0.25">
      <c r="A1056" s="5">
        <v>43537</v>
      </c>
      <c r="B1056">
        <v>0.28289999999999998</v>
      </c>
      <c r="C1056">
        <v>0.28999999999999998</v>
      </c>
      <c r="D1056">
        <v>0.27779999999999999</v>
      </c>
      <c r="E1056">
        <v>0.2838</v>
      </c>
      <c r="F1056">
        <v>4440248.92</v>
      </c>
      <c r="G1056">
        <v>0</v>
      </c>
      <c r="L1056" t="s">
        <v>8</v>
      </c>
      <c r="M1056" t="s">
        <v>7</v>
      </c>
      <c r="N1056" t="s">
        <v>8</v>
      </c>
      <c r="P1056">
        <f t="shared" si="1024"/>
        <v>-1.639344262294903E-2</v>
      </c>
      <c r="Q1056">
        <f t="shared" si="1025"/>
        <v>-72790.965901631396</v>
      </c>
      <c r="R1056">
        <f t="shared" si="1026"/>
        <v>11074722.836343246</v>
      </c>
      <c r="S1056">
        <f t="shared" si="1027"/>
        <v>110.74722836343246</v>
      </c>
      <c r="T1056">
        <f t="shared" si="1028"/>
        <v>0.11074722836343245</v>
      </c>
    </row>
    <row r="1057" spans="1:20" x14ac:dyDescent="0.25">
      <c r="A1057" s="5">
        <v>43536</v>
      </c>
      <c r="B1057">
        <v>0.27729999999999999</v>
      </c>
      <c r="C1057">
        <v>0.28620000000000001</v>
      </c>
      <c r="D1057">
        <v>0.27429999999999999</v>
      </c>
      <c r="E1057">
        <v>0.28270000000000001</v>
      </c>
      <c r="F1057">
        <v>2964069.73</v>
      </c>
      <c r="G1057">
        <v>0</v>
      </c>
      <c r="L1057" t="s">
        <v>7</v>
      </c>
      <c r="M1057" t="s">
        <v>7</v>
      </c>
      <c r="N1057" t="s">
        <v>8</v>
      </c>
      <c r="P1057">
        <f t="shared" si="1024"/>
        <v>0.41176470588235348</v>
      </c>
      <c r="Q1057">
        <f t="shared" si="1025"/>
        <v>1220499.3005882369</v>
      </c>
      <c r="R1057">
        <f t="shared" si="1026"/>
        <v>11147513.802244877</v>
      </c>
      <c r="S1057">
        <f t="shared" si="1027"/>
        <v>111.47513802244877</v>
      </c>
      <c r="T1057">
        <f t="shared" si="1028"/>
        <v>0.11147513802244878</v>
      </c>
    </row>
    <row r="1058" spans="1:20" x14ac:dyDescent="0.25">
      <c r="A1058" s="5">
        <v>43535</v>
      </c>
      <c r="B1058">
        <v>0.28110000000000002</v>
      </c>
      <c r="C1058">
        <v>0.28649999999999998</v>
      </c>
      <c r="D1058">
        <v>0.27010000000000001</v>
      </c>
      <c r="E1058">
        <v>0.27760000000000001</v>
      </c>
      <c r="F1058">
        <v>3045588.19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-8.5365853658534108E-2</v>
      </c>
      <c r="Q1058">
        <f t="shared" si="1025"/>
        <v>-259989.23573169977</v>
      </c>
      <c r="R1058">
        <f t="shared" si="1026"/>
        <v>9927014.5016566403</v>
      </c>
      <c r="S1058">
        <f t="shared" si="1027"/>
        <v>99.270145016566403</v>
      </c>
      <c r="T1058">
        <f t="shared" si="1028"/>
        <v>9.9270145016566405E-2</v>
      </c>
    </row>
    <row r="1059" spans="1:20" x14ac:dyDescent="0.25">
      <c r="A1059" s="5">
        <v>43534</v>
      </c>
      <c r="B1059">
        <v>0.28189999999999998</v>
      </c>
      <c r="C1059">
        <v>0.28389999999999999</v>
      </c>
      <c r="D1059">
        <v>0.27579999999999999</v>
      </c>
      <c r="E1059">
        <v>0.28129999999999999</v>
      </c>
      <c r="F1059">
        <v>2530683.16</v>
      </c>
      <c r="G1059">
        <v>0</v>
      </c>
      <c r="L1059" t="s">
        <v>8</v>
      </c>
      <c r="M1059" t="s">
        <v>7</v>
      </c>
      <c r="N1059" t="s">
        <v>8</v>
      </c>
      <c r="P1059">
        <f t="shared" si="1024"/>
        <v>0.35802469135802656</v>
      </c>
      <c r="Q1059">
        <f t="shared" si="1025"/>
        <v>906047.05728395539</v>
      </c>
      <c r="R1059">
        <f t="shared" si="1026"/>
        <v>10187003.737388341</v>
      </c>
      <c r="S1059">
        <f t="shared" si="1027"/>
        <v>101.87003737388341</v>
      </c>
      <c r="T1059">
        <f t="shared" si="1028"/>
        <v>0.10187003737388341</v>
      </c>
    </row>
    <row r="1060" spans="1:20" x14ac:dyDescent="0.25">
      <c r="A1060" s="5">
        <v>43533</v>
      </c>
      <c r="B1060">
        <v>0.27529999999999999</v>
      </c>
      <c r="C1060">
        <v>0.29120000000000001</v>
      </c>
      <c r="D1060">
        <v>0.27350000000000002</v>
      </c>
      <c r="E1060">
        <v>0.28199999999999997</v>
      </c>
      <c r="F1060">
        <v>4055967.83</v>
      </c>
      <c r="G1060">
        <v>0</v>
      </c>
      <c r="L1060" t="s">
        <v>8</v>
      </c>
      <c r="M1060" t="s">
        <v>7</v>
      </c>
      <c r="N1060" t="s">
        <v>8</v>
      </c>
      <c r="P1060">
        <f t="shared" si="1024"/>
        <v>-3.9548022598875125E-2</v>
      </c>
      <c r="Q1060">
        <f t="shared" si="1025"/>
        <v>-160405.50740115051</v>
      </c>
      <c r="R1060">
        <f t="shared" si="1026"/>
        <v>9280956.6801043861</v>
      </c>
      <c r="S1060">
        <f t="shared" si="1027"/>
        <v>92.809566801043857</v>
      </c>
      <c r="T1060">
        <f t="shared" si="1028"/>
        <v>9.2809566801043852E-2</v>
      </c>
    </row>
    <row r="1061" spans="1:20" x14ac:dyDescent="0.25">
      <c r="A1061" s="5">
        <v>43532</v>
      </c>
      <c r="B1061">
        <v>0.2782</v>
      </c>
      <c r="C1061">
        <v>0.28239999999999998</v>
      </c>
      <c r="D1061">
        <v>0.2681</v>
      </c>
      <c r="E1061">
        <v>0.27550000000000002</v>
      </c>
      <c r="F1061">
        <v>3925810.74</v>
      </c>
      <c r="G1061">
        <v>0</v>
      </c>
      <c r="L1061" t="s">
        <v>8</v>
      </c>
      <c r="M1061" t="s">
        <v>7</v>
      </c>
      <c r="N1061" t="s">
        <v>8</v>
      </c>
      <c r="P1061">
        <f t="shared" si="1024"/>
        <v>3.496503496503893E-2</v>
      </c>
      <c r="Q1061">
        <f t="shared" si="1025"/>
        <v>137266.10979022537</v>
      </c>
      <c r="R1061">
        <f t="shared" si="1026"/>
        <v>9441362.1875055358</v>
      </c>
      <c r="S1061">
        <f t="shared" si="1027"/>
        <v>94.413621875055355</v>
      </c>
      <c r="T1061">
        <f t="shared" si="1028"/>
        <v>9.4413621875055351E-2</v>
      </c>
    </row>
    <row r="1062" spans="1:20" x14ac:dyDescent="0.25">
      <c r="A1062" s="5">
        <v>43531</v>
      </c>
      <c r="B1062">
        <v>0.27960000000000002</v>
      </c>
      <c r="C1062">
        <v>0.28270000000000001</v>
      </c>
      <c r="D1062">
        <v>0.25950000000000001</v>
      </c>
      <c r="E1062">
        <v>0.2782</v>
      </c>
      <c r="F1062">
        <v>5713581.5099999998</v>
      </c>
      <c r="G1062">
        <v>0</v>
      </c>
      <c r="L1062" t="s">
        <v>8</v>
      </c>
      <c r="M1062" t="s">
        <v>7</v>
      </c>
      <c r="N1062" t="s">
        <v>8</v>
      </c>
      <c r="P1062">
        <f t="shared" si="1024"/>
        <v>0.61206896551724099</v>
      </c>
      <c r="Q1062">
        <f t="shared" si="1025"/>
        <v>3497105.9242241355</v>
      </c>
      <c r="R1062">
        <f t="shared" si="1026"/>
        <v>9304096.0777153112</v>
      </c>
      <c r="S1062">
        <f t="shared" si="1027"/>
        <v>93.040960777153117</v>
      </c>
      <c r="T1062">
        <f t="shared" si="1028"/>
        <v>9.3040960777153112E-2</v>
      </c>
    </row>
    <row r="1063" spans="1:20" x14ac:dyDescent="0.25">
      <c r="A1063" s="5">
        <v>43530</v>
      </c>
      <c r="B1063">
        <v>0.28060000000000002</v>
      </c>
      <c r="C1063">
        <v>0.28239999999999998</v>
      </c>
      <c r="D1063">
        <v>0.26</v>
      </c>
      <c r="E1063">
        <v>0.27960000000000002</v>
      </c>
      <c r="F1063">
        <v>6663158.3700000001</v>
      </c>
      <c r="G1063">
        <v>0</v>
      </c>
      <c r="L1063" t="s">
        <v>7</v>
      </c>
      <c r="M1063" t="s">
        <v>7</v>
      </c>
      <c r="N1063" t="s">
        <v>8</v>
      </c>
      <c r="P1063">
        <f t="shared" si="1024"/>
        <v>0.75000000000000244</v>
      </c>
      <c r="Q1063">
        <f t="shared" si="1025"/>
        <v>4997368.7775000166</v>
      </c>
      <c r="R1063">
        <f t="shared" si="1026"/>
        <v>5806990.1534911757</v>
      </c>
      <c r="S1063">
        <f t="shared" si="1027"/>
        <v>58.069901534911757</v>
      </c>
      <c r="T1063">
        <f t="shared" si="1028"/>
        <v>5.8069901534911754E-2</v>
      </c>
    </row>
    <row r="1064" spans="1:20" x14ac:dyDescent="0.25">
      <c r="A1064" s="5">
        <v>43529</v>
      </c>
      <c r="B1064">
        <v>0.2712</v>
      </c>
      <c r="C1064">
        <v>0.2853</v>
      </c>
      <c r="D1064">
        <v>0.26850000000000002</v>
      </c>
      <c r="E1064">
        <v>0.28039999999999998</v>
      </c>
      <c r="F1064">
        <v>5532950.5899999999</v>
      </c>
      <c r="G1064">
        <v>0</v>
      </c>
      <c r="L1064" t="s">
        <v>8</v>
      </c>
      <c r="M1064" t="s">
        <v>7</v>
      </c>
      <c r="N1064" t="s">
        <v>8</v>
      </c>
      <c r="P1064">
        <f t="shared" si="1024"/>
        <v>0.41666666666666419</v>
      </c>
      <c r="Q1064">
        <f t="shared" si="1025"/>
        <v>2305396.0791666531</v>
      </c>
      <c r="R1064">
        <f t="shared" si="1026"/>
        <v>809621.37599115912</v>
      </c>
      <c r="S1064">
        <f t="shared" si="1027"/>
        <v>8.096213759911592</v>
      </c>
      <c r="T1064">
        <f t="shared" si="1028"/>
        <v>8.0962137599115917E-3</v>
      </c>
    </row>
    <row r="1065" spans="1:20" x14ac:dyDescent="0.25">
      <c r="A1065" s="5">
        <v>43528</v>
      </c>
      <c r="B1065">
        <v>0.28360000000000002</v>
      </c>
      <c r="C1065">
        <v>0.2843</v>
      </c>
      <c r="D1065">
        <v>0.26350000000000001</v>
      </c>
      <c r="E1065">
        <v>0.2712</v>
      </c>
      <c r="F1065">
        <v>4979666.57</v>
      </c>
      <c r="G1065">
        <v>0</v>
      </c>
      <c r="L1065" t="s">
        <v>7</v>
      </c>
      <c r="M1065" t="s">
        <v>7</v>
      </c>
      <c r="N1065" t="s">
        <v>8</v>
      </c>
      <c r="P1065">
        <f t="shared" si="1024"/>
        <v>-0.25961538461538558</v>
      </c>
      <c r="Q1065">
        <f t="shared" si="1025"/>
        <v>-1292798.051826928</v>
      </c>
      <c r="R1065">
        <f t="shared" si="1026"/>
        <v>-1495774.703175494</v>
      </c>
      <c r="S1065">
        <f t="shared" si="1027"/>
        <v>-14.957747031754939</v>
      </c>
      <c r="T1065">
        <f t="shared" si="1028"/>
        <v>-1.4957747031754939E-2</v>
      </c>
    </row>
    <row r="1066" spans="1:20" x14ac:dyDescent="0.25">
      <c r="A1066" s="5">
        <v>43527</v>
      </c>
      <c r="B1066">
        <v>0.2913</v>
      </c>
      <c r="C1066">
        <v>0.29520000000000002</v>
      </c>
      <c r="D1066">
        <v>0.28000000000000003</v>
      </c>
      <c r="E1066">
        <v>0.2838</v>
      </c>
      <c r="F1066">
        <v>2441622.6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-0.50000000000000366</v>
      </c>
      <c r="Q1066">
        <f t="shared" si="1025"/>
        <v>-1220811.3000000089</v>
      </c>
      <c r="R1066">
        <f t="shared" si="1026"/>
        <v>-202976.65134856594</v>
      </c>
      <c r="S1066">
        <f t="shared" si="1027"/>
        <v>-2.0297665134856593</v>
      </c>
      <c r="T1066">
        <f t="shared" si="1028"/>
        <v>-2.0297665134856595E-3</v>
      </c>
    </row>
    <row r="1067" spans="1:20" x14ac:dyDescent="0.25">
      <c r="A1067" s="5">
        <v>43526</v>
      </c>
      <c r="B1067">
        <v>0.29310000000000003</v>
      </c>
      <c r="C1067">
        <v>0.2944</v>
      </c>
      <c r="D1067">
        <v>0.28239999999999998</v>
      </c>
      <c r="E1067">
        <v>0.29110000000000003</v>
      </c>
      <c r="F1067">
        <v>3146499.51</v>
      </c>
      <c r="G1067">
        <v>0</v>
      </c>
      <c r="L1067" t="s">
        <v>8</v>
      </c>
      <c r="M1067" t="s">
        <v>7</v>
      </c>
      <c r="N1067" t="s">
        <v>8</v>
      </c>
      <c r="P1067">
        <f t="shared" si="1024"/>
        <v>0.45000000000000556</v>
      </c>
      <c r="Q1067">
        <f t="shared" si="1025"/>
        <v>1415924.7795000174</v>
      </c>
      <c r="R1067">
        <f t="shared" si="1026"/>
        <v>1017834.648651443</v>
      </c>
      <c r="S1067">
        <f t="shared" si="1027"/>
        <v>10.17834648651443</v>
      </c>
      <c r="T1067">
        <f t="shared" si="1028"/>
        <v>1.0178346486514431E-2</v>
      </c>
    </row>
    <row r="1068" spans="1:20" x14ac:dyDescent="0.25">
      <c r="A1068" s="5">
        <v>43525</v>
      </c>
      <c r="B1068">
        <v>0.28320000000000001</v>
      </c>
      <c r="C1068">
        <v>0.3</v>
      </c>
      <c r="D1068">
        <v>0.28320000000000001</v>
      </c>
      <c r="E1068">
        <v>0.29270000000000002</v>
      </c>
      <c r="F1068">
        <v>4040792.69</v>
      </c>
      <c r="G1068">
        <v>0</v>
      </c>
      <c r="L1068" t="s">
        <v>8</v>
      </c>
      <c r="M1068" t="s">
        <v>7</v>
      </c>
      <c r="N1068" t="s">
        <v>8</v>
      </c>
      <c r="P1068">
        <f t="shared" si="1024"/>
        <v>0.13095238095238321</v>
      </c>
      <c r="Q1068">
        <f t="shared" si="1025"/>
        <v>529151.4236904853</v>
      </c>
      <c r="R1068">
        <f t="shared" si="1026"/>
        <v>-398090.13084857445</v>
      </c>
      <c r="S1068">
        <f t="shared" si="1027"/>
        <v>-3.9809013084857443</v>
      </c>
      <c r="T1068">
        <f t="shared" si="1028"/>
        <v>-3.9809013084857441E-3</v>
      </c>
    </row>
    <row r="1069" spans="1:20" x14ac:dyDescent="0.25">
      <c r="A1069" s="5">
        <v>43524</v>
      </c>
      <c r="B1069">
        <v>0.2848</v>
      </c>
      <c r="C1069">
        <v>0.28710000000000002</v>
      </c>
      <c r="D1069">
        <v>0.27860000000000001</v>
      </c>
      <c r="E1069">
        <v>0.2833</v>
      </c>
      <c r="F1069">
        <v>2379091.5</v>
      </c>
      <c r="G1069">
        <v>0</v>
      </c>
      <c r="L1069" t="s">
        <v>7</v>
      </c>
      <c r="M1069" t="s">
        <v>7</v>
      </c>
      <c r="N1069" t="s">
        <v>8</v>
      </c>
      <c r="P1069">
        <f t="shared" si="1024"/>
        <v>0.10588235294117125</v>
      </c>
      <c r="Q1069">
        <f t="shared" si="1025"/>
        <v>251903.80588234053</v>
      </c>
      <c r="R1069">
        <f t="shared" si="1026"/>
        <v>-927241.55453905975</v>
      </c>
      <c r="S1069">
        <f t="shared" si="1027"/>
        <v>-9.2724155453905972</v>
      </c>
      <c r="T1069">
        <f t="shared" si="1028"/>
        <v>-9.2724155453905964E-3</v>
      </c>
    </row>
    <row r="1070" spans="1:20" x14ac:dyDescent="0.25">
      <c r="A1070" s="5">
        <v>43523</v>
      </c>
      <c r="B1070">
        <v>0.28149999999999997</v>
      </c>
      <c r="C1070">
        <v>0.28689999999999999</v>
      </c>
      <c r="D1070">
        <v>0.27450000000000002</v>
      </c>
      <c r="E1070">
        <v>0.2848</v>
      </c>
      <c r="F1070">
        <v>2594977.0299999998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0.66129032258064568</v>
      </c>
      <c r="Q1070">
        <f t="shared" si="1025"/>
        <v>1716033.1972580657</v>
      </c>
      <c r="R1070">
        <f t="shared" si="1026"/>
        <v>-1179145.3604214003</v>
      </c>
      <c r="S1070">
        <f t="shared" si="1027"/>
        <v>-11.791453604214002</v>
      </c>
      <c r="T1070">
        <f t="shared" si="1028"/>
        <v>-1.1791453604214002E-2</v>
      </c>
    </row>
    <row r="1071" spans="1:20" x14ac:dyDescent="0.25">
      <c r="A1071" s="5">
        <v>43522</v>
      </c>
      <c r="B1071">
        <v>0.28439999999999999</v>
      </c>
      <c r="C1071">
        <v>0.28789999999999999</v>
      </c>
      <c r="D1071">
        <v>0.27929999999999999</v>
      </c>
      <c r="E1071">
        <v>0.28160000000000002</v>
      </c>
      <c r="F1071">
        <v>3158534.55</v>
      </c>
      <c r="G1071">
        <v>0</v>
      </c>
      <c r="L1071" t="s">
        <v>7</v>
      </c>
      <c r="M1071" t="s">
        <v>7</v>
      </c>
      <c r="N1071" t="s">
        <v>8</v>
      </c>
      <c r="P1071">
        <f t="shared" si="1024"/>
        <v>-0.46511627906976161</v>
      </c>
      <c r="Q1071">
        <f t="shared" si="1025"/>
        <v>-1469085.8372092838</v>
      </c>
      <c r="R1071">
        <f t="shared" si="1026"/>
        <v>-2895178.557679466</v>
      </c>
      <c r="S1071">
        <f t="shared" si="1027"/>
        <v>-28.951785576794659</v>
      </c>
      <c r="T1071">
        <f t="shared" si="1028"/>
        <v>-2.8951785576794658E-2</v>
      </c>
    </row>
    <row r="1072" spans="1:20" x14ac:dyDescent="0.25">
      <c r="A1072" s="5">
        <v>43521</v>
      </c>
      <c r="B1072">
        <v>0.27810000000000001</v>
      </c>
      <c r="C1072">
        <v>0.28910000000000002</v>
      </c>
      <c r="D1072">
        <v>0.2732</v>
      </c>
      <c r="E1072">
        <v>0.28439999999999999</v>
      </c>
      <c r="F1072">
        <v>4706708.7300000004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0.40880503144653713</v>
      </c>
      <c r="Q1072">
        <f t="shared" si="1025"/>
        <v>1924126.2103773409</v>
      </c>
      <c r="R1072">
        <f t="shared" si="1026"/>
        <v>-1426092.7204701819</v>
      </c>
      <c r="S1072">
        <f t="shared" si="1027"/>
        <v>-14.260927204701819</v>
      </c>
      <c r="T1072">
        <f t="shared" si="1028"/>
        <v>-1.4260927204701819E-2</v>
      </c>
    </row>
    <row r="1073" spans="1:20" x14ac:dyDescent="0.25">
      <c r="A1073" s="5">
        <v>43520</v>
      </c>
      <c r="B1073">
        <v>0.32029999999999997</v>
      </c>
      <c r="C1073">
        <v>0.32900000000000001</v>
      </c>
      <c r="D1073">
        <v>0.27389999999999998</v>
      </c>
      <c r="E1073">
        <v>0.27810000000000001</v>
      </c>
      <c r="F1073">
        <v>9117151.9199999999</v>
      </c>
      <c r="G1073">
        <v>0</v>
      </c>
      <c r="L1073" t="s">
        <v>7</v>
      </c>
      <c r="M1073" t="s">
        <v>8</v>
      </c>
      <c r="N1073" t="s">
        <v>8</v>
      </c>
      <c r="P1073">
        <f t="shared" si="1024"/>
        <v>-0.84754990925589713</v>
      </c>
      <c r="Q1073">
        <f t="shared" si="1025"/>
        <v>-7727241.2824682286</v>
      </c>
      <c r="R1073">
        <f t="shared" si="1026"/>
        <v>-3350218.9308475228</v>
      </c>
      <c r="S1073">
        <f t="shared" si="1027"/>
        <v>-33.502189308475231</v>
      </c>
      <c r="T1073">
        <f t="shared" si="1028"/>
        <v>-3.3502189308475233E-2</v>
      </c>
    </row>
    <row r="1074" spans="1:20" x14ac:dyDescent="0.25">
      <c r="A1074" s="5">
        <v>43519</v>
      </c>
      <c r="B1074">
        <v>0.30690000000000001</v>
      </c>
      <c r="C1074">
        <v>0.32400000000000001</v>
      </c>
      <c r="D1074">
        <v>0.29870000000000002</v>
      </c>
      <c r="E1074">
        <v>0.32069999999999999</v>
      </c>
      <c r="F1074">
        <v>5135119.0599999996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0.73913043478260665</v>
      </c>
      <c r="Q1074">
        <f t="shared" si="1025"/>
        <v>3795522.7834782503</v>
      </c>
      <c r="R1074">
        <f t="shared" si="1026"/>
        <v>4377022.3516207058</v>
      </c>
      <c r="S1074">
        <f t="shared" si="1027"/>
        <v>43.770223516207061</v>
      </c>
      <c r="T1074">
        <f t="shared" si="1028"/>
        <v>4.377022351620706E-2</v>
      </c>
    </row>
    <row r="1075" spans="1:20" x14ac:dyDescent="0.25">
      <c r="A1075" s="5">
        <v>43518</v>
      </c>
      <c r="B1075">
        <v>0.30009999999999998</v>
      </c>
      <c r="C1075">
        <v>0.309</v>
      </c>
      <c r="D1075">
        <v>0.2999</v>
      </c>
      <c r="E1075">
        <v>0.30690000000000001</v>
      </c>
      <c r="F1075">
        <v>3069855.31</v>
      </c>
      <c r="G1075">
        <v>0</v>
      </c>
      <c r="L1075" t="s">
        <v>7</v>
      </c>
      <c r="M1075" t="s">
        <v>8</v>
      </c>
      <c r="N1075" t="s">
        <v>7</v>
      </c>
      <c r="P1075">
        <f t="shared" si="1024"/>
        <v>0.53846153846154032</v>
      </c>
      <c r="Q1075">
        <f t="shared" si="1025"/>
        <v>1652999.0130769289</v>
      </c>
      <c r="R1075">
        <f t="shared" si="1026"/>
        <v>581499.56814245554</v>
      </c>
      <c r="S1075">
        <f t="shared" si="1027"/>
        <v>5.8149956814245556</v>
      </c>
      <c r="T1075">
        <f t="shared" si="1028"/>
        <v>5.8149956814245556E-3</v>
      </c>
    </row>
    <row r="1076" spans="1:20" x14ac:dyDescent="0.25">
      <c r="A1076" s="5">
        <v>43517</v>
      </c>
      <c r="B1076">
        <v>0.31630000000000003</v>
      </c>
      <c r="C1076">
        <v>0.317</v>
      </c>
      <c r="D1076">
        <v>0.29659999999999997</v>
      </c>
      <c r="E1076">
        <v>0.2999</v>
      </c>
      <c r="F1076">
        <v>4250565.95</v>
      </c>
      <c r="G1076">
        <v>0</v>
      </c>
      <c r="L1076" t="s">
        <v>7</v>
      </c>
      <c r="M1076" t="s">
        <v>8</v>
      </c>
      <c r="N1076" t="s">
        <v>7</v>
      </c>
      <c r="P1076">
        <f t="shared" si="1024"/>
        <v>-0.67647058823529216</v>
      </c>
      <c r="Q1076">
        <f t="shared" si="1025"/>
        <v>-2875382.8485294036</v>
      </c>
      <c r="R1076">
        <f t="shared" si="1026"/>
        <v>-1071499.4449344734</v>
      </c>
      <c r="S1076">
        <f t="shared" si="1027"/>
        <v>-10.714994449344733</v>
      </c>
      <c r="T1076">
        <f t="shared" si="1028"/>
        <v>-1.0714994449344734E-2</v>
      </c>
    </row>
    <row r="1077" spans="1:20" x14ac:dyDescent="0.25">
      <c r="A1077" s="5">
        <v>43516</v>
      </c>
      <c r="B1077">
        <v>0.30559999999999998</v>
      </c>
      <c r="C1077">
        <v>0.31740000000000002</v>
      </c>
      <c r="D1077">
        <v>0.3</v>
      </c>
      <c r="E1077">
        <v>0.31630000000000003</v>
      </c>
      <c r="F1077">
        <v>4784521.08</v>
      </c>
      <c r="G1077">
        <v>0</v>
      </c>
      <c r="L1077" t="s">
        <v>8</v>
      </c>
      <c r="M1077" t="s">
        <v>8</v>
      </c>
      <c r="N1077" t="s">
        <v>7</v>
      </c>
      <c r="P1077">
        <f t="shared" si="1024"/>
        <v>0.87356321839080597</v>
      </c>
      <c r="Q1077">
        <f t="shared" si="1025"/>
        <v>4179581.633103455</v>
      </c>
      <c r="R1077">
        <f t="shared" si="1026"/>
        <v>1803883.4035949302</v>
      </c>
      <c r="S1077">
        <f t="shared" si="1027"/>
        <v>18.038834035949304</v>
      </c>
      <c r="T1077">
        <f t="shared" si="1028"/>
        <v>1.8038834035949303E-2</v>
      </c>
    </row>
    <row r="1078" spans="1:20" x14ac:dyDescent="0.25">
      <c r="A1078" s="5">
        <v>43515</v>
      </c>
      <c r="B1078">
        <v>0.30449999999999999</v>
      </c>
      <c r="C1078">
        <v>0.31719999999999998</v>
      </c>
      <c r="D1078">
        <v>0.29399999999999998</v>
      </c>
      <c r="E1078">
        <v>0.30559999999999998</v>
      </c>
      <c r="F1078">
        <v>8048244.3399999999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0</v>
      </c>
      <c r="Q1078">
        <f t="shared" si="1025"/>
        <v>0</v>
      </c>
      <c r="R1078">
        <f t="shared" si="1026"/>
        <v>-2375698.2295085248</v>
      </c>
      <c r="S1078">
        <f t="shared" si="1027"/>
        <v>-23.756982295085248</v>
      </c>
      <c r="T1078">
        <f t="shared" si="1028"/>
        <v>-2.3756982295085247E-2</v>
      </c>
    </row>
    <row r="1079" spans="1:20" x14ac:dyDescent="0.25">
      <c r="A1079" s="5">
        <v>43514</v>
      </c>
      <c r="B1079">
        <v>0.27860000000000001</v>
      </c>
      <c r="C1079">
        <v>0.30840000000000001</v>
      </c>
      <c r="D1079">
        <v>0.27329999999999999</v>
      </c>
      <c r="E1079">
        <v>0.30449999999999999</v>
      </c>
      <c r="F1079">
        <v>8836183.6300000008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0.77777777777777712</v>
      </c>
      <c r="Q1079">
        <f t="shared" si="1025"/>
        <v>6872587.2677777726</v>
      </c>
      <c r="R1079">
        <f t="shared" si="1026"/>
        <v>-2375698.2295085248</v>
      </c>
      <c r="S1079">
        <f t="shared" si="1027"/>
        <v>-23.756982295085248</v>
      </c>
      <c r="T1079">
        <f t="shared" si="1028"/>
        <v>-2.3756982295085247E-2</v>
      </c>
    </row>
    <row r="1080" spans="1:20" x14ac:dyDescent="0.25">
      <c r="A1080" s="5">
        <v>43513</v>
      </c>
      <c r="B1080">
        <v>0.2737</v>
      </c>
      <c r="C1080">
        <v>0.28639999999999999</v>
      </c>
      <c r="D1080">
        <v>0.27129999999999999</v>
      </c>
      <c r="E1080">
        <v>0.27800000000000002</v>
      </c>
      <c r="F1080">
        <v>3257702.5</v>
      </c>
      <c r="G1080">
        <v>0</v>
      </c>
      <c r="L1080" t="s">
        <v>8</v>
      </c>
      <c r="M1080" t="s">
        <v>8</v>
      </c>
      <c r="N1080" t="s">
        <v>7</v>
      </c>
      <c r="P1080">
        <f t="shared" si="1024"/>
        <v>-0.11258278145694858</v>
      </c>
      <c r="Q1080">
        <f t="shared" si="1025"/>
        <v>-366761.20860925503</v>
      </c>
      <c r="R1080">
        <f t="shared" si="1026"/>
        <v>-9248285.4972862974</v>
      </c>
      <c r="S1080">
        <f t="shared" si="1027"/>
        <v>-92.482854972862967</v>
      </c>
      <c r="T1080">
        <f t="shared" si="1028"/>
        <v>-9.248285497286296E-2</v>
      </c>
    </row>
    <row r="1081" spans="1:20" x14ac:dyDescent="0.25">
      <c r="A1081" s="5">
        <v>43512</v>
      </c>
      <c r="B1081">
        <v>0.27100000000000002</v>
      </c>
      <c r="C1081">
        <v>0.27689999999999998</v>
      </c>
      <c r="D1081">
        <v>0.26919999999999999</v>
      </c>
      <c r="E1081">
        <v>0.2742</v>
      </c>
      <c r="F1081">
        <v>1951688.79</v>
      </c>
      <c r="G1081">
        <v>0</v>
      </c>
      <c r="L1081" t="s">
        <v>7</v>
      </c>
      <c r="M1081" t="s">
        <v>8</v>
      </c>
      <c r="N1081" t="s">
        <v>7</v>
      </c>
      <c r="P1081">
        <f t="shared" si="1024"/>
        <v>0.29870129870130246</v>
      </c>
      <c r="Q1081">
        <f t="shared" si="1025"/>
        <v>582971.97623377363</v>
      </c>
      <c r="R1081">
        <f t="shared" si="1026"/>
        <v>-8881524.2886770424</v>
      </c>
      <c r="S1081">
        <f t="shared" si="1027"/>
        <v>-88.81524288677042</v>
      </c>
      <c r="T1081">
        <f t="shared" si="1028"/>
        <v>-8.8815242886770424E-2</v>
      </c>
    </row>
    <row r="1082" spans="1:20" x14ac:dyDescent="0.25">
      <c r="A1082" s="5">
        <v>43511</v>
      </c>
      <c r="B1082">
        <v>0.26629999999999998</v>
      </c>
      <c r="C1082">
        <v>0.28000000000000003</v>
      </c>
      <c r="D1082">
        <v>0.26450000000000001</v>
      </c>
      <c r="E1082">
        <v>0.27089999999999997</v>
      </c>
      <c r="F1082">
        <v>2236839.34</v>
      </c>
      <c r="G1082">
        <v>0</v>
      </c>
      <c r="L1082" t="s">
        <v>7</v>
      </c>
      <c r="M1082" t="s">
        <v>8</v>
      </c>
      <c r="N1082" t="s">
        <v>7</v>
      </c>
      <c r="P1082">
        <f t="shared" si="1024"/>
        <v>-0.17419354838710249</v>
      </c>
      <c r="Q1082">
        <f t="shared" si="1025"/>
        <v>-389642.98180646438</v>
      </c>
      <c r="R1082">
        <f t="shared" si="1026"/>
        <v>-9464496.2649108153</v>
      </c>
      <c r="S1082">
        <f t="shared" si="1027"/>
        <v>-94.644962649108152</v>
      </c>
      <c r="T1082">
        <f t="shared" si="1028"/>
        <v>-9.4644962649108155E-2</v>
      </c>
    </row>
    <row r="1083" spans="1:20" x14ac:dyDescent="0.25">
      <c r="A1083" s="5">
        <v>43510</v>
      </c>
      <c r="B1083">
        <v>0.26960000000000001</v>
      </c>
      <c r="C1083">
        <v>0.27100000000000002</v>
      </c>
      <c r="D1083">
        <v>0.2611</v>
      </c>
      <c r="E1083">
        <v>0.26590000000000003</v>
      </c>
      <c r="F1083">
        <v>2131442.41</v>
      </c>
      <c r="G1083">
        <v>0</v>
      </c>
      <c r="L1083" t="s">
        <v>7</v>
      </c>
      <c r="M1083" t="s">
        <v>8</v>
      </c>
      <c r="N1083" t="s">
        <v>7</v>
      </c>
      <c r="P1083">
        <f t="shared" si="1024"/>
        <v>-3.0303030303026904E-2</v>
      </c>
      <c r="Q1083">
        <f t="shared" si="1025"/>
        <v>-64589.163939386701</v>
      </c>
      <c r="R1083">
        <f t="shared" si="1026"/>
        <v>-9074853.2831043508</v>
      </c>
      <c r="S1083">
        <f t="shared" si="1027"/>
        <v>-90.748532831043505</v>
      </c>
      <c r="T1083">
        <f t="shared" si="1028"/>
        <v>-9.0748532831043505E-2</v>
      </c>
    </row>
    <row r="1084" spans="1:20" x14ac:dyDescent="0.25">
      <c r="A1084" s="5">
        <v>43509</v>
      </c>
      <c r="B1084">
        <v>0.27329999999999999</v>
      </c>
      <c r="C1084">
        <v>0.27650000000000002</v>
      </c>
      <c r="D1084">
        <v>0.26579999999999998</v>
      </c>
      <c r="E1084">
        <v>0.2702</v>
      </c>
      <c r="F1084">
        <v>2488684.7599999998</v>
      </c>
      <c r="G1084">
        <v>0</v>
      </c>
      <c r="L1084" t="s">
        <v>7</v>
      </c>
      <c r="M1084" t="s">
        <v>8</v>
      </c>
      <c r="N1084" t="s">
        <v>7</v>
      </c>
      <c r="P1084">
        <f t="shared" si="1024"/>
        <v>-0.17757009345794442</v>
      </c>
      <c r="Q1084">
        <f t="shared" si="1025"/>
        <v>-441915.98542056192</v>
      </c>
      <c r="R1084">
        <f t="shared" si="1026"/>
        <v>-9010264.1191649642</v>
      </c>
      <c r="S1084">
        <f t="shared" si="1027"/>
        <v>-90.102641191649639</v>
      </c>
      <c r="T1084">
        <f t="shared" si="1028"/>
        <v>-9.0102641191649638E-2</v>
      </c>
    </row>
    <row r="1085" spans="1:20" x14ac:dyDescent="0.25">
      <c r="A1085" s="5">
        <v>43508</v>
      </c>
      <c r="B1085">
        <v>0.26790000000000003</v>
      </c>
      <c r="C1085">
        <v>0.27760000000000001</v>
      </c>
      <c r="D1085">
        <v>0.26240000000000002</v>
      </c>
      <c r="E1085">
        <v>0.27300000000000002</v>
      </c>
      <c r="F1085">
        <v>3063034.35</v>
      </c>
      <c r="G1085">
        <v>0</v>
      </c>
      <c r="L1085" t="s">
        <v>7</v>
      </c>
      <c r="M1085" t="s">
        <v>8</v>
      </c>
      <c r="N1085" t="s">
        <v>7</v>
      </c>
      <c r="P1085">
        <f t="shared" si="1024"/>
        <v>0.39473684210526372</v>
      </c>
      <c r="Q1085">
        <f t="shared" si="1025"/>
        <v>1209092.506578949</v>
      </c>
      <c r="R1085">
        <f t="shared" si="1026"/>
        <v>-8568348.1337444019</v>
      </c>
      <c r="S1085">
        <f t="shared" si="1027"/>
        <v>-85.683481337444022</v>
      </c>
      <c r="T1085">
        <f t="shared" si="1028"/>
        <v>-8.5683481337444023E-2</v>
      </c>
    </row>
    <row r="1086" spans="1:20" x14ac:dyDescent="0.25">
      <c r="A1086" s="5">
        <v>43507</v>
      </c>
      <c r="B1086">
        <v>0.28170000000000001</v>
      </c>
      <c r="C1086">
        <v>0.28199999999999997</v>
      </c>
      <c r="D1086">
        <v>0.26529999999999998</v>
      </c>
      <c r="E1086">
        <v>0.26829999999999998</v>
      </c>
      <c r="F1086">
        <v>4989829.8600000003</v>
      </c>
      <c r="G1086">
        <v>0</v>
      </c>
      <c r="L1086" t="s">
        <v>7</v>
      </c>
      <c r="M1086" t="s">
        <v>8</v>
      </c>
      <c r="N1086" t="s">
        <v>7</v>
      </c>
      <c r="P1086">
        <f t="shared" si="1024"/>
        <v>-0.640718562874251</v>
      </c>
      <c r="Q1086">
        <f t="shared" si="1025"/>
        <v>-3197076.6168862251</v>
      </c>
      <c r="R1086">
        <f t="shared" si="1026"/>
        <v>-9777440.6403233502</v>
      </c>
      <c r="S1086">
        <f t="shared" si="1027"/>
        <v>-97.774406403233499</v>
      </c>
      <c r="T1086">
        <f t="shared" si="1028"/>
        <v>-9.7774406403233496E-2</v>
      </c>
    </row>
    <row r="1087" spans="1:20" x14ac:dyDescent="0.25">
      <c r="A1087" s="5">
        <v>43506</v>
      </c>
      <c r="B1087">
        <v>0.27639999999999998</v>
      </c>
      <c r="C1087">
        <v>0.2903</v>
      </c>
      <c r="D1087">
        <v>0.27150000000000002</v>
      </c>
      <c r="E1087">
        <v>0.28179999999999999</v>
      </c>
      <c r="F1087">
        <v>5396837.7400000002</v>
      </c>
      <c r="G1087">
        <v>0</v>
      </c>
      <c r="L1087" t="s">
        <v>8</v>
      </c>
      <c r="M1087" t="s">
        <v>8</v>
      </c>
      <c r="N1087" t="s">
        <v>7</v>
      </c>
      <c r="P1087">
        <f t="shared" ref="P1087:P1150" si="1029">IF(C1087=D1087,0,((E1087-D1087)-(C1087-E1087))/(C1087-D1087))</f>
        <v>9.5744680851062233E-2</v>
      </c>
      <c r="Q1087">
        <f t="shared" ref="Q1087:Q1150" si="1030">F1087*P1087</f>
        <v>516718.50702126801</v>
      </c>
      <c r="R1087">
        <f t="shared" ref="R1087:R1150" si="1031">R1088+Q1087</f>
        <v>-6580364.0234371256</v>
      </c>
      <c r="S1087">
        <f t="shared" ref="S1087:S1150" si="1032">R1087/100000</f>
        <v>-65.803640234371258</v>
      </c>
      <c r="T1087">
        <f t="shared" ref="T1087:T1150" si="1033">S1087/1000</f>
        <v>-6.5803640234371255E-2</v>
      </c>
    </row>
    <row r="1088" spans="1:20" x14ac:dyDescent="0.25">
      <c r="A1088" s="5">
        <v>43505</v>
      </c>
      <c r="B1088">
        <v>0.27900000000000003</v>
      </c>
      <c r="C1088">
        <v>0.28499999999999998</v>
      </c>
      <c r="D1088">
        <v>0.27110000000000001</v>
      </c>
      <c r="E1088">
        <v>0.27639999999999998</v>
      </c>
      <c r="F1088">
        <v>3669354.42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-0.2374100719424484</v>
      </c>
      <c r="Q1088">
        <f t="shared" si="1030"/>
        <v>-871141.69683454104</v>
      </c>
      <c r="R1088">
        <f t="shared" si="1031"/>
        <v>-7097082.5304583935</v>
      </c>
      <c r="S1088">
        <f t="shared" si="1032"/>
        <v>-70.97082530458394</v>
      </c>
      <c r="T1088">
        <f t="shared" si="1033"/>
        <v>-7.0970825304583943E-2</v>
      </c>
    </row>
    <row r="1089" spans="1:20" x14ac:dyDescent="0.25">
      <c r="A1089" s="5">
        <v>43504</v>
      </c>
      <c r="B1089">
        <v>0.254</v>
      </c>
      <c r="C1089">
        <v>0.28470000000000001</v>
      </c>
      <c r="D1089">
        <v>0.24890000000000001</v>
      </c>
      <c r="E1089">
        <v>0.27900000000000003</v>
      </c>
      <c r="F1089">
        <v>10597161.75</v>
      </c>
      <c r="G1089">
        <v>0</v>
      </c>
      <c r="L1089" t="s">
        <v>8</v>
      </c>
      <c r="M1089" t="s">
        <v>8</v>
      </c>
      <c r="N1089" t="s">
        <v>7</v>
      </c>
      <c r="P1089">
        <f t="shared" si="1029"/>
        <v>0.68156424581005681</v>
      </c>
      <c r="Q1089">
        <f t="shared" si="1030"/>
        <v>7222646.5558659323</v>
      </c>
      <c r="R1089">
        <f t="shared" si="1031"/>
        <v>-6225940.8336238526</v>
      </c>
      <c r="S1089">
        <f t="shared" si="1032"/>
        <v>-62.259408336238529</v>
      </c>
      <c r="T1089">
        <f t="shared" si="1033"/>
        <v>-6.2259408336238532E-2</v>
      </c>
    </row>
    <row r="1090" spans="1:20" x14ac:dyDescent="0.25">
      <c r="A1090" s="5">
        <v>43503</v>
      </c>
      <c r="B1090">
        <v>0.24179999999999999</v>
      </c>
      <c r="C1090">
        <v>0.25969999999999999</v>
      </c>
      <c r="D1090">
        <v>0.24129999999999999</v>
      </c>
      <c r="E1090">
        <v>0.2535</v>
      </c>
      <c r="F1090">
        <v>6077630.5199999996</v>
      </c>
      <c r="G1090">
        <v>0</v>
      </c>
      <c r="L1090" t="s">
        <v>8</v>
      </c>
      <c r="M1090" t="s">
        <v>7</v>
      </c>
      <c r="N1090" t="s">
        <v>7</v>
      </c>
      <c r="P1090">
        <f t="shared" si="1029"/>
        <v>0.32608695652174091</v>
      </c>
      <c r="Q1090">
        <f t="shared" si="1030"/>
        <v>1981836.0391304456</v>
      </c>
      <c r="R1090">
        <f t="shared" si="1031"/>
        <v>-13448587.389489785</v>
      </c>
      <c r="S1090">
        <f t="shared" si="1032"/>
        <v>-134.48587389489785</v>
      </c>
      <c r="T1090">
        <f t="shared" si="1033"/>
        <v>-0.13448587389489786</v>
      </c>
    </row>
    <row r="1091" spans="1:20" x14ac:dyDescent="0.25">
      <c r="A1091" s="5">
        <v>43502</v>
      </c>
      <c r="B1091">
        <v>0.25409999999999999</v>
      </c>
      <c r="C1091">
        <v>0.25490000000000002</v>
      </c>
      <c r="D1091">
        <v>0.2379</v>
      </c>
      <c r="E1091">
        <v>0.2417</v>
      </c>
      <c r="F1091">
        <v>4425273.87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-0.55294117647058894</v>
      </c>
      <c r="Q1091">
        <f t="shared" si="1030"/>
        <v>-2446916.1398823559</v>
      </c>
      <c r="R1091">
        <f t="shared" si="1031"/>
        <v>-15430423.42862023</v>
      </c>
      <c r="S1091">
        <f t="shared" si="1032"/>
        <v>-154.3042342862023</v>
      </c>
      <c r="T1091">
        <f t="shared" si="1033"/>
        <v>-0.1543042342862023</v>
      </c>
    </row>
    <row r="1092" spans="1:20" x14ac:dyDescent="0.25">
      <c r="A1092" s="5">
        <v>43501</v>
      </c>
      <c r="B1092">
        <v>0.25590000000000002</v>
      </c>
      <c r="C1092">
        <v>0.25669999999999998</v>
      </c>
      <c r="D1092">
        <v>0.25159999999999999</v>
      </c>
      <c r="E1092">
        <v>0.254</v>
      </c>
      <c r="F1092">
        <v>1516276.53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-5.88235294117583E-2</v>
      </c>
      <c r="Q1092">
        <f t="shared" si="1030"/>
        <v>-89192.737058813815</v>
      </c>
      <c r="R1092">
        <f t="shared" si="1031"/>
        <v>-12983507.288737874</v>
      </c>
      <c r="S1092">
        <f t="shared" si="1032"/>
        <v>-129.83507288737874</v>
      </c>
      <c r="T1092">
        <f t="shared" si="1033"/>
        <v>-0.12983507288737875</v>
      </c>
    </row>
    <row r="1093" spans="1:20" x14ac:dyDescent="0.25">
      <c r="A1093" s="5">
        <v>43500</v>
      </c>
      <c r="B1093">
        <v>0.25169999999999998</v>
      </c>
      <c r="C1093">
        <v>0.26</v>
      </c>
      <c r="D1093">
        <v>0.25059999999999999</v>
      </c>
      <c r="E1093">
        <v>0.2555</v>
      </c>
      <c r="F1093">
        <v>1852778.77</v>
      </c>
      <c r="G1093">
        <v>0</v>
      </c>
      <c r="L1093" t="s">
        <v>7</v>
      </c>
      <c r="M1093" t="s">
        <v>7</v>
      </c>
      <c r="N1093" t="s">
        <v>7</v>
      </c>
      <c r="P1093">
        <f t="shared" si="1029"/>
        <v>4.2553191489362832E-2</v>
      </c>
      <c r="Q1093">
        <f t="shared" si="1030"/>
        <v>78841.649787236136</v>
      </c>
      <c r="R1093">
        <f t="shared" si="1031"/>
        <v>-12894314.55167906</v>
      </c>
      <c r="S1093">
        <f t="shared" si="1032"/>
        <v>-128.94314551679059</v>
      </c>
      <c r="T1093">
        <f t="shared" si="1033"/>
        <v>-0.12894314551679059</v>
      </c>
    </row>
    <row r="1094" spans="1:20" x14ac:dyDescent="0.25">
      <c r="A1094" s="5">
        <v>43499</v>
      </c>
      <c r="B1094">
        <v>0.26119999999999999</v>
      </c>
      <c r="C1094">
        <v>0.26329999999999998</v>
      </c>
      <c r="D1094">
        <v>0.249</v>
      </c>
      <c r="E1094">
        <v>0.25169999999999998</v>
      </c>
      <c r="F1094">
        <v>2713007.89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-0.62237762237762462</v>
      </c>
      <c r="Q1094">
        <f t="shared" si="1030"/>
        <v>-1688515.4000699362</v>
      </c>
      <c r="R1094">
        <f t="shared" si="1031"/>
        <v>-12973156.201466296</v>
      </c>
      <c r="S1094">
        <f t="shared" si="1032"/>
        <v>-129.73156201466296</v>
      </c>
      <c r="T1094">
        <f t="shared" si="1033"/>
        <v>-0.12973156201466296</v>
      </c>
    </row>
    <row r="1095" spans="1:20" x14ac:dyDescent="0.25">
      <c r="A1095" s="5">
        <v>43498</v>
      </c>
      <c r="B1095">
        <v>0.25540000000000002</v>
      </c>
      <c r="C1095">
        <v>0.26129999999999998</v>
      </c>
      <c r="D1095">
        <v>0.246</v>
      </c>
      <c r="E1095">
        <v>0.26119999999999999</v>
      </c>
      <c r="F1095">
        <v>5407294.2400000002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0.98692810457516478</v>
      </c>
      <c r="Q1095">
        <f t="shared" si="1030"/>
        <v>5336610.6551634064</v>
      </c>
      <c r="R1095">
        <f t="shared" si="1031"/>
        <v>-11284640.801396359</v>
      </c>
      <c r="S1095">
        <f t="shared" si="1032"/>
        <v>-112.84640801396358</v>
      </c>
      <c r="T1095">
        <f t="shared" si="1033"/>
        <v>-0.11284640801396359</v>
      </c>
    </row>
    <row r="1096" spans="1:20" x14ac:dyDescent="0.25">
      <c r="A1096" s="5">
        <v>43497</v>
      </c>
      <c r="B1096">
        <v>0.2555</v>
      </c>
      <c r="C1096">
        <v>0.25979999999999998</v>
      </c>
      <c r="D1096">
        <v>0.247</v>
      </c>
      <c r="E1096">
        <v>0.25509999999999999</v>
      </c>
      <c r="F1096">
        <v>4768211.05</v>
      </c>
      <c r="G1096">
        <v>0</v>
      </c>
      <c r="L1096" t="s">
        <v>7</v>
      </c>
      <c r="M1096" t="s">
        <v>7</v>
      </c>
      <c r="N1096" t="s">
        <v>7</v>
      </c>
      <c r="P1096">
        <f t="shared" si="1029"/>
        <v>0.26562500000000155</v>
      </c>
      <c r="Q1096">
        <f t="shared" si="1030"/>
        <v>1266556.0601562574</v>
      </c>
      <c r="R1096">
        <f t="shared" si="1031"/>
        <v>-16621251.456559764</v>
      </c>
      <c r="S1096">
        <f t="shared" si="1032"/>
        <v>-166.21251456559764</v>
      </c>
      <c r="T1096">
        <f t="shared" si="1033"/>
        <v>-0.16621251456559766</v>
      </c>
    </row>
    <row r="1097" spans="1:20" x14ac:dyDescent="0.25">
      <c r="A1097" s="5">
        <v>43496</v>
      </c>
      <c r="B1097">
        <v>0.26040000000000002</v>
      </c>
      <c r="C1097">
        <v>0.32</v>
      </c>
      <c r="D1097">
        <v>0.252</v>
      </c>
      <c r="E1097">
        <v>0.2555</v>
      </c>
      <c r="F1097">
        <v>6911584.9400000004</v>
      </c>
      <c r="G1097">
        <v>0</v>
      </c>
      <c r="L1097" t="s">
        <v>8</v>
      </c>
      <c r="M1097" t="s">
        <v>8</v>
      </c>
      <c r="N1097" t="s">
        <v>7</v>
      </c>
      <c r="P1097">
        <f t="shared" si="1029"/>
        <v>-0.89705882352941169</v>
      </c>
      <c r="Q1097">
        <f t="shared" si="1030"/>
        <v>-6200098.2549999999</v>
      </c>
      <c r="R1097">
        <f t="shared" si="1031"/>
        <v>-17887807.516716022</v>
      </c>
      <c r="S1097">
        <f t="shared" si="1032"/>
        <v>-178.87807516716023</v>
      </c>
      <c r="T1097">
        <f t="shared" si="1033"/>
        <v>-0.17887807516716023</v>
      </c>
    </row>
    <row r="1098" spans="1:20" x14ac:dyDescent="0.25">
      <c r="A1098" s="5">
        <v>43495</v>
      </c>
      <c r="B1098">
        <v>0.25140000000000001</v>
      </c>
      <c r="C1098">
        <v>0.2636</v>
      </c>
      <c r="D1098">
        <v>0.24929999999999999</v>
      </c>
      <c r="E1098">
        <v>0.26040000000000002</v>
      </c>
      <c r="F1098">
        <v>3075116.34</v>
      </c>
      <c r="G1098">
        <v>0</v>
      </c>
      <c r="L1098" t="s">
        <v>8</v>
      </c>
      <c r="M1098" t="s">
        <v>7</v>
      </c>
      <c r="N1098" t="s">
        <v>7</v>
      </c>
      <c r="P1098">
        <f t="shared" si="1029"/>
        <v>0.55244755244755539</v>
      </c>
      <c r="Q1098">
        <f t="shared" si="1030"/>
        <v>1698840.4955244844</v>
      </c>
      <c r="R1098">
        <f t="shared" si="1031"/>
        <v>-11687709.261716021</v>
      </c>
      <c r="S1098">
        <f t="shared" si="1032"/>
        <v>-116.87709261716022</v>
      </c>
      <c r="T1098">
        <f t="shared" si="1033"/>
        <v>-0.11687709261716021</v>
      </c>
    </row>
    <row r="1099" spans="1:20" x14ac:dyDescent="0.25">
      <c r="A1099" s="5">
        <v>43494</v>
      </c>
      <c r="B1099">
        <v>0.2535</v>
      </c>
      <c r="C1099">
        <v>0.25979999999999998</v>
      </c>
      <c r="D1099">
        <v>0.2437</v>
      </c>
      <c r="E1099">
        <v>0.25140000000000001</v>
      </c>
      <c r="F1099">
        <v>3661873.81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-4.3478260869562219E-2</v>
      </c>
      <c r="Q1099">
        <f t="shared" si="1030"/>
        <v>-159211.9047825977</v>
      </c>
      <c r="R1099">
        <f t="shared" si="1031"/>
        <v>-13386549.757240506</v>
      </c>
      <c r="S1099">
        <f t="shared" si="1032"/>
        <v>-133.86549757240505</v>
      </c>
      <c r="T1099">
        <f t="shared" si="1033"/>
        <v>-0.13386549757240504</v>
      </c>
    </row>
    <row r="1100" spans="1:20" x14ac:dyDescent="0.25">
      <c r="A1100" s="5">
        <v>43493</v>
      </c>
      <c r="B1100">
        <v>0.26800000000000002</v>
      </c>
      <c r="C1100">
        <v>0.26889999999999997</v>
      </c>
      <c r="D1100">
        <v>0.24149999999999999</v>
      </c>
      <c r="E1100">
        <v>0.25359999999999999</v>
      </c>
      <c r="F1100">
        <v>6247216.4699999997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-0.1167883211678826</v>
      </c>
      <c r="Q1100">
        <f t="shared" si="1030"/>
        <v>-729601.92350364581</v>
      </c>
      <c r="R1100">
        <f t="shared" si="1031"/>
        <v>-13227337.852457909</v>
      </c>
      <c r="S1100">
        <f t="shared" si="1032"/>
        <v>-132.2733785245791</v>
      </c>
      <c r="T1100">
        <f t="shared" si="1033"/>
        <v>-0.1322733785245791</v>
      </c>
    </row>
    <row r="1101" spans="1:20" x14ac:dyDescent="0.25">
      <c r="A1101" s="5">
        <v>43492</v>
      </c>
      <c r="B1101">
        <v>0.28010000000000002</v>
      </c>
      <c r="C1101">
        <v>0.2828</v>
      </c>
      <c r="D1101">
        <v>0.26019999999999999</v>
      </c>
      <c r="E1101">
        <v>0.2671</v>
      </c>
      <c r="F1101">
        <v>3643739.61</v>
      </c>
      <c r="G1101">
        <v>0</v>
      </c>
      <c r="L1101" t="s">
        <v>7</v>
      </c>
      <c r="M1101" t="s">
        <v>7</v>
      </c>
      <c r="N1101" t="s">
        <v>7</v>
      </c>
      <c r="P1101">
        <f t="shared" si="1029"/>
        <v>-0.38938053097345005</v>
      </c>
      <c r="Q1101">
        <f t="shared" si="1030"/>
        <v>-1418801.2640707917</v>
      </c>
      <c r="R1101">
        <f t="shared" si="1031"/>
        <v>-12497735.928954262</v>
      </c>
      <c r="S1101">
        <f t="shared" si="1032"/>
        <v>-124.97735928954262</v>
      </c>
      <c r="T1101">
        <f t="shared" si="1033"/>
        <v>-0.12497735928954262</v>
      </c>
    </row>
    <row r="1102" spans="1:20" x14ac:dyDescent="0.25">
      <c r="A1102" s="5">
        <v>43491</v>
      </c>
      <c r="B1102">
        <v>0.28449999999999998</v>
      </c>
      <c r="C1102">
        <v>0.28949999999999998</v>
      </c>
      <c r="D1102">
        <v>0.2777</v>
      </c>
      <c r="E1102">
        <v>0.28029999999999999</v>
      </c>
      <c r="F1102">
        <v>2712538.28</v>
      </c>
      <c r="G1102">
        <v>0</v>
      </c>
      <c r="L1102" t="s">
        <v>8</v>
      </c>
      <c r="M1102" t="s">
        <v>7</v>
      </c>
      <c r="N1102" t="s">
        <v>7</v>
      </c>
      <c r="P1102">
        <f t="shared" si="1029"/>
        <v>-0.5593220338983057</v>
      </c>
      <c r="Q1102">
        <f t="shared" si="1030"/>
        <v>-1517182.4277966118</v>
      </c>
      <c r="R1102">
        <f t="shared" si="1031"/>
        <v>-11078934.66488347</v>
      </c>
      <c r="S1102">
        <f t="shared" si="1032"/>
        <v>-110.78934664883471</v>
      </c>
      <c r="T1102">
        <f t="shared" si="1033"/>
        <v>-0.11078934664883471</v>
      </c>
    </row>
    <row r="1103" spans="1:20" x14ac:dyDescent="0.25">
      <c r="A1103" s="5">
        <v>43490</v>
      </c>
      <c r="B1103">
        <v>0.2908</v>
      </c>
      <c r="C1103">
        <v>0.29120000000000001</v>
      </c>
      <c r="D1103">
        <v>0.28189999999999998</v>
      </c>
      <c r="E1103">
        <v>0.28399999999999997</v>
      </c>
      <c r="F1103">
        <v>1584964.33</v>
      </c>
      <c r="G1103">
        <v>0</v>
      </c>
      <c r="L1103" t="s">
        <v>8</v>
      </c>
      <c r="M1103" t="s">
        <v>7</v>
      </c>
      <c r="N1103" t="s">
        <v>7</v>
      </c>
      <c r="P1103">
        <f t="shared" si="1029"/>
        <v>-0.54838709677419706</v>
      </c>
      <c r="Q1103">
        <f t="shared" si="1030"/>
        <v>-869173.98741936043</v>
      </c>
      <c r="R1103">
        <f t="shared" si="1031"/>
        <v>-9561752.2370868586</v>
      </c>
      <c r="S1103">
        <f t="shared" si="1032"/>
        <v>-95.617522370868585</v>
      </c>
      <c r="T1103">
        <f t="shared" si="1033"/>
        <v>-9.5617522370868582E-2</v>
      </c>
    </row>
    <row r="1104" spans="1:20" x14ac:dyDescent="0.25">
      <c r="A1104" s="5">
        <v>43489</v>
      </c>
      <c r="B1104">
        <v>0.29330000000000001</v>
      </c>
      <c r="C1104">
        <v>0.29399999999999998</v>
      </c>
      <c r="D1104">
        <v>0.27</v>
      </c>
      <c r="E1104">
        <v>0.2908</v>
      </c>
      <c r="F1104">
        <v>4131072.55</v>
      </c>
      <c r="G1104">
        <v>0</v>
      </c>
      <c r="L1104" t="s">
        <v>7</v>
      </c>
      <c r="M1104" t="s">
        <v>7</v>
      </c>
      <c r="N1104" t="s">
        <v>7</v>
      </c>
      <c r="P1104">
        <f t="shared" si="1029"/>
        <v>0.73333333333333461</v>
      </c>
      <c r="Q1104">
        <f t="shared" si="1030"/>
        <v>3029453.2033333383</v>
      </c>
      <c r="R1104">
        <f t="shared" si="1031"/>
        <v>-8692578.2496674974</v>
      </c>
      <c r="S1104">
        <f t="shared" si="1032"/>
        <v>-86.925782496674969</v>
      </c>
      <c r="T1104">
        <f t="shared" si="1033"/>
        <v>-8.6925782496674972E-2</v>
      </c>
    </row>
    <row r="1105" spans="1:20" x14ac:dyDescent="0.25">
      <c r="A1105" s="5">
        <v>43488</v>
      </c>
      <c r="B1105">
        <v>0.30209999999999998</v>
      </c>
      <c r="C1105">
        <v>0.30399999999999999</v>
      </c>
      <c r="D1105">
        <v>0.2898</v>
      </c>
      <c r="E1105">
        <v>0.29289999999999999</v>
      </c>
      <c r="F1105">
        <v>2762222.96</v>
      </c>
      <c r="G1105">
        <v>0</v>
      </c>
      <c r="L1105" t="s">
        <v>7</v>
      </c>
      <c r="M1105" t="s">
        <v>7</v>
      </c>
      <c r="N1105" t="s">
        <v>7</v>
      </c>
      <c r="P1105">
        <f t="shared" si="1029"/>
        <v>-0.56338028169014176</v>
      </c>
      <c r="Q1105">
        <f t="shared" si="1030"/>
        <v>-1556181.9492957771</v>
      </c>
      <c r="R1105">
        <f t="shared" si="1031"/>
        <v>-11722031.453000836</v>
      </c>
      <c r="S1105">
        <f t="shared" si="1032"/>
        <v>-117.22031453000837</v>
      </c>
      <c r="T1105">
        <f t="shared" si="1033"/>
        <v>-0.11722031453000836</v>
      </c>
    </row>
    <row r="1106" spans="1:20" x14ac:dyDescent="0.25">
      <c r="A1106" s="5">
        <v>43487</v>
      </c>
      <c r="B1106">
        <v>0.3004</v>
      </c>
      <c r="C1106">
        <v>0.30790000000000001</v>
      </c>
      <c r="D1106">
        <v>0.28270000000000001</v>
      </c>
      <c r="E1106">
        <v>0.3024</v>
      </c>
      <c r="F1106">
        <v>3063809.17</v>
      </c>
      <c r="G1106">
        <v>0</v>
      </c>
      <c r="L1106" t="s">
        <v>7</v>
      </c>
      <c r="M1106" t="s">
        <v>7</v>
      </c>
      <c r="N1106" t="s">
        <v>7</v>
      </c>
      <c r="P1106">
        <f t="shared" si="1029"/>
        <v>0.56349206349206316</v>
      </c>
      <c r="Q1106">
        <f t="shared" si="1030"/>
        <v>1726432.1513492053</v>
      </c>
      <c r="R1106">
        <f t="shared" si="1031"/>
        <v>-10165849.503705058</v>
      </c>
      <c r="S1106">
        <f t="shared" si="1032"/>
        <v>-101.65849503705059</v>
      </c>
      <c r="T1106">
        <f t="shared" si="1033"/>
        <v>-0.10165849503705059</v>
      </c>
    </row>
    <row r="1107" spans="1:20" x14ac:dyDescent="0.25">
      <c r="A1107" s="5">
        <v>43486</v>
      </c>
      <c r="B1107">
        <v>0.29630000000000001</v>
      </c>
      <c r="C1107">
        <v>0.30599999999999999</v>
      </c>
      <c r="D1107">
        <v>0.2954</v>
      </c>
      <c r="E1107">
        <v>0.3004</v>
      </c>
      <c r="F1107">
        <v>1982757.22</v>
      </c>
      <c r="G1107">
        <v>0</v>
      </c>
      <c r="L1107" t="s">
        <v>7</v>
      </c>
      <c r="M1107" t="s">
        <v>7</v>
      </c>
      <c r="N1107" t="s">
        <v>7</v>
      </c>
      <c r="P1107">
        <f t="shared" si="1029"/>
        <v>-5.6603773584904669E-2</v>
      </c>
      <c r="Q1107">
        <f t="shared" si="1030"/>
        <v>-112231.54075471501</v>
      </c>
      <c r="R1107">
        <f t="shared" si="1031"/>
        <v>-11892281.655054264</v>
      </c>
      <c r="S1107">
        <f t="shared" si="1032"/>
        <v>-118.92281655054263</v>
      </c>
      <c r="T1107">
        <f t="shared" si="1033"/>
        <v>-0.11892281655054264</v>
      </c>
    </row>
    <row r="1108" spans="1:20" x14ac:dyDescent="0.25">
      <c r="A1108" s="5">
        <v>43485</v>
      </c>
      <c r="B1108">
        <v>0.30859999999999999</v>
      </c>
      <c r="C1108">
        <v>0.31409999999999999</v>
      </c>
      <c r="D1108">
        <v>0.2888</v>
      </c>
      <c r="E1108">
        <v>0.29530000000000001</v>
      </c>
      <c r="F1108">
        <v>2356963.59</v>
      </c>
      <c r="G1108">
        <v>0</v>
      </c>
      <c r="L1108" t="s">
        <v>7</v>
      </c>
      <c r="M1108" t="s">
        <v>7</v>
      </c>
      <c r="N1108" t="s">
        <v>7</v>
      </c>
      <c r="P1108">
        <f t="shared" si="1029"/>
        <v>-0.48616600790513764</v>
      </c>
      <c r="Q1108">
        <f t="shared" si="1030"/>
        <v>-1145875.5793280615</v>
      </c>
      <c r="R1108">
        <f t="shared" si="1031"/>
        <v>-11780050.114299549</v>
      </c>
      <c r="S1108">
        <f t="shared" si="1032"/>
        <v>-117.80050114299549</v>
      </c>
      <c r="T1108">
        <f t="shared" si="1033"/>
        <v>-0.11780050114299549</v>
      </c>
    </row>
    <row r="1109" spans="1:20" x14ac:dyDescent="0.25">
      <c r="A1109" s="5">
        <v>43484</v>
      </c>
      <c r="B1109">
        <v>0.30109999999999998</v>
      </c>
      <c r="C1109">
        <v>0.32</v>
      </c>
      <c r="D1109">
        <v>0.30009999999999998</v>
      </c>
      <c r="E1109">
        <v>0.30740000000000001</v>
      </c>
      <c r="F1109">
        <v>2760047.96</v>
      </c>
      <c r="G1109">
        <v>0</v>
      </c>
      <c r="L1109" t="s">
        <v>8</v>
      </c>
      <c r="M1109" t="s">
        <v>7</v>
      </c>
      <c r="N1109" t="s">
        <v>7</v>
      </c>
      <c r="P1109">
        <f t="shared" si="1029"/>
        <v>-0.26633165829145544</v>
      </c>
      <c r="Q1109">
        <f t="shared" si="1030"/>
        <v>-735088.15015074867</v>
      </c>
      <c r="R1109">
        <f t="shared" si="1031"/>
        <v>-10634174.534971487</v>
      </c>
      <c r="S1109">
        <f t="shared" si="1032"/>
        <v>-106.34174534971487</v>
      </c>
      <c r="T1109">
        <f t="shared" si="1033"/>
        <v>-0.10634174534971487</v>
      </c>
    </row>
    <row r="1110" spans="1:20" x14ac:dyDescent="0.25">
      <c r="A1110" s="5">
        <v>43483</v>
      </c>
      <c r="B1110">
        <v>0.30420000000000003</v>
      </c>
      <c r="C1110">
        <v>0.31</v>
      </c>
      <c r="D1110">
        <v>0.29899999999999999</v>
      </c>
      <c r="E1110">
        <v>0.3004</v>
      </c>
      <c r="F1110">
        <v>2378997.8199999998</v>
      </c>
      <c r="G1110">
        <v>0</v>
      </c>
      <c r="L1110" t="s">
        <v>8</v>
      </c>
      <c r="M1110" t="s">
        <v>7</v>
      </c>
      <c r="N1110" t="s">
        <v>7</v>
      </c>
      <c r="P1110">
        <f t="shared" si="1029"/>
        <v>-0.74545454545454348</v>
      </c>
      <c r="Q1110">
        <f t="shared" si="1030"/>
        <v>-1773434.7385454497</v>
      </c>
      <c r="R1110">
        <f t="shared" si="1031"/>
        <v>-9899086.3848207388</v>
      </c>
      <c r="S1110">
        <f t="shared" si="1032"/>
        <v>-98.990863848207383</v>
      </c>
      <c r="T1110">
        <f t="shared" si="1033"/>
        <v>-9.8990863848207378E-2</v>
      </c>
    </row>
    <row r="1111" spans="1:20" x14ac:dyDescent="0.25">
      <c r="A1111" s="5">
        <v>43482</v>
      </c>
      <c r="B1111">
        <v>0.29339999999999999</v>
      </c>
      <c r="C1111">
        <v>0.309</v>
      </c>
      <c r="D1111">
        <v>0.28670000000000001</v>
      </c>
      <c r="E1111">
        <v>0.30570000000000003</v>
      </c>
      <c r="F1111">
        <v>2766866.14</v>
      </c>
      <c r="G1111">
        <v>0</v>
      </c>
      <c r="L1111" t="s">
        <v>8</v>
      </c>
      <c r="M1111" t="s">
        <v>7</v>
      </c>
      <c r="N1111" t="s">
        <v>7</v>
      </c>
      <c r="P1111">
        <f t="shared" si="1029"/>
        <v>0.70403587443946447</v>
      </c>
      <c r="Q1111">
        <f t="shared" si="1030"/>
        <v>1947973.0223318457</v>
      </c>
      <c r="R1111">
        <f t="shared" si="1031"/>
        <v>-8125651.6462752884</v>
      </c>
      <c r="S1111">
        <f t="shared" si="1032"/>
        <v>-81.256516462752884</v>
      </c>
      <c r="T1111">
        <f t="shared" si="1033"/>
        <v>-8.1256516462752879E-2</v>
      </c>
    </row>
    <row r="1112" spans="1:20" x14ac:dyDescent="0.25">
      <c r="A1112" s="5">
        <v>43481</v>
      </c>
      <c r="B1112">
        <v>0.29060000000000002</v>
      </c>
      <c r="C1112">
        <v>0.30220000000000002</v>
      </c>
      <c r="D1112">
        <v>0.28799999999999998</v>
      </c>
      <c r="E1112">
        <v>0.29339999999999999</v>
      </c>
      <c r="F1112">
        <v>2997415.67</v>
      </c>
      <c r="G1112">
        <v>0</v>
      </c>
      <c r="L1112" t="s">
        <v>8</v>
      </c>
      <c r="M1112" t="s">
        <v>7</v>
      </c>
      <c r="N1112" t="s">
        <v>7</v>
      </c>
      <c r="P1112">
        <f t="shared" si="1029"/>
        <v>-0.23943661971831007</v>
      </c>
      <c r="Q1112">
        <f t="shared" si="1030"/>
        <v>-717691.07591549354</v>
      </c>
      <c r="R1112">
        <f t="shared" si="1031"/>
        <v>-10073624.668607134</v>
      </c>
      <c r="S1112">
        <f t="shared" si="1032"/>
        <v>-100.73624668607134</v>
      </c>
      <c r="T1112">
        <f t="shared" si="1033"/>
        <v>-0.10073624668607134</v>
      </c>
    </row>
    <row r="1113" spans="1:20" x14ac:dyDescent="0.25">
      <c r="A1113" s="5">
        <v>43480</v>
      </c>
      <c r="B1113">
        <v>0.29959999999999998</v>
      </c>
      <c r="C1113">
        <v>0.3034</v>
      </c>
      <c r="D1113">
        <v>0.27589999999999998</v>
      </c>
      <c r="E1113">
        <v>0.29060000000000002</v>
      </c>
      <c r="F1113">
        <v>3389684.42</v>
      </c>
      <c r="G1113">
        <v>0</v>
      </c>
      <c r="L1113" t="s">
        <v>8</v>
      </c>
      <c r="M1113" t="s">
        <v>7</v>
      </c>
      <c r="N1113" t="s">
        <v>7</v>
      </c>
      <c r="P1113">
        <f t="shared" si="1029"/>
        <v>6.9090909090911506E-2</v>
      </c>
      <c r="Q1113">
        <f t="shared" si="1030"/>
        <v>234196.37810909908</v>
      </c>
      <c r="R1113">
        <f t="shared" si="1031"/>
        <v>-9355933.5926916413</v>
      </c>
      <c r="S1113">
        <f t="shared" si="1032"/>
        <v>-93.559335926916418</v>
      </c>
      <c r="T1113">
        <f t="shared" si="1033"/>
        <v>-9.3559335926916412E-2</v>
      </c>
    </row>
    <row r="1114" spans="1:20" x14ac:dyDescent="0.25">
      <c r="A1114" s="5">
        <v>43479</v>
      </c>
      <c r="B1114">
        <v>0.27860000000000001</v>
      </c>
      <c r="C1114">
        <v>0.315</v>
      </c>
      <c r="D1114">
        <v>0.27360000000000001</v>
      </c>
      <c r="E1114">
        <v>0.29909999999999998</v>
      </c>
      <c r="F1114">
        <v>4753096.09</v>
      </c>
      <c r="G1114">
        <v>0</v>
      </c>
      <c r="L1114" t="s">
        <v>7</v>
      </c>
      <c r="M1114" t="s">
        <v>7</v>
      </c>
      <c r="N1114" t="s">
        <v>7</v>
      </c>
      <c r="P1114">
        <f t="shared" si="1029"/>
        <v>0.23188405797101314</v>
      </c>
      <c r="Q1114">
        <f t="shared" si="1030"/>
        <v>1102167.2092753558</v>
      </c>
      <c r="R1114">
        <f t="shared" si="1031"/>
        <v>-9590129.9708007406</v>
      </c>
      <c r="S1114">
        <f t="shared" si="1032"/>
        <v>-95.9012997080074</v>
      </c>
      <c r="T1114">
        <f t="shared" si="1033"/>
        <v>-9.5901299708007398E-2</v>
      </c>
    </row>
    <row r="1115" spans="1:20" x14ac:dyDescent="0.25">
      <c r="A1115" s="5">
        <v>43478</v>
      </c>
      <c r="B1115">
        <v>0.30220000000000002</v>
      </c>
      <c r="C1115">
        <v>0.3054</v>
      </c>
      <c r="D1115">
        <v>0.27679999999999999</v>
      </c>
      <c r="E1115">
        <v>0.27860000000000001</v>
      </c>
      <c r="F1115">
        <v>2671643.5299999998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-0.8741258741258725</v>
      </c>
      <c r="Q1115">
        <f t="shared" si="1030"/>
        <v>-2335352.7360139815</v>
      </c>
      <c r="R1115">
        <f t="shared" si="1031"/>
        <v>-10692297.180076096</v>
      </c>
      <c r="S1115">
        <f t="shared" si="1032"/>
        <v>-106.92297180076096</v>
      </c>
      <c r="T1115">
        <f t="shared" si="1033"/>
        <v>-0.10692297180076096</v>
      </c>
    </row>
    <row r="1116" spans="1:20" x14ac:dyDescent="0.25">
      <c r="A1116" s="5">
        <v>43477</v>
      </c>
      <c r="B1116">
        <v>0.30680000000000002</v>
      </c>
      <c r="C1116">
        <v>0.31119999999999998</v>
      </c>
      <c r="D1116">
        <v>0.29380000000000001</v>
      </c>
      <c r="E1116">
        <v>0.30209999999999998</v>
      </c>
      <c r="F1116">
        <v>2471682.4</v>
      </c>
      <c r="G1116">
        <v>0</v>
      </c>
      <c r="L1116" t="s">
        <v>8</v>
      </c>
      <c r="M1116" t="s">
        <v>7</v>
      </c>
      <c r="N1116" t="s">
        <v>7</v>
      </c>
      <c r="P1116">
        <f t="shared" si="1029"/>
        <v>-4.5977011494254268E-2</v>
      </c>
      <c r="Q1116">
        <f t="shared" si="1030"/>
        <v>-113640.57011494596</v>
      </c>
      <c r="R1116">
        <f t="shared" si="1031"/>
        <v>-8356944.4440621156</v>
      </c>
      <c r="S1116">
        <f t="shared" si="1032"/>
        <v>-83.569444440621155</v>
      </c>
      <c r="T1116">
        <f t="shared" si="1033"/>
        <v>-8.3569444440621157E-2</v>
      </c>
    </row>
    <row r="1117" spans="1:20" x14ac:dyDescent="0.25">
      <c r="A1117" s="5">
        <v>43476</v>
      </c>
      <c r="B1117">
        <v>0.3034</v>
      </c>
      <c r="C1117">
        <v>0.31619999999999998</v>
      </c>
      <c r="D1117">
        <v>0.29770000000000002</v>
      </c>
      <c r="E1117">
        <v>0.30709999999999998</v>
      </c>
      <c r="F1117">
        <v>4211380.47</v>
      </c>
      <c r="G1117">
        <v>0</v>
      </c>
      <c r="L1117" t="s">
        <v>8</v>
      </c>
      <c r="M1117" t="s">
        <v>7</v>
      </c>
      <c r="N1117" t="s">
        <v>7</v>
      </c>
      <c r="P1117">
        <f t="shared" si="1029"/>
        <v>1.6216216216214465E-2</v>
      </c>
      <c r="Q1117">
        <f t="shared" si="1030"/>
        <v>68292.656270262887</v>
      </c>
      <c r="R1117">
        <f t="shared" si="1031"/>
        <v>-8243303.8739471696</v>
      </c>
      <c r="S1117">
        <f t="shared" si="1032"/>
        <v>-82.433038739471698</v>
      </c>
      <c r="T1117">
        <f t="shared" si="1033"/>
        <v>-8.2433038739471692E-2</v>
      </c>
    </row>
    <row r="1118" spans="1:20" x14ac:dyDescent="0.25">
      <c r="A1118" s="5">
        <v>43475</v>
      </c>
      <c r="B1118">
        <v>0.3634</v>
      </c>
      <c r="C1118">
        <v>0.36549999999999999</v>
      </c>
      <c r="D1118">
        <v>0.2888</v>
      </c>
      <c r="E1118">
        <v>0.3034</v>
      </c>
      <c r="F1118">
        <v>8441024.2200000007</v>
      </c>
      <c r="G1118">
        <v>0</v>
      </c>
      <c r="L1118" t="s">
        <v>7</v>
      </c>
      <c r="M1118" t="s">
        <v>7</v>
      </c>
      <c r="N1118" t="s">
        <v>7</v>
      </c>
      <c r="P1118">
        <f t="shared" si="1029"/>
        <v>-0.61929595827900907</v>
      </c>
      <c r="Q1118">
        <f t="shared" si="1030"/>
        <v>-5227492.1831812253</v>
      </c>
      <c r="R1118">
        <f t="shared" si="1031"/>
        <v>-8311596.5302174324</v>
      </c>
      <c r="S1118">
        <f t="shared" si="1032"/>
        <v>-83.115965302174331</v>
      </c>
      <c r="T1118">
        <f t="shared" si="1033"/>
        <v>-8.3115965302174327E-2</v>
      </c>
    </row>
    <row r="1119" spans="1:20" x14ac:dyDescent="0.25">
      <c r="A1119" s="5">
        <v>43474</v>
      </c>
      <c r="B1119">
        <v>0.35699999999999998</v>
      </c>
      <c r="C1119">
        <v>0.3669</v>
      </c>
      <c r="D1119">
        <v>0.35360000000000003</v>
      </c>
      <c r="E1119">
        <v>0.36259999999999998</v>
      </c>
      <c r="F1119">
        <v>2842874.87</v>
      </c>
      <c r="G1119">
        <v>0</v>
      </c>
      <c r="L1119" t="s">
        <v>7</v>
      </c>
      <c r="M1119" t="s">
        <v>8</v>
      </c>
      <c r="N1119" t="s">
        <v>8</v>
      </c>
      <c r="P1119">
        <f t="shared" si="1029"/>
        <v>0.35338345864661158</v>
      </c>
      <c r="Q1119">
        <f t="shared" si="1030"/>
        <v>1004624.9540601363</v>
      </c>
      <c r="R1119">
        <f t="shared" si="1031"/>
        <v>-3084104.3470362071</v>
      </c>
      <c r="S1119">
        <f t="shared" si="1032"/>
        <v>-30.84104347036207</v>
      </c>
      <c r="T1119">
        <f t="shared" si="1033"/>
        <v>-3.0841043470362071E-2</v>
      </c>
    </row>
    <row r="1120" spans="1:20" x14ac:dyDescent="0.25">
      <c r="A1120" s="5">
        <v>43473</v>
      </c>
      <c r="B1120">
        <v>0.36130000000000001</v>
      </c>
      <c r="C1120">
        <v>0.36859999999999998</v>
      </c>
      <c r="D1120">
        <v>0.34649999999999997</v>
      </c>
      <c r="E1120">
        <v>0.35670000000000002</v>
      </c>
      <c r="F1120">
        <v>4239499</v>
      </c>
      <c r="G1120">
        <v>0</v>
      </c>
      <c r="L1120" t="s">
        <v>7</v>
      </c>
      <c r="M1120" t="s">
        <v>8</v>
      </c>
      <c r="N1120" t="s">
        <v>8</v>
      </c>
      <c r="P1120">
        <f t="shared" si="1029"/>
        <v>-7.6923076923073444E-2</v>
      </c>
      <c r="Q1120">
        <f t="shared" si="1030"/>
        <v>-326115.30769229296</v>
      </c>
      <c r="R1120">
        <f t="shared" si="1031"/>
        <v>-4088729.3010963434</v>
      </c>
      <c r="S1120">
        <f t="shared" si="1032"/>
        <v>-40.887293010963432</v>
      </c>
      <c r="T1120">
        <f t="shared" si="1033"/>
        <v>-4.088729301096343E-2</v>
      </c>
    </row>
    <row r="1121" spans="1:20" x14ac:dyDescent="0.25">
      <c r="A1121" s="5">
        <v>43472</v>
      </c>
      <c r="B1121">
        <v>0.37019999999999997</v>
      </c>
      <c r="C1121">
        <v>0.37390000000000001</v>
      </c>
      <c r="D1121">
        <v>0.35670000000000002</v>
      </c>
      <c r="E1121">
        <v>0.36199999999999999</v>
      </c>
      <c r="F1121">
        <v>2865837.81</v>
      </c>
      <c r="G1121">
        <v>0</v>
      </c>
      <c r="L1121" t="s">
        <v>8</v>
      </c>
      <c r="M1121" t="s">
        <v>8</v>
      </c>
      <c r="N1121" t="s">
        <v>8</v>
      </c>
      <c r="P1121">
        <f t="shared" si="1029"/>
        <v>-0.38372093023256121</v>
      </c>
      <c r="Q1121">
        <f t="shared" si="1030"/>
        <v>-1099681.9503488459</v>
      </c>
      <c r="R1121">
        <f t="shared" si="1031"/>
        <v>-3762613.9934040504</v>
      </c>
      <c r="S1121">
        <f t="shared" si="1032"/>
        <v>-37.626139934040502</v>
      </c>
      <c r="T1121">
        <f t="shared" si="1033"/>
        <v>-3.7626139934040501E-2</v>
      </c>
    </row>
    <row r="1122" spans="1:20" x14ac:dyDescent="0.25">
      <c r="A1122" s="5">
        <v>43471</v>
      </c>
      <c r="B1122">
        <v>0.36149999999999999</v>
      </c>
      <c r="C1122">
        <v>0.37819999999999998</v>
      </c>
      <c r="D1122">
        <v>0.34839999999999999</v>
      </c>
      <c r="E1122">
        <v>0.37030000000000002</v>
      </c>
      <c r="F1122">
        <v>3987622.94</v>
      </c>
      <c r="G1122">
        <v>0</v>
      </c>
      <c r="L1122" t="s">
        <v>7</v>
      </c>
      <c r="M1122" t="s">
        <v>8</v>
      </c>
      <c r="N1122" t="s">
        <v>8</v>
      </c>
      <c r="P1122">
        <f t="shared" si="1029"/>
        <v>0.46979865771812318</v>
      </c>
      <c r="Q1122">
        <f t="shared" si="1030"/>
        <v>1873379.9046979961</v>
      </c>
      <c r="R1122">
        <f t="shared" si="1031"/>
        <v>-2662932.0430552042</v>
      </c>
      <c r="S1122">
        <f t="shared" si="1032"/>
        <v>-26.629320430552042</v>
      </c>
      <c r="T1122">
        <f t="shared" si="1033"/>
        <v>-2.6629320430552043E-2</v>
      </c>
    </row>
    <row r="1123" spans="1:20" x14ac:dyDescent="0.25">
      <c r="A1123" s="5">
        <v>43470</v>
      </c>
      <c r="B1123">
        <v>0.36749999999999999</v>
      </c>
      <c r="C1123">
        <v>0.37959999999999999</v>
      </c>
      <c r="D1123">
        <v>0.35920000000000002</v>
      </c>
      <c r="E1123">
        <v>0.36249999999999999</v>
      </c>
      <c r="F1123">
        <v>2629539.89</v>
      </c>
      <c r="G1123">
        <v>0</v>
      </c>
      <c r="L1123" t="s">
        <v>8</v>
      </c>
      <c r="M1123" t="s">
        <v>8</v>
      </c>
      <c r="N1123" t="s">
        <v>8</v>
      </c>
      <c r="P1123">
        <f t="shared" si="1029"/>
        <v>-0.67647058823529671</v>
      </c>
      <c r="Q1123">
        <f t="shared" si="1030"/>
        <v>-1778806.3961764774</v>
      </c>
      <c r="R1123">
        <f t="shared" si="1031"/>
        <v>-4536311.9477532003</v>
      </c>
      <c r="S1123">
        <f t="shared" si="1032"/>
        <v>-45.363119477532003</v>
      </c>
      <c r="T1123">
        <f t="shared" si="1033"/>
        <v>-4.5363119477532E-2</v>
      </c>
    </row>
    <row r="1124" spans="1:20" x14ac:dyDescent="0.25">
      <c r="A1124" s="5">
        <v>43469</v>
      </c>
      <c r="B1124">
        <v>0.36930000000000002</v>
      </c>
      <c r="C1124">
        <v>0.38090000000000002</v>
      </c>
      <c r="D1124">
        <v>0.3548</v>
      </c>
      <c r="E1124">
        <v>0.3674</v>
      </c>
      <c r="F1124">
        <v>3746699.81</v>
      </c>
      <c r="G1124">
        <v>0</v>
      </c>
      <c r="L1124" t="s">
        <v>7</v>
      </c>
      <c r="M1124" t="s">
        <v>8</v>
      </c>
      <c r="N1124" t="s">
        <v>8</v>
      </c>
      <c r="P1124">
        <f t="shared" si="1029"/>
        <v>-3.4482758620690092E-2</v>
      </c>
      <c r="Q1124">
        <f t="shared" si="1030"/>
        <v>-129196.54517241543</v>
      </c>
      <c r="R1124">
        <f t="shared" si="1031"/>
        <v>-2757505.5515767229</v>
      </c>
      <c r="S1124">
        <f t="shared" si="1032"/>
        <v>-27.575055515767229</v>
      </c>
      <c r="T1124">
        <f t="shared" si="1033"/>
        <v>-2.7575055515767229E-2</v>
      </c>
    </row>
    <row r="1125" spans="1:20" x14ac:dyDescent="0.25">
      <c r="A1125" s="5">
        <v>43468</v>
      </c>
      <c r="B1125">
        <v>0.38229999999999997</v>
      </c>
      <c r="C1125">
        <v>0.38829999999999998</v>
      </c>
      <c r="D1125">
        <v>0.36199999999999999</v>
      </c>
      <c r="E1125">
        <v>0.36909999999999998</v>
      </c>
      <c r="F1125">
        <v>4505779.32</v>
      </c>
      <c r="G1125">
        <v>0</v>
      </c>
      <c r="L1125" t="s">
        <v>8</v>
      </c>
      <c r="M1125" t="s">
        <v>8</v>
      </c>
      <c r="N1125" t="s">
        <v>8</v>
      </c>
      <c r="P1125">
        <f t="shared" si="1029"/>
        <v>-0.46007604562737658</v>
      </c>
      <c r="Q1125">
        <f t="shared" si="1030"/>
        <v>-2073001.1320152099</v>
      </c>
      <c r="R1125">
        <f t="shared" si="1031"/>
        <v>-2628309.0064043077</v>
      </c>
      <c r="S1125">
        <f t="shared" si="1032"/>
        <v>-26.283090064043076</v>
      </c>
      <c r="T1125">
        <f t="shared" si="1033"/>
        <v>-2.6283090064043075E-2</v>
      </c>
    </row>
    <row r="1126" spans="1:20" x14ac:dyDescent="0.25">
      <c r="A1126" s="5">
        <v>43467</v>
      </c>
      <c r="B1126">
        <v>0.36099999999999999</v>
      </c>
      <c r="C1126">
        <v>0.38550000000000001</v>
      </c>
      <c r="D1126">
        <v>0.3538</v>
      </c>
      <c r="E1126">
        <v>0.3826</v>
      </c>
      <c r="F1126">
        <v>5776286.9800000004</v>
      </c>
      <c r="G1126">
        <v>0</v>
      </c>
      <c r="L1126" t="s">
        <v>8</v>
      </c>
      <c r="M1126" t="s">
        <v>8</v>
      </c>
      <c r="N1126" t="s">
        <v>8</v>
      </c>
      <c r="P1126">
        <f t="shared" si="1029"/>
        <v>0.81703470031545655</v>
      </c>
      <c r="Q1126">
        <f t="shared" si="1030"/>
        <v>4719426.9016403742</v>
      </c>
      <c r="R1126">
        <f t="shared" si="1031"/>
        <v>-555307.87438909803</v>
      </c>
      <c r="S1126">
        <f t="shared" si="1032"/>
        <v>-5.5530787438909801</v>
      </c>
      <c r="T1126">
        <f t="shared" si="1033"/>
        <v>-5.5530787438909804E-3</v>
      </c>
    </row>
    <row r="1127" spans="1:20" x14ac:dyDescent="0.25">
      <c r="A1127" s="5">
        <v>43466</v>
      </c>
      <c r="B1127">
        <v>0.34839999999999999</v>
      </c>
      <c r="C1127">
        <v>0.3644</v>
      </c>
      <c r="D1127">
        <v>0.34100000000000003</v>
      </c>
      <c r="E1127">
        <v>0.36120000000000002</v>
      </c>
      <c r="F1127">
        <v>2130363.61</v>
      </c>
      <c r="G1127">
        <v>0</v>
      </c>
      <c r="L1127" t="s">
        <v>7</v>
      </c>
      <c r="M1127" t="s">
        <v>8</v>
      </c>
      <c r="N1127" t="s">
        <v>8</v>
      </c>
      <c r="P1127">
        <f t="shared" si="1029"/>
        <v>0.72649572649572791</v>
      </c>
      <c r="Q1127">
        <f t="shared" si="1030"/>
        <v>1547700.0585470116</v>
      </c>
      <c r="R1127">
        <f t="shared" si="1031"/>
        <v>-5274734.7760294722</v>
      </c>
      <c r="S1127">
        <f t="shared" si="1032"/>
        <v>-52.747347760294723</v>
      </c>
      <c r="T1127">
        <f t="shared" si="1033"/>
        <v>-5.2747347760294723E-2</v>
      </c>
    </row>
    <row r="1128" spans="1:20" x14ac:dyDescent="0.25">
      <c r="A1128" s="5">
        <v>43465</v>
      </c>
      <c r="B1128">
        <v>0.35060000000000002</v>
      </c>
      <c r="C1128">
        <v>0.36480000000000001</v>
      </c>
      <c r="D1128">
        <v>0.33760000000000001</v>
      </c>
      <c r="E1128">
        <v>0.34899999999999998</v>
      </c>
      <c r="F1128">
        <v>3635992.17</v>
      </c>
      <c r="G1128">
        <v>0</v>
      </c>
      <c r="L1128" t="s">
        <v>8</v>
      </c>
      <c r="M1128" t="s">
        <v>8</v>
      </c>
      <c r="N1128" t="s">
        <v>8</v>
      </c>
      <c r="P1128">
        <f t="shared" si="1029"/>
        <v>-0.16176470588235553</v>
      </c>
      <c r="Q1128">
        <f t="shared" si="1030"/>
        <v>-588175.20397059759</v>
      </c>
      <c r="R1128">
        <f t="shared" si="1031"/>
        <v>-6822434.8345764838</v>
      </c>
      <c r="S1128">
        <f t="shared" si="1032"/>
        <v>-68.224348345764838</v>
      </c>
      <c r="T1128">
        <f t="shared" si="1033"/>
        <v>-6.8224348345764838E-2</v>
      </c>
    </row>
    <row r="1129" spans="1:20" x14ac:dyDescent="0.25">
      <c r="A1129" s="5">
        <v>43464</v>
      </c>
      <c r="B1129">
        <v>0.3377</v>
      </c>
      <c r="C1129">
        <v>0.35449999999999998</v>
      </c>
      <c r="D1129">
        <v>0.33350000000000002</v>
      </c>
      <c r="E1129">
        <v>0.34899999999999998</v>
      </c>
      <c r="F1129">
        <v>3219153.97</v>
      </c>
      <c r="G1129">
        <v>0</v>
      </c>
      <c r="L1129" t="s">
        <v>7</v>
      </c>
      <c r="M1129" t="s">
        <v>8</v>
      </c>
      <c r="N1129" t="s">
        <v>8</v>
      </c>
      <c r="P1129">
        <f t="shared" si="1029"/>
        <v>0.47619047619047483</v>
      </c>
      <c r="Q1129">
        <f t="shared" si="1030"/>
        <v>1532930.4619047577</v>
      </c>
      <c r="R1129">
        <f t="shared" si="1031"/>
        <v>-6234259.6306058867</v>
      </c>
      <c r="S1129">
        <f t="shared" si="1032"/>
        <v>-62.342596306058866</v>
      </c>
      <c r="T1129">
        <f t="shared" si="1033"/>
        <v>-6.2342596306058866E-2</v>
      </c>
    </row>
    <row r="1130" spans="1:20" x14ac:dyDescent="0.25">
      <c r="A1130" s="5">
        <v>43463</v>
      </c>
      <c r="B1130">
        <v>0.35670000000000002</v>
      </c>
      <c r="C1130">
        <v>0.36159999999999998</v>
      </c>
      <c r="D1130">
        <v>0.33500000000000002</v>
      </c>
      <c r="E1130">
        <v>0.33839999999999998</v>
      </c>
      <c r="F1130">
        <v>5037461.1100000003</v>
      </c>
      <c r="G1130">
        <v>0</v>
      </c>
      <c r="L1130" t="s">
        <v>7</v>
      </c>
      <c r="M1130" t="s">
        <v>8</v>
      </c>
      <c r="N1130" t="s">
        <v>8</v>
      </c>
      <c r="P1130">
        <f t="shared" si="1029"/>
        <v>-0.74436090225564178</v>
      </c>
      <c r="Q1130">
        <f t="shared" si="1030"/>
        <v>-3749689.096917307</v>
      </c>
      <c r="R1130">
        <f t="shared" si="1031"/>
        <v>-7767190.0925106443</v>
      </c>
      <c r="S1130">
        <f t="shared" si="1032"/>
        <v>-77.671900925106442</v>
      </c>
      <c r="T1130">
        <f t="shared" si="1033"/>
        <v>-7.7671900925106438E-2</v>
      </c>
    </row>
    <row r="1131" spans="1:20" x14ac:dyDescent="0.25">
      <c r="A1131" s="5">
        <v>43462</v>
      </c>
      <c r="B1131">
        <v>0.30890000000000001</v>
      </c>
      <c r="C1131">
        <v>0.36</v>
      </c>
      <c r="D1131">
        <v>0.30580000000000002</v>
      </c>
      <c r="E1131">
        <v>0.35680000000000001</v>
      </c>
      <c r="F1131">
        <v>5992587.7999999998</v>
      </c>
      <c r="G1131">
        <v>0</v>
      </c>
      <c r="L1131" t="s">
        <v>8</v>
      </c>
      <c r="M1131" t="s">
        <v>8</v>
      </c>
      <c r="N1131" t="s">
        <v>8</v>
      </c>
      <c r="P1131">
        <f t="shared" si="1029"/>
        <v>0.88191881918819248</v>
      </c>
      <c r="Q1131">
        <f t="shared" si="1030"/>
        <v>5284975.9564575683</v>
      </c>
      <c r="R1131">
        <f t="shared" si="1031"/>
        <v>-4017500.9955933373</v>
      </c>
      <c r="S1131">
        <f t="shared" si="1032"/>
        <v>-40.175009955933376</v>
      </c>
      <c r="T1131">
        <f t="shared" si="1033"/>
        <v>-4.0175009955933379E-2</v>
      </c>
    </row>
    <row r="1132" spans="1:20" x14ac:dyDescent="0.25">
      <c r="A1132" s="5">
        <v>43461</v>
      </c>
      <c r="B1132">
        <v>0.32469999999999999</v>
      </c>
      <c r="C1132">
        <v>0.3296</v>
      </c>
      <c r="D1132">
        <v>0.30530000000000002</v>
      </c>
      <c r="E1132">
        <v>0.31</v>
      </c>
      <c r="F1132">
        <v>3951071.64</v>
      </c>
      <c r="G1132">
        <v>0</v>
      </c>
      <c r="L1132" t="s">
        <v>7</v>
      </c>
      <c r="M1132" t="s">
        <v>7</v>
      </c>
      <c r="N1132" t="s">
        <v>8</v>
      </c>
      <c r="P1132">
        <f t="shared" si="1029"/>
        <v>-0.61316872427983671</v>
      </c>
      <c r="Q1132">
        <f t="shared" si="1030"/>
        <v>-2422673.5570370425</v>
      </c>
      <c r="R1132">
        <f t="shared" si="1031"/>
        <v>-9302476.9520509057</v>
      </c>
      <c r="S1132">
        <f t="shared" si="1032"/>
        <v>-93.024769520509054</v>
      </c>
      <c r="T1132">
        <f t="shared" si="1033"/>
        <v>-9.302476952050906E-2</v>
      </c>
    </row>
    <row r="1133" spans="1:20" x14ac:dyDescent="0.25">
      <c r="A1133" s="5">
        <v>43460</v>
      </c>
      <c r="B1133">
        <v>0.3246</v>
      </c>
      <c r="C1133">
        <v>0.34250000000000003</v>
      </c>
      <c r="D1133">
        <v>0.30730000000000002</v>
      </c>
      <c r="E1133">
        <v>0.3246</v>
      </c>
      <c r="F1133">
        <v>4950297.2300000004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-1.7045454545455817E-2</v>
      </c>
      <c r="Q1133">
        <f t="shared" si="1030"/>
        <v>-84380.066420460847</v>
      </c>
      <c r="R1133">
        <f t="shared" si="1031"/>
        <v>-6879803.3950138623</v>
      </c>
      <c r="S1133">
        <f t="shared" si="1032"/>
        <v>-68.798033950138617</v>
      </c>
      <c r="T1133">
        <f t="shared" si="1033"/>
        <v>-6.8798033950138615E-2</v>
      </c>
    </row>
    <row r="1134" spans="1:20" x14ac:dyDescent="0.25">
      <c r="A1134" s="5">
        <v>43459</v>
      </c>
      <c r="B1134">
        <v>0.34989999999999999</v>
      </c>
      <c r="C1134">
        <v>0.35520000000000002</v>
      </c>
      <c r="D1134">
        <v>0.30449999999999999</v>
      </c>
      <c r="E1134">
        <v>0.32469999999999999</v>
      </c>
      <c r="F1134">
        <v>7706172.1699999999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-0.20315581854043446</v>
      </c>
      <c r="Q1134">
        <f t="shared" si="1030"/>
        <v>-1565553.715009866</v>
      </c>
      <c r="R1134">
        <f t="shared" si="1031"/>
        <v>-6795423.3285934012</v>
      </c>
      <c r="S1134">
        <f t="shared" si="1032"/>
        <v>-67.954233285934009</v>
      </c>
      <c r="T1134">
        <f t="shared" si="1033"/>
        <v>-6.7954233285934015E-2</v>
      </c>
    </row>
    <row r="1135" spans="1:20" x14ac:dyDescent="0.25">
      <c r="A1135" s="5">
        <v>43458</v>
      </c>
      <c r="B1135">
        <v>0.3574</v>
      </c>
      <c r="C1135">
        <v>0.38550000000000001</v>
      </c>
      <c r="D1135">
        <v>0.34720000000000001</v>
      </c>
      <c r="E1135">
        <v>0.35170000000000001</v>
      </c>
      <c r="F1135">
        <v>7517137.8600000003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-0.76501305483028703</v>
      </c>
      <c r="Q1135">
        <f t="shared" si="1030"/>
        <v>-5750708.5978590064</v>
      </c>
      <c r="R1135">
        <f t="shared" si="1031"/>
        <v>-5229869.613583535</v>
      </c>
      <c r="S1135">
        <f t="shared" si="1032"/>
        <v>-52.29869613583535</v>
      </c>
      <c r="T1135">
        <f t="shared" si="1033"/>
        <v>-5.2298696135835349E-2</v>
      </c>
    </row>
    <row r="1136" spans="1:20" x14ac:dyDescent="0.25">
      <c r="A1136" s="5">
        <v>43457</v>
      </c>
      <c r="B1136">
        <v>0.33660000000000001</v>
      </c>
      <c r="C1136">
        <v>0.37669999999999998</v>
      </c>
      <c r="D1136">
        <v>0.3337</v>
      </c>
      <c r="E1136">
        <v>0.35730000000000001</v>
      </c>
      <c r="F1136">
        <v>6944905.2800000003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9.7674418604652063E-2</v>
      </c>
      <c r="Q1136">
        <f t="shared" si="1030"/>
        <v>678339.58548837842</v>
      </c>
      <c r="R1136">
        <f t="shared" si="1031"/>
        <v>520838.98427547177</v>
      </c>
      <c r="S1136">
        <f t="shared" si="1032"/>
        <v>5.2083898427547179</v>
      </c>
      <c r="T1136">
        <f t="shared" si="1033"/>
        <v>5.2083898427547183E-3</v>
      </c>
    </row>
    <row r="1137" spans="1:20" x14ac:dyDescent="0.25">
      <c r="A1137" s="5">
        <v>43456</v>
      </c>
      <c r="B1137">
        <v>0.31840000000000002</v>
      </c>
      <c r="C1137">
        <v>0.34129999999999999</v>
      </c>
      <c r="D1137">
        <v>0.31719999999999998</v>
      </c>
      <c r="E1137">
        <v>0.33739999999999998</v>
      </c>
      <c r="F1137">
        <v>4136234.59</v>
      </c>
      <c r="G1137">
        <v>0</v>
      </c>
      <c r="L1137" t="s">
        <v>8</v>
      </c>
      <c r="M1137" t="s">
        <v>8</v>
      </c>
      <c r="N1137" t="s">
        <v>8</v>
      </c>
      <c r="P1137">
        <f t="shared" si="1029"/>
        <v>0.67634854771784125</v>
      </c>
      <c r="Q1137">
        <f t="shared" si="1030"/>
        <v>2797536.2579668006</v>
      </c>
      <c r="R1137">
        <f t="shared" si="1031"/>
        <v>-157500.60121290665</v>
      </c>
      <c r="S1137">
        <f t="shared" si="1032"/>
        <v>-1.5750060121290665</v>
      </c>
      <c r="T1137">
        <f t="shared" si="1033"/>
        <v>-1.5750060121290665E-3</v>
      </c>
    </row>
    <row r="1138" spans="1:20" x14ac:dyDescent="0.25">
      <c r="A1138" s="5">
        <v>43455</v>
      </c>
      <c r="B1138">
        <v>0.34060000000000001</v>
      </c>
      <c r="C1138">
        <v>0.34599999999999997</v>
      </c>
      <c r="D1138">
        <v>0.30780000000000002</v>
      </c>
      <c r="E1138">
        <v>0.31769999999999998</v>
      </c>
      <c r="F1138">
        <v>9213294.9800000004</v>
      </c>
      <c r="G1138">
        <v>0</v>
      </c>
      <c r="L1138" t="s">
        <v>7</v>
      </c>
      <c r="M1138" t="s">
        <v>8</v>
      </c>
      <c r="N1138" t="s">
        <v>8</v>
      </c>
      <c r="P1138">
        <f t="shared" si="1029"/>
        <v>-0.48167539267015835</v>
      </c>
      <c r="Q1138">
        <f t="shared" si="1030"/>
        <v>-4437817.4772774987</v>
      </c>
      <c r="R1138">
        <f t="shared" si="1031"/>
        <v>-2955036.8591797072</v>
      </c>
      <c r="S1138">
        <f t="shared" si="1032"/>
        <v>-29.550368591797074</v>
      </c>
      <c r="T1138">
        <f t="shared" si="1033"/>
        <v>-2.9550368591797074E-2</v>
      </c>
    </row>
    <row r="1139" spans="1:20" x14ac:dyDescent="0.25">
      <c r="A1139" s="5">
        <v>43454</v>
      </c>
      <c r="B1139">
        <v>0.2732</v>
      </c>
      <c r="C1139">
        <v>0.34429999999999999</v>
      </c>
      <c r="D1139">
        <v>0.27100000000000002</v>
      </c>
      <c r="E1139">
        <v>0.34050000000000002</v>
      </c>
      <c r="F1139">
        <v>12242511.66</v>
      </c>
      <c r="G1139">
        <v>0</v>
      </c>
      <c r="L1139" t="s">
        <v>8</v>
      </c>
      <c r="M1139" t="s">
        <v>8</v>
      </c>
      <c r="N1139" t="s">
        <v>8</v>
      </c>
      <c r="P1139">
        <f t="shared" si="1029"/>
        <v>0.89631650750341141</v>
      </c>
      <c r="Q1139">
        <f t="shared" si="1030"/>
        <v>10973165.294160992</v>
      </c>
      <c r="R1139">
        <f t="shared" si="1031"/>
        <v>1482780.6180977914</v>
      </c>
      <c r="S1139">
        <f t="shared" si="1032"/>
        <v>14.827806180977914</v>
      </c>
      <c r="T1139">
        <f t="shared" si="1033"/>
        <v>1.4827806180977914E-2</v>
      </c>
    </row>
    <row r="1140" spans="1:20" x14ac:dyDescent="0.25">
      <c r="A1140" s="5">
        <v>43453</v>
      </c>
      <c r="B1140">
        <v>0.28610000000000002</v>
      </c>
      <c r="C1140">
        <v>0.31469999999999998</v>
      </c>
      <c r="D1140">
        <v>0.27010000000000001</v>
      </c>
      <c r="E1140">
        <v>0.27339999999999998</v>
      </c>
      <c r="F1140">
        <v>13903688.460000001</v>
      </c>
      <c r="G1140">
        <v>0</v>
      </c>
      <c r="L1140" t="s">
        <v>8</v>
      </c>
      <c r="M1140" t="s">
        <v>8</v>
      </c>
      <c r="N1140" t="s">
        <v>8</v>
      </c>
      <c r="P1140">
        <f t="shared" si="1029"/>
        <v>-0.85201793721973218</v>
      </c>
      <c r="Q1140">
        <f t="shared" si="1030"/>
        <v>-11846191.961434996</v>
      </c>
      <c r="R1140">
        <f t="shared" si="1031"/>
        <v>-9490384.6760632005</v>
      </c>
      <c r="S1140">
        <f t="shared" si="1032"/>
        <v>-94.903846760632007</v>
      </c>
      <c r="T1140">
        <f t="shared" si="1033"/>
        <v>-9.4903846760632002E-2</v>
      </c>
    </row>
    <row r="1141" spans="1:20" x14ac:dyDescent="0.25">
      <c r="A1141" s="5">
        <v>43452</v>
      </c>
      <c r="B1141">
        <v>0.25309999999999999</v>
      </c>
      <c r="C1141">
        <v>0.28649999999999998</v>
      </c>
      <c r="D1141">
        <v>0.2445</v>
      </c>
      <c r="E1141">
        <v>0.28610000000000002</v>
      </c>
      <c r="F1141">
        <v>6074349.1600000001</v>
      </c>
      <c r="G1141">
        <v>0</v>
      </c>
      <c r="L1141" t="s">
        <v>8</v>
      </c>
      <c r="M1141" t="s">
        <v>8</v>
      </c>
      <c r="N1141" t="s">
        <v>7</v>
      </c>
      <c r="P1141">
        <f t="shared" si="1029"/>
        <v>0.98095238095238302</v>
      </c>
      <c r="Q1141">
        <f t="shared" si="1030"/>
        <v>5958647.2712381082</v>
      </c>
      <c r="R1141">
        <f t="shared" si="1031"/>
        <v>2355807.2853717958</v>
      </c>
      <c r="S1141">
        <f t="shared" si="1032"/>
        <v>23.558072853717956</v>
      </c>
      <c r="T1141">
        <f t="shared" si="1033"/>
        <v>2.3558072853717957E-2</v>
      </c>
    </row>
    <row r="1142" spans="1:20" x14ac:dyDescent="0.25">
      <c r="A1142" s="5">
        <v>43451</v>
      </c>
      <c r="B1142">
        <v>0.2205</v>
      </c>
      <c r="C1142">
        <v>0.2591</v>
      </c>
      <c r="D1142">
        <v>0.22009999999999999</v>
      </c>
      <c r="E1142">
        <v>0.25309999999999999</v>
      </c>
      <c r="F1142">
        <v>6018645.9900000002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0.69230769230769207</v>
      </c>
      <c r="Q1142">
        <f t="shared" si="1030"/>
        <v>4166754.9161538449</v>
      </c>
      <c r="R1142">
        <f t="shared" si="1031"/>
        <v>-3602839.9858663124</v>
      </c>
      <c r="S1142">
        <f t="shared" si="1032"/>
        <v>-36.028399858663121</v>
      </c>
      <c r="T1142">
        <f t="shared" si="1033"/>
        <v>-3.6028399858663122E-2</v>
      </c>
    </row>
    <row r="1143" spans="1:20" x14ac:dyDescent="0.25">
      <c r="A1143" s="5">
        <v>43450</v>
      </c>
      <c r="B1143">
        <v>0.2177</v>
      </c>
      <c r="C1143">
        <v>0.23</v>
      </c>
      <c r="D1143">
        <v>0.217</v>
      </c>
      <c r="E1143">
        <v>0.2203</v>
      </c>
      <c r="F1143">
        <v>2150704.9900000002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-0.49230769230769317</v>
      </c>
      <c r="Q1143">
        <f t="shared" si="1030"/>
        <v>-1058808.6104615405</v>
      </c>
      <c r="R1143">
        <f t="shared" si="1031"/>
        <v>-7769594.9020201573</v>
      </c>
      <c r="S1143">
        <f t="shared" si="1032"/>
        <v>-77.695949020201567</v>
      </c>
      <c r="T1143">
        <f t="shared" si="1033"/>
        <v>-7.7695949020201563E-2</v>
      </c>
    </row>
    <row r="1144" spans="1:20" x14ac:dyDescent="0.25">
      <c r="A1144" s="5">
        <v>43449</v>
      </c>
      <c r="B1144">
        <v>0.2117</v>
      </c>
      <c r="C1144">
        <v>0.22189999999999999</v>
      </c>
      <c r="D1144">
        <v>0.20630000000000001</v>
      </c>
      <c r="E1144">
        <v>0.21809999999999999</v>
      </c>
      <c r="F1144">
        <v>2150821.73</v>
      </c>
      <c r="G1144">
        <v>0</v>
      </c>
      <c r="L1144" t="s">
        <v>8</v>
      </c>
      <c r="M1144" t="s">
        <v>7</v>
      </c>
      <c r="N1144" t="s">
        <v>7</v>
      </c>
      <c r="P1144">
        <f t="shared" si="1029"/>
        <v>0.51282051282051233</v>
      </c>
      <c r="Q1144">
        <f t="shared" si="1030"/>
        <v>1102985.5025641015</v>
      </c>
      <c r="R1144">
        <f t="shared" si="1031"/>
        <v>-6710786.2915586168</v>
      </c>
      <c r="S1144">
        <f t="shared" si="1032"/>
        <v>-67.107862915586168</v>
      </c>
      <c r="T1144">
        <f t="shared" si="1033"/>
        <v>-6.7107862915586167E-2</v>
      </c>
    </row>
    <row r="1145" spans="1:20" x14ac:dyDescent="0.25">
      <c r="A1145" s="5">
        <v>43448</v>
      </c>
      <c r="B1145">
        <v>0.21840000000000001</v>
      </c>
      <c r="C1145">
        <v>0.21990000000000001</v>
      </c>
      <c r="D1145">
        <v>0.20200000000000001</v>
      </c>
      <c r="E1145">
        <v>0.2122</v>
      </c>
      <c r="F1145">
        <v>2432611.8199999998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0.13966480446927232</v>
      </c>
      <c r="Q1145">
        <f t="shared" si="1030"/>
        <v>339750.25418994064</v>
      </c>
      <c r="R1145">
        <f t="shared" si="1031"/>
        <v>-7813771.7941227183</v>
      </c>
      <c r="S1145">
        <f t="shared" si="1032"/>
        <v>-78.13771794122718</v>
      </c>
      <c r="T1145">
        <f t="shared" si="1033"/>
        <v>-7.8137717941227175E-2</v>
      </c>
    </row>
    <row r="1146" spans="1:20" x14ac:dyDescent="0.25">
      <c r="A1146" s="5">
        <v>43447</v>
      </c>
      <c r="B1146">
        <v>0.22869999999999999</v>
      </c>
      <c r="C1146">
        <v>0.22969999999999999</v>
      </c>
      <c r="D1146">
        <v>0.21199999999999999</v>
      </c>
      <c r="E1146">
        <v>0.21829999999999999</v>
      </c>
      <c r="F1146">
        <v>2040218.14</v>
      </c>
      <c r="G1146">
        <v>0</v>
      </c>
      <c r="L1146" t="s">
        <v>7</v>
      </c>
      <c r="M1146" t="s">
        <v>8</v>
      </c>
      <c r="N1146" t="s">
        <v>7</v>
      </c>
      <c r="P1146">
        <f t="shared" si="1029"/>
        <v>-0.28813559322033871</v>
      </c>
      <c r="Q1146">
        <f t="shared" si="1030"/>
        <v>-587859.46406779601</v>
      </c>
      <c r="R1146">
        <f t="shared" si="1031"/>
        <v>-8153522.0483126584</v>
      </c>
      <c r="S1146">
        <f t="shared" si="1032"/>
        <v>-81.535220483126579</v>
      </c>
      <c r="T1146">
        <f t="shared" si="1033"/>
        <v>-8.1535220483126586E-2</v>
      </c>
    </row>
    <row r="1147" spans="1:20" x14ac:dyDescent="0.25">
      <c r="A1147" s="5">
        <v>43446</v>
      </c>
      <c r="B1147">
        <v>0.22120000000000001</v>
      </c>
      <c r="C1147">
        <v>0.23400000000000001</v>
      </c>
      <c r="D1147">
        <v>0.21809999999999999</v>
      </c>
      <c r="E1147">
        <v>0.22919999999999999</v>
      </c>
      <c r="F1147">
        <v>1657258.36</v>
      </c>
      <c r="G1147">
        <v>0</v>
      </c>
      <c r="L1147" t="s">
        <v>8</v>
      </c>
      <c r="M1147" t="s">
        <v>8</v>
      </c>
      <c r="N1147" t="s">
        <v>7</v>
      </c>
      <c r="P1147">
        <f t="shared" si="1029"/>
        <v>0.39622641509433726</v>
      </c>
      <c r="Q1147">
        <f t="shared" si="1030"/>
        <v>656649.53886792064</v>
      </c>
      <c r="R1147">
        <f t="shared" si="1031"/>
        <v>-7565662.5842448622</v>
      </c>
      <c r="S1147">
        <f t="shared" si="1032"/>
        <v>-75.656625842448619</v>
      </c>
      <c r="T1147">
        <f t="shared" si="1033"/>
        <v>-7.5656625842448616E-2</v>
      </c>
    </row>
    <row r="1148" spans="1:20" x14ac:dyDescent="0.25">
      <c r="A1148" s="5">
        <v>43445</v>
      </c>
      <c r="B1148">
        <v>0.22700000000000001</v>
      </c>
      <c r="C1148">
        <v>0.22869999999999999</v>
      </c>
      <c r="D1148">
        <v>0.2152</v>
      </c>
      <c r="E1148">
        <v>0.22189999999999999</v>
      </c>
      <c r="F1148">
        <v>2415479.91</v>
      </c>
      <c r="G1148">
        <v>0</v>
      </c>
      <c r="L1148" t="s">
        <v>7</v>
      </c>
      <c r="M1148" t="s">
        <v>8</v>
      </c>
      <c r="N1148" t="s">
        <v>7</v>
      </c>
      <c r="P1148">
        <f t="shared" si="1029"/>
        <v>-7.4074074074086558E-3</v>
      </c>
      <c r="Q1148">
        <f t="shared" si="1030"/>
        <v>-17892.443777780794</v>
      </c>
      <c r="R1148">
        <f t="shared" si="1031"/>
        <v>-8222312.1231127828</v>
      </c>
      <c r="S1148">
        <f t="shared" si="1032"/>
        <v>-82.223121231127834</v>
      </c>
      <c r="T1148">
        <f t="shared" si="1033"/>
        <v>-8.2223121231127835E-2</v>
      </c>
    </row>
    <row r="1149" spans="1:20" x14ac:dyDescent="0.25">
      <c r="A1149" s="5">
        <v>43444</v>
      </c>
      <c r="B1149">
        <v>0.23219999999999999</v>
      </c>
      <c r="C1149">
        <v>0.23619999999999999</v>
      </c>
      <c r="D1149">
        <v>0.22159999999999999</v>
      </c>
      <c r="E1149">
        <v>0.22700000000000001</v>
      </c>
      <c r="F1149">
        <v>2640627.61</v>
      </c>
      <c r="G1149">
        <v>0</v>
      </c>
      <c r="L1149" t="s">
        <v>8</v>
      </c>
      <c r="M1149" t="s">
        <v>8</v>
      </c>
      <c r="N1149" t="s">
        <v>7</v>
      </c>
      <c r="P1149">
        <f t="shared" si="1029"/>
        <v>-0.26027397260273766</v>
      </c>
      <c r="Q1149">
        <f t="shared" si="1030"/>
        <v>-687286.6382191726</v>
      </c>
      <c r="R1149">
        <f t="shared" si="1031"/>
        <v>-8204419.6793350019</v>
      </c>
      <c r="S1149">
        <f t="shared" si="1032"/>
        <v>-82.044196793350025</v>
      </c>
      <c r="T1149">
        <f t="shared" si="1033"/>
        <v>-8.2044196793350024E-2</v>
      </c>
    </row>
    <row r="1150" spans="1:20" x14ac:dyDescent="0.25">
      <c r="A1150" s="5">
        <v>43443</v>
      </c>
      <c r="B1150">
        <v>0.22040000000000001</v>
      </c>
      <c r="C1150">
        <v>0.2442</v>
      </c>
      <c r="D1150">
        <v>0.2195</v>
      </c>
      <c r="E1150">
        <v>0.23219999999999999</v>
      </c>
      <c r="F1150">
        <v>2866560.92</v>
      </c>
      <c r="G1150">
        <v>0</v>
      </c>
      <c r="L1150" t="s">
        <v>7</v>
      </c>
      <c r="M1150" t="s">
        <v>8</v>
      </c>
      <c r="N1150" t="s">
        <v>7</v>
      </c>
      <c r="P1150">
        <f t="shared" si="1029"/>
        <v>2.8340080971659045E-2</v>
      </c>
      <c r="Q1150">
        <f t="shared" si="1030"/>
        <v>81238.568582993437</v>
      </c>
      <c r="R1150">
        <f t="shared" si="1031"/>
        <v>-7517133.0411158288</v>
      </c>
      <c r="S1150">
        <f t="shared" si="1032"/>
        <v>-75.171330411158294</v>
      </c>
      <c r="T1150">
        <f t="shared" si="1033"/>
        <v>-7.5171330411158296E-2</v>
      </c>
    </row>
    <row r="1151" spans="1:20" x14ac:dyDescent="0.25">
      <c r="A1151" s="5">
        <v>43442</v>
      </c>
      <c r="B1151">
        <v>0.23150000000000001</v>
      </c>
      <c r="C1151">
        <v>0.246</v>
      </c>
      <c r="D1151">
        <v>0.21199999999999999</v>
      </c>
      <c r="E1151">
        <v>0.2205</v>
      </c>
      <c r="F1151">
        <v>3572514.72</v>
      </c>
      <c r="G1151">
        <v>0</v>
      </c>
      <c r="L1151" t="s">
        <v>8</v>
      </c>
      <c r="M1151" t="s">
        <v>8</v>
      </c>
      <c r="N1151" t="s">
        <v>7</v>
      </c>
      <c r="P1151">
        <f t="shared" ref="P1151:P1195" si="1034">IF(C1151=D1151,0,((E1151-D1151)-(C1151-E1151))/(C1151-D1151))</f>
        <v>-0.49999999999999961</v>
      </c>
      <c r="Q1151">
        <f t="shared" ref="Q1151:Q1195" si="1035">F1151*P1151</f>
        <v>-1786257.3599999987</v>
      </c>
      <c r="R1151">
        <f t="shared" ref="R1151:R1195" si="1036">R1152+Q1151</f>
        <v>-7598371.6096988218</v>
      </c>
      <c r="S1151">
        <f t="shared" ref="S1151:S1195" si="1037">R1151/100000</f>
        <v>-75.983716096988218</v>
      </c>
      <c r="T1151">
        <f t="shared" ref="T1151:T1195" si="1038">S1151/1000</f>
        <v>-7.5983716096988216E-2</v>
      </c>
    </row>
    <row r="1152" spans="1:20" x14ac:dyDescent="0.25">
      <c r="A1152" s="5">
        <v>43441</v>
      </c>
      <c r="B1152">
        <v>0.22869999999999999</v>
      </c>
      <c r="C1152">
        <v>0.24199999999999999</v>
      </c>
      <c r="D1152">
        <v>0.20499999999999999</v>
      </c>
      <c r="E1152">
        <v>0.23150000000000001</v>
      </c>
      <c r="F1152">
        <v>6674309.2999999998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0.43243243243243351</v>
      </c>
      <c r="Q1152">
        <f t="shared" si="1035"/>
        <v>2886187.8054054123</v>
      </c>
      <c r="R1152">
        <f t="shared" si="1036"/>
        <v>-5812114.2496988233</v>
      </c>
      <c r="S1152">
        <f t="shared" si="1037"/>
        <v>-58.121142496988234</v>
      </c>
      <c r="T1152">
        <f t="shared" si="1038"/>
        <v>-5.8121142496988236E-2</v>
      </c>
    </row>
    <row r="1153" spans="1:20" x14ac:dyDescent="0.25">
      <c r="A1153" s="5">
        <v>43440</v>
      </c>
      <c r="B1153">
        <v>0.25440000000000002</v>
      </c>
      <c r="C1153">
        <v>0.2661</v>
      </c>
      <c r="D1153">
        <v>0.22689999999999999</v>
      </c>
      <c r="E1153">
        <v>0.2301</v>
      </c>
      <c r="F1153">
        <v>4654377.05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-0.83673469387755062</v>
      </c>
      <c r="Q1153">
        <f t="shared" si="1035"/>
        <v>-3894478.7561224471</v>
      </c>
      <c r="R1153">
        <f t="shared" si="1036"/>
        <v>-8698302.0551042352</v>
      </c>
      <c r="S1153">
        <f t="shared" si="1037"/>
        <v>-86.983020551042358</v>
      </c>
      <c r="T1153">
        <f t="shared" si="1038"/>
        <v>-8.6983020551042359E-2</v>
      </c>
    </row>
    <row r="1154" spans="1:20" x14ac:dyDescent="0.25">
      <c r="A1154" s="5">
        <v>43439</v>
      </c>
      <c r="B1154">
        <v>0.27579999999999999</v>
      </c>
      <c r="C1154">
        <v>0.27750000000000002</v>
      </c>
      <c r="D1154">
        <v>0.24940000000000001</v>
      </c>
      <c r="E1154">
        <v>0.25440000000000002</v>
      </c>
      <c r="F1154">
        <v>3125491.94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-0.64412811387900337</v>
      </c>
      <c r="Q1154">
        <f t="shared" si="1035"/>
        <v>-2013217.2282562272</v>
      </c>
      <c r="R1154">
        <f t="shared" si="1036"/>
        <v>-4803823.2989817886</v>
      </c>
      <c r="S1154">
        <f t="shared" si="1037"/>
        <v>-48.038232989817885</v>
      </c>
      <c r="T1154">
        <f t="shared" si="1038"/>
        <v>-4.8038232989817888E-2</v>
      </c>
    </row>
    <row r="1155" spans="1:20" x14ac:dyDescent="0.25">
      <c r="A1155" s="5">
        <v>43438</v>
      </c>
      <c r="B1155">
        <v>0.27</v>
      </c>
      <c r="C1155">
        <v>0.28510000000000002</v>
      </c>
      <c r="D1155">
        <v>0.26169999999999999</v>
      </c>
      <c r="E1155">
        <v>0.27660000000000001</v>
      </c>
      <c r="F1155">
        <v>2893103.88</v>
      </c>
      <c r="G1155">
        <v>0</v>
      </c>
      <c r="L1155" t="s">
        <v>8</v>
      </c>
      <c r="M1155" t="s">
        <v>7</v>
      </c>
      <c r="N1155" t="s">
        <v>7</v>
      </c>
      <c r="P1155">
        <f t="shared" si="1034"/>
        <v>0.27350427350427386</v>
      </c>
      <c r="Q1155">
        <f t="shared" si="1035"/>
        <v>791276.2748717959</v>
      </c>
      <c r="R1155">
        <f t="shared" si="1036"/>
        <v>-2790606.0707255616</v>
      </c>
      <c r="S1155">
        <f t="shared" si="1037"/>
        <v>-27.906060707255616</v>
      </c>
      <c r="T1155">
        <f t="shared" si="1038"/>
        <v>-2.7906060707255615E-2</v>
      </c>
    </row>
    <row r="1156" spans="1:20" x14ac:dyDescent="0.25">
      <c r="A1156" s="5">
        <v>43437</v>
      </c>
      <c r="B1156">
        <v>0.29360000000000003</v>
      </c>
      <c r="C1156">
        <v>0.2959</v>
      </c>
      <c r="D1156">
        <v>0.26300000000000001</v>
      </c>
      <c r="E1156">
        <v>0.27010000000000001</v>
      </c>
      <c r="F1156">
        <v>2904786.11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-0.56838905775075999</v>
      </c>
      <c r="Q1156">
        <f t="shared" si="1035"/>
        <v>-1651048.6400303955</v>
      </c>
      <c r="R1156">
        <f t="shared" si="1036"/>
        <v>-3581882.3455973575</v>
      </c>
      <c r="S1156">
        <f t="shared" si="1037"/>
        <v>-35.818823455973572</v>
      </c>
      <c r="T1156">
        <f t="shared" si="1038"/>
        <v>-3.5818823455973571E-2</v>
      </c>
    </row>
    <row r="1157" spans="1:20" x14ac:dyDescent="0.25">
      <c r="A1157" s="5">
        <v>43436</v>
      </c>
      <c r="B1157">
        <v>0.29649999999999999</v>
      </c>
      <c r="C1157">
        <v>0.30769999999999997</v>
      </c>
      <c r="D1157">
        <v>0.28899999999999998</v>
      </c>
      <c r="E1157">
        <v>0.29310000000000003</v>
      </c>
      <c r="F1157">
        <v>2170753.81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-0.56149732620320325</v>
      </c>
      <c r="Q1157">
        <f t="shared" si="1035"/>
        <v>-1218872.4601604163</v>
      </c>
      <c r="R1157">
        <f t="shared" si="1036"/>
        <v>-1930833.705566962</v>
      </c>
      <c r="S1157">
        <f t="shared" si="1037"/>
        <v>-19.308337055669622</v>
      </c>
      <c r="T1157">
        <f t="shared" si="1038"/>
        <v>-1.930833705566962E-2</v>
      </c>
    </row>
    <row r="1158" spans="1:20" x14ac:dyDescent="0.25">
      <c r="A1158" s="5">
        <v>43435</v>
      </c>
      <c r="B1158">
        <v>0.28710000000000002</v>
      </c>
      <c r="C1158">
        <v>0.30399999999999999</v>
      </c>
      <c r="D1158">
        <v>0.27810000000000001</v>
      </c>
      <c r="E1158">
        <v>0.29659999999999997</v>
      </c>
      <c r="F1158">
        <v>2393185.83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0.42857142857142672</v>
      </c>
      <c r="Q1158">
        <f t="shared" si="1035"/>
        <v>1025651.0699999956</v>
      </c>
      <c r="R1158">
        <f t="shared" si="1036"/>
        <v>-711961.2454065457</v>
      </c>
      <c r="S1158">
        <f t="shared" si="1037"/>
        <v>-7.1196124540654573</v>
      </c>
      <c r="T1158">
        <f t="shared" si="1038"/>
        <v>-7.1196124540654571E-3</v>
      </c>
    </row>
    <row r="1159" spans="1:20" x14ac:dyDescent="0.25">
      <c r="A1159" s="5">
        <v>43434</v>
      </c>
      <c r="B1159">
        <v>0.30649999999999999</v>
      </c>
      <c r="C1159">
        <v>0.30769999999999997</v>
      </c>
      <c r="D1159">
        <v>0.27539999999999998</v>
      </c>
      <c r="E1159">
        <v>0.28710000000000002</v>
      </c>
      <c r="F1159">
        <v>4030967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-0.27554179566563186</v>
      </c>
      <c r="Q1159">
        <f t="shared" si="1035"/>
        <v>-1110699.8854489052</v>
      </c>
      <c r="R1159">
        <f t="shared" si="1036"/>
        <v>-1737612.3154065413</v>
      </c>
      <c r="S1159">
        <f t="shared" si="1037"/>
        <v>-17.376123154065414</v>
      </c>
      <c r="T1159">
        <f t="shared" si="1038"/>
        <v>-1.7376123154065413E-2</v>
      </c>
    </row>
    <row r="1160" spans="1:20" x14ac:dyDescent="0.25">
      <c r="A1160" s="5">
        <v>43433</v>
      </c>
      <c r="B1160">
        <v>0.2999</v>
      </c>
      <c r="C1160">
        <v>0.31469999999999998</v>
      </c>
      <c r="D1160">
        <v>0.28660000000000002</v>
      </c>
      <c r="E1160">
        <v>0.30590000000000001</v>
      </c>
      <c r="F1160">
        <v>5170353.49</v>
      </c>
      <c r="G1160">
        <v>0</v>
      </c>
      <c r="L1160" t="s">
        <v>7</v>
      </c>
      <c r="M1160" t="s">
        <v>8</v>
      </c>
      <c r="N1160" t="s">
        <v>7</v>
      </c>
      <c r="P1160">
        <f t="shared" si="1034"/>
        <v>0.37366548042704717</v>
      </c>
      <c r="Q1160">
        <f t="shared" si="1035"/>
        <v>1931982.6208185102</v>
      </c>
      <c r="R1160">
        <f t="shared" si="1036"/>
        <v>-626912.42995763617</v>
      </c>
      <c r="S1160">
        <f t="shared" si="1037"/>
        <v>-6.2691242995763616</v>
      </c>
      <c r="T1160">
        <f t="shared" si="1038"/>
        <v>-6.269124299576362E-3</v>
      </c>
    </row>
    <row r="1161" spans="1:20" x14ac:dyDescent="0.25">
      <c r="A1161" s="5">
        <v>43432</v>
      </c>
      <c r="B1161">
        <v>0.27150000000000002</v>
      </c>
      <c r="C1161">
        <v>0.31569999999999998</v>
      </c>
      <c r="D1161">
        <v>0.27150000000000002</v>
      </c>
      <c r="E1161">
        <v>0.30049999999999999</v>
      </c>
      <c r="F1161">
        <v>7155037.6299999999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0.31221719457013553</v>
      </c>
      <c r="Q1161">
        <f t="shared" si="1035"/>
        <v>2233925.7758823512</v>
      </c>
      <c r="R1161">
        <f t="shared" si="1036"/>
        <v>-2558895.0507761464</v>
      </c>
      <c r="S1161">
        <f t="shared" si="1037"/>
        <v>-25.588950507761464</v>
      </c>
      <c r="T1161">
        <f t="shared" si="1038"/>
        <v>-2.5588950507761464E-2</v>
      </c>
    </row>
    <row r="1162" spans="1:20" x14ac:dyDescent="0.25">
      <c r="A1162" s="5">
        <v>43431</v>
      </c>
      <c r="B1162">
        <v>0.27610000000000001</v>
      </c>
      <c r="C1162">
        <v>0.28010000000000002</v>
      </c>
      <c r="D1162">
        <v>0.25819999999999999</v>
      </c>
      <c r="E1162">
        <v>0.27139999999999997</v>
      </c>
      <c r="F1162">
        <v>4845045.22</v>
      </c>
      <c r="G1162">
        <v>0</v>
      </c>
      <c r="L1162" t="s">
        <v>7</v>
      </c>
      <c r="M1162" t="s">
        <v>8</v>
      </c>
      <c r="N1162" t="s">
        <v>7</v>
      </c>
      <c r="P1162">
        <f t="shared" si="1034"/>
        <v>0.20547945205479187</v>
      </c>
      <c r="Q1162">
        <f t="shared" si="1035"/>
        <v>995557.23698628845</v>
      </c>
      <c r="R1162">
        <f t="shared" si="1036"/>
        <v>-4792820.8266584976</v>
      </c>
      <c r="S1162">
        <f t="shared" si="1037"/>
        <v>-47.928208266584974</v>
      </c>
      <c r="T1162">
        <f t="shared" si="1038"/>
        <v>-4.7928208266584976E-2</v>
      </c>
    </row>
    <row r="1163" spans="1:20" x14ac:dyDescent="0.25">
      <c r="A1163" s="5">
        <v>43430</v>
      </c>
      <c r="B1163">
        <v>0.29170000000000001</v>
      </c>
      <c r="C1163">
        <v>0.3034</v>
      </c>
      <c r="D1163">
        <v>0.25580000000000003</v>
      </c>
      <c r="E1163">
        <v>0.27729999999999999</v>
      </c>
      <c r="F1163">
        <v>9350724.0800000001</v>
      </c>
      <c r="G1163">
        <v>0</v>
      </c>
      <c r="L1163" t="s">
        <v>8</v>
      </c>
      <c r="M1163" t="s">
        <v>8</v>
      </c>
      <c r="N1163" t="s">
        <v>7</v>
      </c>
      <c r="P1163">
        <f t="shared" si="1034"/>
        <v>-9.6638655462185946E-2</v>
      </c>
      <c r="Q1163">
        <f t="shared" si="1035"/>
        <v>-903641.40268908569</v>
      </c>
      <c r="R1163">
        <f t="shared" si="1036"/>
        <v>-5788378.0636447864</v>
      </c>
      <c r="S1163">
        <f t="shared" si="1037"/>
        <v>-57.883780636447867</v>
      </c>
      <c r="T1163">
        <f t="shared" si="1038"/>
        <v>-5.7883780636447869E-2</v>
      </c>
    </row>
    <row r="1164" spans="1:20" x14ac:dyDescent="0.25">
      <c r="A1164" s="5">
        <v>43429</v>
      </c>
      <c r="B1164">
        <v>0.2833</v>
      </c>
      <c r="C1164">
        <v>0.2984</v>
      </c>
      <c r="D1164">
        <v>0.25</v>
      </c>
      <c r="E1164">
        <v>0.2923</v>
      </c>
      <c r="F1164">
        <v>12643851.75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0.74793388429752083</v>
      </c>
      <c r="Q1164">
        <f t="shared" si="1035"/>
        <v>9456765.151859507</v>
      </c>
      <c r="R1164">
        <f t="shared" si="1036"/>
        <v>-4884736.660955701</v>
      </c>
      <c r="S1164">
        <f t="shared" si="1037"/>
        <v>-48.847366609557007</v>
      </c>
      <c r="T1164">
        <f t="shared" si="1038"/>
        <v>-4.8847366609557005E-2</v>
      </c>
    </row>
    <row r="1165" spans="1:20" x14ac:dyDescent="0.25">
      <c r="A1165" s="5">
        <v>43428</v>
      </c>
      <c r="B1165">
        <v>0.32119999999999999</v>
      </c>
      <c r="C1165">
        <v>0.33100000000000002</v>
      </c>
      <c r="D1165">
        <v>0.26700000000000002</v>
      </c>
      <c r="E1165">
        <v>0.28160000000000002</v>
      </c>
      <c r="F1165">
        <v>8687269.8000000007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-0.54374999999999996</v>
      </c>
      <c r="Q1165">
        <f t="shared" si="1035"/>
        <v>-4723702.9537500003</v>
      </c>
      <c r="R1165">
        <f t="shared" si="1036"/>
        <v>-14341501.812815208</v>
      </c>
      <c r="S1165">
        <f t="shared" si="1037"/>
        <v>-143.41501812815207</v>
      </c>
      <c r="T1165">
        <f t="shared" si="1038"/>
        <v>-0.14341501812815208</v>
      </c>
    </row>
    <row r="1166" spans="1:20" x14ac:dyDescent="0.25">
      <c r="A1166" s="5">
        <v>43427</v>
      </c>
      <c r="B1166">
        <v>0.30449999999999999</v>
      </c>
      <c r="C1166">
        <v>0.32540000000000002</v>
      </c>
      <c r="D1166">
        <v>0.29199999999999998</v>
      </c>
      <c r="E1166">
        <v>0.3211</v>
      </c>
      <c r="F1166">
        <v>5530787.8799999999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0.74251497005987899</v>
      </c>
      <c r="Q1166">
        <f t="shared" si="1035"/>
        <v>4106692.7971257414</v>
      </c>
      <c r="R1166">
        <f t="shared" si="1036"/>
        <v>-9617798.8590652067</v>
      </c>
      <c r="S1166">
        <f t="shared" si="1037"/>
        <v>-96.177988590652063</v>
      </c>
      <c r="T1166">
        <f t="shared" si="1038"/>
        <v>-9.6177988590652061E-2</v>
      </c>
    </row>
    <row r="1167" spans="1:20" x14ac:dyDescent="0.25">
      <c r="A1167" s="5">
        <v>43426</v>
      </c>
      <c r="B1167">
        <v>0.33239999999999997</v>
      </c>
      <c r="C1167">
        <v>0.34</v>
      </c>
      <c r="D1167">
        <v>0.30349999999999999</v>
      </c>
      <c r="E1167">
        <v>0.30380000000000001</v>
      </c>
      <c r="F1167">
        <v>6587592.8499999996</v>
      </c>
      <c r="G1167">
        <v>0</v>
      </c>
      <c r="L1167" t="s">
        <v>7</v>
      </c>
      <c r="M1167" t="s">
        <v>7</v>
      </c>
      <c r="N1167" t="s">
        <v>7</v>
      </c>
      <c r="P1167">
        <f t="shared" si="1034"/>
        <v>-0.98356164383561517</v>
      </c>
      <c r="Q1167">
        <f t="shared" si="1035"/>
        <v>-6479303.6524657449</v>
      </c>
      <c r="R1167">
        <f t="shared" si="1036"/>
        <v>-13724491.656190949</v>
      </c>
      <c r="S1167">
        <f t="shared" si="1037"/>
        <v>-137.24491656190949</v>
      </c>
      <c r="T1167">
        <f t="shared" si="1038"/>
        <v>-0.13724491656190949</v>
      </c>
    </row>
    <row r="1168" spans="1:20" x14ac:dyDescent="0.25">
      <c r="A1168" s="5">
        <v>43425</v>
      </c>
      <c r="B1168">
        <v>0.30399999999999999</v>
      </c>
      <c r="C1168">
        <v>0.33660000000000001</v>
      </c>
      <c r="D1168">
        <v>0.29730000000000001</v>
      </c>
      <c r="E1168">
        <v>0.33229999999999998</v>
      </c>
      <c r="F1168">
        <v>10549894.359999999</v>
      </c>
      <c r="G1168">
        <v>0</v>
      </c>
      <c r="L1168" t="s">
        <v>8</v>
      </c>
      <c r="M1168" t="s">
        <v>7</v>
      </c>
      <c r="N1168" t="s">
        <v>7</v>
      </c>
      <c r="P1168">
        <f t="shared" si="1034"/>
        <v>0.78117048346055851</v>
      </c>
      <c r="Q1168">
        <f t="shared" si="1035"/>
        <v>8241266.0776590193</v>
      </c>
      <c r="R1168">
        <f t="shared" si="1036"/>
        <v>-7245188.0037252037</v>
      </c>
      <c r="S1168">
        <f t="shared" si="1037"/>
        <v>-72.451880037252039</v>
      </c>
      <c r="T1168">
        <f t="shared" si="1038"/>
        <v>-7.2451880037252045E-2</v>
      </c>
    </row>
    <row r="1169" spans="1:20" x14ac:dyDescent="0.25">
      <c r="A1169" s="5">
        <v>43424</v>
      </c>
      <c r="B1169">
        <v>0.35460000000000003</v>
      </c>
      <c r="C1169">
        <v>0.36870000000000003</v>
      </c>
      <c r="D1169">
        <v>0.28199999999999997</v>
      </c>
      <c r="E1169">
        <v>0.30470000000000003</v>
      </c>
      <c r="F1169">
        <v>16494841.710000001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-0.47635524798154466</v>
      </c>
      <c r="Q1169">
        <f t="shared" si="1035"/>
        <v>-7857404.4131833762</v>
      </c>
      <c r="R1169">
        <f t="shared" si="1036"/>
        <v>-15486454.081384223</v>
      </c>
      <c r="S1169">
        <f t="shared" si="1037"/>
        <v>-154.86454081384224</v>
      </c>
      <c r="T1169">
        <f t="shared" si="1038"/>
        <v>-0.15486454081384224</v>
      </c>
    </row>
    <row r="1170" spans="1:20" x14ac:dyDescent="0.25">
      <c r="A1170" s="5">
        <v>43423</v>
      </c>
      <c r="B1170">
        <v>0.41220000000000001</v>
      </c>
      <c r="C1170">
        <v>0.41289999999999999</v>
      </c>
      <c r="D1170">
        <v>0.34460000000000002</v>
      </c>
      <c r="E1170">
        <v>0.35449999999999998</v>
      </c>
      <c r="F1170">
        <v>9776061.75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-0.71010248901903461</v>
      </c>
      <c r="Q1170">
        <f t="shared" si="1035"/>
        <v>-6942005.7814787794</v>
      </c>
      <c r="R1170">
        <f t="shared" si="1036"/>
        <v>-7629049.6682008468</v>
      </c>
      <c r="S1170">
        <f t="shared" si="1037"/>
        <v>-76.290496682008467</v>
      </c>
      <c r="T1170">
        <f t="shared" si="1038"/>
        <v>-7.6290496682008463E-2</v>
      </c>
    </row>
    <row r="1171" spans="1:20" x14ac:dyDescent="0.25">
      <c r="A1171" s="5">
        <v>43422</v>
      </c>
      <c r="B1171">
        <v>0.41099999999999998</v>
      </c>
      <c r="C1171">
        <v>0.42</v>
      </c>
      <c r="D1171">
        <v>0.40939999999999999</v>
      </c>
      <c r="E1171">
        <v>0.41099999999999998</v>
      </c>
      <c r="F1171">
        <v>2413457.94</v>
      </c>
      <c r="G1171">
        <v>0</v>
      </c>
      <c r="L1171" t="s">
        <v>8</v>
      </c>
      <c r="M1171" t="s">
        <v>7</v>
      </c>
      <c r="N1171" t="s">
        <v>7</v>
      </c>
      <c r="P1171">
        <f t="shared" si="1034"/>
        <v>-0.69811320754717154</v>
      </c>
      <c r="Q1171">
        <f t="shared" si="1035"/>
        <v>-1684866.863773589</v>
      </c>
      <c r="R1171">
        <f t="shared" si="1036"/>
        <v>-687043.8867220676</v>
      </c>
      <c r="S1171">
        <f t="shared" si="1037"/>
        <v>-6.8704388672206758</v>
      </c>
      <c r="T1171">
        <f t="shared" si="1038"/>
        <v>-6.8704388672206759E-3</v>
      </c>
    </row>
    <row r="1172" spans="1:20" x14ac:dyDescent="0.25">
      <c r="A1172" s="5">
        <v>43421</v>
      </c>
      <c r="B1172">
        <v>0.41360000000000002</v>
      </c>
      <c r="C1172">
        <v>0.41949999999999998</v>
      </c>
      <c r="D1172">
        <v>0.40479999999999999</v>
      </c>
      <c r="E1172">
        <v>0.41099999999999998</v>
      </c>
      <c r="F1172">
        <v>2553857.38</v>
      </c>
      <c r="G1172">
        <v>0</v>
      </c>
      <c r="L1172" t="s">
        <v>8</v>
      </c>
      <c r="M1172" t="s">
        <v>7</v>
      </c>
      <c r="N1172" t="s">
        <v>7</v>
      </c>
      <c r="P1172">
        <f t="shared" si="1034"/>
        <v>-0.15646258503401536</v>
      </c>
      <c r="Q1172">
        <f t="shared" si="1035"/>
        <v>-399583.12748299766</v>
      </c>
      <c r="R1172">
        <f t="shared" si="1036"/>
        <v>997822.97705152142</v>
      </c>
      <c r="S1172">
        <f t="shared" si="1037"/>
        <v>9.978229770515215</v>
      </c>
      <c r="T1172">
        <f t="shared" si="1038"/>
        <v>9.9782297705152158E-3</v>
      </c>
    </row>
    <row r="1173" spans="1:20" x14ac:dyDescent="0.25">
      <c r="A1173" s="5">
        <v>43420</v>
      </c>
      <c r="B1173">
        <v>0.42780000000000001</v>
      </c>
      <c r="C1173">
        <v>0.4299</v>
      </c>
      <c r="D1173">
        <v>0.40670000000000001</v>
      </c>
      <c r="E1173">
        <v>0.41370000000000001</v>
      </c>
      <c r="F1173">
        <v>4575620.43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-0.39655172413793044</v>
      </c>
      <c r="Q1173">
        <f t="shared" si="1035"/>
        <v>-1814470.1705172386</v>
      </c>
      <c r="R1173">
        <f t="shared" si="1036"/>
        <v>1397406.1045345191</v>
      </c>
      <c r="S1173">
        <f t="shared" si="1037"/>
        <v>13.974061045345191</v>
      </c>
      <c r="T1173">
        <f t="shared" si="1038"/>
        <v>1.3974061045345192E-2</v>
      </c>
    </row>
    <row r="1174" spans="1:20" x14ac:dyDescent="0.25">
      <c r="A1174" s="5">
        <v>43419</v>
      </c>
      <c r="B1174">
        <v>0.44269999999999998</v>
      </c>
      <c r="C1174">
        <v>0.44600000000000001</v>
      </c>
      <c r="D1174">
        <v>0.38719999999999999</v>
      </c>
      <c r="E1174">
        <v>0.42820000000000003</v>
      </c>
      <c r="F1174">
        <v>9940466.6699999999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0.39455782312925247</v>
      </c>
      <c r="Q1174">
        <f t="shared" si="1035"/>
        <v>3922088.8902040892</v>
      </c>
      <c r="R1174">
        <f t="shared" si="1036"/>
        <v>3211876.2750517577</v>
      </c>
      <c r="S1174">
        <f t="shared" si="1037"/>
        <v>32.118762750517575</v>
      </c>
      <c r="T1174">
        <f t="shared" si="1038"/>
        <v>3.2118762750517574E-2</v>
      </c>
    </row>
    <row r="1175" spans="1:20" x14ac:dyDescent="0.25">
      <c r="A1175" s="5">
        <v>43418</v>
      </c>
      <c r="B1175">
        <v>0.49840000000000001</v>
      </c>
      <c r="C1175">
        <v>0.50349999999999995</v>
      </c>
      <c r="D1175">
        <v>0.41499999999999998</v>
      </c>
      <c r="E1175">
        <v>0.4425</v>
      </c>
      <c r="F1175">
        <v>7393802.04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-0.37853107344632692</v>
      </c>
      <c r="Q1175">
        <f t="shared" si="1035"/>
        <v>-2798783.8230508417</v>
      </c>
      <c r="R1175">
        <f t="shared" si="1036"/>
        <v>-710212.61515233153</v>
      </c>
      <c r="S1175">
        <f t="shared" si="1037"/>
        <v>-7.1021261515233149</v>
      </c>
      <c r="T1175">
        <f t="shared" si="1038"/>
        <v>-7.102126151523315E-3</v>
      </c>
    </row>
    <row r="1176" spans="1:20" x14ac:dyDescent="0.25">
      <c r="A1176" s="5">
        <v>43417</v>
      </c>
      <c r="B1176">
        <v>0.49809999999999999</v>
      </c>
      <c r="C1176">
        <v>0.50609999999999999</v>
      </c>
      <c r="D1176">
        <v>0.48859999999999998</v>
      </c>
      <c r="E1176">
        <v>0.49790000000000001</v>
      </c>
      <c r="F1176">
        <v>4498461.8899999997</v>
      </c>
      <c r="G1176">
        <v>0</v>
      </c>
      <c r="L1176" t="s">
        <v>7</v>
      </c>
      <c r="M1176" t="s">
        <v>7</v>
      </c>
      <c r="N1176" t="s">
        <v>7</v>
      </c>
      <c r="P1176">
        <f t="shared" si="1034"/>
        <v>6.2857142857145401E-2</v>
      </c>
      <c r="Q1176">
        <f t="shared" si="1035"/>
        <v>282760.46165715426</v>
      </c>
      <c r="R1176">
        <f t="shared" si="1036"/>
        <v>2088571.2078985102</v>
      </c>
      <c r="S1176">
        <f t="shared" si="1037"/>
        <v>20.885712078985101</v>
      </c>
      <c r="T1176">
        <f t="shared" si="1038"/>
        <v>2.08857120789851E-2</v>
      </c>
    </row>
    <row r="1177" spans="1:20" x14ac:dyDescent="0.25">
      <c r="A1177" s="5">
        <v>43416</v>
      </c>
      <c r="B1177">
        <v>0.4844</v>
      </c>
      <c r="C1177">
        <v>0.50700000000000001</v>
      </c>
      <c r="D1177">
        <v>0.4844</v>
      </c>
      <c r="E1177">
        <v>0.49830000000000002</v>
      </c>
      <c r="F1177">
        <v>4190424.75</v>
      </c>
      <c r="G1177">
        <v>0</v>
      </c>
      <c r="L1177" t="s">
        <v>7</v>
      </c>
      <c r="M1177" t="s">
        <v>7</v>
      </c>
      <c r="N1177" t="s">
        <v>7</v>
      </c>
      <c r="P1177">
        <f t="shared" si="1034"/>
        <v>0.23008849557522282</v>
      </c>
      <c r="Q1177">
        <f t="shared" si="1035"/>
        <v>964168.52654867922</v>
      </c>
      <c r="R1177">
        <f t="shared" si="1036"/>
        <v>1805810.7462413558</v>
      </c>
      <c r="S1177">
        <f t="shared" si="1037"/>
        <v>18.05810746241356</v>
      </c>
      <c r="T1177">
        <f t="shared" si="1038"/>
        <v>1.8058107462413559E-2</v>
      </c>
    </row>
    <row r="1178" spans="1:20" x14ac:dyDescent="0.25">
      <c r="A1178" s="5">
        <v>43415</v>
      </c>
      <c r="B1178">
        <v>0.48620000000000002</v>
      </c>
      <c r="C1178">
        <v>0.48799999999999999</v>
      </c>
      <c r="D1178">
        <v>0.47670000000000001</v>
      </c>
      <c r="E1178">
        <v>0.48480000000000001</v>
      </c>
      <c r="F1178">
        <v>1509402.97</v>
      </c>
      <c r="G1178">
        <v>0</v>
      </c>
      <c r="L1178" t="s">
        <v>7</v>
      </c>
      <c r="M1178" t="s">
        <v>7</v>
      </c>
      <c r="N1178" t="s">
        <v>7</v>
      </c>
      <c r="P1178">
        <f t="shared" si="1034"/>
        <v>0.43362831858407308</v>
      </c>
      <c r="Q1178">
        <f t="shared" si="1035"/>
        <v>654519.87194690609</v>
      </c>
      <c r="R1178">
        <f t="shared" si="1036"/>
        <v>841642.21969267656</v>
      </c>
      <c r="S1178">
        <f t="shared" si="1037"/>
        <v>8.4164221969267654</v>
      </c>
      <c r="T1178">
        <f t="shared" si="1038"/>
        <v>8.4164221969267646E-3</v>
      </c>
    </row>
    <row r="1179" spans="1:20" x14ac:dyDescent="0.25">
      <c r="A1179" s="5">
        <v>43414</v>
      </c>
      <c r="B1179">
        <v>0.47889999999999999</v>
      </c>
      <c r="C1179">
        <v>0.49790000000000001</v>
      </c>
      <c r="D1179">
        <v>0.47239999999999999</v>
      </c>
      <c r="E1179">
        <v>0.48599999999999999</v>
      </c>
      <c r="F1179">
        <v>2135395.7200000002</v>
      </c>
      <c r="G1179">
        <v>0</v>
      </c>
      <c r="L1179" t="s">
        <v>7</v>
      </c>
      <c r="M1179" t="s">
        <v>7</v>
      </c>
      <c r="N1179" t="s">
        <v>7</v>
      </c>
      <c r="P1179">
        <f t="shared" si="1034"/>
        <v>6.6666666666665791E-2</v>
      </c>
      <c r="Q1179">
        <f t="shared" si="1035"/>
        <v>142359.7146666648</v>
      </c>
      <c r="R1179">
        <f t="shared" si="1036"/>
        <v>187122.34774577044</v>
      </c>
      <c r="S1179">
        <f t="shared" si="1037"/>
        <v>1.8712234774577043</v>
      </c>
      <c r="T1179">
        <f t="shared" si="1038"/>
        <v>1.8712234774577044E-3</v>
      </c>
    </row>
    <row r="1180" spans="1:20" x14ac:dyDescent="0.25">
      <c r="A1180" s="5">
        <v>43413</v>
      </c>
      <c r="B1180">
        <v>0.4844</v>
      </c>
      <c r="C1180">
        <v>0.49740000000000001</v>
      </c>
      <c r="D1180">
        <v>0.47120000000000001</v>
      </c>
      <c r="E1180">
        <v>0.47899999999999998</v>
      </c>
      <c r="F1180">
        <v>2396987.75</v>
      </c>
      <c r="G1180">
        <v>0</v>
      </c>
      <c r="L1180" t="s">
        <v>7</v>
      </c>
      <c r="M1180" t="s">
        <v>7</v>
      </c>
      <c r="N1180" t="s">
        <v>7</v>
      </c>
      <c r="P1180">
        <f t="shared" si="1034"/>
        <v>-0.40458015267175779</v>
      </c>
      <c r="Q1180">
        <f t="shared" si="1035"/>
        <v>-969773.66984733322</v>
      </c>
      <c r="R1180">
        <f t="shared" si="1036"/>
        <v>44762.633079105639</v>
      </c>
      <c r="S1180">
        <f t="shared" si="1037"/>
        <v>0.4476263307910564</v>
      </c>
      <c r="T1180">
        <f t="shared" si="1038"/>
        <v>4.476263307910564E-4</v>
      </c>
    </row>
    <row r="1181" spans="1:20" x14ac:dyDescent="0.25">
      <c r="A1181" s="5">
        <v>43412</v>
      </c>
      <c r="B1181">
        <v>0.50639999999999996</v>
      </c>
      <c r="C1181">
        <v>0.50860000000000005</v>
      </c>
      <c r="D1181">
        <v>0.48070000000000002</v>
      </c>
      <c r="E1181">
        <v>0.48449999999999999</v>
      </c>
      <c r="F1181">
        <v>3162076.14</v>
      </c>
      <c r="G1181">
        <v>0</v>
      </c>
      <c r="L1181" t="s">
        <v>7</v>
      </c>
      <c r="M1181" t="s">
        <v>7</v>
      </c>
      <c r="N1181" t="s">
        <v>7</v>
      </c>
      <c r="P1181">
        <f t="shared" si="1034"/>
        <v>-0.72759856630824626</v>
      </c>
      <c r="Q1181">
        <f t="shared" si="1035"/>
        <v>-2300722.0660215137</v>
      </c>
      <c r="R1181">
        <f t="shared" si="1036"/>
        <v>1014536.3029264389</v>
      </c>
      <c r="S1181">
        <f t="shared" si="1037"/>
        <v>10.145363029264388</v>
      </c>
      <c r="T1181">
        <f t="shared" si="1038"/>
        <v>1.0145363029264389E-2</v>
      </c>
    </row>
    <row r="1182" spans="1:20" x14ac:dyDescent="0.25">
      <c r="A1182" s="5">
        <v>43411</v>
      </c>
      <c r="B1182">
        <v>0.51819999999999999</v>
      </c>
      <c r="C1182">
        <v>0.5232</v>
      </c>
      <c r="D1182">
        <v>0.49859999999999999</v>
      </c>
      <c r="E1182">
        <v>0.50570000000000004</v>
      </c>
      <c r="F1182">
        <v>4310850.8099999996</v>
      </c>
      <c r="G1182">
        <v>0</v>
      </c>
      <c r="L1182" t="s">
        <v>8</v>
      </c>
      <c r="M1182" t="s">
        <v>7</v>
      </c>
      <c r="N1182" t="s">
        <v>7</v>
      </c>
      <c r="P1182">
        <f t="shared" si="1034"/>
        <v>-0.42276422764227256</v>
      </c>
      <c r="Q1182">
        <f t="shared" si="1035"/>
        <v>-1822473.513170715</v>
      </c>
      <c r="R1182">
        <f t="shared" si="1036"/>
        <v>3315258.3689479525</v>
      </c>
      <c r="S1182">
        <f t="shared" si="1037"/>
        <v>33.152583689479528</v>
      </c>
      <c r="T1182">
        <f t="shared" si="1038"/>
        <v>3.3152583689479528E-2</v>
      </c>
    </row>
    <row r="1183" spans="1:20" x14ac:dyDescent="0.25">
      <c r="A1183" s="5">
        <v>43410</v>
      </c>
      <c r="B1183">
        <v>0.5071</v>
      </c>
      <c r="C1183">
        <v>0.51900000000000002</v>
      </c>
      <c r="D1183">
        <v>0.50039999999999996</v>
      </c>
      <c r="E1183">
        <v>0.51719999999999999</v>
      </c>
      <c r="F1183">
        <v>4593773.79</v>
      </c>
      <c r="G1183">
        <v>0</v>
      </c>
      <c r="L1183" t="s">
        <v>8</v>
      </c>
      <c r="M1183" t="s">
        <v>7</v>
      </c>
      <c r="N1183" t="s">
        <v>7</v>
      </c>
      <c r="P1183">
        <f t="shared" si="1034"/>
        <v>0.80645161290322387</v>
      </c>
      <c r="Q1183">
        <f t="shared" si="1035"/>
        <v>3704656.2822580556</v>
      </c>
      <c r="R1183">
        <f t="shared" si="1036"/>
        <v>5137731.8821186675</v>
      </c>
      <c r="S1183">
        <f t="shared" si="1037"/>
        <v>51.377318821186677</v>
      </c>
      <c r="T1183">
        <f t="shared" si="1038"/>
        <v>5.1377318821186679E-2</v>
      </c>
    </row>
    <row r="1184" spans="1:20" x14ac:dyDescent="0.25">
      <c r="A1184" s="5">
        <v>43409</v>
      </c>
      <c r="B1184">
        <v>0.50109999999999999</v>
      </c>
      <c r="C1184">
        <v>0.50949999999999995</v>
      </c>
      <c r="D1184">
        <v>0.4924</v>
      </c>
      <c r="E1184">
        <v>0.50760000000000005</v>
      </c>
      <c r="F1184">
        <v>3680080.88</v>
      </c>
      <c r="G1184">
        <v>0</v>
      </c>
      <c r="L1184" t="s">
        <v>8</v>
      </c>
      <c r="M1184" t="s">
        <v>7</v>
      </c>
      <c r="N1184" t="s">
        <v>7</v>
      </c>
      <c r="P1184">
        <f t="shared" si="1034"/>
        <v>0.77777777777778856</v>
      </c>
      <c r="Q1184">
        <f t="shared" si="1035"/>
        <v>2862285.1288889283</v>
      </c>
      <c r="R1184">
        <f t="shared" si="1036"/>
        <v>1433075.5998606118</v>
      </c>
      <c r="S1184">
        <f t="shared" si="1037"/>
        <v>14.330755998606119</v>
      </c>
      <c r="T1184">
        <f t="shared" si="1038"/>
        <v>1.4330755998606119E-2</v>
      </c>
    </row>
    <row r="1185" spans="1:20" x14ac:dyDescent="0.25">
      <c r="A1185" s="5">
        <v>43408</v>
      </c>
      <c r="B1185">
        <v>0.47810000000000002</v>
      </c>
      <c r="C1185">
        <v>0.5131</v>
      </c>
      <c r="D1185">
        <v>0.46910000000000002</v>
      </c>
      <c r="E1185">
        <v>0.50109999999999999</v>
      </c>
      <c r="F1185">
        <v>4024819.92</v>
      </c>
      <c r="G1185">
        <v>0</v>
      </c>
      <c r="L1185" t="s">
        <v>8</v>
      </c>
      <c r="M1185" t="s">
        <v>7</v>
      </c>
      <c r="N1185" t="s">
        <v>7</v>
      </c>
      <c r="P1185">
        <f t="shared" si="1034"/>
        <v>0.45454545454545386</v>
      </c>
      <c r="Q1185">
        <f t="shared" si="1035"/>
        <v>1829463.5999999973</v>
      </c>
      <c r="R1185">
        <f t="shared" si="1036"/>
        <v>-1429209.5290283165</v>
      </c>
      <c r="S1185">
        <f t="shared" si="1037"/>
        <v>-14.292095290283164</v>
      </c>
      <c r="T1185">
        <f t="shared" si="1038"/>
        <v>-1.4292095290283165E-2</v>
      </c>
    </row>
    <row r="1186" spans="1:20" x14ac:dyDescent="0.25">
      <c r="A1186" s="5">
        <v>43407</v>
      </c>
      <c r="B1186">
        <v>0.48620000000000002</v>
      </c>
      <c r="C1186">
        <v>0.48680000000000001</v>
      </c>
      <c r="D1186">
        <v>0.47170000000000001</v>
      </c>
      <c r="E1186">
        <v>0.47899999999999998</v>
      </c>
      <c r="F1186">
        <v>2489843.69</v>
      </c>
      <c r="G1186">
        <v>0</v>
      </c>
      <c r="L1186" t="s">
        <v>8</v>
      </c>
      <c r="M1186" t="s">
        <v>7</v>
      </c>
      <c r="N1186" t="s">
        <v>7</v>
      </c>
      <c r="P1186">
        <f t="shared" si="1034"/>
        <v>-3.3112582781460655E-2</v>
      </c>
      <c r="Q1186">
        <f t="shared" si="1035"/>
        <v>-82445.155298022451</v>
      </c>
      <c r="R1186">
        <f t="shared" si="1036"/>
        <v>-3258673.1290283138</v>
      </c>
      <c r="S1186">
        <f t="shared" si="1037"/>
        <v>-32.58673129028314</v>
      </c>
      <c r="T1186">
        <f t="shared" si="1038"/>
        <v>-3.2586731290283139E-2</v>
      </c>
    </row>
    <row r="1187" spans="1:20" x14ac:dyDescent="0.25">
      <c r="A1187" s="5">
        <v>43406</v>
      </c>
      <c r="B1187">
        <v>0.47720000000000001</v>
      </c>
      <c r="C1187">
        <v>0.4929</v>
      </c>
      <c r="D1187">
        <v>0.47060000000000002</v>
      </c>
      <c r="E1187">
        <v>0.48530000000000001</v>
      </c>
      <c r="F1187">
        <v>3333151.61</v>
      </c>
      <c r="G1187">
        <v>0</v>
      </c>
      <c r="L1187" t="s">
        <v>8</v>
      </c>
      <c r="M1187" t="s">
        <v>7</v>
      </c>
      <c r="N1187" t="s">
        <v>7</v>
      </c>
      <c r="P1187">
        <f t="shared" si="1034"/>
        <v>0.31838565022421522</v>
      </c>
      <c r="Q1187">
        <f t="shared" si="1035"/>
        <v>1061227.6426457397</v>
      </c>
      <c r="R1187">
        <f t="shared" si="1036"/>
        <v>-3176227.9737302912</v>
      </c>
      <c r="S1187">
        <f t="shared" si="1037"/>
        <v>-31.762279737302912</v>
      </c>
      <c r="T1187">
        <f t="shared" si="1038"/>
        <v>-3.1762279737302911E-2</v>
      </c>
    </row>
    <row r="1188" spans="1:20" x14ac:dyDescent="0.25">
      <c r="A1188" s="5">
        <v>43405</v>
      </c>
      <c r="B1188">
        <v>0.46729999999999999</v>
      </c>
      <c r="C1188">
        <v>0.48149999999999998</v>
      </c>
      <c r="D1188">
        <v>0.4632</v>
      </c>
      <c r="E1188">
        <v>0.47689999999999999</v>
      </c>
      <c r="F1188">
        <v>2314624.9300000002</v>
      </c>
      <c r="G1188">
        <v>0</v>
      </c>
      <c r="L1188" t="s">
        <v>8</v>
      </c>
      <c r="M1188" t="s">
        <v>7</v>
      </c>
      <c r="N1188" t="s">
        <v>7</v>
      </c>
      <c r="P1188">
        <f t="shared" si="1034"/>
        <v>0.4972677595628418</v>
      </c>
      <c r="Q1188">
        <f t="shared" si="1035"/>
        <v>1150988.3531693995</v>
      </c>
      <c r="R1188">
        <f t="shared" si="1036"/>
        <v>-4237455.6163760312</v>
      </c>
      <c r="S1188">
        <f t="shared" si="1037"/>
        <v>-42.37455616376031</v>
      </c>
      <c r="T1188">
        <f t="shared" si="1038"/>
        <v>-4.2374556163760312E-2</v>
      </c>
    </row>
    <row r="1189" spans="1:20" x14ac:dyDescent="0.25">
      <c r="A1189" s="5">
        <v>43404</v>
      </c>
      <c r="B1189">
        <v>0.45069999999999999</v>
      </c>
      <c r="C1189">
        <v>0.47</v>
      </c>
      <c r="D1189">
        <v>0.43869999999999998</v>
      </c>
      <c r="E1189">
        <v>0.4672</v>
      </c>
      <c r="F1189">
        <v>4078210.77</v>
      </c>
      <c r="G1189">
        <v>0</v>
      </c>
      <c r="L1189" t="s">
        <v>7</v>
      </c>
      <c r="M1189" t="s">
        <v>7</v>
      </c>
      <c r="N1189" t="s">
        <v>7</v>
      </c>
      <c r="P1189">
        <f t="shared" si="1034"/>
        <v>0.82108626198083257</v>
      </c>
      <c r="Q1189">
        <f t="shared" si="1035"/>
        <v>3348562.836709273</v>
      </c>
      <c r="R1189">
        <f t="shared" si="1036"/>
        <v>-5388443.9695454305</v>
      </c>
      <c r="S1189">
        <f t="shared" si="1037"/>
        <v>-53.884439695454304</v>
      </c>
      <c r="T1189">
        <f t="shared" si="1038"/>
        <v>-5.3884439695454305E-2</v>
      </c>
    </row>
    <row r="1190" spans="1:20" x14ac:dyDescent="0.25">
      <c r="A1190" s="5">
        <v>43403</v>
      </c>
      <c r="B1190">
        <v>0.4486</v>
      </c>
      <c r="C1190">
        <v>0.46189999999999998</v>
      </c>
      <c r="D1190">
        <v>0.44800000000000001</v>
      </c>
      <c r="E1190">
        <v>0.4506</v>
      </c>
      <c r="F1190">
        <v>3095766.77</v>
      </c>
      <c r="G1190">
        <v>0</v>
      </c>
      <c r="L1190" t="s">
        <v>7</v>
      </c>
      <c r="M1190" t="s">
        <v>7</v>
      </c>
      <c r="N1190" t="s">
        <v>7</v>
      </c>
      <c r="P1190">
        <f t="shared" si="1034"/>
        <v>-0.62589928057554001</v>
      </c>
      <c r="Q1190">
        <f t="shared" si="1035"/>
        <v>-1937638.1941726631</v>
      </c>
      <c r="R1190">
        <f t="shared" si="1036"/>
        <v>-8737006.8062547036</v>
      </c>
      <c r="S1190">
        <f t="shared" si="1037"/>
        <v>-87.370068062547034</v>
      </c>
      <c r="T1190">
        <f t="shared" si="1038"/>
        <v>-8.7370068062547032E-2</v>
      </c>
    </row>
    <row r="1191" spans="1:20" x14ac:dyDescent="0.25">
      <c r="A1191" s="5">
        <v>43402</v>
      </c>
      <c r="B1191">
        <v>0.48259999999999997</v>
      </c>
      <c r="C1191">
        <v>0.4844</v>
      </c>
      <c r="D1191">
        <v>0.44579999999999997</v>
      </c>
      <c r="E1191">
        <v>0.44829999999999998</v>
      </c>
      <c r="F1191">
        <v>4749657.18</v>
      </c>
      <c r="G1191">
        <v>0</v>
      </c>
      <c r="L1191" t="s">
        <v>7</v>
      </c>
      <c r="M1191" t="s">
        <v>7</v>
      </c>
      <c r="N1191" t="s">
        <v>7</v>
      </c>
      <c r="P1191">
        <f t="shared" si="1034"/>
        <v>-0.8704663212435233</v>
      </c>
      <c r="Q1191">
        <f t="shared" si="1035"/>
        <v>-4134416.6126424866</v>
      </c>
      <c r="R1191">
        <f t="shared" si="1036"/>
        <v>-6799368.6120820399</v>
      </c>
      <c r="S1191">
        <f t="shared" si="1037"/>
        <v>-67.993686120820399</v>
      </c>
      <c r="T1191">
        <f t="shared" si="1038"/>
        <v>-6.7993686120820393E-2</v>
      </c>
    </row>
    <row r="1192" spans="1:20" x14ac:dyDescent="0.25">
      <c r="A1192" s="5">
        <v>43401</v>
      </c>
      <c r="B1192">
        <v>0.47949999999999998</v>
      </c>
      <c r="C1192">
        <v>0.49199999999999999</v>
      </c>
      <c r="D1192">
        <v>0.47289999999999999</v>
      </c>
      <c r="E1192">
        <v>0.4819</v>
      </c>
      <c r="F1192">
        <v>2791324.74</v>
      </c>
      <c r="G1192">
        <v>0</v>
      </c>
      <c r="L1192" t="s">
        <v>7</v>
      </c>
      <c r="M1192" t="s">
        <v>7</v>
      </c>
      <c r="N1192" t="s">
        <v>7</v>
      </c>
      <c r="P1192">
        <f t="shared" si="1034"/>
        <v>-5.7591623036648665E-2</v>
      </c>
      <c r="Q1192">
        <f t="shared" si="1035"/>
        <v>-160756.92219895136</v>
      </c>
      <c r="R1192">
        <f t="shared" si="1036"/>
        <v>-2664951.9994395529</v>
      </c>
      <c r="S1192">
        <f t="shared" si="1037"/>
        <v>-26.649519994395529</v>
      </c>
      <c r="T1192">
        <f t="shared" si="1038"/>
        <v>-2.6649519994395528E-2</v>
      </c>
    </row>
    <row r="1193" spans="1:20" x14ac:dyDescent="0.25">
      <c r="A1193" s="5">
        <v>43400</v>
      </c>
      <c r="B1193">
        <v>0.49390000000000001</v>
      </c>
      <c r="C1193">
        <v>0.49590000000000001</v>
      </c>
      <c r="D1193">
        <v>0.47449999999999998</v>
      </c>
      <c r="E1193">
        <v>0.47939999999999999</v>
      </c>
      <c r="F1193">
        <v>2706640.19</v>
      </c>
      <c r="G1193">
        <v>0</v>
      </c>
      <c r="L1193" t="s">
        <v>7</v>
      </c>
      <c r="M1193" t="s">
        <v>7</v>
      </c>
      <c r="N1193" t="s">
        <v>7</v>
      </c>
      <c r="P1193">
        <f t="shared" si="1034"/>
        <v>-0.54205607476635431</v>
      </c>
      <c r="Q1193">
        <f t="shared" si="1035"/>
        <v>-1467150.7571962595</v>
      </c>
      <c r="R1193">
        <f t="shared" si="1036"/>
        <v>-2504195.0772406016</v>
      </c>
      <c r="S1193">
        <f t="shared" si="1037"/>
        <v>-25.041950772406018</v>
      </c>
      <c r="T1193">
        <f t="shared" si="1038"/>
        <v>-2.5041950772406018E-2</v>
      </c>
    </row>
    <row r="1194" spans="1:20" x14ac:dyDescent="0.25">
      <c r="A1194" s="5">
        <v>43399</v>
      </c>
      <c r="B1194">
        <v>0.49819999999999998</v>
      </c>
      <c r="C1194">
        <v>0.50209999999999999</v>
      </c>
      <c r="D1194">
        <v>0.48759999999999998</v>
      </c>
      <c r="E1194">
        <v>0.49370000000000003</v>
      </c>
      <c r="F1194">
        <v>2847898.58</v>
      </c>
      <c r="G1194">
        <v>0</v>
      </c>
      <c r="L1194" t="s">
        <v>7</v>
      </c>
      <c r="M1194" t="s">
        <v>7</v>
      </c>
      <c r="N1194" t="s">
        <v>7</v>
      </c>
      <c r="P1194">
        <f t="shared" si="1034"/>
        <v>-0.15862068965516629</v>
      </c>
      <c r="Q1194">
        <f t="shared" si="1035"/>
        <v>-451735.63682756876</v>
      </c>
      <c r="R1194">
        <f t="shared" si="1036"/>
        <v>-1037044.3200443421</v>
      </c>
      <c r="S1194">
        <f t="shared" si="1037"/>
        <v>-10.37044320044342</v>
      </c>
      <c r="T1194">
        <f t="shared" si="1038"/>
        <v>-1.0370443200443421E-2</v>
      </c>
    </row>
    <row r="1195" spans="1:20" x14ac:dyDescent="0.25">
      <c r="A1195" s="5">
        <v>43398</v>
      </c>
      <c r="B1195">
        <v>0.49769999999999998</v>
      </c>
      <c r="C1195">
        <v>0.50590000000000002</v>
      </c>
      <c r="D1195">
        <v>0.49159999999999998</v>
      </c>
      <c r="E1195">
        <v>0.49730000000000002</v>
      </c>
      <c r="F1195">
        <v>2886177.3</v>
      </c>
      <c r="G1195">
        <v>0</v>
      </c>
      <c r="P1195">
        <f t="shared" si="1034"/>
        <v>-0.20279720279719937</v>
      </c>
      <c r="Q1195">
        <f t="shared" si="1035"/>
        <v>-585308.68321677332</v>
      </c>
      <c r="R1195">
        <f t="shared" si="1036"/>
        <v>-585308.68321677332</v>
      </c>
      <c r="S1195">
        <f t="shared" si="1037"/>
        <v>-5.8530868321677332</v>
      </c>
      <c r="T1195">
        <f t="shared" si="1038"/>
        <v>-5.8530868321677336E-3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V598" sqref="RV59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$A$597</v>
      </c>
      <c r="D111" s="1" t="str">
        <f>ADDRESS(C121-1,D121,1,1)</f>
        <v>$RV$597</v>
      </c>
      <c r="E111"/>
    </row>
    <row r="112" spans="1:5" x14ac:dyDescent="0.25">
      <c r="A112" s="7">
        <v>12164.144957890772</v>
      </c>
      <c r="C112" s="1" t="str">
        <f>ADDRESS(C121,1,1,1)</f>
        <v>$A$598</v>
      </c>
      <c r="D112" s="1" t="str">
        <f>ADDRESS(C121,D121-1,1,1)</f>
        <v>$RU$598</v>
      </c>
      <c r="E112"/>
    </row>
    <row r="113" spans="1:5" x14ac:dyDescent="0.25">
      <c r="A113" s="7">
        <v>11925.63231165762</v>
      </c>
      <c r="C113" s="1" t="str">
        <f>ADDRESS(C121+1,1,1,1)</f>
        <v>$A$599</v>
      </c>
      <c r="D113" s="1" t="str">
        <f>ADDRESS(C121-1,D121+1,1,1)</f>
        <v>$RW$597</v>
      </c>
    </row>
    <row r="114" spans="1:5" x14ac:dyDescent="0.25">
      <c r="A114" s="7">
        <v>11691.796383978059</v>
      </c>
      <c r="C114" s="1" t="str">
        <f>ADDRESS(C121,D121,1,1)</f>
        <v>$RV$598</v>
      </c>
      <c r="D114" s="1" t="str">
        <f>ADDRESS(C121+1,D121+1,1,1)</f>
        <v>$RW$599</v>
      </c>
    </row>
    <row r="115" spans="1:5" x14ac:dyDescent="0.25">
      <c r="A115" s="7">
        <v>11462.545474488292</v>
      </c>
      <c r="C115" s="1" t="str">
        <f>ADDRESS(C121+1,D121,1,1)</f>
        <v>$RV$599</v>
      </c>
    </row>
    <row r="116" spans="1:5" x14ac:dyDescent="0.25">
      <c r="A116" s="7">
        <v>11237.789680870874</v>
      </c>
      <c r="C116" s="1">
        <f>C117-1</f>
        <v>597</v>
      </c>
    </row>
    <row r="117" spans="1:5" x14ac:dyDescent="0.25">
      <c r="A117" s="7">
        <v>11017.440863598895</v>
      </c>
      <c r="C117" s="1">
        <f>C121</f>
        <v>598</v>
      </c>
      <c r="D117" s="1">
        <f>D121</f>
        <v>490</v>
      </c>
    </row>
    <row r="118" spans="1:5" x14ac:dyDescent="0.25">
      <c r="A118" s="7">
        <v>10801.412611371465</v>
      </c>
      <c r="C118" s="1">
        <f>C117+1</f>
        <v>599</v>
      </c>
      <c r="D118" s="1">
        <f>D117+1</f>
        <v>491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598</v>
      </c>
      <c r="D121" s="19">
        <v>490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R598</v>
      </c>
      <c r="D123" s="1" t="str">
        <f>"C"&amp;D121</f>
        <v>C490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0.80426303909328967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361" x14ac:dyDescent="0.25">
      <c r="A529" s="7">
        <v>3.1536243640574906</v>
      </c>
      <c r="B529"/>
      <c r="C529"/>
      <c r="D529"/>
      <c r="E529"/>
    </row>
    <row r="530" spans="1:361" x14ac:dyDescent="0.25">
      <c r="A530" s="7">
        <v>3.0917885922132262</v>
      </c>
      <c r="B530"/>
      <c r="C530"/>
      <c r="D530"/>
      <c r="E530"/>
    </row>
    <row r="531" spans="1:361" x14ac:dyDescent="0.25">
      <c r="A531" s="7">
        <v>3.0311652864835552</v>
      </c>
      <c r="B531"/>
      <c r="C531"/>
      <c r="D531"/>
      <c r="E531"/>
    </row>
    <row r="532" spans="1:361" x14ac:dyDescent="0.25">
      <c r="A532" s="7">
        <v>2.9717306730230932</v>
      </c>
      <c r="B532"/>
      <c r="C532"/>
      <c r="D532"/>
      <c r="E532"/>
    </row>
    <row r="533" spans="1:361" x14ac:dyDescent="0.25">
      <c r="A533" s="7">
        <v>2.9134614441402875</v>
      </c>
      <c r="B533"/>
      <c r="C533"/>
      <c r="D533"/>
      <c r="E533"/>
    </row>
    <row r="534" spans="1:361" x14ac:dyDescent="0.25">
      <c r="A534" s="7">
        <v>2.8563347491571447</v>
      </c>
      <c r="B534"/>
      <c r="C534"/>
      <c r="D534"/>
      <c r="E534"/>
    </row>
    <row r="535" spans="1:361" x14ac:dyDescent="0.25">
      <c r="A535" s="7">
        <v>2.8003281854481812</v>
      </c>
      <c r="B535"/>
      <c r="C535"/>
      <c r="D535"/>
      <c r="E535"/>
    </row>
    <row r="536" spans="1:361" x14ac:dyDescent="0.25">
      <c r="A536" s="7">
        <v>2.7454197896550796</v>
      </c>
      <c r="B536"/>
      <c r="C536"/>
      <c r="D536"/>
      <c r="E536"/>
    </row>
    <row r="537" spans="1:361" x14ac:dyDescent="0.25">
      <c r="A537" s="7">
        <v>2.6915880290736074</v>
      </c>
      <c r="B537"/>
      <c r="C537"/>
      <c r="D537"/>
      <c r="E537"/>
    </row>
    <row r="538" spans="1:361" x14ac:dyDescent="0.25">
      <c r="A538" s="7">
        <v>2.6388117932094191</v>
      </c>
      <c r="B538"/>
      <c r="C538"/>
      <c r="D538"/>
      <c r="E538"/>
      <c r="MI538" s="27" t="s">
        <v>8</v>
      </c>
    </row>
    <row r="539" spans="1:361" x14ac:dyDescent="0.25">
      <c r="A539" s="7">
        <v>2.5870703854994304</v>
      </c>
      <c r="B539"/>
      <c r="C539"/>
      <c r="D539"/>
      <c r="E539"/>
      <c r="MI539" s="27" t="s">
        <v>8</v>
      </c>
      <c r="MJ539" s="27" t="s">
        <v>7</v>
      </c>
    </row>
    <row r="540" spans="1:361" x14ac:dyDescent="0.25">
      <c r="A540" s="7">
        <v>2.53634351519552</v>
      </c>
      <c r="B540"/>
      <c r="C540"/>
      <c r="D540"/>
      <c r="E540"/>
      <c r="MI540" s="27" t="s">
        <v>8</v>
      </c>
      <c r="MJ540" s="27" t="s">
        <v>7</v>
      </c>
    </row>
    <row r="541" spans="1:361" x14ac:dyDescent="0.25">
      <c r="A541" s="7">
        <v>2.4866112894073726</v>
      </c>
      <c r="B541"/>
      <c r="C541"/>
      <c r="D541"/>
      <c r="E541"/>
      <c r="MI541" s="27" t="s">
        <v>8</v>
      </c>
      <c r="MJ541" s="27" t="s">
        <v>7</v>
      </c>
      <c r="MK541" s="27" t="s">
        <v>8</v>
      </c>
    </row>
    <row r="542" spans="1:361" x14ac:dyDescent="0.25">
      <c r="A542" s="7">
        <v>2.4378542053013459</v>
      </c>
      <c r="B542"/>
      <c r="C542"/>
      <c r="D542"/>
      <c r="E542"/>
      <c r="MI542" s="27" t="s">
        <v>8</v>
      </c>
      <c r="MJ542" s="27" t="s">
        <v>7</v>
      </c>
      <c r="MK542" s="27" t="s">
        <v>8</v>
      </c>
      <c r="ML542" s="27" t="s">
        <v>7</v>
      </c>
    </row>
    <row r="543" spans="1:361" x14ac:dyDescent="0.25">
      <c r="A543" s="7">
        <v>2.3900531424522997</v>
      </c>
      <c r="B543"/>
      <c r="C543"/>
      <c r="D543"/>
      <c r="E543"/>
      <c r="MI543" s="27" t="s">
        <v>8</v>
      </c>
      <c r="MJ543" s="27" t="s">
        <v>7</v>
      </c>
      <c r="MK543" s="27" t="s">
        <v>8</v>
      </c>
      <c r="ML543" s="27" t="s">
        <v>7</v>
      </c>
    </row>
    <row r="544" spans="1:361" x14ac:dyDescent="0.25">
      <c r="A544" s="7">
        <v>2.343189355345392</v>
      </c>
      <c r="B544"/>
      <c r="C544"/>
      <c r="D544"/>
      <c r="E544"/>
      <c r="MI544" s="27" t="s">
        <v>8</v>
      </c>
      <c r="MJ544" s="27" t="s">
        <v>7</v>
      </c>
      <c r="MK544" s="27" t="s">
        <v>8</v>
      </c>
      <c r="ML544" s="27" t="s">
        <v>7</v>
      </c>
      <c r="MW544" s="27" t="s">
        <v>8</v>
      </c>
    </row>
    <row r="545" spans="1:428" x14ac:dyDescent="0.25">
      <c r="A545" s="7">
        <v>2.2972444660248938</v>
      </c>
      <c r="B545"/>
      <c r="C545"/>
      <c r="D545"/>
      <c r="E545"/>
      <c r="MI545" s="27" t="s">
        <v>8</v>
      </c>
      <c r="MJ545" s="27" t="s">
        <v>7</v>
      </c>
      <c r="MK545" s="27" t="s">
        <v>8</v>
      </c>
      <c r="ML545" s="27" t="s">
        <v>7</v>
      </c>
      <c r="MQ545" s="27" t="s">
        <v>8</v>
      </c>
      <c r="MW545" s="27" t="s">
        <v>8</v>
      </c>
      <c r="MX545" s="27" t="s">
        <v>7</v>
      </c>
    </row>
    <row r="546" spans="1:428" x14ac:dyDescent="0.25">
      <c r="A546" s="7">
        <v>2.252200456887151</v>
      </c>
      <c r="B546"/>
      <c r="C546"/>
      <c r="D546"/>
      <c r="E546"/>
      <c r="MI546" s="27" t="s">
        <v>8</v>
      </c>
      <c r="MJ546" s="27" t="s">
        <v>7</v>
      </c>
      <c r="MK546" s="27" t="s">
        <v>8</v>
      </c>
      <c r="ML546" s="27" t="s">
        <v>7</v>
      </c>
      <c r="MM546" s="27" t="s">
        <v>8</v>
      </c>
      <c r="MQ546" s="27" t="s">
        <v>8</v>
      </c>
      <c r="MR546" s="27" t="s">
        <v>7</v>
      </c>
      <c r="MW546" s="27" t="s">
        <v>8</v>
      </c>
      <c r="MX546" s="27" t="s">
        <v>7</v>
      </c>
    </row>
    <row r="547" spans="1:428" x14ac:dyDescent="0.25">
      <c r="A547" s="7">
        <v>2.208039663614854</v>
      </c>
      <c r="B547"/>
      <c r="C547"/>
      <c r="D547"/>
      <c r="E547"/>
      <c r="MG547" s="27" t="s">
        <v>8</v>
      </c>
      <c r="MI547" s="27" t="s">
        <v>8</v>
      </c>
      <c r="MJ547" s="27" t="s">
        <v>7</v>
      </c>
      <c r="MK547" s="27" t="s">
        <v>8</v>
      </c>
      <c r="ML547" s="27" t="s">
        <v>7</v>
      </c>
      <c r="MM547" s="27" t="s">
        <v>8</v>
      </c>
      <c r="MN547" s="27" t="s">
        <v>7</v>
      </c>
      <c r="MQ547" s="27" t="s">
        <v>8</v>
      </c>
      <c r="MR547" s="27" t="s">
        <v>7</v>
      </c>
      <c r="MW547" s="27" t="s">
        <v>8</v>
      </c>
      <c r="MX547" s="27" t="s">
        <v>7</v>
      </c>
      <c r="NC547" s="27" t="s">
        <v>8</v>
      </c>
    </row>
    <row r="548" spans="1:428" x14ac:dyDescent="0.25">
      <c r="A548" s="7">
        <v>2.1647447682498568</v>
      </c>
      <c r="B548"/>
      <c r="C548"/>
      <c r="D548"/>
      <c r="E548"/>
      <c r="MG548" s="27" t="s">
        <v>8</v>
      </c>
      <c r="MH548" s="27" t="s">
        <v>7</v>
      </c>
      <c r="MI548" s="27" t="s">
        <v>8</v>
      </c>
      <c r="MJ548" s="27" t="s">
        <v>7</v>
      </c>
      <c r="MK548" s="27" t="s">
        <v>8</v>
      </c>
      <c r="ML548" s="27" t="s">
        <v>7</v>
      </c>
      <c r="MM548" s="27" t="s">
        <v>8</v>
      </c>
      <c r="MN548" s="27" t="s">
        <v>7</v>
      </c>
      <c r="MQ548" s="27" t="s">
        <v>8</v>
      </c>
      <c r="MR548" s="27" t="s">
        <v>7</v>
      </c>
      <c r="MS548" s="27" t="s">
        <v>8</v>
      </c>
      <c r="MU548" s="27" t="s">
        <v>8</v>
      </c>
      <c r="MW548" s="27" t="s">
        <v>8</v>
      </c>
      <c r="MX548" s="27" t="s">
        <v>7</v>
      </c>
      <c r="MY548" s="27" t="s">
        <v>8</v>
      </c>
      <c r="NC548" s="27" t="s">
        <v>8</v>
      </c>
      <c r="ND548" s="27" t="s">
        <v>7</v>
      </c>
    </row>
    <row r="549" spans="1:428" x14ac:dyDescent="0.25">
      <c r="A549" s="7">
        <v>2.1222987924018204</v>
      </c>
      <c r="B549"/>
      <c r="C549"/>
      <c r="D549"/>
      <c r="E549"/>
      <c r="ME549" s="27" t="s">
        <v>8</v>
      </c>
      <c r="MG549" s="27" t="s">
        <v>8</v>
      </c>
      <c r="MH549" s="27" t="s">
        <v>7</v>
      </c>
      <c r="MI549" s="27" t="s">
        <v>8</v>
      </c>
      <c r="MJ549" s="27" t="s">
        <v>7</v>
      </c>
      <c r="MK549" s="27" t="s">
        <v>8</v>
      </c>
      <c r="ML549" s="27" t="s">
        <v>7</v>
      </c>
      <c r="MM549" s="27" t="s">
        <v>8</v>
      </c>
      <c r="MN549" s="27" t="s">
        <v>7</v>
      </c>
      <c r="MQ549" s="27" t="s">
        <v>8</v>
      </c>
      <c r="MR549" s="27" t="s">
        <v>7</v>
      </c>
      <c r="MS549" s="27" t="s">
        <v>8</v>
      </c>
      <c r="MT549" s="27" t="s">
        <v>7</v>
      </c>
      <c r="MU549" s="27" t="s">
        <v>8</v>
      </c>
      <c r="MV549" s="27" t="s">
        <v>7</v>
      </c>
      <c r="MW549" s="27" t="s">
        <v>8</v>
      </c>
      <c r="MX549" s="27" t="s">
        <v>7</v>
      </c>
      <c r="MY549" s="27" t="s">
        <v>8</v>
      </c>
      <c r="MZ549" s="27" t="s">
        <v>7</v>
      </c>
      <c r="NC549" s="27" t="s">
        <v>8</v>
      </c>
      <c r="ND549" s="27" t="s">
        <v>7</v>
      </c>
    </row>
    <row r="550" spans="1:428" x14ac:dyDescent="0.25">
      <c r="A550" s="7">
        <v>2.0806850905900198</v>
      </c>
      <c r="B550"/>
      <c r="C550"/>
      <c r="D550"/>
      <c r="E550"/>
      <c r="ME550" s="27" t="s">
        <v>8</v>
      </c>
      <c r="MF550" s="27" t="s">
        <v>7</v>
      </c>
      <c r="MG550" s="27" t="s">
        <v>8</v>
      </c>
      <c r="MH550" s="27" t="s">
        <v>7</v>
      </c>
      <c r="MI550" s="27" t="s">
        <v>8</v>
      </c>
      <c r="MJ550" s="27" t="s">
        <v>7</v>
      </c>
      <c r="MK550" s="27" t="s">
        <v>8</v>
      </c>
      <c r="ML550" s="27" t="s">
        <v>7</v>
      </c>
      <c r="MM550" s="27" t="s">
        <v>8</v>
      </c>
      <c r="MN550" s="27" t="s">
        <v>7</v>
      </c>
      <c r="MQ550" s="27" t="s">
        <v>8</v>
      </c>
      <c r="MR550" s="27" t="s">
        <v>7</v>
      </c>
      <c r="MS550" s="27" t="s">
        <v>8</v>
      </c>
      <c r="MT550" s="27" t="s">
        <v>7</v>
      </c>
      <c r="MU550" s="27" t="s">
        <v>8</v>
      </c>
      <c r="MV550" s="27" t="s">
        <v>7</v>
      </c>
      <c r="MW550" s="27" t="s">
        <v>8</v>
      </c>
      <c r="MX550" s="27" t="s">
        <v>7</v>
      </c>
      <c r="MY550" s="27" t="s">
        <v>8</v>
      </c>
      <c r="MZ550" s="27" t="s">
        <v>7</v>
      </c>
      <c r="NC550" s="27" t="s">
        <v>8</v>
      </c>
      <c r="ND550" s="27" t="s">
        <v>7</v>
      </c>
    </row>
    <row r="551" spans="1:428" x14ac:dyDescent="0.25">
      <c r="A551" s="7">
        <v>2.0398873437157055</v>
      </c>
      <c r="B551"/>
      <c r="C551"/>
      <c r="D551"/>
      <c r="E551"/>
      <c r="ME551" s="27" t="s">
        <v>8</v>
      </c>
      <c r="MF551" s="27" t="s">
        <v>7</v>
      </c>
      <c r="MG551" s="27" t="s">
        <v>8</v>
      </c>
      <c r="MH551" s="27" t="s">
        <v>7</v>
      </c>
      <c r="MI551" s="27" t="s">
        <v>8</v>
      </c>
      <c r="MJ551" s="27" t="s">
        <v>7</v>
      </c>
      <c r="MK551" s="27" t="s">
        <v>8</v>
      </c>
      <c r="ML551" s="27" t="s">
        <v>7</v>
      </c>
      <c r="MM551" s="27" t="s">
        <v>8</v>
      </c>
      <c r="MN551" s="27" t="s">
        <v>7</v>
      </c>
      <c r="MQ551" s="27" t="s">
        <v>8</v>
      </c>
      <c r="MR551" s="27" t="s">
        <v>7</v>
      </c>
      <c r="MS551" s="27" t="s">
        <v>8</v>
      </c>
      <c r="MT551" s="27" t="s">
        <v>7</v>
      </c>
      <c r="MV551" s="27" t="s">
        <v>7</v>
      </c>
      <c r="MW551" s="27" t="s">
        <v>8</v>
      </c>
      <c r="MX551" s="27" t="s">
        <v>7</v>
      </c>
      <c r="MY551" s="27" t="s">
        <v>8</v>
      </c>
      <c r="MZ551" s="27" t="s">
        <v>7</v>
      </c>
      <c r="NC551" s="27" t="s">
        <v>8</v>
      </c>
      <c r="ND551" s="27" t="s">
        <v>7</v>
      </c>
      <c r="PA551" s="27" t="s">
        <v>8</v>
      </c>
    </row>
    <row r="552" spans="1:428" x14ac:dyDescent="0.25">
      <c r="A552" s="7">
        <v>1.9998895526624565</v>
      </c>
      <c r="B552"/>
      <c r="C552"/>
      <c r="D552"/>
      <c r="E552"/>
      <c r="ME552" s="27" t="s">
        <v>8</v>
      </c>
      <c r="MF552" s="27" t="s">
        <v>7</v>
      </c>
      <c r="MG552" s="27" t="s">
        <v>8</v>
      </c>
      <c r="MH552" s="27" t="s">
        <v>7</v>
      </c>
      <c r="MJ552" s="27" t="s">
        <v>7</v>
      </c>
      <c r="MK552" s="27" t="s">
        <v>8</v>
      </c>
      <c r="ML552" s="27" t="s">
        <v>7</v>
      </c>
      <c r="MM552" s="27" t="s">
        <v>8</v>
      </c>
      <c r="MN552" s="27" t="s">
        <v>7</v>
      </c>
      <c r="MQ552" s="27" t="s">
        <v>8</v>
      </c>
      <c r="MR552" s="27" t="s">
        <v>7</v>
      </c>
      <c r="MV552" s="27" t="s">
        <v>7</v>
      </c>
      <c r="MW552" s="27" t="s">
        <v>8</v>
      </c>
      <c r="MX552" s="27" t="s">
        <v>7</v>
      </c>
      <c r="MY552" s="27" t="s">
        <v>8</v>
      </c>
      <c r="MZ552" s="27" t="s">
        <v>7</v>
      </c>
      <c r="NA552" s="27" t="s">
        <v>8</v>
      </c>
      <c r="NC552" s="27" t="s">
        <v>8</v>
      </c>
      <c r="ND552" s="27" t="s">
        <v>7</v>
      </c>
      <c r="NE552" s="27" t="s">
        <v>8</v>
      </c>
      <c r="PA552" s="27" t="s">
        <v>8</v>
      </c>
      <c r="PB552" s="27" t="s">
        <v>7</v>
      </c>
    </row>
    <row r="553" spans="1:428" x14ac:dyDescent="0.25">
      <c r="A553" s="7">
        <v>1.9606760320220162</v>
      </c>
      <c r="B553"/>
      <c r="C553"/>
      <c r="D553"/>
      <c r="E553"/>
      <c r="ME553" s="27" t="s">
        <v>8</v>
      </c>
      <c r="MF553" s="27" t="s">
        <v>7</v>
      </c>
      <c r="MJ553" s="27" t="s">
        <v>7</v>
      </c>
      <c r="MK553" s="27" t="s">
        <v>8</v>
      </c>
      <c r="ML553" s="27" t="s">
        <v>7</v>
      </c>
      <c r="MM553" s="27" t="s">
        <v>8</v>
      </c>
      <c r="MN553" s="27" t="s">
        <v>7</v>
      </c>
      <c r="MQ553" s="27" t="s">
        <v>8</v>
      </c>
      <c r="MV553" s="27" t="s">
        <v>7</v>
      </c>
      <c r="MW553" s="27" t="s">
        <v>8</v>
      </c>
      <c r="MX553" s="27" t="s">
        <v>7</v>
      </c>
      <c r="MY553" s="27" t="s">
        <v>8</v>
      </c>
      <c r="MZ553" s="27" t="s">
        <v>7</v>
      </c>
      <c r="NA553" s="27" t="s">
        <v>8</v>
      </c>
      <c r="NB553" s="27" t="s">
        <v>7</v>
      </c>
      <c r="NC553" s="27" t="s">
        <v>8</v>
      </c>
      <c r="ND553" s="27" t="s">
        <v>7</v>
      </c>
      <c r="NE553" s="27" t="s">
        <v>8</v>
      </c>
      <c r="NF553" s="27" t="s">
        <v>7</v>
      </c>
      <c r="PA553" s="27" t="s">
        <v>8</v>
      </c>
      <c r="PB553" s="27" t="s">
        <v>7</v>
      </c>
      <c r="PC553" s="27" t="s">
        <v>8</v>
      </c>
    </row>
    <row r="554" spans="1:428" x14ac:dyDescent="0.25">
      <c r="A554" s="7">
        <v>1.9222314039431532</v>
      </c>
      <c r="B554"/>
      <c r="C554"/>
      <c r="D554"/>
      <c r="E554"/>
      <c r="ME554" s="27" t="s">
        <v>8</v>
      </c>
      <c r="MJ554" s="27" t="s">
        <v>7</v>
      </c>
      <c r="MK554" s="27" t="s">
        <v>8</v>
      </c>
      <c r="ML554" s="27" t="s">
        <v>7</v>
      </c>
      <c r="MM554" s="27" t="s">
        <v>8</v>
      </c>
      <c r="MN554" s="27" t="s">
        <v>7</v>
      </c>
      <c r="MQ554" s="27" t="s">
        <v>8</v>
      </c>
      <c r="MV554" s="27" t="s">
        <v>7</v>
      </c>
      <c r="MW554" s="27" t="s">
        <v>8</v>
      </c>
      <c r="MX554" s="27" t="s">
        <v>7</v>
      </c>
      <c r="MY554" s="27" t="s">
        <v>8</v>
      </c>
      <c r="MZ554" s="27" t="s">
        <v>7</v>
      </c>
      <c r="NA554" s="27" t="s">
        <v>8</v>
      </c>
      <c r="NB554" s="27" t="s">
        <v>7</v>
      </c>
      <c r="NC554" s="27" t="s">
        <v>8</v>
      </c>
      <c r="ND554" s="27" t="s">
        <v>7</v>
      </c>
      <c r="NE554" s="27" t="s">
        <v>8</v>
      </c>
      <c r="NF554" s="27" t="s">
        <v>7</v>
      </c>
      <c r="PA554" s="27" t="s">
        <v>8</v>
      </c>
      <c r="PB554" s="27" t="s">
        <v>7</v>
      </c>
      <c r="PC554" s="27" t="s">
        <v>8</v>
      </c>
      <c r="PD554" s="27" t="s">
        <v>7</v>
      </c>
    </row>
    <row r="555" spans="1:428" x14ac:dyDescent="0.25">
      <c r="A555" s="7">
        <v>1.8845405921011305</v>
      </c>
      <c r="B555"/>
      <c r="C555"/>
      <c r="D555"/>
      <c r="E555"/>
      <c r="ME555" s="27" t="s">
        <v>8</v>
      </c>
      <c r="MJ555" s="27" t="s">
        <v>7</v>
      </c>
      <c r="MK555" s="27" t="s">
        <v>8</v>
      </c>
      <c r="ML555" s="27" t="s">
        <v>7</v>
      </c>
      <c r="MM555" s="27" t="s">
        <v>8</v>
      </c>
      <c r="MN555" s="27" t="s">
        <v>7</v>
      </c>
      <c r="MQ555" s="27" t="s">
        <v>8</v>
      </c>
      <c r="MV555" s="27" t="s">
        <v>7</v>
      </c>
      <c r="MW555" s="27" t="s">
        <v>8</v>
      </c>
      <c r="MX555" s="27" t="s">
        <v>7</v>
      </c>
      <c r="MZ555" s="27" t="s">
        <v>7</v>
      </c>
      <c r="NA555" s="27" t="s">
        <v>8</v>
      </c>
      <c r="NB555" s="27" t="s">
        <v>7</v>
      </c>
      <c r="NC555" s="27" t="s">
        <v>8</v>
      </c>
      <c r="ND555" s="27" t="s">
        <v>7</v>
      </c>
      <c r="NE555" s="27" t="s">
        <v>8</v>
      </c>
      <c r="NF555" s="27" t="s">
        <v>7</v>
      </c>
      <c r="PA555" s="27" t="s">
        <v>8</v>
      </c>
      <c r="PB555" s="27" t="s">
        <v>7</v>
      </c>
      <c r="PC555" s="27" t="s">
        <v>8</v>
      </c>
      <c r="PD555" s="27" t="s">
        <v>7</v>
      </c>
    </row>
    <row r="556" spans="1:428" x14ac:dyDescent="0.25">
      <c r="A556" s="7">
        <v>1.8475888157854219</v>
      </c>
      <c r="B556"/>
      <c r="C556"/>
      <c r="D556"/>
      <c r="E556"/>
      <c r="MC556" s="27" t="s">
        <v>8</v>
      </c>
      <c r="ME556" s="27" t="s">
        <v>8</v>
      </c>
      <c r="MJ556" s="27" t="s">
        <v>7</v>
      </c>
      <c r="MK556" s="27" t="s">
        <v>8</v>
      </c>
      <c r="ML556" s="27" t="s">
        <v>7</v>
      </c>
      <c r="MN556" s="27" t="s">
        <v>7</v>
      </c>
      <c r="MO556" s="27" t="s">
        <v>8</v>
      </c>
      <c r="MQ556" s="27" t="s">
        <v>8</v>
      </c>
      <c r="MV556" s="27" t="s">
        <v>7</v>
      </c>
      <c r="MW556" s="27" t="s">
        <v>8</v>
      </c>
      <c r="MZ556" s="27" t="s">
        <v>7</v>
      </c>
      <c r="NA556" s="27" t="s">
        <v>8</v>
      </c>
      <c r="NB556" s="27" t="s">
        <v>7</v>
      </c>
      <c r="NC556" s="27" t="s">
        <v>8</v>
      </c>
      <c r="ND556" s="27" t="s">
        <v>7</v>
      </c>
      <c r="NE556" s="27" t="s">
        <v>8</v>
      </c>
      <c r="NF556" s="27" t="s">
        <v>7</v>
      </c>
      <c r="PA556" s="27" t="s">
        <v>8</v>
      </c>
      <c r="PB556" s="27" t="s">
        <v>7</v>
      </c>
      <c r="PC556" s="27" t="s">
        <v>8</v>
      </c>
      <c r="PD556" s="27" t="s">
        <v>7</v>
      </c>
    </row>
    <row r="557" spans="1:428" x14ac:dyDescent="0.25">
      <c r="A557" s="7">
        <v>1.8113615841033548</v>
      </c>
      <c r="B557"/>
      <c r="C557"/>
      <c r="D557"/>
      <c r="E557"/>
      <c r="MC557" s="27" t="s">
        <v>8</v>
      </c>
      <c r="MD557" s="27" t="s">
        <v>7</v>
      </c>
      <c r="ME557" s="27" t="s">
        <v>8</v>
      </c>
      <c r="MJ557" s="27" t="s">
        <v>7</v>
      </c>
      <c r="MK557" s="27" t="s">
        <v>8</v>
      </c>
      <c r="MN557" s="27" t="s">
        <v>7</v>
      </c>
      <c r="MO557" s="27" t="s">
        <v>8</v>
      </c>
      <c r="MP557" s="27" t="s">
        <v>7</v>
      </c>
      <c r="MQ557" s="27" t="s">
        <v>8</v>
      </c>
      <c r="MV557" s="27" t="s">
        <v>7</v>
      </c>
      <c r="MZ557" s="27" t="s">
        <v>7</v>
      </c>
      <c r="NA557" s="27" t="s">
        <v>8</v>
      </c>
      <c r="NB557" s="27" t="s">
        <v>7</v>
      </c>
      <c r="ND557" s="27" t="s">
        <v>7</v>
      </c>
      <c r="NE557" s="27" t="s">
        <v>8</v>
      </c>
      <c r="NF557" s="27" t="s">
        <v>7</v>
      </c>
      <c r="PA557" s="27" t="s">
        <v>8</v>
      </c>
      <c r="PB557" s="27" t="s">
        <v>7</v>
      </c>
      <c r="PC557" s="27" t="s">
        <v>8</v>
      </c>
      <c r="PD557" s="27" t="s">
        <v>7</v>
      </c>
    </row>
    <row r="558" spans="1:428" x14ac:dyDescent="0.25">
      <c r="A558" s="7">
        <v>1.7758446902974065</v>
      </c>
      <c r="B558"/>
      <c r="C558"/>
      <c r="D558"/>
      <c r="E558"/>
      <c r="LU558" s="27" t="s">
        <v>8</v>
      </c>
      <c r="MC558" s="27" t="s">
        <v>8</v>
      </c>
      <c r="MD558" s="27" t="s">
        <v>7</v>
      </c>
      <c r="ME558" s="27" t="s">
        <v>8</v>
      </c>
      <c r="MJ558" s="27" t="s">
        <v>7</v>
      </c>
      <c r="MK558" s="27" t="s">
        <v>8</v>
      </c>
      <c r="MN558" s="27" t="s">
        <v>7</v>
      </c>
      <c r="MO558" s="27" t="s">
        <v>8</v>
      </c>
      <c r="MP558" s="27" t="s">
        <v>7</v>
      </c>
      <c r="MQ558" s="27" t="s">
        <v>8</v>
      </c>
      <c r="MZ558" s="27" t="s">
        <v>7</v>
      </c>
      <c r="NA558" s="27" t="s">
        <v>8</v>
      </c>
      <c r="ND558" s="27" t="s">
        <v>7</v>
      </c>
      <c r="NE558" s="27" t="s">
        <v>8</v>
      </c>
      <c r="NF558" s="27" t="s">
        <v>7</v>
      </c>
      <c r="PA558" s="27" t="s">
        <v>8</v>
      </c>
      <c r="PB558" s="27" t="s">
        <v>7</v>
      </c>
      <c r="PC558" s="27" t="s">
        <v>8</v>
      </c>
      <c r="PD558" s="27" t="s">
        <v>7</v>
      </c>
    </row>
    <row r="559" spans="1:428" x14ac:dyDescent="0.25">
      <c r="A559" s="7">
        <v>1.7410242061739281</v>
      </c>
      <c r="B559"/>
      <c r="C559"/>
      <c r="D559"/>
      <c r="E559"/>
      <c r="LU559" s="27" t="s">
        <v>8</v>
      </c>
      <c r="LV559" s="27" t="s">
        <v>7</v>
      </c>
      <c r="MC559" s="27" t="s">
        <v>8</v>
      </c>
      <c r="MD559" s="27" t="s">
        <v>7</v>
      </c>
      <c r="ME559" s="27" t="s">
        <v>8</v>
      </c>
      <c r="MJ559" s="27" t="s">
        <v>7</v>
      </c>
      <c r="MK559" s="27" t="s">
        <v>8</v>
      </c>
      <c r="MN559" s="27" t="s">
        <v>7</v>
      </c>
      <c r="MO559" s="27" t="s">
        <v>8</v>
      </c>
      <c r="MP559" s="27" t="s">
        <v>7</v>
      </c>
      <c r="MQ559" s="27" t="s">
        <v>8</v>
      </c>
      <c r="MZ559" s="27" t="s">
        <v>7</v>
      </c>
      <c r="NA559" s="27" t="s">
        <v>8</v>
      </c>
      <c r="ND559" s="27" t="s">
        <v>7</v>
      </c>
      <c r="NF559" s="27" t="s">
        <v>7</v>
      </c>
      <c r="PA559" s="27" t="s">
        <v>8</v>
      </c>
      <c r="PB559" s="27" t="s">
        <v>7</v>
      </c>
      <c r="PD559" s="27" t="s">
        <v>7</v>
      </c>
      <c r="PG559" s="27" t="s">
        <v>8</v>
      </c>
      <c r="PK559" s="27" t="s">
        <v>8</v>
      </c>
    </row>
    <row r="560" spans="1:428" x14ac:dyDescent="0.25">
      <c r="A560" s="7">
        <v>1.7068864766411058</v>
      </c>
      <c r="B560"/>
      <c r="C560"/>
      <c r="D560"/>
      <c r="E560"/>
      <c r="LU560" s="27" t="s">
        <v>8</v>
      </c>
      <c r="LV560" s="27" t="s">
        <v>7</v>
      </c>
      <c r="MC560" s="27" t="s">
        <v>8</v>
      </c>
      <c r="MD560" s="27" t="s">
        <v>7</v>
      </c>
      <c r="ME560" s="27" t="s">
        <v>8</v>
      </c>
      <c r="MJ560" s="27" t="s">
        <v>7</v>
      </c>
      <c r="MK560" s="27" t="s">
        <v>8</v>
      </c>
      <c r="MN560" s="27" t="s">
        <v>7</v>
      </c>
      <c r="MO560" s="27" t="s">
        <v>8</v>
      </c>
      <c r="MP560" s="27" t="s">
        <v>7</v>
      </c>
      <c r="MQ560" s="27" t="s">
        <v>8</v>
      </c>
      <c r="MZ560" s="27" t="s">
        <v>7</v>
      </c>
      <c r="NA560" s="27" t="s">
        <v>8</v>
      </c>
      <c r="NF560" s="27" t="s">
        <v>7</v>
      </c>
      <c r="PA560" s="27" t="s">
        <v>8</v>
      </c>
      <c r="PD560" s="27" t="s">
        <v>7</v>
      </c>
      <c r="PE560" s="27" t="s">
        <v>8</v>
      </c>
      <c r="PG560" s="27" t="s">
        <v>8</v>
      </c>
      <c r="PH560" s="27" t="s">
        <v>7</v>
      </c>
      <c r="PK560" s="27" t="s">
        <v>8</v>
      </c>
      <c r="PL560" s="27" t="s">
        <v>7</v>
      </c>
    </row>
    <row r="561" spans="1:480" x14ac:dyDescent="0.25">
      <c r="A561" s="7">
        <v>1.6734181143540252</v>
      </c>
      <c r="B561"/>
      <c r="C561"/>
      <c r="D561"/>
      <c r="E561"/>
      <c r="LU561" s="27" t="s">
        <v>8</v>
      </c>
      <c r="LV561" s="27" t="s">
        <v>7</v>
      </c>
      <c r="MC561" s="27" t="s">
        <v>8</v>
      </c>
      <c r="MD561" s="27" t="s">
        <v>7</v>
      </c>
      <c r="ME561" s="27" t="s">
        <v>8</v>
      </c>
      <c r="MJ561" s="27" t="s">
        <v>7</v>
      </c>
      <c r="MK561" s="27" t="s">
        <v>8</v>
      </c>
      <c r="MN561" s="27" t="s">
        <v>7</v>
      </c>
      <c r="MO561" s="27" t="s">
        <v>8</v>
      </c>
      <c r="MP561" s="27" t="s">
        <v>7</v>
      </c>
      <c r="MQ561" s="27" t="s">
        <v>8</v>
      </c>
      <c r="MZ561" s="27" t="s">
        <v>7</v>
      </c>
      <c r="NF561" s="27" t="s">
        <v>7</v>
      </c>
      <c r="OY561" s="27" t="s">
        <v>8</v>
      </c>
      <c r="PA561" s="27" t="s">
        <v>8</v>
      </c>
      <c r="PD561" s="27" t="s">
        <v>7</v>
      </c>
      <c r="PE561" s="27" t="s">
        <v>8</v>
      </c>
      <c r="PF561" s="27" t="s">
        <v>7</v>
      </c>
      <c r="PG561" s="27" t="s">
        <v>8</v>
      </c>
      <c r="PH561" s="27" t="s">
        <v>7</v>
      </c>
      <c r="PK561" s="27" t="s">
        <v>8</v>
      </c>
      <c r="PL561" s="27" t="s">
        <v>7</v>
      </c>
    </row>
    <row r="562" spans="1:480" x14ac:dyDescent="0.25">
      <c r="A562" s="7">
        <v>1.6406059944647307</v>
      </c>
      <c r="B562"/>
      <c r="C562"/>
      <c r="D562"/>
      <c r="E562"/>
      <c r="LU562" s="27" t="s">
        <v>8</v>
      </c>
      <c r="LV562" s="27" t="s">
        <v>7</v>
      </c>
      <c r="MA562" s="27" t="s">
        <v>8</v>
      </c>
      <c r="MC562" s="27" t="s">
        <v>8</v>
      </c>
      <c r="MD562" s="27" t="s">
        <v>7</v>
      </c>
      <c r="ME562" s="27" t="s">
        <v>8</v>
      </c>
      <c r="MJ562" s="27" t="s">
        <v>7</v>
      </c>
      <c r="MK562" s="27" t="s">
        <v>8</v>
      </c>
      <c r="MN562" s="27" t="s">
        <v>7</v>
      </c>
      <c r="MO562" s="27" t="s">
        <v>8</v>
      </c>
      <c r="MP562" s="27" t="s">
        <v>7</v>
      </c>
      <c r="MQ562" s="27" t="s">
        <v>8</v>
      </c>
      <c r="NF562" s="27" t="s">
        <v>7</v>
      </c>
      <c r="OY562" s="27" t="s">
        <v>8</v>
      </c>
      <c r="OZ562" s="27" t="s">
        <v>7</v>
      </c>
      <c r="PA562" s="27" t="s">
        <v>8</v>
      </c>
      <c r="PD562" s="27" t="s">
        <v>7</v>
      </c>
      <c r="PE562" s="27" t="s">
        <v>8</v>
      </c>
      <c r="PF562" s="27" t="s">
        <v>7</v>
      </c>
      <c r="PG562" s="27" t="s">
        <v>8</v>
      </c>
      <c r="PH562" s="27" t="s">
        <v>7</v>
      </c>
      <c r="PI562" s="27" t="s">
        <v>8</v>
      </c>
      <c r="PK562" s="27" t="s">
        <v>8</v>
      </c>
      <c r="PL562" s="27" t="s">
        <v>7</v>
      </c>
      <c r="QS562" s="27" t="s">
        <v>8</v>
      </c>
    </row>
    <row r="563" spans="1:480" x14ac:dyDescent="0.25">
      <c r="A563" s="7">
        <v>1.6084372494752261</v>
      </c>
      <c r="B563"/>
      <c r="C563"/>
      <c r="D563"/>
      <c r="E563"/>
      <c r="LU563" s="27" t="s">
        <v>8</v>
      </c>
      <c r="LV563" s="27" t="s">
        <v>7</v>
      </c>
      <c r="MA563" s="27" t="s">
        <v>8</v>
      </c>
      <c r="MB563" s="27" t="s">
        <v>7</v>
      </c>
      <c r="MC563" s="27" t="s">
        <v>8</v>
      </c>
      <c r="MD563" s="27" t="s">
        <v>7</v>
      </c>
      <c r="ME563" s="27" t="s">
        <v>8</v>
      </c>
      <c r="MJ563" s="27" t="s">
        <v>7</v>
      </c>
      <c r="MN563" s="27" t="s">
        <v>7</v>
      </c>
      <c r="MO563" s="27" t="s">
        <v>8</v>
      </c>
      <c r="MP563" s="27" t="s">
        <v>7</v>
      </c>
      <c r="MQ563" s="27" t="s">
        <v>8</v>
      </c>
      <c r="NF563" s="27" t="s">
        <v>7</v>
      </c>
      <c r="OY563" s="27" t="s">
        <v>8</v>
      </c>
      <c r="OZ563" s="27" t="s">
        <v>7</v>
      </c>
      <c r="PA563" s="27" t="s">
        <v>8</v>
      </c>
      <c r="PD563" s="27" t="s">
        <v>7</v>
      </c>
      <c r="PE563" s="27" t="s">
        <v>8</v>
      </c>
      <c r="PF563" s="27" t="s">
        <v>7</v>
      </c>
      <c r="PG563" s="27" t="s">
        <v>8</v>
      </c>
      <c r="PH563" s="27" t="s">
        <v>7</v>
      </c>
      <c r="PI563" s="27" t="s">
        <v>8</v>
      </c>
      <c r="PJ563" s="27" t="s">
        <v>7</v>
      </c>
      <c r="PK563" s="27" t="s">
        <v>8</v>
      </c>
      <c r="PL563" s="27" t="s">
        <v>7</v>
      </c>
      <c r="PY563" s="27" t="s">
        <v>8</v>
      </c>
      <c r="QS563" s="27" t="s">
        <v>8</v>
      </c>
      <c r="QT563" s="27" t="s">
        <v>7</v>
      </c>
    </row>
    <row r="564" spans="1:480" x14ac:dyDescent="0.25">
      <c r="A564" s="7">
        <v>1.5768992641913981</v>
      </c>
      <c r="B564"/>
      <c r="C564"/>
      <c r="D564"/>
      <c r="E564"/>
      <c r="LC564" s="27" t="s">
        <v>8</v>
      </c>
      <c r="LU564" s="27" t="s">
        <v>8</v>
      </c>
      <c r="LV564" s="27" t="s">
        <v>7</v>
      </c>
      <c r="LY564" s="27" t="s">
        <v>8</v>
      </c>
      <c r="MA564" s="27" t="s">
        <v>8</v>
      </c>
      <c r="MB564" s="27" t="s">
        <v>7</v>
      </c>
      <c r="MC564" s="27" t="s">
        <v>8</v>
      </c>
      <c r="MD564" s="27" t="s">
        <v>7</v>
      </c>
      <c r="MN564" s="27" t="s">
        <v>7</v>
      </c>
      <c r="MO564" s="27" t="s">
        <v>8</v>
      </c>
      <c r="MP564" s="27" t="s">
        <v>7</v>
      </c>
      <c r="MQ564" s="27" t="s">
        <v>8</v>
      </c>
      <c r="NF564" s="27" t="s">
        <v>7</v>
      </c>
      <c r="OY564" s="27" t="s">
        <v>8</v>
      </c>
      <c r="OZ564" s="27" t="s">
        <v>7</v>
      </c>
      <c r="PA564" s="27" t="s">
        <v>8</v>
      </c>
      <c r="PD564" s="27" t="s">
        <v>7</v>
      </c>
      <c r="PE564" s="27" t="s">
        <v>8</v>
      </c>
      <c r="PF564" s="27" t="s">
        <v>7</v>
      </c>
      <c r="PG564" s="27" t="s">
        <v>8</v>
      </c>
      <c r="PH564" s="27" t="s">
        <v>7</v>
      </c>
      <c r="PI564" s="27" t="s">
        <v>8</v>
      </c>
      <c r="PJ564" s="27" t="s">
        <v>7</v>
      </c>
      <c r="PK564" s="27" t="s">
        <v>8</v>
      </c>
      <c r="PL564" s="27" t="s">
        <v>7</v>
      </c>
      <c r="PY564" s="27" t="s">
        <v>8</v>
      </c>
      <c r="PZ564" s="27" t="s">
        <v>7</v>
      </c>
      <c r="QS564" s="27" t="s">
        <v>8</v>
      </c>
      <c r="QT564" s="27" t="s">
        <v>7</v>
      </c>
    </row>
    <row r="565" spans="1:480" x14ac:dyDescent="0.25">
      <c r="A565" s="7">
        <v>1.5459796707758806</v>
      </c>
      <c r="B565"/>
      <c r="C565"/>
      <c r="D565"/>
      <c r="E565"/>
      <c r="LC565" s="27" t="s">
        <v>8</v>
      </c>
      <c r="LD565" s="27" t="s">
        <v>7</v>
      </c>
      <c r="LU565" s="27" t="s">
        <v>8</v>
      </c>
      <c r="LV565" s="27" t="s">
        <v>7</v>
      </c>
      <c r="LY565" s="27" t="s">
        <v>8</v>
      </c>
      <c r="LZ565" s="27" t="s">
        <v>7</v>
      </c>
      <c r="MA565" s="27" t="s">
        <v>8</v>
      </c>
      <c r="MB565" s="27" t="s">
        <v>7</v>
      </c>
      <c r="MC565" s="27" t="s">
        <v>8</v>
      </c>
      <c r="MN565" s="27" t="s">
        <v>7</v>
      </c>
      <c r="MP565" s="27" t="s">
        <v>7</v>
      </c>
      <c r="NF565" s="27" t="s">
        <v>7</v>
      </c>
      <c r="OY565" s="27" t="s">
        <v>8</v>
      </c>
      <c r="OZ565" s="27" t="s">
        <v>7</v>
      </c>
      <c r="PA565" s="27" t="s">
        <v>8</v>
      </c>
      <c r="PD565" s="27" t="s">
        <v>7</v>
      </c>
      <c r="PE565" s="27" t="s">
        <v>8</v>
      </c>
      <c r="PF565" s="27" t="s">
        <v>7</v>
      </c>
      <c r="PG565" s="27" t="s">
        <v>8</v>
      </c>
      <c r="PH565" s="27" t="s">
        <v>7</v>
      </c>
      <c r="PI565" s="27" t="s">
        <v>8</v>
      </c>
      <c r="PJ565" s="27" t="s">
        <v>7</v>
      </c>
      <c r="PK565" s="27" t="s">
        <v>8</v>
      </c>
      <c r="PL565" s="27" t="s">
        <v>7</v>
      </c>
      <c r="PY565" s="27" t="s">
        <v>8</v>
      </c>
      <c r="PZ565" s="27" t="s">
        <v>7</v>
      </c>
      <c r="QQ565" s="27" t="s">
        <v>8</v>
      </c>
      <c r="QS565" s="27" t="s">
        <v>8</v>
      </c>
      <c r="QT565" s="27" t="s">
        <v>7</v>
      </c>
      <c r="QW565" s="27" t="s">
        <v>8</v>
      </c>
      <c r="RG565" s="27" t="s">
        <v>8</v>
      </c>
    </row>
    <row r="566" spans="1:480" x14ac:dyDescent="0.25">
      <c r="A566" s="7">
        <v>1.5156663438979221</v>
      </c>
      <c r="B566"/>
      <c r="C566"/>
      <c r="D566"/>
      <c r="E566"/>
      <c r="LC566" s="27" t="s">
        <v>8</v>
      </c>
      <c r="LD566" s="27" t="s">
        <v>7</v>
      </c>
      <c r="LO566" s="27" t="s">
        <v>8</v>
      </c>
      <c r="LU566" s="27" t="s">
        <v>8</v>
      </c>
      <c r="LV566" s="27" t="s">
        <v>7</v>
      </c>
      <c r="LY566" s="27" t="s">
        <v>8</v>
      </c>
      <c r="LZ566" s="27" t="s">
        <v>7</v>
      </c>
      <c r="MA566" s="27" t="s">
        <v>8</v>
      </c>
      <c r="MB566" s="27" t="s">
        <v>7</v>
      </c>
      <c r="MC566" s="27" t="s">
        <v>8</v>
      </c>
      <c r="NF566" s="27" t="s">
        <v>7</v>
      </c>
      <c r="OY566" s="27" t="s">
        <v>8</v>
      </c>
      <c r="OZ566" s="27" t="s">
        <v>7</v>
      </c>
      <c r="PD566" s="27" t="s">
        <v>7</v>
      </c>
      <c r="PE566" s="27" t="s">
        <v>8</v>
      </c>
      <c r="PF566" s="27" t="s">
        <v>7</v>
      </c>
      <c r="PH566" s="27" t="s">
        <v>7</v>
      </c>
      <c r="PI566" s="27" t="s">
        <v>8</v>
      </c>
      <c r="PJ566" s="27" t="s">
        <v>7</v>
      </c>
      <c r="PK566" s="27" t="s">
        <v>8</v>
      </c>
      <c r="PL566" s="27" t="s">
        <v>7</v>
      </c>
      <c r="PY566" s="27" t="s">
        <v>8</v>
      </c>
      <c r="PZ566" s="27" t="s">
        <v>7</v>
      </c>
      <c r="QI566" s="27" t="s">
        <v>8</v>
      </c>
      <c r="QQ566" s="27" t="s">
        <v>8</v>
      </c>
      <c r="QR566" s="27" t="s">
        <v>7</v>
      </c>
      <c r="QS566" s="27" t="s">
        <v>8</v>
      </c>
      <c r="QT566" s="27" t="s">
        <v>7</v>
      </c>
      <c r="QW566" s="27" t="s">
        <v>8</v>
      </c>
      <c r="QX566" s="27" t="s">
        <v>7</v>
      </c>
      <c r="RG566" s="27" t="s">
        <v>8</v>
      </c>
      <c r="RH566" s="27" t="s">
        <v>7</v>
      </c>
      <c r="RI566" s="27" t="s">
        <v>8</v>
      </c>
    </row>
    <row r="567" spans="1:480" x14ac:dyDescent="0.25">
      <c r="A567" s="7">
        <v>1.4859473959783549</v>
      </c>
      <c r="B567"/>
      <c r="C567"/>
      <c r="D567"/>
      <c r="E567"/>
      <c r="LC567" s="27" t="s">
        <v>8</v>
      </c>
      <c r="LD567" s="27" t="s">
        <v>7</v>
      </c>
      <c r="LO567" s="27" t="s">
        <v>8</v>
      </c>
      <c r="LP567" s="27" t="s">
        <v>7</v>
      </c>
      <c r="LS567" s="27" t="s">
        <v>8</v>
      </c>
      <c r="LU567" s="27" t="s">
        <v>8</v>
      </c>
      <c r="LV567" s="27" t="s">
        <v>7</v>
      </c>
      <c r="LW567" s="27" t="s">
        <v>8</v>
      </c>
      <c r="LY567" s="27" t="s">
        <v>8</v>
      </c>
      <c r="LZ567" s="27" t="s">
        <v>7</v>
      </c>
      <c r="MA567" s="27" t="s">
        <v>8</v>
      </c>
      <c r="MB567" s="27" t="s">
        <v>7</v>
      </c>
      <c r="MC567" s="27" t="s">
        <v>8</v>
      </c>
      <c r="NF567" s="27" t="s">
        <v>7</v>
      </c>
      <c r="OY567" s="27" t="s">
        <v>8</v>
      </c>
      <c r="PD567" s="27" t="s">
        <v>7</v>
      </c>
      <c r="PE567" s="27" t="s">
        <v>8</v>
      </c>
      <c r="PH567" s="27" t="s">
        <v>7</v>
      </c>
      <c r="PI567" s="27" t="s">
        <v>8</v>
      </c>
      <c r="PJ567" s="27" t="s">
        <v>7</v>
      </c>
      <c r="PL567" s="27" t="s">
        <v>7</v>
      </c>
      <c r="PY567" s="27" t="s">
        <v>8</v>
      </c>
      <c r="PZ567" s="27" t="s">
        <v>7</v>
      </c>
      <c r="QI567" s="27" t="s">
        <v>8</v>
      </c>
      <c r="QJ567" s="27" t="s">
        <v>7</v>
      </c>
      <c r="QQ567" s="27" t="s">
        <v>8</v>
      </c>
      <c r="QR567" s="27" t="s">
        <v>7</v>
      </c>
      <c r="QS567" s="27" t="s">
        <v>8</v>
      </c>
      <c r="QT567" s="27" t="s">
        <v>7</v>
      </c>
      <c r="QW567" s="27" t="s">
        <v>8</v>
      </c>
      <c r="QX567" s="27" t="s">
        <v>7</v>
      </c>
      <c r="RG567" s="27" t="s">
        <v>8</v>
      </c>
      <c r="RH567" s="27" t="s">
        <v>7</v>
      </c>
      <c r="RI567" s="27" t="s">
        <v>8</v>
      </c>
      <c r="RJ567" s="27" t="s">
        <v>7</v>
      </c>
    </row>
    <row r="568" spans="1:480" x14ac:dyDescent="0.25">
      <c r="A568" s="7">
        <v>1.4568111725277988</v>
      </c>
      <c r="B568"/>
      <c r="C568"/>
      <c r="D568"/>
      <c r="E568"/>
      <c r="LC568" s="27" t="s">
        <v>8</v>
      </c>
      <c r="LD568" s="27" t="s">
        <v>7</v>
      </c>
      <c r="LE568" s="27" t="s">
        <v>8</v>
      </c>
      <c r="LM568" s="27" t="s">
        <v>8</v>
      </c>
      <c r="LO568" s="27" t="s">
        <v>8</v>
      </c>
      <c r="LP568" s="27" t="s">
        <v>7</v>
      </c>
      <c r="LS568" s="27" t="s">
        <v>8</v>
      </c>
      <c r="LT568" s="27" t="s">
        <v>7</v>
      </c>
      <c r="LU568" s="27" t="s">
        <v>8</v>
      </c>
      <c r="LV568" s="27" t="s">
        <v>7</v>
      </c>
      <c r="LW568" s="27" t="s">
        <v>8</v>
      </c>
      <c r="LX568" s="27" t="s">
        <v>7</v>
      </c>
      <c r="LY568" s="27" t="s">
        <v>8</v>
      </c>
      <c r="LZ568" s="27" t="s">
        <v>7</v>
      </c>
      <c r="MA568" s="27" t="s">
        <v>8</v>
      </c>
      <c r="MB568" s="27" t="s">
        <v>7</v>
      </c>
      <c r="NF568" s="27" t="s">
        <v>7</v>
      </c>
      <c r="NK568" s="27" t="s">
        <v>8</v>
      </c>
      <c r="OY568" s="27" t="s">
        <v>8</v>
      </c>
      <c r="PD568" s="27" t="s">
        <v>7</v>
      </c>
      <c r="PE568" s="27" t="s">
        <v>8</v>
      </c>
      <c r="PH568" s="27" t="s">
        <v>7</v>
      </c>
      <c r="PI568" s="27" t="s">
        <v>8</v>
      </c>
      <c r="PL568" s="27" t="s">
        <v>7</v>
      </c>
      <c r="PY568" s="27" t="s">
        <v>8</v>
      </c>
      <c r="PZ568" s="27" t="s">
        <v>7</v>
      </c>
      <c r="QI568" s="27" t="s">
        <v>8</v>
      </c>
      <c r="QJ568" s="27" t="s">
        <v>7</v>
      </c>
      <c r="QO568" s="27" t="s">
        <v>8</v>
      </c>
      <c r="QQ568" s="27" t="s">
        <v>8</v>
      </c>
      <c r="QR568" s="27" t="s">
        <v>7</v>
      </c>
      <c r="QS568" s="27" t="s">
        <v>8</v>
      </c>
      <c r="QT568" s="27" t="s">
        <v>7</v>
      </c>
      <c r="QW568" s="27" t="s">
        <v>8</v>
      </c>
      <c r="QX568" s="27" t="s">
        <v>7</v>
      </c>
      <c r="RG568" s="27" t="s">
        <v>8</v>
      </c>
      <c r="RH568" s="27" t="s">
        <v>7</v>
      </c>
      <c r="RI568" s="27" t="s">
        <v>8</v>
      </c>
      <c r="RJ568" s="27" t="s">
        <v>7</v>
      </c>
    </row>
    <row r="569" spans="1:480" x14ac:dyDescent="0.25">
      <c r="A569" s="7">
        <v>1.4282462475762734</v>
      </c>
      <c r="B569"/>
      <c r="C569"/>
      <c r="D569"/>
      <c r="E569"/>
      <c r="LC569" s="27" t="s">
        <v>8</v>
      </c>
      <c r="LD569" s="27" t="s">
        <v>7</v>
      </c>
      <c r="LE569" s="27" t="s">
        <v>8</v>
      </c>
      <c r="LF569" s="27" t="s">
        <v>7</v>
      </c>
      <c r="LM569" s="27" t="s">
        <v>8</v>
      </c>
      <c r="LN569" s="27" t="s">
        <v>7</v>
      </c>
      <c r="LO569" s="27" t="s">
        <v>8</v>
      </c>
      <c r="LP569" s="27" t="s">
        <v>7</v>
      </c>
      <c r="LS569" s="27" t="s">
        <v>8</v>
      </c>
      <c r="LT569" s="27" t="s">
        <v>7</v>
      </c>
      <c r="LU569" s="27" t="s">
        <v>8</v>
      </c>
      <c r="LV569" s="27" t="s">
        <v>7</v>
      </c>
      <c r="LW569" s="27" t="s">
        <v>8</v>
      </c>
      <c r="LX569" s="27" t="s">
        <v>7</v>
      </c>
      <c r="LY569" s="27" t="s">
        <v>8</v>
      </c>
      <c r="LZ569" s="27" t="s">
        <v>7</v>
      </c>
      <c r="NF569" s="27" t="s">
        <v>7</v>
      </c>
      <c r="NK569" s="27" t="s">
        <v>8</v>
      </c>
      <c r="NL569" s="27" t="s">
        <v>7</v>
      </c>
      <c r="OY569" s="27" t="s">
        <v>8</v>
      </c>
      <c r="PD569" s="27" t="s">
        <v>7</v>
      </c>
      <c r="PE569" s="27" t="s">
        <v>8</v>
      </c>
      <c r="PH569" s="27" t="s">
        <v>7</v>
      </c>
      <c r="PI569" s="27" t="s">
        <v>8</v>
      </c>
      <c r="PL569" s="27" t="s">
        <v>7</v>
      </c>
      <c r="PY569" s="27" t="s">
        <v>8</v>
      </c>
      <c r="PZ569" s="27" t="s">
        <v>7</v>
      </c>
      <c r="QG569" s="27" t="s">
        <v>8</v>
      </c>
      <c r="QI569" s="27" t="s">
        <v>8</v>
      </c>
      <c r="QJ569" s="27" t="s">
        <v>7</v>
      </c>
      <c r="QK569" s="27" t="s">
        <v>8</v>
      </c>
      <c r="QO569" s="27" t="s">
        <v>8</v>
      </c>
      <c r="QP569" s="27" t="s">
        <v>7</v>
      </c>
      <c r="QQ569" s="27" t="s">
        <v>8</v>
      </c>
      <c r="QR569" s="27" t="s">
        <v>7</v>
      </c>
      <c r="QS569" s="27" t="s">
        <v>8</v>
      </c>
      <c r="QT569" s="27" t="s">
        <v>7</v>
      </c>
      <c r="QU569" s="27" t="s">
        <v>8</v>
      </c>
      <c r="QW569" s="27" t="s">
        <v>8</v>
      </c>
      <c r="QX569" s="27" t="s">
        <v>7</v>
      </c>
      <c r="RG569" s="27" t="s">
        <v>8</v>
      </c>
      <c r="RH569" s="27" t="s">
        <v>7</v>
      </c>
      <c r="RJ569" s="27" t="s">
        <v>7</v>
      </c>
      <c r="RK569" s="27" t="s">
        <v>8</v>
      </c>
    </row>
    <row r="570" spans="1:480" x14ac:dyDescent="0.25">
      <c r="A570" s="7">
        <v>1.4002414191924248</v>
      </c>
      <c r="B570"/>
      <c r="C570"/>
      <c r="D570"/>
      <c r="E570"/>
      <c r="KY570" s="27" t="s">
        <v>8</v>
      </c>
      <c r="LC570" s="27" t="s">
        <v>8</v>
      </c>
      <c r="LD570" s="27" t="s">
        <v>7</v>
      </c>
      <c r="LE570" s="27" t="s">
        <v>8</v>
      </c>
      <c r="LF570" s="27" t="s">
        <v>7</v>
      </c>
      <c r="LM570" s="27" t="s">
        <v>8</v>
      </c>
      <c r="LN570" s="27" t="s">
        <v>7</v>
      </c>
      <c r="LO570" s="27" t="s">
        <v>8</v>
      </c>
      <c r="LP570" s="27" t="s">
        <v>7</v>
      </c>
      <c r="LQ570" s="27" t="s">
        <v>8</v>
      </c>
      <c r="LS570" s="27" t="s">
        <v>8</v>
      </c>
      <c r="LT570" s="27" t="s">
        <v>7</v>
      </c>
      <c r="LU570" s="27" t="s">
        <v>8</v>
      </c>
      <c r="LV570" s="27" t="s">
        <v>7</v>
      </c>
      <c r="LW570" s="27" t="s">
        <v>8</v>
      </c>
      <c r="LX570" s="27" t="s">
        <v>7</v>
      </c>
      <c r="LY570" s="27" t="s">
        <v>8</v>
      </c>
      <c r="NF570" s="27" t="s">
        <v>7</v>
      </c>
      <c r="NG570" s="27" t="s">
        <v>8</v>
      </c>
      <c r="NK570" s="27" t="s">
        <v>8</v>
      </c>
      <c r="NL570" s="27" t="s">
        <v>7</v>
      </c>
      <c r="OY570" s="27" t="s">
        <v>8</v>
      </c>
      <c r="PD570" s="27" t="s">
        <v>7</v>
      </c>
      <c r="PE570" s="27" t="s">
        <v>8</v>
      </c>
      <c r="PH570" s="27" t="s">
        <v>7</v>
      </c>
      <c r="PI570" s="27" t="s">
        <v>8</v>
      </c>
      <c r="PL570" s="27" t="s">
        <v>7</v>
      </c>
      <c r="PM570" s="27" t="s">
        <v>8</v>
      </c>
      <c r="PY570" s="27" t="s">
        <v>8</v>
      </c>
      <c r="PZ570" s="27" t="s">
        <v>7</v>
      </c>
      <c r="QA570" s="27" t="s">
        <v>8</v>
      </c>
      <c r="QG570" s="27" t="s">
        <v>8</v>
      </c>
      <c r="QH570" s="27" t="s">
        <v>7</v>
      </c>
      <c r="QI570" s="27" t="s">
        <v>8</v>
      </c>
      <c r="QJ570" s="27" t="s">
        <v>7</v>
      </c>
      <c r="QK570" s="27" t="s">
        <v>8</v>
      </c>
      <c r="QL570" s="27" t="s">
        <v>7</v>
      </c>
      <c r="QO570" s="27" t="s">
        <v>8</v>
      </c>
      <c r="QP570" s="27" t="s">
        <v>7</v>
      </c>
      <c r="QQ570" s="27" t="s">
        <v>8</v>
      </c>
      <c r="QR570" s="27" t="s">
        <v>7</v>
      </c>
      <c r="QS570" s="27" t="s">
        <v>8</v>
      </c>
      <c r="QT570" s="27" t="s">
        <v>7</v>
      </c>
      <c r="QU570" s="27" t="s">
        <v>8</v>
      </c>
      <c r="QV570" s="27" t="s">
        <v>7</v>
      </c>
      <c r="QW570" s="27" t="s">
        <v>8</v>
      </c>
      <c r="QX570" s="27" t="s">
        <v>7</v>
      </c>
      <c r="RG570" s="27" t="s">
        <v>8</v>
      </c>
      <c r="RJ570" s="27" t="s">
        <v>7</v>
      </c>
      <c r="RK570" s="27" t="s">
        <v>8</v>
      </c>
      <c r="RL570" s="27" t="s">
        <v>7</v>
      </c>
    </row>
    <row r="571" spans="1:480" x14ac:dyDescent="0.25">
      <c r="A571" s="7">
        <v>1.3727857050906125</v>
      </c>
      <c r="B571"/>
      <c r="C571"/>
      <c r="D571"/>
      <c r="E571"/>
      <c r="KY571" s="27" t="s">
        <v>8</v>
      </c>
      <c r="KZ571" s="27" t="s">
        <v>7</v>
      </c>
      <c r="LA571" s="27" t="s">
        <v>8</v>
      </c>
      <c r="LC571" s="27" t="s">
        <v>8</v>
      </c>
      <c r="LD571" s="27" t="s">
        <v>7</v>
      </c>
      <c r="LE571" s="27" t="s">
        <v>8</v>
      </c>
      <c r="LF571" s="27" t="s">
        <v>7</v>
      </c>
      <c r="LM571" s="27" t="s">
        <v>8</v>
      </c>
      <c r="LN571" s="27" t="s">
        <v>7</v>
      </c>
      <c r="LO571" s="27" t="s">
        <v>8</v>
      </c>
      <c r="LP571" s="27" t="s">
        <v>7</v>
      </c>
      <c r="LQ571" s="27" t="s">
        <v>8</v>
      </c>
      <c r="LR571" s="27" t="s">
        <v>7</v>
      </c>
      <c r="LS571" s="27" t="s">
        <v>8</v>
      </c>
      <c r="LT571" s="27" t="s">
        <v>7</v>
      </c>
      <c r="LU571" s="27" t="s">
        <v>8</v>
      </c>
      <c r="LV571" s="27" t="s">
        <v>7</v>
      </c>
      <c r="LW571" s="27" t="s">
        <v>8</v>
      </c>
      <c r="LX571" s="27" t="s">
        <v>7</v>
      </c>
      <c r="NF571" s="27" t="s">
        <v>7</v>
      </c>
      <c r="NG571" s="27" t="s">
        <v>8</v>
      </c>
      <c r="NH571" s="27" t="s">
        <v>7</v>
      </c>
      <c r="NK571" s="27" t="s">
        <v>8</v>
      </c>
      <c r="NL571" s="27" t="s">
        <v>7</v>
      </c>
      <c r="OY571" s="27" t="s">
        <v>8</v>
      </c>
      <c r="PD571" s="27" t="s">
        <v>7</v>
      </c>
      <c r="PE571" s="27" t="s">
        <v>8</v>
      </c>
      <c r="PH571" s="27" t="s">
        <v>7</v>
      </c>
      <c r="PI571" s="27" t="s">
        <v>8</v>
      </c>
      <c r="PL571" s="27" t="s">
        <v>7</v>
      </c>
      <c r="PM571" s="27" t="s">
        <v>8</v>
      </c>
      <c r="PN571" s="27" t="s">
        <v>7</v>
      </c>
      <c r="PW571" s="27" t="s">
        <v>8</v>
      </c>
      <c r="PY571" s="27" t="s">
        <v>8</v>
      </c>
      <c r="PZ571" s="27" t="s">
        <v>7</v>
      </c>
      <c r="QA571" s="27" t="s">
        <v>8</v>
      </c>
      <c r="QB571" s="27" t="s">
        <v>7</v>
      </c>
      <c r="QE571" s="27" t="s">
        <v>8</v>
      </c>
      <c r="QG571" s="27" t="s">
        <v>8</v>
      </c>
      <c r="QH571" s="27" t="s">
        <v>7</v>
      </c>
      <c r="QI571" s="27" t="s">
        <v>8</v>
      </c>
      <c r="QJ571" s="27" t="s">
        <v>7</v>
      </c>
      <c r="QK571" s="27" t="s">
        <v>8</v>
      </c>
      <c r="QL571" s="27" t="s">
        <v>7</v>
      </c>
      <c r="QO571" s="27" t="s">
        <v>8</v>
      </c>
      <c r="QP571" s="27" t="s">
        <v>7</v>
      </c>
      <c r="QQ571" s="27" t="s">
        <v>8</v>
      </c>
      <c r="QR571" s="27" t="s">
        <v>7</v>
      </c>
      <c r="QT571" s="27" t="s">
        <v>7</v>
      </c>
      <c r="QU571" s="27" t="s">
        <v>8</v>
      </c>
      <c r="QV571" s="27" t="s">
        <v>7</v>
      </c>
      <c r="QW571" s="27" t="s">
        <v>8</v>
      </c>
      <c r="QX571" s="27" t="s">
        <v>7</v>
      </c>
      <c r="RG571" s="27" t="s">
        <v>8</v>
      </c>
      <c r="RJ571" s="27" t="s">
        <v>7</v>
      </c>
      <c r="RK571" s="27" t="s">
        <v>8</v>
      </c>
      <c r="RL571" s="27" t="s">
        <v>7</v>
      </c>
    </row>
    <row r="572" spans="1:480" x14ac:dyDescent="0.25">
      <c r="A572" s="7">
        <v>1.3458683383241299</v>
      </c>
      <c r="B572"/>
      <c r="C572"/>
      <c r="D572"/>
      <c r="E572"/>
      <c r="KY572" s="27" t="s">
        <v>8</v>
      </c>
      <c r="KZ572" s="27" t="s">
        <v>7</v>
      </c>
      <c r="LA572" s="27" t="s">
        <v>8</v>
      </c>
      <c r="LB572" s="27" t="s">
        <v>7</v>
      </c>
      <c r="LC572" s="27" t="s">
        <v>8</v>
      </c>
      <c r="LD572" s="27" t="s">
        <v>7</v>
      </c>
      <c r="LE572" s="27" t="s">
        <v>8</v>
      </c>
      <c r="LF572" s="27" t="s">
        <v>7</v>
      </c>
      <c r="LM572" s="27" t="s">
        <v>8</v>
      </c>
      <c r="LN572" s="27" t="s">
        <v>7</v>
      </c>
      <c r="LO572" s="27" t="s">
        <v>8</v>
      </c>
      <c r="LP572" s="27" t="s">
        <v>7</v>
      </c>
      <c r="LQ572" s="27" t="s">
        <v>8</v>
      </c>
      <c r="LR572" s="27" t="s">
        <v>7</v>
      </c>
      <c r="LS572" s="27" t="s">
        <v>8</v>
      </c>
      <c r="LT572" s="27" t="s">
        <v>7</v>
      </c>
      <c r="LV572" s="27" t="s">
        <v>7</v>
      </c>
      <c r="LW572" s="27" t="s">
        <v>8</v>
      </c>
      <c r="NF572" s="27" t="s">
        <v>7</v>
      </c>
      <c r="NG572" s="27" t="s">
        <v>8</v>
      </c>
      <c r="NH572" s="27" t="s">
        <v>7</v>
      </c>
      <c r="NK572" s="27" t="s">
        <v>8</v>
      </c>
      <c r="NL572" s="27" t="s">
        <v>7</v>
      </c>
      <c r="NM572" s="27" t="s">
        <v>8</v>
      </c>
      <c r="OY572" s="27" t="s">
        <v>8</v>
      </c>
      <c r="PD572" s="27" t="s">
        <v>7</v>
      </c>
      <c r="PE572" s="27" t="s">
        <v>8</v>
      </c>
      <c r="PH572" s="27" t="s">
        <v>7</v>
      </c>
      <c r="PI572" s="27" t="s">
        <v>8</v>
      </c>
      <c r="PL572" s="27" t="s">
        <v>7</v>
      </c>
      <c r="PM572" s="27" t="s">
        <v>8</v>
      </c>
      <c r="PN572" s="27" t="s">
        <v>7</v>
      </c>
      <c r="PS572" s="27" t="s">
        <v>8</v>
      </c>
      <c r="PW572" s="27" t="s">
        <v>8</v>
      </c>
      <c r="PX572" s="27" t="s">
        <v>7</v>
      </c>
      <c r="PY572" s="27" t="s">
        <v>8</v>
      </c>
      <c r="PZ572" s="27" t="s">
        <v>7</v>
      </c>
      <c r="QA572" s="27" t="s">
        <v>8</v>
      </c>
      <c r="QB572" s="27" t="s">
        <v>7</v>
      </c>
      <c r="QC572" s="27" t="s">
        <v>8</v>
      </c>
      <c r="QE572" s="27" t="s">
        <v>8</v>
      </c>
      <c r="QF572" s="27" t="s">
        <v>7</v>
      </c>
      <c r="QG572" s="27" t="s">
        <v>8</v>
      </c>
      <c r="QH572" s="27" t="s">
        <v>7</v>
      </c>
      <c r="QI572" s="27" t="s">
        <v>8</v>
      </c>
      <c r="QJ572" s="27" t="s">
        <v>7</v>
      </c>
      <c r="QK572" s="27" t="s">
        <v>8</v>
      </c>
      <c r="QL572" s="27" t="s">
        <v>7</v>
      </c>
      <c r="QM572" s="27" t="s">
        <v>8</v>
      </c>
      <c r="QO572" s="27" t="s">
        <v>8</v>
      </c>
      <c r="QP572" s="27" t="s">
        <v>7</v>
      </c>
      <c r="QQ572" s="27" t="s">
        <v>8</v>
      </c>
      <c r="QT572" s="27" t="s">
        <v>7</v>
      </c>
      <c r="QV572" s="27" t="s">
        <v>7</v>
      </c>
      <c r="QW572" s="27" t="s">
        <v>8</v>
      </c>
      <c r="QX572" s="27" t="s">
        <v>7</v>
      </c>
      <c r="RE572" s="27" t="s">
        <v>8</v>
      </c>
      <c r="RG572" s="27" t="s">
        <v>8</v>
      </c>
      <c r="RJ572" s="27" t="s">
        <v>7</v>
      </c>
      <c r="RL572" s="27" t="s">
        <v>7</v>
      </c>
    </row>
    <row r="573" spans="1:480" x14ac:dyDescent="0.25">
      <c r="A573" s="7">
        <v>1.3194787630628724</v>
      </c>
      <c r="B573"/>
      <c r="C573"/>
      <c r="D573"/>
      <c r="E573"/>
      <c r="KW573" s="27" t="s">
        <v>8</v>
      </c>
      <c r="KY573" s="27" t="s">
        <v>8</v>
      </c>
      <c r="KZ573" s="27" t="s">
        <v>7</v>
      </c>
      <c r="LA573" s="27" t="s">
        <v>8</v>
      </c>
      <c r="LB573" s="27" t="s">
        <v>7</v>
      </c>
      <c r="LC573" s="27" t="s">
        <v>8</v>
      </c>
      <c r="LD573" s="27" t="s">
        <v>7</v>
      </c>
      <c r="LF573" s="27" t="s">
        <v>7</v>
      </c>
      <c r="LM573" s="27" t="s">
        <v>8</v>
      </c>
      <c r="LN573" s="27" t="s">
        <v>7</v>
      </c>
      <c r="LO573" s="27" t="s">
        <v>8</v>
      </c>
      <c r="LP573" s="27" t="s">
        <v>7</v>
      </c>
      <c r="LQ573" s="27" t="s">
        <v>8</v>
      </c>
      <c r="LR573" s="27" t="s">
        <v>7</v>
      </c>
      <c r="LS573" s="27" t="s">
        <v>8</v>
      </c>
      <c r="LV573" s="27" t="s">
        <v>7</v>
      </c>
      <c r="LW573" s="27" t="s">
        <v>8</v>
      </c>
      <c r="NF573" s="27" t="s">
        <v>7</v>
      </c>
      <c r="NG573" s="27" t="s">
        <v>8</v>
      </c>
      <c r="NH573" s="27" t="s">
        <v>7</v>
      </c>
      <c r="NK573" s="27" t="s">
        <v>8</v>
      </c>
      <c r="NL573" s="27" t="s">
        <v>7</v>
      </c>
      <c r="NM573" s="27" t="s">
        <v>8</v>
      </c>
      <c r="NN573" s="27" t="s">
        <v>7</v>
      </c>
      <c r="OY573" s="27" t="s">
        <v>8</v>
      </c>
      <c r="PD573" s="27" t="s">
        <v>7</v>
      </c>
      <c r="PE573" s="27" t="s">
        <v>8</v>
      </c>
      <c r="PH573" s="27" t="s">
        <v>7</v>
      </c>
      <c r="PL573" s="27" t="s">
        <v>7</v>
      </c>
      <c r="PM573" s="27" t="s">
        <v>8</v>
      </c>
      <c r="PN573" s="27" t="s">
        <v>7</v>
      </c>
      <c r="PS573" s="27" t="s">
        <v>8</v>
      </c>
      <c r="PT573" s="27" t="s">
        <v>7</v>
      </c>
      <c r="PU573" s="27" t="s">
        <v>8</v>
      </c>
      <c r="PW573" s="27" t="s">
        <v>8</v>
      </c>
      <c r="PX573" s="27" t="s">
        <v>7</v>
      </c>
      <c r="PY573" s="27" t="s">
        <v>8</v>
      </c>
      <c r="PZ573" s="27" t="s">
        <v>7</v>
      </c>
      <c r="QA573" s="27" t="s">
        <v>8</v>
      </c>
      <c r="QB573" s="27" t="s">
        <v>7</v>
      </c>
      <c r="QC573" s="27" t="s">
        <v>8</v>
      </c>
      <c r="QD573" s="27" t="s">
        <v>7</v>
      </c>
      <c r="QE573" s="27" t="s">
        <v>8</v>
      </c>
      <c r="QF573" s="27" t="s">
        <v>7</v>
      </c>
      <c r="QG573" s="27" t="s">
        <v>8</v>
      </c>
      <c r="QH573" s="27" t="s">
        <v>7</v>
      </c>
      <c r="QI573" s="27" t="s">
        <v>8</v>
      </c>
      <c r="QJ573" s="27" t="s">
        <v>7</v>
      </c>
      <c r="QK573" s="27" t="s">
        <v>8</v>
      </c>
      <c r="QL573" s="27" t="s">
        <v>7</v>
      </c>
      <c r="QM573" s="27" t="s">
        <v>8</v>
      </c>
      <c r="QN573" s="27" t="s">
        <v>7</v>
      </c>
      <c r="QO573" s="27" t="s">
        <v>8</v>
      </c>
      <c r="QP573" s="27" t="s">
        <v>7</v>
      </c>
      <c r="QQ573" s="27" t="s">
        <v>8</v>
      </c>
      <c r="QV573" s="27" t="s">
        <v>7</v>
      </c>
      <c r="QW573" s="27" t="s">
        <v>8</v>
      </c>
      <c r="QX573" s="27" t="s">
        <v>7</v>
      </c>
      <c r="RE573" s="27" t="s">
        <v>8</v>
      </c>
      <c r="RF573" s="27" t="s">
        <v>7</v>
      </c>
      <c r="RG573" s="27" t="s">
        <v>8</v>
      </c>
      <c r="RL573" s="27" t="s">
        <v>7</v>
      </c>
    </row>
    <row r="574" spans="1:480" x14ac:dyDescent="0.25">
      <c r="A574" s="7">
        <v>1.2936066304537963</v>
      </c>
      <c r="B574"/>
      <c r="C574"/>
      <c r="D574"/>
      <c r="E574"/>
      <c r="KW574" s="27" t="s">
        <v>8</v>
      </c>
      <c r="KX574" s="27" t="s">
        <v>7</v>
      </c>
      <c r="KY574" s="27" t="s">
        <v>8</v>
      </c>
      <c r="KZ574" s="27" t="s">
        <v>7</v>
      </c>
      <c r="LA574" s="27" t="s">
        <v>8</v>
      </c>
      <c r="LB574" s="27" t="s">
        <v>7</v>
      </c>
      <c r="LC574" s="27" t="s">
        <v>8</v>
      </c>
      <c r="LF574" s="27" t="s">
        <v>7</v>
      </c>
      <c r="LG574" s="27" t="s">
        <v>8</v>
      </c>
      <c r="LM574" s="27" t="s">
        <v>8</v>
      </c>
      <c r="LN574" s="27" t="s">
        <v>7</v>
      </c>
      <c r="LO574" s="27" t="s">
        <v>8</v>
      </c>
      <c r="LP574" s="27" t="s">
        <v>7</v>
      </c>
      <c r="LR574" s="27" t="s">
        <v>7</v>
      </c>
      <c r="LS574" s="27" t="s">
        <v>8</v>
      </c>
      <c r="LV574" s="27" t="s">
        <v>7</v>
      </c>
      <c r="NF574" s="27" t="s">
        <v>7</v>
      </c>
      <c r="NG574" s="27" t="s">
        <v>8</v>
      </c>
      <c r="NH574" s="27" t="s">
        <v>7</v>
      </c>
      <c r="NK574" s="27" t="s">
        <v>8</v>
      </c>
      <c r="NL574" s="27" t="s">
        <v>7</v>
      </c>
      <c r="NM574" s="27" t="s">
        <v>8</v>
      </c>
      <c r="NN574" s="27" t="s">
        <v>7</v>
      </c>
      <c r="OY574" s="27" t="s">
        <v>8</v>
      </c>
      <c r="PD574" s="27" t="s">
        <v>7</v>
      </c>
      <c r="PE574" s="27" t="s">
        <v>8</v>
      </c>
      <c r="PL574" s="27" t="s">
        <v>7</v>
      </c>
      <c r="PM574" s="27" t="s">
        <v>8</v>
      </c>
      <c r="PN574" s="27" t="s">
        <v>7</v>
      </c>
      <c r="PS574" s="27" t="s">
        <v>8</v>
      </c>
      <c r="PT574" s="27" t="s">
        <v>7</v>
      </c>
      <c r="PU574" s="27" t="s">
        <v>8</v>
      </c>
      <c r="PV574" s="27" t="s">
        <v>7</v>
      </c>
      <c r="PW574" s="27" t="s">
        <v>8</v>
      </c>
      <c r="PX574" s="27" t="s">
        <v>7</v>
      </c>
      <c r="PY574" s="27" t="s">
        <v>8</v>
      </c>
      <c r="PZ574" s="27" t="s">
        <v>7</v>
      </c>
      <c r="QB574" s="27" t="s">
        <v>7</v>
      </c>
      <c r="QC574" s="27" t="s">
        <v>8</v>
      </c>
      <c r="QD574" s="27" t="s">
        <v>7</v>
      </c>
      <c r="QE574" s="27" t="s">
        <v>8</v>
      </c>
      <c r="QF574" s="27" t="s">
        <v>7</v>
      </c>
      <c r="QH574" s="27" t="s">
        <v>7</v>
      </c>
      <c r="QI574" s="27" t="s">
        <v>8</v>
      </c>
      <c r="QJ574" s="27" t="s">
        <v>7</v>
      </c>
      <c r="QL574" s="27" t="s">
        <v>7</v>
      </c>
      <c r="QM574" s="27" t="s">
        <v>8</v>
      </c>
      <c r="QN574" s="27" t="s">
        <v>7</v>
      </c>
      <c r="QO574" s="27" t="s">
        <v>8</v>
      </c>
      <c r="QP574" s="27" t="s">
        <v>7</v>
      </c>
      <c r="QQ574" s="27" t="s">
        <v>8</v>
      </c>
      <c r="QV574" s="27" t="s">
        <v>7</v>
      </c>
      <c r="QW574" s="27" t="s">
        <v>8</v>
      </c>
      <c r="QX574" s="27" t="s">
        <v>7</v>
      </c>
      <c r="RE574" s="27" t="s">
        <v>8</v>
      </c>
      <c r="RF574" s="27" t="s">
        <v>7</v>
      </c>
      <c r="RG574" s="27" t="s">
        <v>8</v>
      </c>
      <c r="RL574" s="27" t="s">
        <v>7</v>
      </c>
    </row>
    <row r="575" spans="1:480" x14ac:dyDescent="0.25">
      <c r="A575" s="7">
        <v>1.2682417945625455</v>
      </c>
      <c r="B575"/>
      <c r="C575"/>
      <c r="D575"/>
      <c r="E575"/>
      <c r="KW575" s="27" t="s">
        <v>8</v>
      </c>
      <c r="KX575" s="27" t="s">
        <v>7</v>
      </c>
      <c r="KY575" s="27" t="s">
        <v>8</v>
      </c>
      <c r="KZ575" s="27" t="s">
        <v>7</v>
      </c>
      <c r="LA575" s="27" t="s">
        <v>8</v>
      </c>
      <c r="LB575" s="27" t="s">
        <v>7</v>
      </c>
      <c r="LC575" s="27" t="s">
        <v>8</v>
      </c>
      <c r="LF575" s="27" t="s">
        <v>7</v>
      </c>
      <c r="LG575" s="27" t="s">
        <v>8</v>
      </c>
      <c r="LH575" s="27" t="s">
        <v>7</v>
      </c>
      <c r="LM575" s="27" t="s">
        <v>8</v>
      </c>
      <c r="LN575" s="27" t="s">
        <v>7</v>
      </c>
      <c r="LR575" s="27" t="s">
        <v>7</v>
      </c>
      <c r="LS575" s="27" t="s">
        <v>8</v>
      </c>
      <c r="NF575" s="27" t="s">
        <v>7</v>
      </c>
      <c r="NG575" s="27" t="s">
        <v>8</v>
      </c>
      <c r="NH575" s="27" t="s">
        <v>7</v>
      </c>
      <c r="NI575" s="27" t="s">
        <v>8</v>
      </c>
      <c r="NK575" s="27" t="s">
        <v>8</v>
      </c>
      <c r="NL575" s="27" t="s">
        <v>7</v>
      </c>
      <c r="NM575" s="27" t="s">
        <v>8</v>
      </c>
      <c r="NN575" s="27" t="s">
        <v>7</v>
      </c>
      <c r="OY575" s="27" t="s">
        <v>8</v>
      </c>
      <c r="PD575" s="27" t="s">
        <v>7</v>
      </c>
      <c r="PL575" s="27" t="s">
        <v>7</v>
      </c>
      <c r="PM575" s="27" t="s">
        <v>8</v>
      </c>
      <c r="PN575" s="27" t="s">
        <v>7</v>
      </c>
      <c r="PO575" s="27" t="s">
        <v>8</v>
      </c>
      <c r="PS575" s="27" t="s">
        <v>8</v>
      </c>
      <c r="PT575" s="27" t="s">
        <v>7</v>
      </c>
      <c r="PU575" s="27" t="s">
        <v>8</v>
      </c>
      <c r="PV575" s="27" t="s">
        <v>7</v>
      </c>
      <c r="PW575" s="27" t="s">
        <v>8</v>
      </c>
      <c r="PX575" s="27" t="s">
        <v>7</v>
      </c>
      <c r="QB575" s="27" t="s">
        <v>7</v>
      </c>
      <c r="QD575" s="27" t="s">
        <v>7</v>
      </c>
      <c r="QE575" s="27" t="s">
        <v>8</v>
      </c>
      <c r="QH575" s="27" t="s">
        <v>7</v>
      </c>
      <c r="QI575" s="27" t="s">
        <v>8</v>
      </c>
      <c r="QL575" s="27" t="s">
        <v>7</v>
      </c>
      <c r="QM575" s="27" t="s">
        <v>8</v>
      </c>
      <c r="QN575" s="27" t="s">
        <v>7</v>
      </c>
      <c r="QO575" s="27" t="s">
        <v>8</v>
      </c>
      <c r="QP575" s="27" t="s">
        <v>7</v>
      </c>
      <c r="QQ575" s="27" t="s">
        <v>8</v>
      </c>
      <c r="QV575" s="27" t="s">
        <v>7</v>
      </c>
      <c r="QW575" s="27" t="s">
        <v>8</v>
      </c>
      <c r="QX575" s="27" t="s">
        <v>7</v>
      </c>
      <c r="RE575" s="27" t="s">
        <v>8</v>
      </c>
      <c r="RF575" s="27" t="s">
        <v>7</v>
      </c>
      <c r="RG575" s="27" t="s">
        <v>8</v>
      </c>
      <c r="RL575" s="27" t="s">
        <v>7</v>
      </c>
    </row>
    <row r="576" spans="1:480" x14ac:dyDescent="0.25">
      <c r="A576" s="7">
        <v>1.2433743083946525</v>
      </c>
      <c r="B576"/>
      <c r="C576"/>
      <c r="D576"/>
      <c r="E576"/>
      <c r="KW576" s="27" t="s">
        <v>8</v>
      </c>
      <c r="KX576" s="27" t="s">
        <v>7</v>
      </c>
      <c r="KY576" s="27" t="s">
        <v>8</v>
      </c>
      <c r="KZ576" s="27" t="s">
        <v>7</v>
      </c>
      <c r="LA576" s="27" t="s">
        <v>8</v>
      </c>
      <c r="LB576" s="27" t="s">
        <v>7</v>
      </c>
      <c r="LC576" s="27" t="s">
        <v>8</v>
      </c>
      <c r="LF576" s="27" t="s">
        <v>7</v>
      </c>
      <c r="LG576" s="27" t="s">
        <v>8</v>
      </c>
      <c r="LH576" s="27" t="s">
        <v>7</v>
      </c>
      <c r="LK576" s="27" t="s">
        <v>8</v>
      </c>
      <c r="LM576" s="27" t="s">
        <v>8</v>
      </c>
      <c r="LR576" s="27" t="s">
        <v>7</v>
      </c>
      <c r="LS576" s="27" t="s">
        <v>8</v>
      </c>
      <c r="NF576" s="27" t="s">
        <v>7</v>
      </c>
      <c r="NG576" s="27" t="s">
        <v>8</v>
      </c>
      <c r="NH576" s="27" t="s">
        <v>7</v>
      </c>
      <c r="NI576" s="27" t="s">
        <v>8</v>
      </c>
      <c r="NJ576" s="27" t="s">
        <v>7</v>
      </c>
      <c r="NK576" s="27" t="s">
        <v>8</v>
      </c>
      <c r="NL576" s="27" t="s">
        <v>7</v>
      </c>
      <c r="NM576" s="27" t="s">
        <v>8</v>
      </c>
      <c r="NN576" s="27" t="s">
        <v>7</v>
      </c>
      <c r="OY576" s="27" t="s">
        <v>8</v>
      </c>
      <c r="PL576" s="27" t="s">
        <v>7</v>
      </c>
      <c r="PM576" s="27" t="s">
        <v>8</v>
      </c>
      <c r="PN576" s="27" t="s">
        <v>7</v>
      </c>
      <c r="PO576" s="27" t="s">
        <v>8</v>
      </c>
      <c r="PP576" s="27" t="s">
        <v>7</v>
      </c>
      <c r="PS576" s="27" t="s">
        <v>8</v>
      </c>
      <c r="PT576" s="27" t="s">
        <v>7</v>
      </c>
      <c r="PU576" s="27" t="s">
        <v>8</v>
      </c>
      <c r="PV576" s="27" t="s">
        <v>7</v>
      </c>
      <c r="PW576" s="27" t="s">
        <v>8</v>
      </c>
      <c r="QD576" s="27" t="s">
        <v>7</v>
      </c>
      <c r="QE576" s="27" t="s">
        <v>8</v>
      </c>
      <c r="QH576" s="27" t="s">
        <v>7</v>
      </c>
      <c r="QI576" s="27" t="s">
        <v>8</v>
      </c>
      <c r="QL576" s="27" t="s">
        <v>7</v>
      </c>
      <c r="QM576" s="27" t="s">
        <v>8</v>
      </c>
      <c r="QN576" s="27" t="s">
        <v>7</v>
      </c>
      <c r="QO576" s="27" t="s">
        <v>8</v>
      </c>
      <c r="QP576" s="27" t="s">
        <v>7</v>
      </c>
      <c r="QQ576" s="27" t="s">
        <v>8</v>
      </c>
      <c r="QV576" s="27" t="s">
        <v>7</v>
      </c>
      <c r="QX576" s="27" t="s">
        <v>7</v>
      </c>
      <c r="RE576" s="27" t="s">
        <v>8</v>
      </c>
      <c r="RF576" s="27" t="s">
        <v>7</v>
      </c>
      <c r="RL576" s="27" t="s">
        <v>7</v>
      </c>
    </row>
    <row r="577" spans="1:486" x14ac:dyDescent="0.25">
      <c r="A577" s="7">
        <v>1.2189944199947573</v>
      </c>
      <c r="B577"/>
      <c r="C577"/>
      <c r="D577"/>
      <c r="E577"/>
      <c r="KW577" s="27" t="s">
        <v>8</v>
      </c>
      <c r="KX577" s="27" t="s">
        <v>7</v>
      </c>
      <c r="KY577" s="27" t="s">
        <v>8</v>
      </c>
      <c r="KZ577" s="27" t="s">
        <v>7</v>
      </c>
      <c r="LA577" s="27" t="s">
        <v>8</v>
      </c>
      <c r="LB577" s="27" t="s">
        <v>7</v>
      </c>
      <c r="LC577" s="27" t="s">
        <v>8</v>
      </c>
      <c r="LF577" s="27" t="s">
        <v>7</v>
      </c>
      <c r="LG577" s="27" t="s">
        <v>8</v>
      </c>
      <c r="LH577" s="27" t="s">
        <v>7</v>
      </c>
      <c r="LI577" s="27" t="s">
        <v>8</v>
      </c>
      <c r="LK577" s="27" t="s">
        <v>8</v>
      </c>
      <c r="LL577" s="27" t="s">
        <v>7</v>
      </c>
      <c r="LM577" s="27" t="s">
        <v>8</v>
      </c>
      <c r="LR577" s="27" t="s">
        <v>7</v>
      </c>
      <c r="NF577" s="27" t="s">
        <v>7</v>
      </c>
      <c r="NG577" s="27" t="s">
        <v>8</v>
      </c>
      <c r="NH577" s="27" t="s">
        <v>7</v>
      </c>
      <c r="NI577" s="27" t="s">
        <v>8</v>
      </c>
      <c r="NJ577" s="27" t="s">
        <v>7</v>
      </c>
      <c r="NK577" s="27" t="s">
        <v>8</v>
      </c>
      <c r="NL577" s="27" t="s">
        <v>7</v>
      </c>
      <c r="NM577" s="27" t="s">
        <v>8</v>
      </c>
      <c r="NN577" s="27" t="s">
        <v>7</v>
      </c>
      <c r="OS577" s="27" t="s">
        <v>8</v>
      </c>
      <c r="OY577" s="27" t="s">
        <v>8</v>
      </c>
      <c r="PL577" s="27" t="s">
        <v>7</v>
      </c>
      <c r="PM577" s="27" t="s">
        <v>8</v>
      </c>
      <c r="PN577" s="27" t="s">
        <v>7</v>
      </c>
      <c r="PO577" s="27" t="s">
        <v>8</v>
      </c>
      <c r="PP577" s="27" t="s">
        <v>7</v>
      </c>
      <c r="PQ577" s="27" t="s">
        <v>8</v>
      </c>
      <c r="PS577" s="27" t="s">
        <v>8</v>
      </c>
      <c r="PT577" s="27" t="s">
        <v>7</v>
      </c>
      <c r="PU577" s="27" t="s">
        <v>8</v>
      </c>
      <c r="PV577" s="27" t="s">
        <v>7</v>
      </c>
      <c r="PW577" s="27" t="s">
        <v>8</v>
      </c>
      <c r="QD577" s="27" t="s">
        <v>7</v>
      </c>
      <c r="QH577" s="27" t="s">
        <v>7</v>
      </c>
      <c r="QI577" s="27" t="s">
        <v>8</v>
      </c>
      <c r="QL577" s="27" t="s">
        <v>7</v>
      </c>
      <c r="QM577" s="27" t="s">
        <v>8</v>
      </c>
      <c r="QN577" s="27" t="s">
        <v>7</v>
      </c>
      <c r="QO577" s="27" t="s">
        <v>8</v>
      </c>
      <c r="QP577" s="27" t="s">
        <v>7</v>
      </c>
      <c r="QX577" s="27" t="s">
        <v>7</v>
      </c>
      <c r="QY577" s="27" t="s">
        <v>8</v>
      </c>
      <c r="RA577" s="27" t="s">
        <v>8</v>
      </c>
      <c r="RE577" s="27" t="s">
        <v>8</v>
      </c>
      <c r="RL577" s="27" t="s">
        <v>7</v>
      </c>
    </row>
    <row r="578" spans="1:486" x14ac:dyDescent="0.25">
      <c r="A578" s="7">
        <v>1.1950925686223111</v>
      </c>
      <c r="B578"/>
      <c r="C578"/>
      <c r="D578"/>
      <c r="E578"/>
      <c r="KW578" s="27" t="s">
        <v>8</v>
      </c>
      <c r="KX578" s="27" t="s">
        <v>7</v>
      </c>
      <c r="KY578" s="27" t="s">
        <v>8</v>
      </c>
      <c r="KZ578" s="27" t="s">
        <v>7</v>
      </c>
      <c r="LA578" s="27" t="s">
        <v>8</v>
      </c>
      <c r="LB578" s="27" t="s">
        <v>7</v>
      </c>
      <c r="LF578" s="27" t="s">
        <v>7</v>
      </c>
      <c r="LG578" s="27" t="s">
        <v>8</v>
      </c>
      <c r="LH578" s="27" t="s">
        <v>7</v>
      </c>
      <c r="LI578" s="27" t="s">
        <v>8</v>
      </c>
      <c r="LJ578" s="27" t="s">
        <v>7</v>
      </c>
      <c r="LK578" s="27" t="s">
        <v>8</v>
      </c>
      <c r="LL578" s="27" t="s">
        <v>7</v>
      </c>
      <c r="LM578" s="27" t="s">
        <v>8</v>
      </c>
      <c r="NF578" s="27" t="s">
        <v>7</v>
      </c>
      <c r="NG578" s="27" t="s">
        <v>8</v>
      </c>
      <c r="NH578" s="27" t="s">
        <v>7</v>
      </c>
      <c r="NI578" s="27" t="s">
        <v>8</v>
      </c>
      <c r="NJ578" s="27" t="s">
        <v>7</v>
      </c>
      <c r="NK578" s="27" t="s">
        <v>8</v>
      </c>
      <c r="NL578" s="27" t="s">
        <v>7</v>
      </c>
      <c r="NM578" s="27" t="s">
        <v>8</v>
      </c>
      <c r="NN578" s="27" t="s">
        <v>7</v>
      </c>
      <c r="NO578" s="27" t="s">
        <v>8</v>
      </c>
      <c r="OS578" s="27" t="s">
        <v>8</v>
      </c>
      <c r="OT578" s="27" t="s">
        <v>7</v>
      </c>
      <c r="OY578" s="27" t="s">
        <v>8</v>
      </c>
      <c r="PL578" s="27" t="s">
        <v>7</v>
      </c>
      <c r="PN578" s="27" t="s">
        <v>7</v>
      </c>
      <c r="PP578" s="27" t="s">
        <v>7</v>
      </c>
      <c r="PQ578" s="27" t="s">
        <v>8</v>
      </c>
      <c r="PR578" s="27" t="s">
        <v>7</v>
      </c>
      <c r="PS578" s="27" t="s">
        <v>8</v>
      </c>
      <c r="PT578" s="27" t="s">
        <v>7</v>
      </c>
      <c r="PV578" s="27" t="s">
        <v>7</v>
      </c>
      <c r="PW578" s="27" t="s">
        <v>8</v>
      </c>
      <c r="QH578" s="27" t="s">
        <v>7</v>
      </c>
      <c r="QI578" s="27" t="s">
        <v>8</v>
      </c>
      <c r="QL578" s="27" t="s">
        <v>7</v>
      </c>
      <c r="QN578" s="27" t="s">
        <v>7</v>
      </c>
      <c r="QO578" s="27" t="s">
        <v>8</v>
      </c>
      <c r="QX578" s="27" t="s">
        <v>7</v>
      </c>
      <c r="QY578" s="27" t="s">
        <v>8</v>
      </c>
      <c r="QZ578" s="27" t="s">
        <v>7</v>
      </c>
      <c r="RA578" s="27" t="s">
        <v>8</v>
      </c>
      <c r="RB578" s="27" t="s">
        <v>7</v>
      </c>
      <c r="RC578" s="27" t="s">
        <v>8</v>
      </c>
      <c r="RE578" s="27" t="s">
        <v>8</v>
      </c>
      <c r="RL578" s="27" t="s">
        <v>7</v>
      </c>
      <c r="RM578" s="27" t="s">
        <v>8</v>
      </c>
      <c r="RO578" s="27" t="s">
        <v>8</v>
      </c>
      <c r="RQ578" s="27" t="s">
        <v>8</v>
      </c>
    </row>
    <row r="579" spans="1:486" x14ac:dyDescent="0.25">
      <c r="A579" s="7">
        <v>1.1716593810022657</v>
      </c>
      <c r="B579"/>
      <c r="C579"/>
      <c r="D579"/>
      <c r="E579"/>
      <c r="KW579" s="27" t="s">
        <v>8</v>
      </c>
      <c r="KX579" s="27" t="s">
        <v>7</v>
      </c>
      <c r="KY579" s="27" t="s">
        <v>8</v>
      </c>
      <c r="KZ579" s="27" t="s">
        <v>7</v>
      </c>
      <c r="LA579" s="27" t="s">
        <v>8</v>
      </c>
      <c r="LF579" s="27" t="s">
        <v>7</v>
      </c>
      <c r="LG579" s="27" t="s">
        <v>8</v>
      </c>
      <c r="LH579" s="27" t="s">
        <v>7</v>
      </c>
      <c r="LI579" s="27" t="s">
        <v>8</v>
      </c>
      <c r="LJ579" s="27" t="s">
        <v>7</v>
      </c>
      <c r="LK579" s="27" t="s">
        <v>8</v>
      </c>
      <c r="LL579" s="27" t="s">
        <v>7</v>
      </c>
      <c r="LM579" s="27" t="s">
        <v>8</v>
      </c>
      <c r="NF579" s="27" t="s">
        <v>7</v>
      </c>
      <c r="NG579" s="27" t="s">
        <v>8</v>
      </c>
      <c r="NH579" s="27" t="s">
        <v>7</v>
      </c>
      <c r="NI579" s="27" t="s">
        <v>8</v>
      </c>
      <c r="NJ579" s="27" t="s">
        <v>7</v>
      </c>
      <c r="NK579" s="27" t="s">
        <v>8</v>
      </c>
      <c r="NL579" s="27" t="s">
        <v>7</v>
      </c>
      <c r="NN579" s="27" t="s">
        <v>7</v>
      </c>
      <c r="NO579" s="27" t="s">
        <v>8</v>
      </c>
      <c r="NP579" s="27" t="s">
        <v>7</v>
      </c>
      <c r="NQ579" s="27" t="s">
        <v>8</v>
      </c>
      <c r="OQ579" s="27" t="s">
        <v>8</v>
      </c>
      <c r="OS579" s="27" t="s">
        <v>8</v>
      </c>
      <c r="OT579" s="27" t="s">
        <v>7</v>
      </c>
      <c r="OU579" s="27" t="s">
        <v>8</v>
      </c>
      <c r="OY579" s="27" t="s">
        <v>8</v>
      </c>
      <c r="PP579" s="27" t="s">
        <v>7</v>
      </c>
      <c r="PQ579" s="27" t="s">
        <v>8</v>
      </c>
      <c r="PR579" s="27" t="s">
        <v>7</v>
      </c>
      <c r="PS579" s="27" t="s">
        <v>8</v>
      </c>
      <c r="PV579" s="27" t="s">
        <v>7</v>
      </c>
      <c r="QH579" s="27" t="s">
        <v>7</v>
      </c>
      <c r="QI579" s="27" t="s">
        <v>8</v>
      </c>
      <c r="QN579" s="27" t="s">
        <v>7</v>
      </c>
      <c r="QO579" s="27" t="s">
        <v>8</v>
      </c>
      <c r="QX579" s="27" t="s">
        <v>7</v>
      </c>
      <c r="QY579" s="27" t="s">
        <v>8</v>
      </c>
      <c r="QZ579" s="27" t="s">
        <v>7</v>
      </c>
      <c r="RA579" s="27" t="s">
        <v>8</v>
      </c>
      <c r="RB579" s="27" t="s">
        <v>7</v>
      </c>
      <c r="RC579" s="27" t="s">
        <v>8</v>
      </c>
      <c r="RD579" s="27" t="s">
        <v>7</v>
      </c>
      <c r="RE579" s="27" t="s">
        <v>8</v>
      </c>
      <c r="RL579" s="27" t="s">
        <v>7</v>
      </c>
      <c r="RM579" s="27" t="s">
        <v>8</v>
      </c>
      <c r="RN579" s="27" t="s">
        <v>7</v>
      </c>
      <c r="RO579" s="27" t="s">
        <v>8</v>
      </c>
      <c r="RP579" s="27" t="s">
        <v>7</v>
      </c>
      <c r="RQ579" s="27" t="s">
        <v>8</v>
      </c>
      <c r="RR579" s="27" t="s">
        <v>7</v>
      </c>
    </row>
    <row r="580" spans="1:486" x14ac:dyDescent="0.25">
      <c r="A580" s="7">
        <v>1.14868566764928</v>
      </c>
      <c r="B580"/>
      <c r="C580"/>
      <c r="D580"/>
      <c r="E580"/>
      <c r="KW580" s="27" t="s">
        <v>8</v>
      </c>
      <c r="KX580" s="27" t="s">
        <v>7</v>
      </c>
      <c r="KY580" s="27" t="s">
        <v>8</v>
      </c>
      <c r="KZ580" s="27" t="s">
        <v>7</v>
      </c>
      <c r="LA580" s="27" t="s">
        <v>8</v>
      </c>
      <c r="LF580" s="27" t="s">
        <v>7</v>
      </c>
      <c r="LG580" s="27" t="s">
        <v>8</v>
      </c>
      <c r="LH580" s="27" t="s">
        <v>7</v>
      </c>
      <c r="LI580" s="27" t="s">
        <v>8</v>
      </c>
      <c r="LJ580" s="27" t="s">
        <v>7</v>
      </c>
      <c r="LK580" s="27" t="s">
        <v>8</v>
      </c>
      <c r="LL580" s="27" t="s">
        <v>7</v>
      </c>
      <c r="NF580" s="27" t="s">
        <v>7</v>
      </c>
      <c r="NG580" s="27" t="s">
        <v>8</v>
      </c>
      <c r="NH580" s="27" t="s">
        <v>7</v>
      </c>
      <c r="NI580" s="27" t="s">
        <v>8</v>
      </c>
      <c r="NJ580" s="27" t="s">
        <v>7</v>
      </c>
      <c r="NK580" s="27" t="s">
        <v>8</v>
      </c>
      <c r="NN580" s="27" t="s">
        <v>7</v>
      </c>
      <c r="NO580" s="27" t="s">
        <v>8</v>
      </c>
      <c r="NP580" s="27" t="s">
        <v>7</v>
      </c>
      <c r="NQ580" s="27" t="s">
        <v>8</v>
      </c>
      <c r="NR580" s="27" t="s">
        <v>7</v>
      </c>
      <c r="OQ580" s="27" t="s">
        <v>8</v>
      </c>
      <c r="OR580" s="27" t="s">
        <v>7</v>
      </c>
      <c r="OS580" s="27" t="s">
        <v>8</v>
      </c>
      <c r="OT580" s="27" t="s">
        <v>7</v>
      </c>
      <c r="OU580" s="27" t="s">
        <v>8</v>
      </c>
      <c r="OV580" s="27" t="s">
        <v>7</v>
      </c>
      <c r="OY580" s="27" t="s">
        <v>8</v>
      </c>
      <c r="PP580" s="27" t="s">
        <v>7</v>
      </c>
      <c r="PQ580" s="27" t="s">
        <v>8</v>
      </c>
      <c r="PR580" s="27" t="s">
        <v>7</v>
      </c>
      <c r="PS580" s="27" t="s">
        <v>8</v>
      </c>
      <c r="QH580" s="27" t="s">
        <v>7</v>
      </c>
      <c r="QI580" s="27" t="s">
        <v>8</v>
      </c>
      <c r="QN580" s="27" t="s">
        <v>7</v>
      </c>
      <c r="QO580" s="27" t="s">
        <v>8</v>
      </c>
      <c r="QX580" s="27" t="s">
        <v>7</v>
      </c>
      <c r="QY580" s="27" t="s">
        <v>8</v>
      </c>
      <c r="QZ580" s="27" t="s">
        <v>7</v>
      </c>
      <c r="RA580" s="27" t="s">
        <v>8</v>
      </c>
      <c r="RB580" s="27" t="s">
        <v>7</v>
      </c>
      <c r="RC580" s="27" t="s">
        <v>8</v>
      </c>
      <c r="RD580" s="27" t="s">
        <v>7</v>
      </c>
      <c r="RE580" s="27" t="s">
        <v>8</v>
      </c>
      <c r="RL580" s="27" t="s">
        <v>7</v>
      </c>
      <c r="RM580" s="27" t="s">
        <v>8</v>
      </c>
      <c r="RN580" s="27" t="s">
        <v>7</v>
      </c>
      <c r="RO580" s="27" t="s">
        <v>8</v>
      </c>
      <c r="RP580" s="27" t="s">
        <v>7</v>
      </c>
      <c r="RQ580" s="27" t="s">
        <v>8</v>
      </c>
      <c r="RR580" s="27" t="s">
        <v>7</v>
      </c>
    </row>
    <row r="581" spans="1:486" x14ac:dyDescent="0.25">
      <c r="A581" s="7">
        <v>1.1261624192640001</v>
      </c>
      <c r="B581"/>
      <c r="C581"/>
      <c r="D581"/>
      <c r="E581"/>
      <c r="KW581" s="27" t="s">
        <v>8</v>
      </c>
      <c r="KX581" s="27" t="s">
        <v>7</v>
      </c>
      <c r="KY581" s="27" t="s">
        <v>8</v>
      </c>
      <c r="KZ581" s="27" t="s">
        <v>7</v>
      </c>
      <c r="LA581" s="27" t="s">
        <v>8</v>
      </c>
      <c r="LF581" s="27" t="s">
        <v>7</v>
      </c>
      <c r="LG581" s="27" t="s">
        <v>8</v>
      </c>
      <c r="LH581" s="27" t="s">
        <v>7</v>
      </c>
      <c r="LI581" s="27" t="s">
        <v>8</v>
      </c>
      <c r="LJ581" s="27" t="s">
        <v>7</v>
      </c>
      <c r="LK581" s="27" t="s">
        <v>8</v>
      </c>
      <c r="NF581" s="27" t="s">
        <v>7</v>
      </c>
      <c r="NG581" s="27" t="s">
        <v>8</v>
      </c>
      <c r="NH581" s="27" t="s">
        <v>7</v>
      </c>
      <c r="NI581" s="27" t="s">
        <v>8</v>
      </c>
      <c r="NJ581" s="27" t="s">
        <v>7</v>
      </c>
      <c r="NK581" s="27" t="s">
        <v>8</v>
      </c>
      <c r="NN581" s="27" t="s">
        <v>7</v>
      </c>
      <c r="NO581" s="27" t="s">
        <v>8</v>
      </c>
      <c r="NP581" s="27" t="s">
        <v>7</v>
      </c>
      <c r="NQ581" s="27" t="s">
        <v>8</v>
      </c>
      <c r="NR581" s="27" t="s">
        <v>7</v>
      </c>
      <c r="OQ581" s="27" t="s">
        <v>8</v>
      </c>
      <c r="OR581" s="27" t="s">
        <v>7</v>
      </c>
      <c r="OS581" s="27" t="s">
        <v>8</v>
      </c>
      <c r="OT581" s="27" t="s">
        <v>7</v>
      </c>
      <c r="OU581" s="27" t="s">
        <v>8</v>
      </c>
      <c r="OV581" s="27" t="s">
        <v>7</v>
      </c>
      <c r="OY581" s="27" t="s">
        <v>8</v>
      </c>
      <c r="PP581" s="27" t="s">
        <v>7</v>
      </c>
      <c r="PR581" s="27" t="s">
        <v>7</v>
      </c>
      <c r="PS581" s="27" t="s">
        <v>8</v>
      </c>
      <c r="QH581" s="27" t="s">
        <v>7</v>
      </c>
      <c r="QI581" s="27" t="s">
        <v>8</v>
      </c>
      <c r="QN581" s="27" t="s">
        <v>7</v>
      </c>
      <c r="QX581" s="27" t="s">
        <v>7</v>
      </c>
      <c r="QY581" s="27" t="s">
        <v>8</v>
      </c>
      <c r="QZ581" s="27" t="s">
        <v>7</v>
      </c>
      <c r="RA581" s="27" t="s">
        <v>8</v>
      </c>
      <c r="RB581" s="27" t="s">
        <v>7</v>
      </c>
      <c r="RC581" s="27" t="s">
        <v>8</v>
      </c>
      <c r="RD581" s="27" t="s">
        <v>7</v>
      </c>
      <c r="RE581" s="27" t="s">
        <v>8</v>
      </c>
      <c r="RL581" s="27" t="s">
        <v>7</v>
      </c>
      <c r="RM581" s="27" t="s">
        <v>8</v>
      </c>
      <c r="RN581" s="27" t="s">
        <v>7</v>
      </c>
      <c r="RO581" s="27" t="s">
        <v>8</v>
      </c>
      <c r="RP581" s="27" t="s">
        <v>7</v>
      </c>
      <c r="RQ581" s="27" t="s">
        <v>8</v>
      </c>
      <c r="RR581" s="27" t="s">
        <v>7</v>
      </c>
    </row>
    <row r="582" spans="1:486" x14ac:dyDescent="0.25">
      <c r="A582" s="7">
        <v>1.1040808032</v>
      </c>
      <c r="B582"/>
      <c r="C582"/>
      <c r="D582"/>
      <c r="E582"/>
      <c r="KW582" s="27" t="s">
        <v>8</v>
      </c>
      <c r="KX582" s="27" t="s">
        <v>7</v>
      </c>
      <c r="KZ582" s="27" t="s">
        <v>7</v>
      </c>
      <c r="LA582" s="27" t="s">
        <v>8</v>
      </c>
      <c r="LF582" s="27" t="s">
        <v>7</v>
      </c>
      <c r="LG582" s="27" t="s">
        <v>8</v>
      </c>
      <c r="LH582" s="27" t="s">
        <v>7</v>
      </c>
      <c r="LI582" s="27" t="s">
        <v>8</v>
      </c>
      <c r="LJ582" s="27" t="s">
        <v>7</v>
      </c>
      <c r="LK582" s="27" t="s">
        <v>8</v>
      </c>
      <c r="NF582" s="27" t="s">
        <v>7</v>
      </c>
      <c r="NG582" s="27" t="s">
        <v>8</v>
      </c>
      <c r="NH582" s="27" t="s">
        <v>7</v>
      </c>
      <c r="NI582" s="27" t="s">
        <v>8</v>
      </c>
      <c r="NJ582" s="27" t="s">
        <v>7</v>
      </c>
      <c r="NK582" s="27" t="s">
        <v>8</v>
      </c>
      <c r="NN582" s="27" t="s">
        <v>7</v>
      </c>
      <c r="NO582" s="27" t="s">
        <v>8</v>
      </c>
      <c r="NP582" s="27" t="s">
        <v>7</v>
      </c>
      <c r="NQ582" s="27" t="s">
        <v>8</v>
      </c>
      <c r="NR582" s="27" t="s">
        <v>7</v>
      </c>
      <c r="OO582" s="27" t="s">
        <v>8</v>
      </c>
      <c r="OQ582" s="27" t="s">
        <v>8</v>
      </c>
      <c r="OR582" s="27" t="s">
        <v>7</v>
      </c>
      <c r="OT582" s="27" t="s">
        <v>7</v>
      </c>
      <c r="OU582" s="27" t="s">
        <v>8</v>
      </c>
      <c r="OV582" s="27" t="s">
        <v>7</v>
      </c>
      <c r="OY582" s="27" t="s">
        <v>8</v>
      </c>
      <c r="PR582" s="27" t="s">
        <v>7</v>
      </c>
      <c r="PS582" s="27" t="s">
        <v>8</v>
      </c>
      <c r="QH582" s="27" t="s">
        <v>7</v>
      </c>
      <c r="QI582" s="27" t="s">
        <v>8</v>
      </c>
      <c r="QX582" s="27" t="s">
        <v>7</v>
      </c>
      <c r="QY582" s="27" t="s">
        <v>8</v>
      </c>
      <c r="QZ582" s="27" t="s">
        <v>7</v>
      </c>
      <c r="RA582" s="27" t="s">
        <v>8</v>
      </c>
      <c r="RB582" s="27" t="s">
        <v>7</v>
      </c>
      <c r="RC582" s="27" t="s">
        <v>8</v>
      </c>
      <c r="RD582" s="27" t="s">
        <v>7</v>
      </c>
      <c r="RE582" s="27" t="s">
        <v>8</v>
      </c>
      <c r="RL582" s="27" t="s">
        <v>7</v>
      </c>
      <c r="RN582" s="27" t="s">
        <v>7</v>
      </c>
      <c r="RO582" s="27" t="s">
        <v>8</v>
      </c>
      <c r="RP582" s="27" t="s">
        <v>7</v>
      </c>
      <c r="RQ582" s="27" t="s">
        <v>8</v>
      </c>
      <c r="RR582" s="27" t="s">
        <v>7</v>
      </c>
    </row>
    <row r="583" spans="1:486" x14ac:dyDescent="0.25">
      <c r="A583" s="7">
        <v>1.08243216</v>
      </c>
      <c r="B583"/>
      <c r="C583"/>
      <c r="D583"/>
      <c r="E583"/>
      <c r="KW583" s="27" t="s">
        <v>8</v>
      </c>
      <c r="KZ583" s="27" t="s">
        <v>7</v>
      </c>
      <c r="LA583" s="27" t="s">
        <v>8</v>
      </c>
      <c r="LF583" s="27" t="s">
        <v>7</v>
      </c>
      <c r="LG583" s="27" t="s">
        <v>8</v>
      </c>
      <c r="LH583" s="27" t="s">
        <v>7</v>
      </c>
      <c r="LI583" s="27" t="s">
        <v>8</v>
      </c>
      <c r="LJ583" s="27" t="s">
        <v>7</v>
      </c>
      <c r="LK583" s="27" t="s">
        <v>8</v>
      </c>
      <c r="NF583" s="27" t="s">
        <v>7</v>
      </c>
      <c r="NG583" s="27" t="s">
        <v>8</v>
      </c>
      <c r="NH583" s="27" t="s">
        <v>7</v>
      </c>
      <c r="NI583" s="27" t="s">
        <v>8</v>
      </c>
      <c r="NJ583" s="27" t="s">
        <v>7</v>
      </c>
      <c r="NK583" s="27" t="s">
        <v>8</v>
      </c>
      <c r="NN583" s="27" t="s">
        <v>7</v>
      </c>
      <c r="NO583" s="27" t="s">
        <v>8</v>
      </c>
      <c r="NP583" s="27" t="s">
        <v>7</v>
      </c>
      <c r="NQ583" s="27" t="s">
        <v>8</v>
      </c>
      <c r="NR583" s="27" t="s">
        <v>7</v>
      </c>
      <c r="OO583" s="27" t="s">
        <v>8</v>
      </c>
      <c r="OP583" s="27" t="s">
        <v>7</v>
      </c>
      <c r="OQ583" s="27" t="s">
        <v>8</v>
      </c>
      <c r="OT583" s="27" t="s">
        <v>7</v>
      </c>
      <c r="OU583" s="27" t="s">
        <v>8</v>
      </c>
      <c r="OV583" s="27" t="s">
        <v>7</v>
      </c>
      <c r="OY583" s="27" t="s">
        <v>8</v>
      </c>
      <c r="PR583" s="27" t="s">
        <v>7</v>
      </c>
      <c r="PS583" s="27" t="s">
        <v>8</v>
      </c>
      <c r="QH583" s="27" t="s">
        <v>7</v>
      </c>
      <c r="QX583" s="27" t="s">
        <v>7</v>
      </c>
      <c r="QY583" s="27" t="s">
        <v>8</v>
      </c>
      <c r="QZ583" s="27" t="s">
        <v>7</v>
      </c>
      <c r="RA583" s="27" t="s">
        <v>8</v>
      </c>
      <c r="RB583" s="27" t="s">
        <v>7</v>
      </c>
      <c r="RC583" s="27" t="s">
        <v>8</v>
      </c>
      <c r="RD583" s="27" t="s">
        <v>7</v>
      </c>
      <c r="RE583" s="27" t="s">
        <v>8</v>
      </c>
      <c r="RN583" s="27" t="s">
        <v>7</v>
      </c>
      <c r="RO583" s="27" t="s">
        <v>8</v>
      </c>
      <c r="RP583" s="27" t="s">
        <v>7</v>
      </c>
      <c r="RR583" s="27" t="s">
        <v>7</v>
      </c>
    </row>
    <row r="584" spans="1:486" x14ac:dyDescent="0.25">
      <c r="A584" s="7">
        <v>1.0612079999999999</v>
      </c>
      <c r="B584"/>
      <c r="C584"/>
      <c r="D584"/>
      <c r="E584"/>
      <c r="KW584" s="27" t="s">
        <v>8</v>
      </c>
      <c r="KZ584" s="27" t="s">
        <v>7</v>
      </c>
      <c r="LA584" s="27" t="s">
        <v>8</v>
      </c>
      <c r="LF584" s="27" t="s">
        <v>7</v>
      </c>
      <c r="LG584" s="27" t="s">
        <v>8</v>
      </c>
      <c r="LH584" s="27" t="s">
        <v>7</v>
      </c>
      <c r="LI584" s="27" t="s">
        <v>8</v>
      </c>
      <c r="LJ584" s="27" t="s">
        <v>7</v>
      </c>
      <c r="LK584" s="27" t="s">
        <v>8</v>
      </c>
      <c r="NF584" s="27" t="s">
        <v>7</v>
      </c>
      <c r="NG584" s="27" t="s">
        <v>8</v>
      </c>
      <c r="NH584" s="27" t="s">
        <v>7</v>
      </c>
      <c r="NI584" s="27" t="s">
        <v>8</v>
      </c>
      <c r="NJ584" s="27" t="s">
        <v>7</v>
      </c>
      <c r="NK584" s="27" t="s">
        <v>8</v>
      </c>
      <c r="NN584" s="27" t="s">
        <v>7</v>
      </c>
      <c r="NO584" s="27" t="s">
        <v>8</v>
      </c>
      <c r="NP584" s="27" t="s">
        <v>7</v>
      </c>
      <c r="NQ584" s="27" t="s">
        <v>8</v>
      </c>
      <c r="NR584" s="27" t="s">
        <v>7</v>
      </c>
      <c r="OO584" s="27" t="s">
        <v>8</v>
      </c>
      <c r="OP584" s="27" t="s">
        <v>7</v>
      </c>
      <c r="OQ584" s="27" t="s">
        <v>8</v>
      </c>
      <c r="OT584" s="27" t="s">
        <v>7</v>
      </c>
      <c r="OU584" s="27" t="s">
        <v>8</v>
      </c>
      <c r="OV584" s="27" t="s">
        <v>7</v>
      </c>
      <c r="OY584" s="27" t="s">
        <v>8</v>
      </c>
      <c r="PR584" s="27" t="s">
        <v>7</v>
      </c>
      <c r="PS584" s="27" t="s">
        <v>8</v>
      </c>
      <c r="QX584" s="27" t="s">
        <v>7</v>
      </c>
      <c r="QY584" s="27" t="s">
        <v>8</v>
      </c>
      <c r="QZ584" s="27" t="s">
        <v>7</v>
      </c>
      <c r="RA584" s="27" t="s">
        <v>8</v>
      </c>
      <c r="RB584" s="27" t="s">
        <v>7</v>
      </c>
      <c r="RC584" s="27" t="s">
        <v>8</v>
      </c>
      <c r="RD584" s="27" t="s">
        <v>7</v>
      </c>
      <c r="RE584" s="27" t="s">
        <v>8</v>
      </c>
      <c r="RN584" s="27" t="s">
        <v>7</v>
      </c>
      <c r="RO584" s="27" t="s">
        <v>8</v>
      </c>
      <c r="RR584" s="27" t="s">
        <v>7</v>
      </c>
    </row>
    <row r="585" spans="1:486" x14ac:dyDescent="0.25">
      <c r="A585" s="7">
        <v>1.0404</v>
      </c>
      <c r="B585"/>
      <c r="C585"/>
      <c r="D585"/>
      <c r="E585"/>
      <c r="KW585" s="27" t="s">
        <v>8</v>
      </c>
      <c r="KZ585" s="27" t="s">
        <v>7</v>
      </c>
      <c r="LA585" s="27" t="s">
        <v>8</v>
      </c>
      <c r="LF585" s="27" t="s">
        <v>7</v>
      </c>
      <c r="LG585" s="27" t="s">
        <v>8</v>
      </c>
      <c r="LH585" s="27" t="s">
        <v>7</v>
      </c>
      <c r="LJ585" s="27" t="s">
        <v>7</v>
      </c>
      <c r="NF585" s="27" t="s">
        <v>7</v>
      </c>
      <c r="NG585" s="27" t="s">
        <v>8</v>
      </c>
      <c r="NH585" s="27" t="s">
        <v>7</v>
      </c>
      <c r="NI585" s="27" t="s">
        <v>8</v>
      </c>
      <c r="NJ585" s="27" t="s">
        <v>7</v>
      </c>
      <c r="NK585" s="27" t="s">
        <v>8</v>
      </c>
      <c r="NN585" s="27" t="s">
        <v>7</v>
      </c>
      <c r="NO585" s="27" t="s">
        <v>8</v>
      </c>
      <c r="NP585" s="27" t="s">
        <v>7</v>
      </c>
      <c r="NQ585" s="27" t="s">
        <v>8</v>
      </c>
      <c r="NR585" s="27" t="s">
        <v>7</v>
      </c>
      <c r="OO585" s="27" t="s">
        <v>8</v>
      </c>
      <c r="OP585" s="27" t="s">
        <v>7</v>
      </c>
      <c r="OT585" s="27" t="s">
        <v>7</v>
      </c>
      <c r="OU585" s="27" t="s">
        <v>8</v>
      </c>
      <c r="OV585" s="27" t="s">
        <v>7</v>
      </c>
      <c r="OW585" s="27" t="s">
        <v>8</v>
      </c>
      <c r="OY585" s="27" t="s">
        <v>8</v>
      </c>
      <c r="PR585" s="27" t="s">
        <v>7</v>
      </c>
      <c r="QX585" s="27" t="s">
        <v>7</v>
      </c>
      <c r="QY585" s="27" t="s">
        <v>8</v>
      </c>
      <c r="QZ585" s="27" t="s">
        <v>7</v>
      </c>
      <c r="RB585" s="27" t="s">
        <v>7</v>
      </c>
      <c r="RC585" s="27" t="s">
        <v>8</v>
      </c>
      <c r="RD585" s="27" t="s">
        <v>7</v>
      </c>
      <c r="RE585" s="27" t="s">
        <v>8</v>
      </c>
      <c r="RN585" s="27" t="s">
        <v>7</v>
      </c>
      <c r="RO585" s="27" t="s">
        <v>8</v>
      </c>
      <c r="RR585" s="27" t="s">
        <v>7</v>
      </c>
    </row>
    <row r="586" spans="1:486" x14ac:dyDescent="0.25">
      <c r="A586" s="7">
        <v>1.02</v>
      </c>
      <c r="B586"/>
      <c r="C586"/>
      <c r="D586"/>
      <c r="E586"/>
      <c r="KW586" s="27" t="s">
        <v>8</v>
      </c>
      <c r="KZ586" s="27" t="s">
        <v>7</v>
      </c>
      <c r="LA586" s="27" t="s">
        <v>8</v>
      </c>
      <c r="LF586" s="27" t="s">
        <v>7</v>
      </c>
      <c r="LG586" s="27" t="s">
        <v>8</v>
      </c>
      <c r="NF586" s="27" t="s">
        <v>7</v>
      </c>
      <c r="NG586" s="27" t="s">
        <v>8</v>
      </c>
      <c r="NH586" s="27" t="s">
        <v>7</v>
      </c>
      <c r="NI586" s="27" t="s">
        <v>8</v>
      </c>
      <c r="NJ586" s="27" t="s">
        <v>7</v>
      </c>
      <c r="NK586" s="27" t="s">
        <v>8</v>
      </c>
      <c r="NN586" s="27" t="s">
        <v>7</v>
      </c>
      <c r="NP586" s="27" t="s">
        <v>7</v>
      </c>
      <c r="NQ586" s="27" t="s">
        <v>8</v>
      </c>
      <c r="NR586" s="27" t="s">
        <v>7</v>
      </c>
      <c r="OO586" s="27" t="s">
        <v>8</v>
      </c>
      <c r="OT586" s="27" t="s">
        <v>7</v>
      </c>
      <c r="OU586" s="27" t="s">
        <v>8</v>
      </c>
      <c r="OV586" s="27" t="s">
        <v>7</v>
      </c>
      <c r="OW586" s="27" t="s">
        <v>8</v>
      </c>
      <c r="OX586" s="27" t="s">
        <v>7</v>
      </c>
      <c r="OY586" s="27" t="s">
        <v>8</v>
      </c>
      <c r="QX586" s="27" t="s">
        <v>7</v>
      </c>
      <c r="RB586" s="27" t="s">
        <v>7</v>
      </c>
      <c r="RC586" s="27" t="s">
        <v>8</v>
      </c>
      <c r="RD586" s="27" t="s">
        <v>7</v>
      </c>
      <c r="RN586" s="27" t="s">
        <v>7</v>
      </c>
      <c r="RR586" s="27" t="s">
        <v>7</v>
      </c>
    </row>
    <row r="587" spans="1:486" x14ac:dyDescent="0.25">
      <c r="A587" s="7">
        <v>1</v>
      </c>
      <c r="B587"/>
      <c r="C587"/>
      <c r="D587"/>
      <c r="E587" s="29" t="s">
        <v>8</v>
      </c>
      <c r="KW587" s="27" t="s">
        <v>8</v>
      </c>
      <c r="KZ587" s="27" t="s">
        <v>7</v>
      </c>
      <c r="LA587" s="27" t="s">
        <v>8</v>
      </c>
      <c r="LF587" s="27" t="s">
        <v>7</v>
      </c>
      <c r="LG587" s="27" t="s">
        <v>8</v>
      </c>
      <c r="NF587" s="27" t="s">
        <v>7</v>
      </c>
      <c r="NG587" s="27" t="s">
        <v>8</v>
      </c>
      <c r="NH587" s="27" t="s">
        <v>7</v>
      </c>
      <c r="NI587" s="27" t="s">
        <v>8</v>
      </c>
      <c r="NJ587" s="27" t="s">
        <v>7</v>
      </c>
      <c r="NK587" s="27" t="s">
        <v>8</v>
      </c>
      <c r="NP587" s="27" t="s">
        <v>7</v>
      </c>
      <c r="NQ587" s="27" t="s">
        <v>8</v>
      </c>
      <c r="NR587" s="27" t="s">
        <v>7</v>
      </c>
      <c r="OO587" s="27" t="s">
        <v>8</v>
      </c>
      <c r="OT587" s="27" t="s">
        <v>7</v>
      </c>
      <c r="OU587" s="27" t="s">
        <v>8</v>
      </c>
      <c r="OV587" s="27" t="s">
        <v>7</v>
      </c>
      <c r="OW587" s="27" t="s">
        <v>8</v>
      </c>
      <c r="OX587" s="27" t="s">
        <v>7</v>
      </c>
      <c r="OY587" s="27" t="s">
        <v>8</v>
      </c>
      <c r="RB587" s="27" t="s">
        <v>7</v>
      </c>
      <c r="RR587" s="27" t="s">
        <v>7</v>
      </c>
    </row>
    <row r="588" spans="1:486" x14ac:dyDescent="0.25">
      <c r="A588" s="7">
        <v>0.98039215686274506</v>
      </c>
      <c r="B588"/>
      <c r="C588"/>
      <c r="D588"/>
      <c r="E588"/>
      <c r="F588" s="27" t="s">
        <v>7</v>
      </c>
      <c r="KW588" s="27" t="s">
        <v>8</v>
      </c>
      <c r="KZ588" s="27" t="s">
        <v>7</v>
      </c>
      <c r="LA588" s="27" t="s">
        <v>8</v>
      </c>
      <c r="LF588" s="27" t="s">
        <v>7</v>
      </c>
      <c r="LG588" s="27" t="s">
        <v>8</v>
      </c>
      <c r="NF588" s="27" t="s">
        <v>7</v>
      </c>
      <c r="NG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P588" s="27" t="s">
        <v>7</v>
      </c>
      <c r="NR588" s="27" t="s">
        <v>7</v>
      </c>
      <c r="OO588" s="27" t="s">
        <v>8</v>
      </c>
      <c r="OT588" s="27" t="s">
        <v>7</v>
      </c>
      <c r="OU588" s="27" t="s">
        <v>8</v>
      </c>
      <c r="OV588" s="27" t="s">
        <v>7</v>
      </c>
      <c r="OW588" s="27" t="s">
        <v>8</v>
      </c>
      <c r="OX588" s="27" t="s">
        <v>7</v>
      </c>
      <c r="OY588" s="27" t="s">
        <v>8</v>
      </c>
      <c r="RR588" s="27" t="s">
        <v>7</v>
      </c>
    </row>
    <row r="589" spans="1:486" x14ac:dyDescent="0.25">
      <c r="A589" s="7">
        <v>0.96116878123798544</v>
      </c>
      <c r="B589"/>
      <c r="C589"/>
      <c r="D589"/>
      <c r="E589"/>
      <c r="F589" s="27" t="s">
        <v>7</v>
      </c>
      <c r="KW589" s="27" t="s">
        <v>8</v>
      </c>
      <c r="KZ589" s="27" t="s">
        <v>7</v>
      </c>
      <c r="LA589" s="27" t="s">
        <v>8</v>
      </c>
      <c r="LF589" s="27" t="s">
        <v>7</v>
      </c>
      <c r="LG589" s="27" t="s">
        <v>8</v>
      </c>
      <c r="NF589" s="27" t="s">
        <v>7</v>
      </c>
      <c r="NG589" s="27" t="s">
        <v>8</v>
      </c>
      <c r="NH589" s="27" t="s">
        <v>7</v>
      </c>
      <c r="NI589" s="27" t="s">
        <v>8</v>
      </c>
      <c r="NJ589" s="27" t="s">
        <v>7</v>
      </c>
      <c r="NK589" s="27" t="s">
        <v>8</v>
      </c>
      <c r="NR589" s="27" t="s">
        <v>7</v>
      </c>
      <c r="OM589" s="27" t="s">
        <v>8</v>
      </c>
      <c r="OO589" s="27" t="s">
        <v>8</v>
      </c>
      <c r="OT589" s="27" t="s">
        <v>7</v>
      </c>
      <c r="OV589" s="27" t="s">
        <v>7</v>
      </c>
      <c r="OW589" s="27" t="s">
        <v>8</v>
      </c>
      <c r="OX589" s="27" t="s">
        <v>7</v>
      </c>
      <c r="RR589" s="27" t="s">
        <v>7</v>
      </c>
    </row>
    <row r="590" spans="1:486" x14ac:dyDescent="0.25">
      <c r="A590" s="7">
        <v>0.94232233454704462</v>
      </c>
      <c r="B590"/>
      <c r="C590"/>
      <c r="D590"/>
      <c r="E590"/>
      <c r="F590" s="27" t="s">
        <v>7</v>
      </c>
      <c r="KW590" s="27" t="s">
        <v>8</v>
      </c>
      <c r="KZ590" s="27" t="s">
        <v>7</v>
      </c>
      <c r="LF590" s="27" t="s">
        <v>7</v>
      </c>
      <c r="LG590" s="27" t="s">
        <v>8</v>
      </c>
      <c r="NF590" s="27" t="s">
        <v>7</v>
      </c>
      <c r="NG590" s="27" t="s">
        <v>8</v>
      </c>
      <c r="NH590" s="27" t="s">
        <v>7</v>
      </c>
      <c r="NI590" s="27" t="s">
        <v>8</v>
      </c>
      <c r="NJ590" s="27" t="s">
        <v>7</v>
      </c>
      <c r="NK590" s="27" t="s">
        <v>8</v>
      </c>
      <c r="NR590" s="27" t="s">
        <v>7</v>
      </c>
      <c r="OK590" s="27" t="s">
        <v>8</v>
      </c>
      <c r="OM590" s="27" t="s">
        <v>8</v>
      </c>
      <c r="ON590" s="27" t="s">
        <v>7</v>
      </c>
      <c r="OO590" s="27" t="s">
        <v>8</v>
      </c>
      <c r="OV590" s="27" t="s">
        <v>7</v>
      </c>
      <c r="RR590" s="27" t="s">
        <v>7</v>
      </c>
    </row>
    <row r="591" spans="1:486" x14ac:dyDescent="0.25">
      <c r="A591" s="7">
        <v>0.92384542602651432</v>
      </c>
      <c r="B591"/>
      <c r="C591"/>
      <c r="D591"/>
      <c r="E591"/>
      <c r="F591" s="27" t="s">
        <v>7</v>
      </c>
      <c r="KW591" s="27" t="s">
        <v>8</v>
      </c>
      <c r="LF591" s="27" t="s">
        <v>7</v>
      </c>
      <c r="LG591" s="27" t="s">
        <v>8</v>
      </c>
      <c r="NF591" s="27" t="s">
        <v>7</v>
      </c>
      <c r="NG591" s="27" t="s">
        <v>8</v>
      </c>
      <c r="NH591" s="27" t="s">
        <v>7</v>
      </c>
      <c r="NI591" s="27" t="s">
        <v>8</v>
      </c>
      <c r="NJ591" s="27" t="s">
        <v>7</v>
      </c>
      <c r="NR591" s="27" t="s">
        <v>7</v>
      </c>
      <c r="OA591" s="27" t="s">
        <v>8</v>
      </c>
      <c r="OK591" s="27" t="s">
        <v>8</v>
      </c>
      <c r="OL591" s="27" t="s">
        <v>7</v>
      </c>
      <c r="OM591" s="27" t="s">
        <v>8</v>
      </c>
      <c r="ON591" s="27" t="s">
        <v>7</v>
      </c>
      <c r="OO591" s="27" t="s">
        <v>8</v>
      </c>
      <c r="RR591" s="27" t="s">
        <v>7</v>
      </c>
    </row>
    <row r="592" spans="1:486" x14ac:dyDescent="0.25">
      <c r="A592" s="7">
        <v>0.90573080982991594</v>
      </c>
      <c r="B592"/>
      <c r="C592"/>
      <c r="D592"/>
      <c r="E592"/>
      <c r="F592" s="27" t="s">
        <v>7</v>
      </c>
      <c r="KW592" s="27" t="s">
        <v>8</v>
      </c>
      <c r="LF592" s="27" t="s">
        <v>7</v>
      </c>
      <c r="LG592" s="27" t="s">
        <v>8</v>
      </c>
      <c r="NF592" s="27" t="s">
        <v>7</v>
      </c>
      <c r="NG592" s="27" t="s">
        <v>8</v>
      </c>
      <c r="NH592" s="27" t="s">
        <v>7</v>
      </c>
      <c r="NI592" s="27" t="s">
        <v>8</v>
      </c>
      <c r="NR592" s="27" t="s">
        <v>7</v>
      </c>
      <c r="OA592" s="27" t="s">
        <v>8</v>
      </c>
      <c r="OB592" s="27" t="s">
        <v>7</v>
      </c>
      <c r="OK592" s="27" t="s">
        <v>8</v>
      </c>
      <c r="OL592" s="27" t="s">
        <v>7</v>
      </c>
      <c r="OM592" s="27" t="s">
        <v>8</v>
      </c>
      <c r="ON592" s="27" t="s">
        <v>7</v>
      </c>
      <c r="OO592" s="27" t="s">
        <v>8</v>
      </c>
      <c r="RR592" s="27" t="s">
        <v>7</v>
      </c>
    </row>
    <row r="593" spans="1:490" x14ac:dyDescent="0.25">
      <c r="A593" s="7">
        <v>0.8879713821861922</v>
      </c>
      <c r="B593"/>
      <c r="C593"/>
      <c r="D593"/>
      <c r="E593"/>
      <c r="F593" s="27" t="s">
        <v>7</v>
      </c>
      <c r="KW593" s="27" t="s">
        <v>8</v>
      </c>
      <c r="LF593" s="27" t="s">
        <v>7</v>
      </c>
      <c r="NF593" s="27" t="s">
        <v>7</v>
      </c>
      <c r="NG593" s="27" t="s">
        <v>8</v>
      </c>
      <c r="NH593" s="27" t="s">
        <v>7</v>
      </c>
      <c r="NI593" s="27" t="s">
        <v>8</v>
      </c>
      <c r="NR593" s="27" t="s">
        <v>7</v>
      </c>
      <c r="NU593" s="27" t="s">
        <v>8</v>
      </c>
      <c r="OA593" s="27" t="s">
        <v>8</v>
      </c>
      <c r="OB593" s="27" t="s">
        <v>7</v>
      </c>
      <c r="OI593" s="27" t="s">
        <v>8</v>
      </c>
      <c r="OK593" s="27" t="s">
        <v>8</v>
      </c>
      <c r="OL593" s="27" t="s">
        <v>7</v>
      </c>
      <c r="OM593" s="27" t="s">
        <v>8</v>
      </c>
      <c r="ON593" s="27" t="s">
        <v>7</v>
      </c>
      <c r="OO593" s="27" t="s">
        <v>8</v>
      </c>
      <c r="RR593" s="27" t="s">
        <v>7</v>
      </c>
    </row>
    <row r="594" spans="1:490" x14ac:dyDescent="0.25">
      <c r="A594" s="7">
        <v>0.87056017861391399</v>
      </c>
      <c r="B594"/>
      <c r="C594"/>
      <c r="D594"/>
      <c r="E594"/>
      <c r="F594" s="27" t="s">
        <v>7</v>
      </c>
      <c r="KW594" s="27" t="s">
        <v>8</v>
      </c>
      <c r="NF594" s="27" t="s">
        <v>7</v>
      </c>
      <c r="NG594" s="27" t="s">
        <v>8</v>
      </c>
      <c r="NH594" s="27" t="s">
        <v>7</v>
      </c>
      <c r="NI594" s="27" t="s">
        <v>8</v>
      </c>
      <c r="NR594" s="27" t="s">
        <v>7</v>
      </c>
      <c r="NU594" s="27" t="s">
        <v>8</v>
      </c>
      <c r="NV594" s="27" t="s">
        <v>7</v>
      </c>
      <c r="NY594" s="27" t="s">
        <v>8</v>
      </c>
      <c r="OA594" s="27" t="s">
        <v>8</v>
      </c>
      <c r="OB594" s="27" t="s">
        <v>7</v>
      </c>
      <c r="OI594" s="27" t="s">
        <v>8</v>
      </c>
      <c r="OJ594" s="27" t="s">
        <v>7</v>
      </c>
      <c r="OK594" s="27" t="s">
        <v>8</v>
      </c>
      <c r="OL594" s="27" t="s">
        <v>7</v>
      </c>
      <c r="OM594" s="27" t="s">
        <v>8</v>
      </c>
      <c r="ON594" s="27" t="s">
        <v>7</v>
      </c>
      <c r="OO594" s="27" t="s">
        <v>8</v>
      </c>
      <c r="RR594" s="27" t="s">
        <v>7</v>
      </c>
    </row>
    <row r="595" spans="1:490" x14ac:dyDescent="0.25">
      <c r="A595" s="7">
        <v>0.85349037119011173</v>
      </c>
      <c r="B595"/>
      <c r="C595"/>
      <c r="D595"/>
      <c r="E595"/>
      <c r="F595" s="27" t="s">
        <v>7</v>
      </c>
      <c r="KW595" s="27" t="s">
        <v>8</v>
      </c>
      <c r="NF595" s="27" t="s">
        <v>7</v>
      </c>
      <c r="NG595" s="27" t="s">
        <v>8</v>
      </c>
      <c r="NH595" s="27" t="s">
        <v>7</v>
      </c>
      <c r="NI595" s="27" t="s">
        <v>8</v>
      </c>
      <c r="NR595" s="27" t="s">
        <v>7</v>
      </c>
      <c r="NS595" s="27" t="s">
        <v>8</v>
      </c>
      <c r="NU595" s="27" t="s">
        <v>8</v>
      </c>
      <c r="NV595" s="27" t="s">
        <v>7</v>
      </c>
      <c r="NW595" s="27" t="s">
        <v>8</v>
      </c>
      <c r="NY595" s="27" t="s">
        <v>8</v>
      </c>
      <c r="NZ595" s="27" t="s">
        <v>7</v>
      </c>
      <c r="OA595" s="27" t="s">
        <v>8</v>
      </c>
      <c r="OB595" s="27" t="s">
        <v>7</v>
      </c>
      <c r="OC595" s="27" t="s">
        <v>8</v>
      </c>
      <c r="OI595" s="27" t="s">
        <v>8</v>
      </c>
      <c r="OJ595" s="27" t="s">
        <v>7</v>
      </c>
      <c r="OK595" s="27" t="s">
        <v>8</v>
      </c>
      <c r="OL595" s="27" t="s">
        <v>7</v>
      </c>
      <c r="OM595" s="27" t="s">
        <v>8</v>
      </c>
      <c r="ON595" s="27" t="s">
        <v>7</v>
      </c>
      <c r="RR595" s="27" t="s">
        <v>7</v>
      </c>
      <c r="RU595" s="27" t="s">
        <v>8</v>
      </c>
    </row>
    <row r="596" spans="1:490" x14ac:dyDescent="0.25">
      <c r="A596" s="7">
        <v>0.83675526587265858</v>
      </c>
      <c r="B596"/>
      <c r="C596"/>
      <c r="D596"/>
      <c r="E596"/>
      <c r="F596" s="27" t="s">
        <v>7</v>
      </c>
      <c r="KW596" s="27" t="s">
        <v>8</v>
      </c>
      <c r="NF596" s="27" t="s">
        <v>7</v>
      </c>
      <c r="NH596" s="27" t="s">
        <v>7</v>
      </c>
      <c r="NI596" s="27" t="s">
        <v>8</v>
      </c>
      <c r="NR596" s="27" t="s">
        <v>7</v>
      </c>
      <c r="NS596" s="27" t="s">
        <v>8</v>
      </c>
      <c r="NT596" s="27" t="s">
        <v>7</v>
      </c>
      <c r="NU596" s="27" t="s">
        <v>8</v>
      </c>
      <c r="NV596" s="27" t="s">
        <v>7</v>
      </c>
      <c r="NW596" s="27" t="s">
        <v>8</v>
      </c>
      <c r="NX596" s="27" t="s">
        <v>7</v>
      </c>
      <c r="NY596" s="27" t="s">
        <v>8</v>
      </c>
      <c r="NZ596" s="27" t="s">
        <v>7</v>
      </c>
      <c r="OA596" s="27" t="s">
        <v>8</v>
      </c>
      <c r="OB596" s="27" t="s">
        <v>7</v>
      </c>
      <c r="OC596" s="27" t="s">
        <v>8</v>
      </c>
      <c r="OD596" s="27" t="s">
        <v>7</v>
      </c>
      <c r="OE596" s="27" t="s">
        <v>8</v>
      </c>
      <c r="OI596" s="27" t="s">
        <v>8</v>
      </c>
      <c r="OJ596" s="27" t="s">
        <v>7</v>
      </c>
      <c r="OK596" s="27" t="s">
        <v>8</v>
      </c>
      <c r="OL596" s="27" t="s">
        <v>7</v>
      </c>
      <c r="RR596" s="27" t="s">
        <v>7</v>
      </c>
      <c r="RS596" s="27" t="s">
        <v>8</v>
      </c>
      <c r="RU596" s="27" t="s">
        <v>8</v>
      </c>
      <c r="RV596" s="27" t="s">
        <v>7</v>
      </c>
    </row>
    <row r="597" spans="1:490" x14ac:dyDescent="0.25">
      <c r="A597" s="7">
        <v>0.82034829987515545</v>
      </c>
      <c r="B597"/>
      <c r="C597"/>
      <c r="D597"/>
      <c r="E597"/>
      <c r="F597" s="27" t="s">
        <v>7</v>
      </c>
      <c r="KW597" s="27" t="s">
        <v>8</v>
      </c>
      <c r="NH597" s="27" t="s">
        <v>7</v>
      </c>
      <c r="NI597" s="27" t="s">
        <v>8</v>
      </c>
      <c r="NR597" s="27" t="s">
        <v>7</v>
      </c>
      <c r="NS597" s="27" t="s">
        <v>8</v>
      </c>
      <c r="NT597" s="27" t="s">
        <v>7</v>
      </c>
      <c r="NU597" s="27" t="s">
        <v>8</v>
      </c>
      <c r="NV597" s="27" t="s">
        <v>7</v>
      </c>
      <c r="NW597" s="27" t="s">
        <v>8</v>
      </c>
      <c r="NX597" s="27" t="s">
        <v>7</v>
      </c>
      <c r="NY597" s="27" t="s">
        <v>8</v>
      </c>
      <c r="NZ597" s="27" t="s">
        <v>7</v>
      </c>
      <c r="OB597" s="27" t="s">
        <v>7</v>
      </c>
      <c r="OC597" s="27" t="s">
        <v>8</v>
      </c>
      <c r="OD597" s="27" t="s">
        <v>7</v>
      </c>
      <c r="OE597" s="27" t="s">
        <v>8</v>
      </c>
      <c r="OF597" s="27" t="s">
        <v>7</v>
      </c>
      <c r="OI597" s="27" t="s">
        <v>8</v>
      </c>
      <c r="OJ597" s="27" t="s">
        <v>7</v>
      </c>
      <c r="OK597" s="27" t="s">
        <v>8</v>
      </c>
      <c r="RR597" s="27" t="s">
        <v>7</v>
      </c>
      <c r="RS597" s="27" t="s">
        <v>8</v>
      </c>
      <c r="RT597" s="27" t="s">
        <v>7</v>
      </c>
      <c r="RU597" s="27" t="s">
        <v>8</v>
      </c>
      <c r="RV597" s="27" t="s">
        <v>7</v>
      </c>
    </row>
    <row r="598" spans="1:490" x14ac:dyDescent="0.25">
      <c r="A598" s="7">
        <v>0.80426303909328967</v>
      </c>
      <c r="B598"/>
      <c r="C598"/>
      <c r="D598"/>
      <c r="E598"/>
      <c r="F598" s="27" t="s">
        <v>7</v>
      </c>
      <c r="KW598" s="27" t="s">
        <v>8</v>
      </c>
      <c r="NH598" s="27" t="s">
        <v>7</v>
      </c>
      <c r="NI598" s="27" t="s">
        <v>8</v>
      </c>
      <c r="NR598" s="27" t="s">
        <v>7</v>
      </c>
      <c r="NS598" s="27" t="s">
        <v>8</v>
      </c>
      <c r="NT598" s="27" t="s">
        <v>7</v>
      </c>
      <c r="NU598" s="27" t="s">
        <v>8</v>
      </c>
      <c r="NV598" s="27" t="s">
        <v>7</v>
      </c>
      <c r="NW598" s="27" t="s">
        <v>8</v>
      </c>
      <c r="NX598" s="27" t="s">
        <v>7</v>
      </c>
      <c r="NY598" s="27" t="s">
        <v>8</v>
      </c>
      <c r="OB598" s="27" t="s">
        <v>7</v>
      </c>
      <c r="OC598" s="27" t="s">
        <v>8</v>
      </c>
      <c r="OD598" s="27" t="s">
        <v>7</v>
      </c>
      <c r="OE598" s="27" t="s">
        <v>8</v>
      </c>
      <c r="OF598" s="27" t="s">
        <v>7</v>
      </c>
      <c r="OI598" s="27" t="s">
        <v>8</v>
      </c>
      <c r="OJ598" s="27" t="s">
        <v>7</v>
      </c>
      <c r="OK598" s="27" t="s">
        <v>8</v>
      </c>
      <c r="RR598" s="27" t="s">
        <v>7</v>
      </c>
      <c r="RS598" s="27" t="s">
        <v>8</v>
      </c>
      <c r="RT598" s="27" t="s">
        <v>7</v>
      </c>
      <c r="RU598" s="27" t="s">
        <v>8</v>
      </c>
      <c r="RV598" s="27" t="s">
        <v>7</v>
      </c>
    </row>
    <row r="599" spans="1:490" x14ac:dyDescent="0.25">
      <c r="A599" s="7">
        <v>0.78849317558165644</v>
      </c>
      <c r="B599"/>
      <c r="C599"/>
      <c r="D599"/>
      <c r="E599"/>
      <c r="F599" s="27" t="s">
        <v>7</v>
      </c>
      <c r="KW599" s="27" t="s">
        <v>8</v>
      </c>
      <c r="NH599" s="27" t="s">
        <v>7</v>
      </c>
      <c r="NI599" s="27" t="s">
        <v>8</v>
      </c>
      <c r="NR599" s="27" t="s">
        <v>7</v>
      </c>
      <c r="NS599" s="27" t="s">
        <v>8</v>
      </c>
      <c r="NT599" s="27" t="s">
        <v>7</v>
      </c>
      <c r="NU599" s="27" t="s">
        <v>8</v>
      </c>
      <c r="NV599" s="27" t="s">
        <v>7</v>
      </c>
      <c r="NX599" s="27" t="s">
        <v>7</v>
      </c>
      <c r="NY599" s="27" t="s">
        <v>8</v>
      </c>
      <c r="OB599" s="27" t="s">
        <v>7</v>
      </c>
      <c r="OD599" s="27" t="s">
        <v>7</v>
      </c>
      <c r="OF599" s="27" t="s">
        <v>7</v>
      </c>
      <c r="OI599" s="27" t="s">
        <v>8</v>
      </c>
      <c r="OJ599" s="27" t="s">
        <v>7</v>
      </c>
      <c r="RR599" s="27" t="s">
        <v>7</v>
      </c>
      <c r="RS599" s="27" t="s">
        <v>8</v>
      </c>
      <c r="RT599" s="27" t="s">
        <v>7</v>
      </c>
      <c r="RU599" s="27" t="s">
        <v>8</v>
      </c>
    </row>
    <row r="600" spans="1:490" x14ac:dyDescent="0.25">
      <c r="A600" s="7">
        <v>0.77303252508005538</v>
      </c>
      <c r="B600"/>
      <c r="C600"/>
      <c r="D600"/>
      <c r="E600"/>
      <c r="F600" s="27" t="s">
        <v>7</v>
      </c>
      <c r="KW600" s="27" t="s">
        <v>8</v>
      </c>
      <c r="NH600" s="27" t="s">
        <v>7</v>
      </c>
      <c r="NI600" s="27" t="s">
        <v>8</v>
      </c>
      <c r="NR600" s="27" t="s">
        <v>7</v>
      </c>
      <c r="NS600" s="27" t="s">
        <v>8</v>
      </c>
      <c r="NT600" s="27" t="s">
        <v>7</v>
      </c>
      <c r="NU600" s="27" t="s">
        <v>8</v>
      </c>
      <c r="NX600" s="27" t="s">
        <v>7</v>
      </c>
      <c r="OF600" s="27" t="s">
        <v>7</v>
      </c>
      <c r="OI600" s="27" t="s">
        <v>8</v>
      </c>
      <c r="RR600" s="27" t="s">
        <v>7</v>
      </c>
      <c r="RS600" s="27" t="s">
        <v>8</v>
      </c>
      <c r="RT600" s="27" t="s">
        <v>7</v>
      </c>
      <c r="RU600" s="27" t="s">
        <v>8</v>
      </c>
    </row>
    <row r="601" spans="1:490" x14ac:dyDescent="0.25">
      <c r="A601" s="7">
        <v>0.75787502458828959</v>
      </c>
      <c r="B601"/>
      <c r="C601"/>
      <c r="D601"/>
      <c r="E601"/>
      <c r="F601" s="27" t="s">
        <v>7</v>
      </c>
      <c r="KW601" s="27" t="s">
        <v>8</v>
      </c>
      <c r="NH601" s="27" t="s">
        <v>7</v>
      </c>
      <c r="NI601" s="27" t="s">
        <v>8</v>
      </c>
      <c r="NR601" s="27" t="s">
        <v>7</v>
      </c>
      <c r="NS601" s="27" t="s">
        <v>8</v>
      </c>
      <c r="NT601" s="27" t="s">
        <v>7</v>
      </c>
      <c r="NU601" s="27" t="s">
        <v>8</v>
      </c>
      <c r="OF601" s="27" t="s">
        <v>7</v>
      </c>
      <c r="OI601" s="27" t="s">
        <v>8</v>
      </c>
      <c r="RR601" s="27" t="s">
        <v>7</v>
      </c>
      <c r="RS601" s="27" t="s">
        <v>8</v>
      </c>
      <c r="RT601" s="27" t="s">
        <v>7</v>
      </c>
      <c r="RU601" s="27" t="s">
        <v>8</v>
      </c>
    </row>
    <row r="602" spans="1:490" x14ac:dyDescent="0.25">
      <c r="A602" s="7">
        <v>0.74301472998851925</v>
      </c>
      <c r="B602"/>
      <c r="C602"/>
      <c r="D602"/>
      <c r="E602"/>
      <c r="F602" s="27" t="s">
        <v>7</v>
      </c>
      <c r="KW602" s="27" t="s">
        <v>8</v>
      </c>
      <c r="NH602" s="27" t="s">
        <v>7</v>
      </c>
      <c r="NI602" s="27" t="s">
        <v>8</v>
      </c>
      <c r="NR602" s="27" t="s">
        <v>7</v>
      </c>
      <c r="NS602" s="27" t="s">
        <v>8</v>
      </c>
      <c r="NT602" s="27" t="s">
        <v>7</v>
      </c>
      <c r="OF602" s="27" t="s">
        <v>7</v>
      </c>
      <c r="OI602" s="27" t="s">
        <v>8</v>
      </c>
      <c r="RR602" s="27" t="s">
        <v>7</v>
      </c>
      <c r="RS602" s="27" t="s">
        <v>8</v>
      </c>
      <c r="RT602" s="27" t="s">
        <v>7</v>
      </c>
      <c r="RU602" s="27" t="s">
        <v>8</v>
      </c>
    </row>
    <row r="603" spans="1:490" x14ac:dyDescent="0.25">
      <c r="A603" s="7">
        <v>0.72844581371423456</v>
      </c>
      <c r="B603"/>
      <c r="C603"/>
      <c r="D603"/>
      <c r="E603"/>
      <c r="F603" s="27" t="s">
        <v>7</v>
      </c>
      <c r="KW603" s="27" t="s">
        <v>8</v>
      </c>
      <c r="NH603" s="27" t="s">
        <v>7</v>
      </c>
      <c r="NI603" s="27" t="s">
        <v>8</v>
      </c>
      <c r="NR603" s="27" t="s">
        <v>7</v>
      </c>
      <c r="NS603" s="27" t="s">
        <v>8</v>
      </c>
      <c r="OF603" s="27" t="s">
        <v>7</v>
      </c>
      <c r="OI603" s="27" t="s">
        <v>8</v>
      </c>
      <c r="RR603" s="27" t="s">
        <v>7</v>
      </c>
      <c r="RS603" s="27" t="s">
        <v>8</v>
      </c>
      <c r="RT603" s="27" t="s">
        <v>7</v>
      </c>
      <c r="RU603" s="27" t="s">
        <v>8</v>
      </c>
    </row>
    <row r="604" spans="1:490" x14ac:dyDescent="0.25">
      <c r="A604" s="7">
        <v>0.71416256246493581</v>
      </c>
      <c r="B604"/>
      <c r="C604"/>
      <c r="D604"/>
      <c r="E604"/>
      <c r="F604" s="27" t="s">
        <v>7</v>
      </c>
      <c r="KW604" s="27" t="s">
        <v>8</v>
      </c>
      <c r="NH604" s="27" t="s">
        <v>7</v>
      </c>
      <c r="NI604" s="27" t="s">
        <v>8</v>
      </c>
      <c r="NR604" s="27" t="s">
        <v>7</v>
      </c>
      <c r="NS604" s="27" t="s">
        <v>8</v>
      </c>
      <c r="OF604" s="27" t="s">
        <v>7</v>
      </c>
      <c r="OG604" s="27" t="s">
        <v>8</v>
      </c>
      <c r="OI604" s="27" t="s">
        <v>8</v>
      </c>
      <c r="RR604" s="27" t="s">
        <v>7</v>
      </c>
      <c r="RS604" s="27" t="s">
        <v>8</v>
      </c>
      <c r="RT604" s="27" t="s">
        <v>7</v>
      </c>
      <c r="RU604" s="27" t="s">
        <v>8</v>
      </c>
    </row>
    <row r="605" spans="1:490" x14ac:dyDescent="0.25">
      <c r="A605" s="7">
        <v>0.7001593749656233</v>
      </c>
      <c r="B605"/>
      <c r="C605"/>
      <c r="D605"/>
      <c r="E605"/>
      <c r="F605" s="27" t="s">
        <v>7</v>
      </c>
      <c r="KW605" s="27" t="s">
        <v>8</v>
      </c>
      <c r="NH605" s="27" t="s">
        <v>7</v>
      </c>
      <c r="NI605" s="27" t="s">
        <v>8</v>
      </c>
      <c r="NR605" s="27" t="s">
        <v>7</v>
      </c>
      <c r="NS605" s="27" t="s">
        <v>8</v>
      </c>
      <c r="OF605" s="27" t="s">
        <v>7</v>
      </c>
      <c r="OG605" s="27" t="s">
        <v>8</v>
      </c>
      <c r="OH605" s="27" t="s">
        <v>7</v>
      </c>
      <c r="OI605" s="27" t="s">
        <v>8</v>
      </c>
      <c r="RR605" s="27" t="s">
        <v>7</v>
      </c>
      <c r="RT605" s="27" t="s">
        <v>7</v>
      </c>
    </row>
    <row r="606" spans="1:490" x14ac:dyDescent="0.25">
      <c r="A606" s="7">
        <v>0.68643075977021883</v>
      </c>
      <c r="B606"/>
      <c r="C606"/>
      <c r="D606"/>
      <c r="E606"/>
      <c r="F606" s="27" t="s">
        <v>7</v>
      </c>
      <c r="KW606" s="27" t="s">
        <v>8</v>
      </c>
      <c r="NH606" s="27" t="s">
        <v>7</v>
      </c>
      <c r="NR606" s="27" t="s">
        <v>7</v>
      </c>
      <c r="NS606" s="27" t="s">
        <v>8</v>
      </c>
      <c r="OF606" s="27" t="s">
        <v>7</v>
      </c>
      <c r="OG606" s="27" t="s">
        <v>8</v>
      </c>
      <c r="OH606" s="27" t="s">
        <v>7</v>
      </c>
      <c r="OI606" s="27" t="s">
        <v>8</v>
      </c>
    </row>
    <row r="607" spans="1:490" x14ac:dyDescent="0.25">
      <c r="A607" s="7">
        <v>0.67297133310805768</v>
      </c>
      <c r="B607"/>
      <c r="C607"/>
      <c r="D607"/>
      <c r="E607"/>
      <c r="F607" s="27" t="s">
        <v>7</v>
      </c>
      <c r="KW607" s="27" t="s">
        <v>8</v>
      </c>
      <c r="NR607" s="27" t="s">
        <v>7</v>
      </c>
      <c r="NS607" s="27" t="s">
        <v>8</v>
      </c>
      <c r="OF607" s="27" t="s">
        <v>7</v>
      </c>
      <c r="OG607" s="27" t="s">
        <v>8</v>
      </c>
      <c r="OH607" s="27" t="s">
        <v>7</v>
      </c>
      <c r="OI607" s="27" t="s">
        <v>8</v>
      </c>
    </row>
    <row r="608" spans="1:490" x14ac:dyDescent="0.25">
      <c r="A608" s="7">
        <v>0.65977581677260566</v>
      </c>
      <c r="B608"/>
      <c r="C608"/>
      <c r="D608"/>
      <c r="E608"/>
      <c r="F608" s="27" t="s">
        <v>7</v>
      </c>
      <c r="KW608" s="27" t="s">
        <v>8</v>
      </c>
      <c r="NR608" s="27" t="s">
        <v>7</v>
      </c>
      <c r="NS608" s="27" t="s">
        <v>8</v>
      </c>
      <c r="OF608" s="27" t="s">
        <v>7</v>
      </c>
      <c r="OH608" s="27" t="s">
        <v>7</v>
      </c>
      <c r="OI608" s="27" t="s">
        <v>8</v>
      </c>
    </row>
    <row r="609" spans="1:399" x14ac:dyDescent="0.25">
      <c r="A609" s="7">
        <v>0.64683903605157422</v>
      </c>
      <c r="B609"/>
      <c r="C609"/>
      <c r="D609"/>
      <c r="E609"/>
      <c r="F609" s="27" t="s">
        <v>7</v>
      </c>
      <c r="KW609" s="27" t="s">
        <v>8</v>
      </c>
      <c r="NR609" s="27" t="s">
        <v>7</v>
      </c>
      <c r="NS609" s="27" t="s">
        <v>8</v>
      </c>
      <c r="OH609" s="27" t="s">
        <v>7</v>
      </c>
      <c r="OI609" s="27" t="s">
        <v>8</v>
      </c>
    </row>
    <row r="610" spans="1:399" x14ac:dyDescent="0.25">
      <c r="A610" s="7">
        <v>0.63415591769762181</v>
      </c>
      <c r="B610"/>
      <c r="C610"/>
      <c r="D610"/>
      <c r="E610"/>
      <c r="F610" s="27" t="s">
        <v>7</v>
      </c>
      <c r="KW610" s="27" t="s">
        <v>8</v>
      </c>
      <c r="NR610" s="27" t="s">
        <v>7</v>
      </c>
      <c r="NS610" s="27" t="s">
        <v>8</v>
      </c>
      <c r="OH610" s="27" t="s">
        <v>7</v>
      </c>
      <c r="OI610" s="27" t="s">
        <v>8</v>
      </c>
    </row>
    <row r="611" spans="1:399" x14ac:dyDescent="0.25">
      <c r="A611" s="7">
        <v>0.62172148793884496</v>
      </c>
      <c r="B611"/>
      <c r="C611"/>
      <c r="D611"/>
      <c r="E611"/>
      <c r="F611" s="27" t="s">
        <v>7</v>
      </c>
      <c r="KW611" s="27" t="s">
        <v>8</v>
      </c>
      <c r="NR611" s="27" t="s">
        <v>7</v>
      </c>
      <c r="OH611" s="18" t="s">
        <v>7</v>
      </c>
      <c r="OI611" s="27" t="s">
        <v>8</v>
      </c>
    </row>
    <row r="612" spans="1:399" x14ac:dyDescent="0.25">
      <c r="A612" s="7">
        <v>0.60953087052827937</v>
      </c>
      <c r="B612"/>
      <c r="C612"/>
      <c r="D612"/>
      <c r="E612"/>
      <c r="F612" s="27" t="s">
        <v>7</v>
      </c>
      <c r="KU612" s="27" t="s">
        <v>8</v>
      </c>
      <c r="KW612" s="27" t="s">
        <v>8</v>
      </c>
      <c r="OH612" s="27" t="s">
        <v>7</v>
      </c>
      <c r="OI612" s="27" t="s">
        <v>8</v>
      </c>
    </row>
    <row r="613" spans="1:399" x14ac:dyDescent="0.25">
      <c r="A613" s="7">
        <v>0.59757928483164646</v>
      </c>
      <c r="B613"/>
      <c r="C613"/>
      <c r="D613"/>
      <c r="E613"/>
      <c r="F613" s="27" t="s">
        <v>7</v>
      </c>
      <c r="KU613" s="27" t="s">
        <v>8</v>
      </c>
      <c r="KV613" s="27" t="s">
        <v>7</v>
      </c>
      <c r="KW613" s="27" t="s">
        <v>8</v>
      </c>
      <c r="OH613" s="27" t="s">
        <v>7</v>
      </c>
      <c r="OI613" s="27" t="s">
        <v>8</v>
      </c>
    </row>
    <row r="614" spans="1:399" x14ac:dyDescent="0.25">
      <c r="A614" s="7">
        <v>0.58586204395259456</v>
      </c>
      <c r="B614"/>
      <c r="C614"/>
      <c r="D614"/>
      <c r="E614"/>
      <c r="F614" s="27" t="s">
        <v>7</v>
      </c>
      <c r="KU614" s="27" t="s">
        <v>8</v>
      </c>
      <c r="KV614" s="27" t="s">
        <v>7</v>
      </c>
      <c r="KW614" s="27" t="s">
        <v>8</v>
      </c>
      <c r="OH614" s="27" t="s">
        <v>7</v>
      </c>
      <c r="OI614" s="27" t="s">
        <v>8</v>
      </c>
    </row>
    <row r="615" spans="1:399" x14ac:dyDescent="0.25">
      <c r="A615" s="7">
        <v>0.57437455289470052</v>
      </c>
      <c r="B615"/>
      <c r="C615"/>
      <c r="D615"/>
      <c r="E615"/>
      <c r="F615" s="27" t="s">
        <v>7</v>
      </c>
      <c r="KU615" s="27" t="s">
        <v>8</v>
      </c>
      <c r="KV615" s="27" t="s">
        <v>7</v>
      </c>
      <c r="KW615" s="27" t="s">
        <v>8</v>
      </c>
      <c r="OH615" s="27" t="s">
        <v>7</v>
      </c>
    </row>
    <row r="616" spans="1:399" x14ac:dyDescent="0.25">
      <c r="A616" s="7">
        <v>0.56311230675951029</v>
      </c>
      <c r="B616"/>
      <c r="C616"/>
      <c r="D616"/>
      <c r="E616"/>
      <c r="F616" s="27" t="s">
        <v>7</v>
      </c>
      <c r="KU616" s="27" t="s">
        <v>8</v>
      </c>
      <c r="KV616" s="27" t="s">
        <v>7</v>
      </c>
      <c r="KW616" s="27" t="s">
        <v>8</v>
      </c>
    </row>
    <row r="617" spans="1:399" x14ac:dyDescent="0.25">
      <c r="A617" s="7">
        <v>0.55207088897991208</v>
      </c>
      <c r="B617"/>
      <c r="C617"/>
      <c r="D617"/>
      <c r="E617"/>
      <c r="F617" s="27" t="s">
        <v>7</v>
      </c>
      <c r="CM617" s="27" t="s">
        <v>8</v>
      </c>
      <c r="KU617" s="27" t="s">
        <v>8</v>
      </c>
      <c r="KV617" s="27" t="s">
        <v>7</v>
      </c>
      <c r="KW617" s="27" t="s">
        <v>8</v>
      </c>
    </row>
    <row r="618" spans="1:399" x14ac:dyDescent="0.25">
      <c r="A618" s="7">
        <v>0.54124596958814908</v>
      </c>
      <c r="B618"/>
      <c r="C618"/>
      <c r="D618"/>
      <c r="E618"/>
      <c r="F618" s="27" t="s">
        <v>7</v>
      </c>
      <c r="CM618" s="27" t="s">
        <v>8</v>
      </c>
      <c r="CN618" s="27" t="s">
        <v>7</v>
      </c>
      <c r="KU618" s="27" t="s">
        <v>8</v>
      </c>
      <c r="KV618" s="27" t="s">
        <v>7</v>
      </c>
      <c r="KW618" s="27" t="s">
        <v>8</v>
      </c>
    </row>
    <row r="619" spans="1:399" x14ac:dyDescent="0.25">
      <c r="A619" s="7">
        <v>0.53063330351779314</v>
      </c>
      <c r="B619"/>
      <c r="C619"/>
      <c r="D619"/>
      <c r="E619"/>
      <c r="F619" s="27" t="s">
        <v>7</v>
      </c>
      <c r="CM619" s="27" t="s">
        <v>8</v>
      </c>
      <c r="CN619" s="27" t="s">
        <v>7</v>
      </c>
      <c r="KU619" s="27" t="s">
        <v>8</v>
      </c>
      <c r="KV619" s="27" t="s">
        <v>7</v>
      </c>
    </row>
    <row r="620" spans="1:399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CM620" s="27" t="s">
        <v>8</v>
      </c>
      <c r="CN620" s="27" t="s">
        <v>7</v>
      </c>
      <c r="KU620" s="27" t="s">
        <v>8</v>
      </c>
    </row>
    <row r="621" spans="1:399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CM621" s="27" t="s">
        <v>8</v>
      </c>
      <c r="CN621" s="27" t="s">
        <v>7</v>
      </c>
      <c r="CO621" s="27" t="s">
        <v>8</v>
      </c>
      <c r="KU621" s="27" t="s">
        <v>8</v>
      </c>
    </row>
    <row r="622" spans="1:399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CM622" s="27" t="s">
        <v>8</v>
      </c>
      <c r="CN622" s="27" t="s">
        <v>7</v>
      </c>
      <c r="CO622" s="27" t="s">
        <v>8</v>
      </c>
      <c r="CP622" s="27" t="s">
        <v>7</v>
      </c>
      <c r="KM622" s="27" t="s">
        <v>8</v>
      </c>
      <c r="KU622" s="27" t="s">
        <v>8</v>
      </c>
    </row>
    <row r="623" spans="1:399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CM623" s="27" t="s">
        <v>8</v>
      </c>
      <c r="CN623" s="27" t="s">
        <v>7</v>
      </c>
      <c r="CO623" s="27" t="s">
        <v>8</v>
      </c>
      <c r="CP623" s="27" t="s">
        <v>7</v>
      </c>
      <c r="KM623" s="27" t="s">
        <v>8</v>
      </c>
      <c r="KN623" s="27" t="s">
        <v>7</v>
      </c>
      <c r="KU623" s="27" t="s">
        <v>8</v>
      </c>
    </row>
    <row r="624" spans="1:399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CM624" s="27" t="s">
        <v>8</v>
      </c>
      <c r="CN624" s="27" t="s">
        <v>7</v>
      </c>
      <c r="CO624" s="27" t="s">
        <v>8</v>
      </c>
      <c r="CP624" s="27" t="s">
        <v>7</v>
      </c>
      <c r="KM624" s="27" t="s">
        <v>8</v>
      </c>
      <c r="KN624" s="27" t="s">
        <v>7</v>
      </c>
      <c r="KO624" s="27" t="s">
        <v>8</v>
      </c>
      <c r="KU624" s="27" t="s">
        <v>8</v>
      </c>
    </row>
    <row r="625" spans="1:307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CM625" s="27" t="s">
        <v>8</v>
      </c>
      <c r="CN625" s="27" t="s">
        <v>7</v>
      </c>
      <c r="CO625" s="27" t="s">
        <v>8</v>
      </c>
      <c r="CP625" s="27" t="s">
        <v>7</v>
      </c>
      <c r="CY625" s="27" t="s">
        <v>8</v>
      </c>
      <c r="KI625" s="27" t="s">
        <v>8</v>
      </c>
      <c r="KM625" s="27" t="s">
        <v>8</v>
      </c>
      <c r="KN625" s="27" t="s">
        <v>7</v>
      </c>
      <c r="KO625" s="27" t="s">
        <v>8</v>
      </c>
      <c r="KP625" s="27" t="s">
        <v>7</v>
      </c>
      <c r="KU625" s="27" t="s">
        <v>8</v>
      </c>
    </row>
    <row r="626" spans="1:307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CG626" s="27" t="s">
        <v>8</v>
      </c>
      <c r="CM626" s="27" t="s">
        <v>8</v>
      </c>
      <c r="CN626" s="27" t="s">
        <v>7</v>
      </c>
      <c r="CP626" s="27" t="s">
        <v>7</v>
      </c>
      <c r="CY626" s="27" t="s">
        <v>8</v>
      </c>
      <c r="CZ626" s="27" t="s">
        <v>7</v>
      </c>
      <c r="KI626" s="27" t="s">
        <v>8</v>
      </c>
      <c r="KJ626" s="27" t="s">
        <v>7</v>
      </c>
      <c r="KM626" s="27" t="s">
        <v>8</v>
      </c>
      <c r="KN626" s="27" t="s">
        <v>7</v>
      </c>
      <c r="KO626" s="27" t="s">
        <v>8</v>
      </c>
      <c r="KP626" s="27" t="s">
        <v>7</v>
      </c>
      <c r="KU626" s="27" t="s">
        <v>8</v>
      </c>
    </row>
    <row r="627" spans="1:307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CG627" s="27" t="s">
        <v>8</v>
      </c>
      <c r="CH627" s="27" t="s">
        <v>7</v>
      </c>
      <c r="CM627" s="27" t="s">
        <v>8</v>
      </c>
      <c r="CP627" s="27" t="s">
        <v>7</v>
      </c>
      <c r="CS627" s="27" t="s">
        <v>8</v>
      </c>
      <c r="CW627" s="27" t="s">
        <v>8</v>
      </c>
      <c r="CY627" s="27" t="s">
        <v>8</v>
      </c>
      <c r="CZ627" s="27" t="s">
        <v>7</v>
      </c>
      <c r="KI627" s="27" t="s">
        <v>8</v>
      </c>
      <c r="KJ627" s="27" t="s">
        <v>7</v>
      </c>
      <c r="KK627" s="27" t="s">
        <v>8</v>
      </c>
      <c r="KM627" s="27" t="s">
        <v>8</v>
      </c>
      <c r="KN627" s="27" t="s">
        <v>7</v>
      </c>
      <c r="KO627" s="27" t="s">
        <v>8</v>
      </c>
      <c r="KP627" s="27" t="s">
        <v>7</v>
      </c>
      <c r="KS627" s="27" t="s">
        <v>8</v>
      </c>
      <c r="KU627" s="27" t="s">
        <v>8</v>
      </c>
    </row>
    <row r="628" spans="1:307" x14ac:dyDescent="0.25">
      <c r="A628" s="7">
        <v>0.44401021096591808</v>
      </c>
      <c r="B628"/>
      <c r="C628"/>
      <c r="D628"/>
      <c r="E628"/>
      <c r="F628" s="27" t="s">
        <v>7</v>
      </c>
      <c r="H628" s="27" t="s">
        <v>7</v>
      </c>
      <c r="CG628" s="27" t="s">
        <v>8</v>
      </c>
      <c r="CH628" s="27" t="s">
        <v>7</v>
      </c>
      <c r="CM628" s="27" t="s">
        <v>8</v>
      </c>
      <c r="CP628" s="27" t="s">
        <v>7</v>
      </c>
      <c r="CS628" s="27" t="s">
        <v>8</v>
      </c>
      <c r="CT628" s="27" t="s">
        <v>7</v>
      </c>
      <c r="CU628" s="27" t="s">
        <v>8</v>
      </c>
      <c r="CW628" s="27" t="s">
        <v>8</v>
      </c>
      <c r="CX628" s="27" t="s">
        <v>7</v>
      </c>
      <c r="CY628" s="27" t="s">
        <v>8</v>
      </c>
      <c r="CZ628" s="27" t="s">
        <v>7</v>
      </c>
      <c r="HW628" s="27" t="s">
        <v>8</v>
      </c>
      <c r="KI628" s="27" t="s">
        <v>8</v>
      </c>
      <c r="KJ628" s="27" t="s">
        <v>7</v>
      </c>
      <c r="KK628" s="27" t="s">
        <v>8</v>
      </c>
      <c r="KL628" s="27" t="s">
        <v>7</v>
      </c>
      <c r="KM628" s="27" t="s">
        <v>8</v>
      </c>
      <c r="KN628" s="27" t="s">
        <v>7</v>
      </c>
      <c r="KO628" s="27" t="s">
        <v>8</v>
      </c>
      <c r="KP628" s="27" t="s">
        <v>7</v>
      </c>
      <c r="KQ628" s="27" t="s">
        <v>8</v>
      </c>
      <c r="KS628" s="27" t="s">
        <v>8</v>
      </c>
      <c r="KT628" s="27" t="s">
        <v>7</v>
      </c>
      <c r="KU628" s="27" t="s">
        <v>8</v>
      </c>
    </row>
    <row r="629" spans="1:307" x14ac:dyDescent="0.25">
      <c r="A629" s="7">
        <v>0.4353041283979589</v>
      </c>
      <c r="B629"/>
      <c r="C629"/>
      <c r="D629"/>
      <c r="E629"/>
      <c r="H629" s="27" t="s">
        <v>7</v>
      </c>
      <c r="CG629" s="27" t="s">
        <v>8</v>
      </c>
      <c r="CH629" s="27" t="s">
        <v>7</v>
      </c>
      <c r="CM629" s="27" t="s">
        <v>8</v>
      </c>
      <c r="CP629" s="27" t="s">
        <v>7</v>
      </c>
      <c r="CQ629" s="27" t="s">
        <v>8</v>
      </c>
      <c r="CS629" s="27" t="s">
        <v>8</v>
      </c>
      <c r="CT629" s="27" t="s">
        <v>7</v>
      </c>
      <c r="CU629" s="27" t="s">
        <v>8</v>
      </c>
      <c r="CV629" s="27" t="s">
        <v>7</v>
      </c>
      <c r="CW629" s="27" t="s">
        <v>8</v>
      </c>
      <c r="CX629" s="27" t="s">
        <v>7</v>
      </c>
      <c r="CY629" s="27" t="s">
        <v>8</v>
      </c>
      <c r="CZ629" s="27" t="s">
        <v>7</v>
      </c>
      <c r="HW629" s="27" t="s">
        <v>8</v>
      </c>
      <c r="HX629" s="27" t="s">
        <v>7</v>
      </c>
      <c r="HY629" s="27" t="s">
        <v>8</v>
      </c>
      <c r="KI629" s="27" t="s">
        <v>8</v>
      </c>
      <c r="KJ629" s="27" t="s">
        <v>7</v>
      </c>
      <c r="KK629" s="27" t="s">
        <v>8</v>
      </c>
      <c r="KL629" s="27" t="s">
        <v>7</v>
      </c>
      <c r="KM629" s="27" t="s">
        <v>8</v>
      </c>
      <c r="KN629" s="27" t="s">
        <v>7</v>
      </c>
      <c r="KO629" s="27" t="s">
        <v>8</v>
      </c>
      <c r="KP629" s="27" t="s">
        <v>7</v>
      </c>
      <c r="KQ629" s="27" t="s">
        <v>8</v>
      </c>
      <c r="KR629" s="27" t="s">
        <v>7</v>
      </c>
      <c r="KS629" s="27" t="s">
        <v>8</v>
      </c>
      <c r="KT629" s="27" t="s">
        <v>7</v>
      </c>
      <c r="KU629" s="27" t="s">
        <v>8</v>
      </c>
    </row>
    <row r="630" spans="1:307" x14ac:dyDescent="0.25">
      <c r="A630" s="7">
        <v>0.4267687533313323</v>
      </c>
      <c r="B630"/>
      <c r="C630"/>
      <c r="D630"/>
      <c r="E630"/>
      <c r="H630" s="27" t="s">
        <v>7</v>
      </c>
      <c r="I630" s="27" t="s">
        <v>8</v>
      </c>
      <c r="CG630" s="27" t="s">
        <v>8</v>
      </c>
      <c r="CH630" s="27" t="s">
        <v>7</v>
      </c>
      <c r="CI630" s="27" t="s">
        <v>8</v>
      </c>
      <c r="CK630" s="27" t="s">
        <v>8</v>
      </c>
      <c r="CM630" s="27" t="s">
        <v>8</v>
      </c>
      <c r="CP630" s="27" t="s">
        <v>7</v>
      </c>
      <c r="CQ630" s="27" t="s">
        <v>8</v>
      </c>
      <c r="CR630" s="27" t="s">
        <v>7</v>
      </c>
      <c r="CS630" s="27" t="s">
        <v>8</v>
      </c>
      <c r="CT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CZ630" s="27" t="s">
        <v>7</v>
      </c>
      <c r="DA630" s="27" t="s">
        <v>8</v>
      </c>
      <c r="HW630" s="27" t="s">
        <v>8</v>
      </c>
      <c r="HX630" s="27" t="s">
        <v>7</v>
      </c>
      <c r="HY630" s="27" t="s">
        <v>8</v>
      </c>
      <c r="HZ630" s="27" t="s">
        <v>7</v>
      </c>
      <c r="KI630" s="27" t="s">
        <v>8</v>
      </c>
      <c r="KJ630" s="27" t="s">
        <v>7</v>
      </c>
      <c r="KK630" s="27" t="s">
        <v>8</v>
      </c>
      <c r="KL630" s="27" t="s">
        <v>7</v>
      </c>
      <c r="KM630" s="27" t="s">
        <v>8</v>
      </c>
      <c r="KN630" s="27" t="s">
        <v>7</v>
      </c>
      <c r="KO630" s="27" t="s">
        <v>8</v>
      </c>
      <c r="KP630" s="27" t="s">
        <v>7</v>
      </c>
      <c r="KQ630" s="27" t="s">
        <v>8</v>
      </c>
      <c r="KR630" s="27" t="s">
        <v>7</v>
      </c>
      <c r="KS630" s="27" t="s">
        <v>8</v>
      </c>
      <c r="KT630" s="27" t="s">
        <v>7</v>
      </c>
    </row>
    <row r="631" spans="1:307" x14ac:dyDescent="0.25">
      <c r="A631" s="7">
        <v>0.41840073856012971</v>
      </c>
      <c r="B631"/>
      <c r="C631"/>
      <c r="D631"/>
      <c r="E631"/>
      <c r="H631" s="27" t="s">
        <v>7</v>
      </c>
      <c r="I631" s="27" t="s">
        <v>8</v>
      </c>
      <c r="J631" s="27" t="s">
        <v>7</v>
      </c>
      <c r="CG631" s="27" t="s">
        <v>8</v>
      </c>
      <c r="CH631" s="27" t="s">
        <v>7</v>
      </c>
      <c r="CI631" s="27" t="s">
        <v>8</v>
      </c>
      <c r="CJ631" s="27" t="s">
        <v>7</v>
      </c>
      <c r="CK631" s="27" t="s">
        <v>8</v>
      </c>
      <c r="CL631" s="27" t="s">
        <v>7</v>
      </c>
      <c r="CM631" s="27" t="s">
        <v>8</v>
      </c>
      <c r="CP631" s="27" t="s">
        <v>7</v>
      </c>
      <c r="CQ631" s="27" t="s">
        <v>8</v>
      </c>
      <c r="CR631" s="27" t="s">
        <v>7</v>
      </c>
      <c r="CS631" s="27" t="s">
        <v>8</v>
      </c>
      <c r="CT631" s="27" t="s">
        <v>7</v>
      </c>
      <c r="CU631" s="27" t="s">
        <v>8</v>
      </c>
      <c r="CV631" s="27" t="s">
        <v>7</v>
      </c>
      <c r="CX631" s="27" t="s">
        <v>7</v>
      </c>
      <c r="CY631" s="27" t="s">
        <v>8</v>
      </c>
      <c r="CZ631" s="27" t="s">
        <v>7</v>
      </c>
      <c r="DA631" s="27" t="s">
        <v>8</v>
      </c>
      <c r="DB631" s="27" t="s">
        <v>7</v>
      </c>
      <c r="HW631" s="27" t="s">
        <v>8</v>
      </c>
      <c r="HX631" s="27" t="s">
        <v>7</v>
      </c>
      <c r="HY631" s="27" t="s">
        <v>8</v>
      </c>
      <c r="HZ631" s="27" t="s">
        <v>7</v>
      </c>
      <c r="JK631" s="27" t="s">
        <v>8</v>
      </c>
      <c r="KI631" s="27" t="s">
        <v>8</v>
      </c>
      <c r="KJ631" s="27" t="s">
        <v>7</v>
      </c>
      <c r="KK631" s="27" t="s">
        <v>8</v>
      </c>
      <c r="KL631" s="27" t="s">
        <v>7</v>
      </c>
      <c r="KM631" s="27" t="s">
        <v>8</v>
      </c>
      <c r="KN631" s="27" t="s">
        <v>7</v>
      </c>
      <c r="KO631" s="27" t="s">
        <v>8</v>
      </c>
      <c r="KP631" s="27" t="s">
        <v>7</v>
      </c>
      <c r="KQ631" s="27" t="s">
        <v>8</v>
      </c>
      <c r="KR631" s="27" t="s">
        <v>7</v>
      </c>
      <c r="KS631" s="27" t="s">
        <v>8</v>
      </c>
    </row>
    <row r="632" spans="1:307" x14ac:dyDescent="0.25">
      <c r="A632" s="7">
        <v>0.41019680250993112</v>
      </c>
      <c r="B632"/>
      <c r="C632"/>
      <c r="D632"/>
      <c r="E632"/>
      <c r="H632" s="27" t="s">
        <v>7</v>
      </c>
      <c r="I632" s="27" t="s">
        <v>8</v>
      </c>
      <c r="J632" s="27" t="s">
        <v>7</v>
      </c>
      <c r="CG632" s="27" t="s">
        <v>8</v>
      </c>
      <c r="CH632" s="27" t="s">
        <v>7</v>
      </c>
      <c r="CI632" s="27" t="s">
        <v>8</v>
      </c>
      <c r="CJ632" s="27" t="s">
        <v>7</v>
      </c>
      <c r="CK632" s="27" t="s">
        <v>8</v>
      </c>
      <c r="CL632" s="27" t="s">
        <v>7</v>
      </c>
      <c r="CM632" s="27" t="s">
        <v>8</v>
      </c>
      <c r="CP632" s="27" t="s">
        <v>7</v>
      </c>
      <c r="CR632" s="27" t="s">
        <v>7</v>
      </c>
      <c r="CS632" s="27" t="s">
        <v>8</v>
      </c>
      <c r="CT632" s="27" t="s">
        <v>7</v>
      </c>
      <c r="CU632" s="27" t="s">
        <v>8</v>
      </c>
      <c r="CX632" s="27" t="s">
        <v>7</v>
      </c>
      <c r="CY632" s="27" t="s">
        <v>8</v>
      </c>
      <c r="CZ632" s="27" t="s">
        <v>7</v>
      </c>
      <c r="DA632" s="27" t="s">
        <v>8</v>
      </c>
      <c r="DB632" s="27" t="s">
        <v>7</v>
      </c>
      <c r="DC632" s="27" t="s">
        <v>8</v>
      </c>
      <c r="HU632" s="27" t="s">
        <v>8</v>
      </c>
      <c r="HW632" s="27" t="s">
        <v>8</v>
      </c>
      <c r="HX632" s="27" t="s">
        <v>7</v>
      </c>
      <c r="HY632" s="27" t="s">
        <v>8</v>
      </c>
      <c r="HZ632" s="27" t="s">
        <v>7</v>
      </c>
      <c r="JK632" s="27" t="s">
        <v>8</v>
      </c>
      <c r="JL632" s="27" t="s">
        <v>7</v>
      </c>
      <c r="KI632" s="27" t="s">
        <v>8</v>
      </c>
      <c r="KJ632" s="27" t="s">
        <v>7</v>
      </c>
      <c r="KK632" s="27" t="s">
        <v>8</v>
      </c>
      <c r="KL632" s="27" t="s">
        <v>7</v>
      </c>
      <c r="KM632" s="27" t="s">
        <v>8</v>
      </c>
      <c r="KN632" s="27" t="s">
        <v>7</v>
      </c>
      <c r="KO632" s="27" t="s">
        <v>8</v>
      </c>
      <c r="KP632" s="27" t="s">
        <v>7</v>
      </c>
      <c r="KQ632" s="27" t="s">
        <v>8</v>
      </c>
      <c r="KR632" s="27" t="s">
        <v>7</v>
      </c>
      <c r="KS632" s="27" t="s">
        <v>8</v>
      </c>
    </row>
    <row r="633" spans="1:307" x14ac:dyDescent="0.25">
      <c r="A633" s="7">
        <v>0.40215372795091286</v>
      </c>
      <c r="B633"/>
      <c r="C633"/>
      <c r="D633"/>
      <c r="E633"/>
      <c r="H633" s="27" t="s">
        <v>7</v>
      </c>
      <c r="I633" s="27" t="s">
        <v>8</v>
      </c>
      <c r="J633" s="27" t="s">
        <v>7</v>
      </c>
      <c r="CG633" s="27" t="s">
        <v>8</v>
      </c>
      <c r="CH633" s="27" t="s">
        <v>7</v>
      </c>
      <c r="CI633" s="27" t="s">
        <v>8</v>
      </c>
      <c r="CJ633" s="27" t="s">
        <v>7</v>
      </c>
      <c r="CK633" s="27" t="s">
        <v>8</v>
      </c>
      <c r="CL633" s="27" t="s">
        <v>7</v>
      </c>
      <c r="CM633" s="27" t="s">
        <v>8</v>
      </c>
      <c r="CR633" s="27" t="s">
        <v>7</v>
      </c>
      <c r="CT633" s="27" t="s">
        <v>7</v>
      </c>
      <c r="CU633" s="27" t="s">
        <v>8</v>
      </c>
      <c r="CX633" s="27" t="s">
        <v>7</v>
      </c>
      <c r="CZ633" s="27" t="s">
        <v>7</v>
      </c>
      <c r="DA633" s="27" t="s">
        <v>8</v>
      </c>
      <c r="DB633" s="27" t="s">
        <v>7</v>
      </c>
      <c r="DC633" s="27" t="s">
        <v>8</v>
      </c>
      <c r="DD633" s="27" t="s">
        <v>7</v>
      </c>
      <c r="HU633" s="27" t="s">
        <v>8</v>
      </c>
      <c r="HV633" s="27" t="s">
        <v>7</v>
      </c>
      <c r="HW633" s="27" t="s">
        <v>8</v>
      </c>
      <c r="HX633" s="27" t="s">
        <v>7</v>
      </c>
      <c r="HY633" s="27" t="s">
        <v>8</v>
      </c>
      <c r="HZ633" s="27" t="s">
        <v>7</v>
      </c>
      <c r="IA633" s="27" t="s">
        <v>8</v>
      </c>
      <c r="JK633" s="27" t="s">
        <v>8</v>
      </c>
      <c r="JL633" s="27" t="s">
        <v>7</v>
      </c>
      <c r="KG633" s="27" t="s">
        <v>8</v>
      </c>
      <c r="KI633" s="27" t="s">
        <v>8</v>
      </c>
      <c r="KJ633" s="27" t="s">
        <v>7</v>
      </c>
      <c r="KK633" s="27" t="s">
        <v>8</v>
      </c>
      <c r="KL633" s="27" t="s">
        <v>7</v>
      </c>
      <c r="KN633" s="27" t="s">
        <v>7</v>
      </c>
      <c r="KO633" s="27" t="s">
        <v>8</v>
      </c>
      <c r="KP633" s="27" t="s">
        <v>7</v>
      </c>
      <c r="KQ633" s="27" t="s">
        <v>8</v>
      </c>
      <c r="KR633" s="27" t="s">
        <v>7</v>
      </c>
      <c r="KS633" s="27" t="s">
        <v>8</v>
      </c>
    </row>
    <row r="634" spans="1:307" x14ac:dyDescent="0.25">
      <c r="A634" s="7">
        <v>0.39426836073618904</v>
      </c>
      <c r="B634"/>
      <c r="C634"/>
      <c r="D634"/>
      <c r="E634"/>
      <c r="H634" s="27" t="s">
        <v>7</v>
      </c>
      <c r="J634" s="27" t="s">
        <v>7</v>
      </c>
      <c r="CG634" s="27" t="s">
        <v>8</v>
      </c>
      <c r="CH634" s="27" t="s">
        <v>7</v>
      </c>
      <c r="CI634" s="27" t="s">
        <v>8</v>
      </c>
      <c r="CJ634" s="27" t="s">
        <v>7</v>
      </c>
      <c r="CK634" s="27" t="s">
        <v>8</v>
      </c>
      <c r="CL634" s="27" t="s">
        <v>7</v>
      </c>
      <c r="CM634" s="27" t="s">
        <v>8</v>
      </c>
      <c r="CT634" s="27" t="s">
        <v>7</v>
      </c>
      <c r="CZ634" s="27" t="s">
        <v>7</v>
      </c>
      <c r="DA634" s="27" t="s">
        <v>8</v>
      </c>
      <c r="DB634" s="27" t="s">
        <v>7</v>
      </c>
      <c r="DC634" s="27" t="s">
        <v>8</v>
      </c>
      <c r="DD634" s="27" t="s">
        <v>7</v>
      </c>
      <c r="HU634" s="27" t="s">
        <v>8</v>
      </c>
      <c r="HV634" s="27" t="s">
        <v>7</v>
      </c>
      <c r="HW634" s="27" t="s">
        <v>8</v>
      </c>
      <c r="HX634" s="27" t="s">
        <v>7</v>
      </c>
      <c r="HY634" s="27" t="s">
        <v>8</v>
      </c>
      <c r="HZ634" s="27" t="s">
        <v>7</v>
      </c>
      <c r="IA634" s="27" t="s">
        <v>8</v>
      </c>
      <c r="IB634" s="27" t="s">
        <v>7</v>
      </c>
      <c r="JK634" s="27" t="s">
        <v>8</v>
      </c>
      <c r="JL634" s="27" t="s">
        <v>7</v>
      </c>
      <c r="KG634" s="27" t="s">
        <v>8</v>
      </c>
      <c r="KH634" s="27" t="s">
        <v>7</v>
      </c>
      <c r="KI634" s="27" t="s">
        <v>8</v>
      </c>
      <c r="KJ634" s="27" t="s">
        <v>7</v>
      </c>
      <c r="KK634" s="27" t="s">
        <v>8</v>
      </c>
      <c r="KN634" s="27" t="s">
        <v>7</v>
      </c>
      <c r="KP634" s="27" t="s">
        <v>7</v>
      </c>
      <c r="KQ634" s="27" t="s">
        <v>8</v>
      </c>
      <c r="KR634" s="27" t="s">
        <v>7</v>
      </c>
    </row>
    <row r="635" spans="1:307" x14ac:dyDescent="0.25">
      <c r="A635" s="7">
        <v>0.38653760856489122</v>
      </c>
      <c r="B635"/>
      <c r="C635"/>
      <c r="D635"/>
      <c r="E635"/>
      <c r="J635" s="27" t="s">
        <v>7</v>
      </c>
      <c r="AK635" s="27" t="s">
        <v>8</v>
      </c>
      <c r="CG635" s="27" t="s">
        <v>8</v>
      </c>
      <c r="CH635" s="27" t="s">
        <v>7</v>
      </c>
      <c r="CI635" s="27" t="s">
        <v>8</v>
      </c>
      <c r="CJ635" s="27" t="s">
        <v>7</v>
      </c>
      <c r="CL635" s="27" t="s">
        <v>7</v>
      </c>
      <c r="CM635" s="27" t="s">
        <v>8</v>
      </c>
      <c r="CZ635" s="27" t="s">
        <v>7</v>
      </c>
      <c r="DA635" s="27" t="s">
        <v>8</v>
      </c>
      <c r="DB635" s="27" t="s">
        <v>7</v>
      </c>
      <c r="DD635" s="27" t="s">
        <v>7</v>
      </c>
      <c r="HU635" s="27" t="s">
        <v>8</v>
      </c>
      <c r="HV635" s="27" t="s">
        <v>7</v>
      </c>
      <c r="HW635" s="27" t="s">
        <v>8</v>
      </c>
      <c r="HX635" s="27" t="s">
        <v>7</v>
      </c>
      <c r="HY635" s="27" t="s">
        <v>8</v>
      </c>
      <c r="HZ635" s="27" t="s">
        <v>7</v>
      </c>
      <c r="IA635" s="27" t="s">
        <v>8</v>
      </c>
      <c r="IB635" s="27" t="s">
        <v>7</v>
      </c>
      <c r="JK635" s="27" t="s">
        <v>8</v>
      </c>
      <c r="JL635" s="27" t="s">
        <v>7</v>
      </c>
      <c r="KG635" s="27" t="s">
        <v>8</v>
      </c>
      <c r="KH635" s="27" t="s">
        <v>7</v>
      </c>
      <c r="KI635" s="27" t="s">
        <v>8</v>
      </c>
      <c r="KJ635" s="27" t="s">
        <v>7</v>
      </c>
      <c r="KK635" s="27" t="s">
        <v>8</v>
      </c>
      <c r="KP635" s="27" t="s">
        <v>7</v>
      </c>
      <c r="KQ635" s="27" t="s">
        <v>8</v>
      </c>
    </row>
    <row r="636" spans="1:307" x14ac:dyDescent="0.25">
      <c r="A636" s="7">
        <v>0.37895843976950117</v>
      </c>
      <c r="B636"/>
      <c r="C636"/>
      <c r="D636"/>
      <c r="E636"/>
      <c r="J636" s="27" t="s">
        <v>7</v>
      </c>
      <c r="AC636" s="27" t="s">
        <v>8</v>
      </c>
      <c r="AK636" s="27" t="s">
        <v>8</v>
      </c>
      <c r="AL636" s="27" t="s">
        <v>7</v>
      </c>
      <c r="AM636" s="27" t="s">
        <v>8</v>
      </c>
      <c r="CG636" s="27" t="s">
        <v>8</v>
      </c>
      <c r="CH636" s="27" t="s">
        <v>7</v>
      </c>
      <c r="CI636" s="27" t="s">
        <v>8</v>
      </c>
      <c r="CL636" s="27" t="s">
        <v>7</v>
      </c>
      <c r="CM636" s="27" t="s">
        <v>8</v>
      </c>
      <c r="CZ636" s="27" t="s">
        <v>7</v>
      </c>
      <c r="DD636" s="27" t="s">
        <v>7</v>
      </c>
      <c r="HU636" s="27" t="s">
        <v>8</v>
      </c>
      <c r="HV636" s="27" t="s">
        <v>7</v>
      </c>
      <c r="HW636" s="27" t="s">
        <v>8</v>
      </c>
      <c r="HX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JK636" s="27" t="s">
        <v>8</v>
      </c>
      <c r="JL636" s="27" t="s">
        <v>7</v>
      </c>
      <c r="KG636" s="27" t="s">
        <v>8</v>
      </c>
      <c r="KH636" s="27" t="s">
        <v>7</v>
      </c>
      <c r="KI636" s="27" t="s">
        <v>8</v>
      </c>
      <c r="KJ636" s="27" t="s">
        <v>7</v>
      </c>
      <c r="KK636" s="27" t="s">
        <v>8</v>
      </c>
      <c r="KP636" s="27" t="s">
        <v>7</v>
      </c>
    </row>
    <row r="637" spans="1:307" x14ac:dyDescent="0.25">
      <c r="A637" s="7">
        <v>0.37152788212696197</v>
      </c>
      <c r="B637"/>
      <c r="C637"/>
      <c r="D637"/>
      <c r="E637"/>
      <c r="J637" s="27" t="s">
        <v>7</v>
      </c>
      <c r="AC637" s="27" t="s">
        <v>8</v>
      </c>
      <c r="AD637" s="27" t="s">
        <v>7</v>
      </c>
      <c r="AK637" s="27" t="s">
        <v>8</v>
      </c>
      <c r="AL637" s="27" t="s">
        <v>7</v>
      </c>
      <c r="AM637" s="27" t="s">
        <v>8</v>
      </c>
      <c r="AN637" s="27" t="s">
        <v>7</v>
      </c>
      <c r="AO637" s="27" t="s">
        <v>8</v>
      </c>
      <c r="BO637" s="27" t="s">
        <v>8</v>
      </c>
      <c r="CG637" s="27" t="s">
        <v>8</v>
      </c>
      <c r="CH637" s="27" t="s">
        <v>7</v>
      </c>
      <c r="CI637" s="27" t="s">
        <v>8</v>
      </c>
      <c r="CL637" s="27" t="s">
        <v>7</v>
      </c>
      <c r="CM637" s="27" t="s">
        <v>8</v>
      </c>
      <c r="DD637" s="27" t="s">
        <v>7</v>
      </c>
      <c r="HU637" s="27" t="s">
        <v>8</v>
      </c>
      <c r="HV637" s="27" t="s">
        <v>7</v>
      </c>
      <c r="HW637" s="27" t="s">
        <v>8</v>
      </c>
      <c r="HX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JK637" s="27" t="s">
        <v>8</v>
      </c>
      <c r="JL637" s="27" t="s">
        <v>7</v>
      </c>
      <c r="KG637" s="27" t="s">
        <v>8</v>
      </c>
      <c r="KH637" s="27" t="s">
        <v>7</v>
      </c>
      <c r="KI637" s="27" t="s">
        <v>8</v>
      </c>
      <c r="KJ637" s="27" t="s">
        <v>7</v>
      </c>
      <c r="KK637" s="27" t="s">
        <v>8</v>
      </c>
    </row>
    <row r="638" spans="1:307" x14ac:dyDescent="0.25">
      <c r="A638" s="7">
        <v>0.36424302169310002</v>
      </c>
      <c r="B638"/>
      <c r="C638"/>
      <c r="D638"/>
      <c r="E638"/>
      <c r="J638" s="27" t="s">
        <v>7</v>
      </c>
      <c r="AC638" s="27" t="s">
        <v>8</v>
      </c>
      <c r="AD638" s="27" t="s">
        <v>7</v>
      </c>
      <c r="AI638" s="27" t="s">
        <v>8</v>
      </c>
      <c r="AK638" s="27" t="s">
        <v>8</v>
      </c>
      <c r="AL638" s="27" t="s">
        <v>7</v>
      </c>
      <c r="AM638" s="27" t="s">
        <v>8</v>
      </c>
      <c r="AN638" s="27" t="s">
        <v>7</v>
      </c>
      <c r="AO638" s="27" t="s">
        <v>8</v>
      </c>
      <c r="AP638" s="27" t="s">
        <v>7</v>
      </c>
      <c r="BO638" s="27" t="s">
        <v>8</v>
      </c>
      <c r="BP638" s="27" t="s">
        <v>7</v>
      </c>
      <c r="BQ638" s="27" t="s">
        <v>8</v>
      </c>
      <c r="CG638" s="27" t="s">
        <v>8</v>
      </c>
      <c r="CH638" s="27" t="s">
        <v>7</v>
      </c>
      <c r="CI638" s="27" t="s">
        <v>8</v>
      </c>
      <c r="CL638" s="27" t="s">
        <v>7</v>
      </c>
      <c r="DD638" s="27" t="s">
        <v>7</v>
      </c>
      <c r="FK638" s="27" t="s">
        <v>8</v>
      </c>
      <c r="HU638" s="27" t="s">
        <v>8</v>
      </c>
      <c r="HV638" s="27" t="s">
        <v>7</v>
      </c>
      <c r="HW638" s="27" t="s">
        <v>8</v>
      </c>
      <c r="HX638" s="27" t="s">
        <v>7</v>
      </c>
      <c r="HY638" s="27" t="s">
        <v>8</v>
      </c>
      <c r="HZ638" s="27" t="s">
        <v>7</v>
      </c>
      <c r="IB638" s="27" t="s">
        <v>7</v>
      </c>
      <c r="IC638" s="27" t="s">
        <v>8</v>
      </c>
      <c r="ID638" s="27" t="s">
        <v>7</v>
      </c>
      <c r="JK638" s="27" t="s">
        <v>8</v>
      </c>
      <c r="JL638" s="27" t="s">
        <v>7</v>
      </c>
      <c r="JM638" s="27" t="s">
        <v>8</v>
      </c>
      <c r="KG638" s="27" t="s">
        <v>8</v>
      </c>
      <c r="KH638" s="27" t="s">
        <v>7</v>
      </c>
      <c r="KI638" s="27" t="s">
        <v>8</v>
      </c>
      <c r="KJ638" s="27" t="s">
        <v>7</v>
      </c>
      <c r="KK638" s="27" t="s">
        <v>8</v>
      </c>
    </row>
    <row r="639" spans="1:307" x14ac:dyDescent="0.25">
      <c r="A639" s="7">
        <v>0.35710100165990194</v>
      </c>
      <c r="B639"/>
      <c r="C639"/>
      <c r="D639"/>
      <c r="E639"/>
      <c r="J639" s="27" t="s">
        <v>7</v>
      </c>
      <c r="AC639" s="27" t="s">
        <v>8</v>
      </c>
      <c r="AD639" s="27" t="s">
        <v>7</v>
      </c>
      <c r="AG639" s="27" t="s">
        <v>8</v>
      </c>
      <c r="AI639" s="27" t="s">
        <v>8</v>
      </c>
      <c r="AJ639" s="27" t="s">
        <v>7</v>
      </c>
      <c r="AK639" s="27" t="s">
        <v>8</v>
      </c>
      <c r="AL639" s="27" t="s">
        <v>7</v>
      </c>
      <c r="AN639" s="27" t="s">
        <v>7</v>
      </c>
      <c r="AO639" s="27" t="s">
        <v>8</v>
      </c>
      <c r="AP639" s="27" t="s">
        <v>7</v>
      </c>
      <c r="BO639" s="27" t="s">
        <v>8</v>
      </c>
      <c r="BP639" s="27" t="s">
        <v>7</v>
      </c>
      <c r="BQ639" s="27" t="s">
        <v>8</v>
      </c>
      <c r="BR639" s="27" t="s">
        <v>7</v>
      </c>
      <c r="BS639" s="27" t="s">
        <v>8</v>
      </c>
      <c r="CG639" s="27" t="s">
        <v>8</v>
      </c>
      <c r="CH639" s="27" t="s">
        <v>7</v>
      </c>
      <c r="DD639" s="27" t="s">
        <v>7</v>
      </c>
      <c r="DE639" s="27" t="s">
        <v>8</v>
      </c>
      <c r="FK639" s="27" t="s">
        <v>8</v>
      </c>
      <c r="FL639" s="27" t="s">
        <v>7</v>
      </c>
      <c r="HU639" s="27" t="s">
        <v>8</v>
      </c>
      <c r="HV639" s="27" t="s">
        <v>7</v>
      </c>
      <c r="HW639" s="27" t="s">
        <v>8</v>
      </c>
      <c r="HX639" s="27" t="s">
        <v>7</v>
      </c>
      <c r="IB639" s="27" t="s">
        <v>7</v>
      </c>
      <c r="IC639" s="27" t="s">
        <v>8</v>
      </c>
      <c r="ID639" s="27" t="s">
        <v>7</v>
      </c>
      <c r="JK639" s="27" t="s">
        <v>8</v>
      </c>
      <c r="JL639" s="27" t="s">
        <v>7</v>
      </c>
      <c r="JM639" s="27" t="s">
        <v>8</v>
      </c>
      <c r="JN639" s="27" t="s">
        <v>7</v>
      </c>
      <c r="JO639" s="27" t="s">
        <v>8</v>
      </c>
      <c r="KG639" s="27" t="s">
        <v>8</v>
      </c>
      <c r="KH639" s="27" t="s">
        <v>7</v>
      </c>
      <c r="KI639" s="27" t="s">
        <v>8</v>
      </c>
      <c r="KJ639" s="27" t="s">
        <v>7</v>
      </c>
      <c r="KK639" s="27" t="s">
        <v>8</v>
      </c>
    </row>
    <row r="640" spans="1:307" x14ac:dyDescent="0.25">
      <c r="A640" s="7">
        <v>0.35009902123519804</v>
      </c>
      <c r="B640"/>
      <c r="C640"/>
      <c r="D640"/>
      <c r="E640"/>
      <c r="J640" s="27" t="s">
        <v>7</v>
      </c>
      <c r="AC640" s="27" t="s">
        <v>8</v>
      </c>
      <c r="AD640" s="27" t="s">
        <v>7</v>
      </c>
      <c r="AG640" s="27" t="s">
        <v>8</v>
      </c>
      <c r="AH640" s="27" t="s">
        <v>7</v>
      </c>
      <c r="AI640" s="27" t="s">
        <v>8</v>
      </c>
      <c r="AJ640" s="27" t="s">
        <v>7</v>
      </c>
      <c r="AK640" s="27" t="s">
        <v>8</v>
      </c>
      <c r="AN640" s="27" t="s">
        <v>7</v>
      </c>
      <c r="AP640" s="27" t="s">
        <v>7</v>
      </c>
      <c r="BO640" s="27" t="s">
        <v>8</v>
      </c>
      <c r="BP640" s="27" t="s">
        <v>7</v>
      </c>
      <c r="BQ640" s="27" t="s">
        <v>8</v>
      </c>
      <c r="BR640" s="27" t="s">
        <v>7</v>
      </c>
      <c r="BS640" s="27" t="s">
        <v>8</v>
      </c>
      <c r="BT640" s="27" t="s">
        <v>7</v>
      </c>
      <c r="CG640" s="27" t="s">
        <v>8</v>
      </c>
      <c r="DD640" s="27" t="s">
        <v>7</v>
      </c>
      <c r="DE640" s="27" t="s">
        <v>8</v>
      </c>
      <c r="DF640" s="27" t="s">
        <v>7</v>
      </c>
      <c r="FK640" s="27" t="s">
        <v>8</v>
      </c>
      <c r="FL640" s="27" t="s">
        <v>7</v>
      </c>
      <c r="FO640" s="27" t="s">
        <v>8</v>
      </c>
      <c r="HU640" s="27" t="s">
        <v>8</v>
      </c>
      <c r="HV640" s="27" t="s">
        <v>7</v>
      </c>
      <c r="HW640" s="27" t="s">
        <v>8</v>
      </c>
      <c r="IB640" s="27" t="s">
        <v>7</v>
      </c>
      <c r="IC640" s="27" t="s">
        <v>8</v>
      </c>
      <c r="ID640" s="27" t="s">
        <v>7</v>
      </c>
      <c r="JK640" s="27" t="s">
        <v>8</v>
      </c>
      <c r="JL640" s="27" t="s">
        <v>7</v>
      </c>
      <c r="JM640" s="27" t="s">
        <v>8</v>
      </c>
      <c r="JN640" s="27" t="s">
        <v>7</v>
      </c>
      <c r="JO640" s="27" t="s">
        <v>8</v>
      </c>
      <c r="JP640" s="27" t="s">
        <v>7</v>
      </c>
      <c r="JQ640" s="27" t="s">
        <v>8</v>
      </c>
      <c r="KG640" s="27" t="s">
        <v>8</v>
      </c>
      <c r="KH640" s="27" t="s">
        <v>7</v>
      </c>
      <c r="KJ640" s="27" t="s">
        <v>7</v>
      </c>
      <c r="KK640" s="27" t="s">
        <v>8</v>
      </c>
    </row>
    <row r="641" spans="1:297" x14ac:dyDescent="0.25">
      <c r="A641" s="7">
        <v>0.34323433454431179</v>
      </c>
      <c r="B641"/>
      <c r="C641"/>
      <c r="D641"/>
      <c r="E641"/>
      <c r="J641" s="27" t="s">
        <v>7</v>
      </c>
      <c r="AA641" s="27" t="s">
        <v>8</v>
      </c>
      <c r="AC641" s="27" t="s">
        <v>8</v>
      </c>
      <c r="AD641" s="27" t="s">
        <v>7</v>
      </c>
      <c r="AG641" s="27" t="s">
        <v>8</v>
      </c>
      <c r="AH641" s="27" t="s">
        <v>7</v>
      </c>
      <c r="AI641" s="27" t="s">
        <v>8</v>
      </c>
      <c r="AJ641" s="27" t="s">
        <v>7</v>
      </c>
      <c r="AP641" s="27" t="s">
        <v>7</v>
      </c>
      <c r="BO641" s="27" t="s">
        <v>8</v>
      </c>
      <c r="BP641" s="27" t="s">
        <v>7</v>
      </c>
      <c r="BQ641" s="27" t="s">
        <v>8</v>
      </c>
      <c r="BR641" s="27" t="s">
        <v>7</v>
      </c>
      <c r="BS641" s="27" t="s">
        <v>8</v>
      </c>
      <c r="BT641" s="27" t="s">
        <v>7</v>
      </c>
      <c r="CG641" s="27" t="s">
        <v>8</v>
      </c>
      <c r="DD641" s="27" t="s">
        <v>7</v>
      </c>
      <c r="DE641" s="27" t="s">
        <v>8</v>
      </c>
      <c r="DF641" s="27" t="s">
        <v>7</v>
      </c>
      <c r="FK641" s="27" t="s">
        <v>8</v>
      </c>
      <c r="FL641" s="27" t="s">
        <v>7</v>
      </c>
      <c r="FM641" s="27" t="s">
        <v>8</v>
      </c>
      <c r="FO641" s="27" t="s">
        <v>8</v>
      </c>
      <c r="FP641" s="27" t="s">
        <v>7</v>
      </c>
      <c r="HU641" s="27" t="s">
        <v>8</v>
      </c>
      <c r="HV641" s="27" t="s">
        <v>7</v>
      </c>
      <c r="IB641" s="27" t="s">
        <v>7</v>
      </c>
      <c r="IC641" s="27" t="s">
        <v>8</v>
      </c>
      <c r="ID641" s="27" t="s">
        <v>7</v>
      </c>
      <c r="JK641" s="27" t="s">
        <v>8</v>
      </c>
      <c r="JL641" s="27" t="s">
        <v>7</v>
      </c>
      <c r="JM641" s="27" t="s">
        <v>8</v>
      </c>
      <c r="JN641" s="27" t="s">
        <v>7</v>
      </c>
      <c r="JO641" s="27" t="s">
        <v>8</v>
      </c>
      <c r="JP641" s="27" t="s">
        <v>7</v>
      </c>
      <c r="JQ641" s="27" t="s">
        <v>8</v>
      </c>
      <c r="JR641" s="27" t="s">
        <v>7</v>
      </c>
      <c r="JW641" s="27" t="s">
        <v>8</v>
      </c>
      <c r="KG641" s="27" t="s">
        <v>8</v>
      </c>
      <c r="KJ641" s="27" t="s">
        <v>7</v>
      </c>
      <c r="KK641" s="27" t="s">
        <v>8</v>
      </c>
    </row>
    <row r="642" spans="1:297" x14ac:dyDescent="0.25">
      <c r="A642" s="7">
        <v>0.33650424955324681</v>
      </c>
      <c r="B642"/>
      <c r="C642"/>
      <c r="D642"/>
      <c r="E642"/>
      <c r="J642" s="27" t="s">
        <v>7</v>
      </c>
      <c r="K642" s="27" t="s">
        <v>8</v>
      </c>
      <c r="AA642" s="27" t="s">
        <v>8</v>
      </c>
      <c r="AB642" s="27" t="s">
        <v>7</v>
      </c>
      <c r="AC642" s="27" t="s">
        <v>8</v>
      </c>
      <c r="AD642" s="27" t="s">
        <v>7</v>
      </c>
      <c r="AE642" s="27" t="s">
        <v>8</v>
      </c>
      <c r="AG642" s="27" t="s">
        <v>8</v>
      </c>
      <c r="AH642" s="27" t="s">
        <v>7</v>
      </c>
      <c r="AP642" s="27" t="s">
        <v>7</v>
      </c>
      <c r="BO642" s="27" t="s">
        <v>8</v>
      </c>
      <c r="BP642" s="27" t="s">
        <v>7</v>
      </c>
      <c r="BQ642" s="27" t="s">
        <v>8</v>
      </c>
      <c r="BR642" s="27" t="s">
        <v>7</v>
      </c>
      <c r="BT642" s="27" t="s">
        <v>7</v>
      </c>
      <c r="CG642" s="27" t="s">
        <v>8</v>
      </c>
      <c r="DD642" s="27" t="s">
        <v>7</v>
      </c>
      <c r="DE642" s="27" t="s">
        <v>8</v>
      </c>
      <c r="DF642" s="27" t="s">
        <v>7</v>
      </c>
      <c r="FK642" s="27" t="s">
        <v>8</v>
      </c>
      <c r="FL642" s="27" t="s">
        <v>7</v>
      </c>
      <c r="FM642" s="27" t="s">
        <v>8</v>
      </c>
      <c r="FN642" s="27" t="s">
        <v>7</v>
      </c>
      <c r="FO642" s="27" t="s">
        <v>8</v>
      </c>
      <c r="FP642" s="27" t="s">
        <v>7</v>
      </c>
      <c r="HU642" s="27" t="s">
        <v>8</v>
      </c>
      <c r="IB642" s="27" t="s">
        <v>7</v>
      </c>
      <c r="IC642" s="27" t="s">
        <v>8</v>
      </c>
      <c r="ID642" s="27" t="s">
        <v>7</v>
      </c>
      <c r="JK642" s="27" t="s">
        <v>8</v>
      </c>
      <c r="JL642" s="27" t="s">
        <v>7</v>
      </c>
      <c r="JM642" s="27" t="s">
        <v>8</v>
      </c>
      <c r="JN642" s="27" t="s">
        <v>7</v>
      </c>
      <c r="JO642" s="27" t="s">
        <v>8</v>
      </c>
      <c r="JP642" s="27" t="s">
        <v>7</v>
      </c>
      <c r="JQ642" s="27" t="s">
        <v>8</v>
      </c>
      <c r="JR642" s="27" t="s">
        <v>7</v>
      </c>
      <c r="JU642" s="27" t="s">
        <v>8</v>
      </c>
      <c r="JW642" s="27" t="s">
        <v>8</v>
      </c>
      <c r="JX642" s="27" t="s">
        <v>7</v>
      </c>
      <c r="KG642" s="27" t="s">
        <v>8</v>
      </c>
      <c r="KJ642" s="27" t="s">
        <v>7</v>
      </c>
      <c r="KK642" s="27" t="s">
        <v>8</v>
      </c>
    </row>
    <row r="643" spans="1:297" x14ac:dyDescent="0.25">
      <c r="A643" s="7">
        <v>0.3299061270129871</v>
      </c>
      <c r="B643"/>
      <c r="C643"/>
      <c r="D643"/>
      <c r="E643"/>
      <c r="J643" s="27" t="s">
        <v>7</v>
      </c>
      <c r="K643" s="27" t="s">
        <v>8</v>
      </c>
      <c r="L643" s="27" t="s">
        <v>7</v>
      </c>
      <c r="AA643" s="27" t="s">
        <v>8</v>
      </c>
      <c r="AB643" s="27" t="s">
        <v>7</v>
      </c>
      <c r="AC643" s="27" t="s">
        <v>8</v>
      </c>
      <c r="AD643" s="27" t="s">
        <v>7</v>
      </c>
      <c r="AE643" s="27" t="s">
        <v>8</v>
      </c>
      <c r="AF643" s="27" t="s">
        <v>7</v>
      </c>
      <c r="AG643" s="27" t="s">
        <v>8</v>
      </c>
      <c r="AP643" s="27" t="s">
        <v>7</v>
      </c>
      <c r="BO643" s="27" t="s">
        <v>8</v>
      </c>
      <c r="BP643" s="27" t="s">
        <v>7</v>
      </c>
      <c r="BQ643" s="27" t="s">
        <v>8</v>
      </c>
      <c r="BT643" s="27" t="s">
        <v>7</v>
      </c>
      <c r="CG643" s="27" t="s">
        <v>8</v>
      </c>
      <c r="DD643" s="27" t="s">
        <v>7</v>
      </c>
      <c r="DF643" s="27" t="s">
        <v>7</v>
      </c>
      <c r="DG643" s="27" t="s">
        <v>8</v>
      </c>
      <c r="FK643" s="27" t="s">
        <v>8</v>
      </c>
      <c r="FL643" s="27" t="s">
        <v>7</v>
      </c>
      <c r="FM643" s="27" t="s">
        <v>8</v>
      </c>
      <c r="FN643" s="27" t="s">
        <v>7</v>
      </c>
      <c r="FO643" s="27" t="s">
        <v>8</v>
      </c>
      <c r="FP643" s="27" t="s">
        <v>7</v>
      </c>
      <c r="HU643" s="27" t="s">
        <v>8</v>
      </c>
      <c r="IB643" s="27" t="s">
        <v>7</v>
      </c>
      <c r="IC643" s="27" t="s">
        <v>8</v>
      </c>
      <c r="ID643" s="27" t="s">
        <v>7</v>
      </c>
      <c r="JK643" s="27" t="s">
        <v>8</v>
      </c>
      <c r="JL643" s="27" t="s">
        <v>7</v>
      </c>
      <c r="JM643" s="27" t="s">
        <v>8</v>
      </c>
      <c r="JN643" s="27" t="s">
        <v>7</v>
      </c>
      <c r="JO643" s="27" t="s">
        <v>8</v>
      </c>
      <c r="JP643" s="27" t="s">
        <v>7</v>
      </c>
      <c r="JQ643" s="27" t="s">
        <v>8</v>
      </c>
      <c r="JR643" s="27" t="s">
        <v>7</v>
      </c>
      <c r="JU643" s="27" t="s">
        <v>8</v>
      </c>
      <c r="JV643" s="27" t="s">
        <v>7</v>
      </c>
      <c r="JW643" s="27" t="s">
        <v>8</v>
      </c>
      <c r="JX643" s="27" t="s">
        <v>7</v>
      </c>
      <c r="KG643" s="27" t="s">
        <v>8</v>
      </c>
      <c r="KJ643" s="27" t="s">
        <v>7</v>
      </c>
    </row>
    <row r="644" spans="1:297" x14ac:dyDescent="0.25">
      <c r="A644" s="7">
        <v>0.32343737942449713</v>
      </c>
      <c r="B644"/>
      <c r="C644"/>
      <c r="D644"/>
      <c r="E644"/>
      <c r="J644" s="27" t="s">
        <v>7</v>
      </c>
      <c r="K644" s="27" t="s">
        <v>8</v>
      </c>
      <c r="L644" s="27" t="s">
        <v>7</v>
      </c>
      <c r="AA644" s="27" t="s">
        <v>8</v>
      </c>
      <c r="AB644" s="27" t="s">
        <v>7</v>
      </c>
      <c r="AC644" s="27" t="s">
        <v>8</v>
      </c>
      <c r="AD644" s="27" t="s">
        <v>7</v>
      </c>
      <c r="AE644" s="27" t="s">
        <v>8</v>
      </c>
      <c r="AF644" s="27" t="s">
        <v>7</v>
      </c>
      <c r="AG644" s="27" t="s">
        <v>8</v>
      </c>
      <c r="AP644" s="27" t="s">
        <v>7</v>
      </c>
      <c r="BC644" s="27" t="s">
        <v>8</v>
      </c>
      <c r="BO644" s="27" t="s">
        <v>8</v>
      </c>
      <c r="BP644" s="27" t="s">
        <v>7</v>
      </c>
      <c r="BT644" s="27" t="s">
        <v>7</v>
      </c>
      <c r="BW644" s="27" t="s">
        <v>8</v>
      </c>
      <c r="CG644" s="27" t="s">
        <v>8</v>
      </c>
      <c r="DF644" s="27" t="s">
        <v>7</v>
      </c>
      <c r="DG644" s="27" t="s">
        <v>8</v>
      </c>
      <c r="DH644" s="27" t="s">
        <v>7</v>
      </c>
      <c r="FK644" s="27" t="s">
        <v>8</v>
      </c>
      <c r="FL644" s="27" t="s">
        <v>7</v>
      </c>
      <c r="FM644" s="27" t="s">
        <v>8</v>
      </c>
      <c r="FN644" s="27" t="s">
        <v>7</v>
      </c>
      <c r="FO644" s="27" t="s">
        <v>8</v>
      </c>
      <c r="FP644" s="27" t="s">
        <v>7</v>
      </c>
      <c r="HU644" s="27" t="s">
        <v>8</v>
      </c>
      <c r="IB644" s="27" t="s">
        <v>7</v>
      </c>
      <c r="ID644" s="27" t="s">
        <v>7</v>
      </c>
      <c r="JK644" s="27" t="s">
        <v>8</v>
      </c>
      <c r="JL644" s="27" t="s">
        <v>7</v>
      </c>
      <c r="JM644" s="27" t="s">
        <v>8</v>
      </c>
      <c r="JN644" s="27" t="s">
        <v>7</v>
      </c>
      <c r="JO644" s="27" t="s">
        <v>8</v>
      </c>
      <c r="JP644" s="27" t="s">
        <v>7</v>
      </c>
      <c r="JQ644" s="27" t="s">
        <v>8</v>
      </c>
      <c r="JR644" s="27" t="s">
        <v>7</v>
      </c>
      <c r="JU644" s="27" t="s">
        <v>8</v>
      </c>
      <c r="JV644" s="27" t="s">
        <v>7</v>
      </c>
      <c r="JW644" s="27" t="s">
        <v>8</v>
      </c>
      <c r="JX644" s="27" t="s">
        <v>7</v>
      </c>
      <c r="KG644" s="27" t="s">
        <v>8</v>
      </c>
    </row>
    <row r="645" spans="1:297" x14ac:dyDescent="0.25">
      <c r="A645" s="7">
        <v>0.31709547002401678</v>
      </c>
      <c r="B645"/>
      <c r="C645"/>
      <c r="D645"/>
      <c r="E645"/>
      <c r="J645" s="27" t="s">
        <v>7</v>
      </c>
      <c r="K645" s="27" t="s">
        <v>8</v>
      </c>
      <c r="L645" s="27" t="s">
        <v>7</v>
      </c>
      <c r="AA645" s="27" t="s">
        <v>8</v>
      </c>
      <c r="AB645" s="27" t="s">
        <v>7</v>
      </c>
      <c r="AC645" s="27" t="s">
        <v>8</v>
      </c>
      <c r="AD645" s="27" t="s">
        <v>7</v>
      </c>
      <c r="AE645" s="27" t="s">
        <v>8</v>
      </c>
      <c r="AF645" s="27" t="s">
        <v>7</v>
      </c>
      <c r="AG645" s="27" t="s">
        <v>8</v>
      </c>
      <c r="AP645" s="27" t="s">
        <v>7</v>
      </c>
      <c r="AS645" s="27" t="s">
        <v>8</v>
      </c>
      <c r="AW645" s="27" t="s">
        <v>8</v>
      </c>
      <c r="BA645" s="27" t="s">
        <v>8</v>
      </c>
      <c r="BC645" s="27" t="s">
        <v>8</v>
      </c>
      <c r="BD645" s="27" t="s">
        <v>7</v>
      </c>
      <c r="BM645" s="27" t="s">
        <v>8</v>
      </c>
      <c r="BO645" s="27" t="s">
        <v>8</v>
      </c>
      <c r="BT645" s="27" t="s">
        <v>7</v>
      </c>
      <c r="BW645" s="27" t="s">
        <v>8</v>
      </c>
      <c r="BX645" s="27" t="s">
        <v>7</v>
      </c>
      <c r="CE645" s="27" t="s">
        <v>8</v>
      </c>
      <c r="CG645" s="27" t="s">
        <v>8</v>
      </c>
      <c r="DF645" s="27" t="s">
        <v>7</v>
      </c>
      <c r="DG645" s="27" t="s">
        <v>8</v>
      </c>
      <c r="DH645" s="27" t="s">
        <v>7</v>
      </c>
      <c r="FK645" s="27" t="s">
        <v>8</v>
      </c>
      <c r="FL645" s="27" t="s">
        <v>7</v>
      </c>
      <c r="FN645" s="27" t="s">
        <v>7</v>
      </c>
      <c r="FO645" s="27" t="s">
        <v>8</v>
      </c>
      <c r="FP645" s="27" t="s">
        <v>7</v>
      </c>
      <c r="HS645" s="27" t="s">
        <v>8</v>
      </c>
      <c r="HU645" s="27" t="s">
        <v>8</v>
      </c>
      <c r="ID645" s="27" t="s">
        <v>7</v>
      </c>
      <c r="JK645" s="27" t="s">
        <v>8</v>
      </c>
      <c r="JL645" s="27" t="s">
        <v>7</v>
      </c>
      <c r="JM645" s="27" t="s">
        <v>8</v>
      </c>
      <c r="JN645" s="27" t="s">
        <v>7</v>
      </c>
      <c r="JP645" s="27" t="s">
        <v>7</v>
      </c>
      <c r="JR645" s="27" t="s">
        <v>7</v>
      </c>
      <c r="JU645" s="27" t="s">
        <v>8</v>
      </c>
      <c r="JV645" s="27" t="s">
        <v>7</v>
      </c>
      <c r="JX645" s="27" t="s">
        <v>7</v>
      </c>
      <c r="KA645" s="27" t="s">
        <v>8</v>
      </c>
      <c r="KG645" s="27" t="s">
        <v>8</v>
      </c>
    </row>
    <row r="646" spans="1:297" x14ac:dyDescent="0.25">
      <c r="A646" s="7">
        <v>0.31087791178825175</v>
      </c>
      <c r="B646"/>
      <c r="C646"/>
      <c r="D646"/>
      <c r="E646"/>
      <c r="J646" s="27" t="s">
        <v>7</v>
      </c>
      <c r="K646" s="27" t="s">
        <v>8</v>
      </c>
      <c r="L646" s="27" t="s">
        <v>7</v>
      </c>
      <c r="O646" s="27" t="s">
        <v>8</v>
      </c>
      <c r="AA646" s="27" t="s">
        <v>8</v>
      </c>
      <c r="AB646" s="27" t="s">
        <v>7</v>
      </c>
      <c r="AD646" s="27" t="s">
        <v>7</v>
      </c>
      <c r="AE646" s="27" t="s">
        <v>8</v>
      </c>
      <c r="AF646" s="27" t="s">
        <v>7</v>
      </c>
      <c r="AP646" s="27" t="s">
        <v>7</v>
      </c>
      <c r="AQ646" s="27" t="s">
        <v>8</v>
      </c>
      <c r="AS646" s="27" t="s">
        <v>8</v>
      </c>
      <c r="AT646" s="27" t="s">
        <v>7</v>
      </c>
      <c r="AW646" s="27" t="s">
        <v>8</v>
      </c>
      <c r="AX646" s="27" t="s">
        <v>7</v>
      </c>
      <c r="BA646" s="27" t="s">
        <v>8</v>
      </c>
      <c r="BB646" s="27" t="s">
        <v>7</v>
      </c>
      <c r="BC646" s="27" t="s">
        <v>8</v>
      </c>
      <c r="BD646" s="27" t="s">
        <v>7</v>
      </c>
      <c r="BK646" s="27" t="s">
        <v>8</v>
      </c>
      <c r="BM646" s="27" t="s">
        <v>8</v>
      </c>
      <c r="BN646" s="27" t="s">
        <v>7</v>
      </c>
      <c r="BO646" s="27" t="s">
        <v>8</v>
      </c>
      <c r="BT646" s="27" t="s">
        <v>7</v>
      </c>
      <c r="BU646" s="27" t="s">
        <v>8</v>
      </c>
      <c r="BW646" s="27" t="s">
        <v>8</v>
      </c>
      <c r="BX646" s="27" t="s">
        <v>7</v>
      </c>
      <c r="CE646" s="27" t="s">
        <v>8</v>
      </c>
      <c r="CF646" s="27" t="s">
        <v>7</v>
      </c>
      <c r="CG646" s="27" t="s">
        <v>8</v>
      </c>
      <c r="DF646" s="27" t="s">
        <v>7</v>
      </c>
      <c r="DG646" s="27" t="s">
        <v>8</v>
      </c>
      <c r="DH646" s="27" t="s">
        <v>7</v>
      </c>
      <c r="DI646" s="27" t="s">
        <v>8</v>
      </c>
      <c r="DW646" s="27" t="s">
        <v>8</v>
      </c>
      <c r="DY646" s="27" t="s">
        <v>8</v>
      </c>
      <c r="FI646" s="27" t="s">
        <v>8</v>
      </c>
      <c r="FK646" s="27" t="s">
        <v>8</v>
      </c>
      <c r="FN646" s="27" t="s">
        <v>7</v>
      </c>
      <c r="FO646" s="27" t="s">
        <v>8</v>
      </c>
      <c r="FP646" s="27" t="s">
        <v>7</v>
      </c>
      <c r="HS646" s="27" t="s">
        <v>8</v>
      </c>
      <c r="HT646" s="27" t="s">
        <v>7</v>
      </c>
      <c r="HU646" s="27" t="s">
        <v>8</v>
      </c>
      <c r="ID646" s="27" t="s">
        <v>7</v>
      </c>
      <c r="JK646" s="27" t="s">
        <v>8</v>
      </c>
      <c r="JL646" s="27" t="s">
        <v>7</v>
      </c>
      <c r="JM646" s="27" t="s">
        <v>8</v>
      </c>
      <c r="JR646" s="27" t="s">
        <v>7</v>
      </c>
      <c r="JU646" s="27" t="s">
        <v>8</v>
      </c>
      <c r="JX646" s="27" t="s">
        <v>7</v>
      </c>
      <c r="KA646" s="27" t="s">
        <v>8</v>
      </c>
      <c r="KB646" s="27" t="s">
        <v>7</v>
      </c>
      <c r="KG646" s="27" t="s">
        <v>8</v>
      </c>
    </row>
    <row r="647" spans="1:297" x14ac:dyDescent="0.25">
      <c r="A647" s="7">
        <v>0.30478226645907036</v>
      </c>
      <c r="B647"/>
      <c r="C647"/>
      <c r="D647"/>
      <c r="E647"/>
      <c r="J647" s="27" t="s">
        <v>7</v>
      </c>
      <c r="K647" s="27" t="s">
        <v>8</v>
      </c>
      <c r="L647" s="27" t="s">
        <v>7</v>
      </c>
      <c r="O647" s="27" t="s">
        <v>8</v>
      </c>
      <c r="P647" s="27" t="s">
        <v>7</v>
      </c>
      <c r="Q647" s="27" t="s">
        <v>8</v>
      </c>
      <c r="AA647" s="27" t="s">
        <v>8</v>
      </c>
      <c r="AD647" s="27" t="s">
        <v>7</v>
      </c>
      <c r="AP647" s="27" t="s">
        <v>7</v>
      </c>
      <c r="AQ647" s="27" t="s">
        <v>8</v>
      </c>
      <c r="AR647" s="27" t="s">
        <v>7</v>
      </c>
      <c r="AS647" s="27" t="s">
        <v>8</v>
      </c>
      <c r="AT647" s="27" t="s">
        <v>7</v>
      </c>
      <c r="AW647" s="27" t="s">
        <v>8</v>
      </c>
      <c r="AX647" s="27" t="s">
        <v>7</v>
      </c>
      <c r="BA647" s="27" t="s">
        <v>8</v>
      </c>
      <c r="BB647" s="27" t="s">
        <v>7</v>
      </c>
      <c r="BC647" s="27" t="s">
        <v>8</v>
      </c>
      <c r="BD647" s="27" t="s">
        <v>7</v>
      </c>
      <c r="BK647" s="27" t="s">
        <v>8</v>
      </c>
      <c r="BL647" s="27" t="s">
        <v>7</v>
      </c>
      <c r="BM647" s="27" t="s">
        <v>8</v>
      </c>
      <c r="BN647" s="27" t="s">
        <v>7</v>
      </c>
      <c r="BO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BX647" s="27" t="s">
        <v>7</v>
      </c>
      <c r="BY647" s="27" t="s">
        <v>8</v>
      </c>
      <c r="CE647" s="27" t="s">
        <v>8</v>
      </c>
      <c r="CF647" s="27" t="s">
        <v>7</v>
      </c>
      <c r="CG647" s="27" t="s">
        <v>8</v>
      </c>
      <c r="DF647" s="27" t="s">
        <v>7</v>
      </c>
      <c r="DG647" s="27" t="s">
        <v>8</v>
      </c>
      <c r="DH647" s="27" t="s">
        <v>7</v>
      </c>
      <c r="DI647" s="27" t="s">
        <v>8</v>
      </c>
      <c r="DJ647" s="27" t="s">
        <v>7</v>
      </c>
      <c r="DW647" s="27" t="s">
        <v>8</v>
      </c>
      <c r="DX647" s="27" t="s">
        <v>7</v>
      </c>
      <c r="DY647" s="27" t="s">
        <v>8</v>
      </c>
      <c r="DZ647" s="27" t="s">
        <v>7</v>
      </c>
      <c r="FI647" s="27" t="s">
        <v>8</v>
      </c>
      <c r="FJ647" s="27" t="s">
        <v>7</v>
      </c>
      <c r="FK647" s="27" t="s">
        <v>8</v>
      </c>
      <c r="FN647" s="27" t="s">
        <v>7</v>
      </c>
      <c r="FP647" s="27" t="s">
        <v>7</v>
      </c>
      <c r="HS647" s="27" t="s">
        <v>8</v>
      </c>
      <c r="HT647" s="27" t="s">
        <v>7</v>
      </c>
      <c r="HU647" s="27" t="s">
        <v>8</v>
      </c>
      <c r="ID647" s="27" t="s">
        <v>7</v>
      </c>
      <c r="JK647" s="27" t="s">
        <v>8</v>
      </c>
      <c r="JL647" s="27" t="s">
        <v>7</v>
      </c>
      <c r="JM647" s="27" t="s">
        <v>8</v>
      </c>
      <c r="JR647" s="27" t="s">
        <v>7</v>
      </c>
      <c r="JS647" s="27" t="s">
        <v>8</v>
      </c>
      <c r="JU647" s="27" t="s">
        <v>8</v>
      </c>
      <c r="JX647" s="27" t="s">
        <v>7</v>
      </c>
      <c r="JY647" s="27" t="s">
        <v>8</v>
      </c>
      <c r="KA647" s="27" t="s">
        <v>8</v>
      </c>
      <c r="KB647" s="27" t="s">
        <v>7</v>
      </c>
      <c r="KC647" s="27" t="s">
        <v>8</v>
      </c>
      <c r="KG647" s="27" t="s">
        <v>8</v>
      </c>
    </row>
    <row r="648" spans="1:297" x14ac:dyDescent="0.25">
      <c r="A648" s="7">
        <v>0.29880614358732388</v>
      </c>
      <c r="B648"/>
      <c r="C648"/>
      <c r="D648"/>
      <c r="E648"/>
      <c r="J648" s="27" t="s">
        <v>7</v>
      </c>
      <c r="K648" s="27" t="s">
        <v>8</v>
      </c>
      <c r="L648" s="27" t="s">
        <v>7</v>
      </c>
      <c r="M648" s="27" t="s">
        <v>8</v>
      </c>
      <c r="O648" s="27" t="s">
        <v>8</v>
      </c>
      <c r="P648" s="27" t="s">
        <v>7</v>
      </c>
      <c r="Q648" s="27" t="s">
        <v>8</v>
      </c>
      <c r="R648" s="27" t="s">
        <v>7</v>
      </c>
      <c r="AA648" s="27" t="s">
        <v>8</v>
      </c>
      <c r="AP648" s="27" t="s">
        <v>7</v>
      </c>
      <c r="AQ648" s="27" t="s">
        <v>8</v>
      </c>
      <c r="AR648" s="27" t="s">
        <v>7</v>
      </c>
      <c r="AS648" s="27" t="s">
        <v>8</v>
      </c>
      <c r="AT648" s="27" t="s">
        <v>7</v>
      </c>
      <c r="AW648" s="27" t="s">
        <v>8</v>
      </c>
      <c r="AX648" s="27" t="s">
        <v>7</v>
      </c>
      <c r="BA648" s="27" t="s">
        <v>8</v>
      </c>
      <c r="BB648" s="27" t="s">
        <v>7</v>
      </c>
      <c r="BD648" s="27" t="s">
        <v>7</v>
      </c>
      <c r="BE648" s="27" t="s">
        <v>8</v>
      </c>
      <c r="BK648" s="27" t="s">
        <v>8</v>
      </c>
      <c r="BL648" s="27" t="s">
        <v>7</v>
      </c>
      <c r="BM648" s="27" t="s">
        <v>8</v>
      </c>
      <c r="BN648" s="27" t="s">
        <v>7</v>
      </c>
      <c r="BO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  <c r="BX648" s="27" t="s">
        <v>7</v>
      </c>
      <c r="BY648" s="27" t="s">
        <v>8</v>
      </c>
      <c r="BZ648" s="27" t="s">
        <v>7</v>
      </c>
      <c r="CE648" s="27" t="s">
        <v>8</v>
      </c>
      <c r="CF648" s="27" t="s">
        <v>7</v>
      </c>
      <c r="CG648" s="27" t="s">
        <v>8</v>
      </c>
      <c r="DF648" s="27" t="s">
        <v>7</v>
      </c>
      <c r="DG648" s="27" t="s">
        <v>8</v>
      </c>
      <c r="DH648" s="27" t="s">
        <v>7</v>
      </c>
      <c r="DI648" s="27" t="s">
        <v>8</v>
      </c>
      <c r="DJ648" s="27" t="s">
        <v>7</v>
      </c>
      <c r="DW648" s="27" t="s">
        <v>8</v>
      </c>
      <c r="DX648" s="27" t="s">
        <v>7</v>
      </c>
      <c r="DY648" s="27" t="s">
        <v>8</v>
      </c>
      <c r="DZ648" s="27" t="s">
        <v>7</v>
      </c>
      <c r="EM648" s="27" t="s">
        <v>8</v>
      </c>
      <c r="FI648" s="27" t="s">
        <v>8</v>
      </c>
      <c r="FJ648" s="27" t="s">
        <v>7</v>
      </c>
      <c r="FK648" s="27" t="s">
        <v>8</v>
      </c>
      <c r="FP648" s="27" t="s">
        <v>7</v>
      </c>
      <c r="HS648" s="27" t="s">
        <v>8</v>
      </c>
      <c r="HT648" s="27" t="s">
        <v>7</v>
      </c>
      <c r="HU648" s="27" t="s">
        <v>8</v>
      </c>
      <c r="ID648" s="27" t="s">
        <v>7</v>
      </c>
      <c r="II648" s="27" t="s">
        <v>8</v>
      </c>
      <c r="IK648" s="27" t="s">
        <v>8</v>
      </c>
      <c r="IU648" s="27" t="s">
        <v>8</v>
      </c>
      <c r="JK648" s="27" t="s">
        <v>8</v>
      </c>
      <c r="JL648" s="27" t="s">
        <v>7</v>
      </c>
      <c r="JM648" s="27" t="s">
        <v>8</v>
      </c>
      <c r="JR648" s="27" t="s">
        <v>7</v>
      </c>
      <c r="JS648" s="27" t="s">
        <v>8</v>
      </c>
      <c r="JT648" s="27" t="s">
        <v>7</v>
      </c>
      <c r="JU648" s="27" t="s">
        <v>8</v>
      </c>
      <c r="JX648" s="27" t="s">
        <v>7</v>
      </c>
      <c r="JY648" s="27" t="s">
        <v>8</v>
      </c>
      <c r="JZ648" s="27" t="s">
        <v>7</v>
      </c>
      <c r="KA648" s="27" t="s">
        <v>8</v>
      </c>
      <c r="KB648" s="27" t="s">
        <v>7</v>
      </c>
      <c r="KC648" s="27" t="s">
        <v>8</v>
      </c>
      <c r="KD648" s="27" t="s">
        <v>7</v>
      </c>
      <c r="KE648" s="27" t="s">
        <v>8</v>
      </c>
      <c r="KG648" s="27" t="s">
        <v>8</v>
      </c>
    </row>
    <row r="649" spans="1:297" x14ac:dyDescent="0.25">
      <c r="A649" s="7">
        <v>0.2929471995954156</v>
      </c>
      <c r="B649"/>
      <c r="C649"/>
      <c r="D649"/>
      <c r="E649"/>
      <c r="J649" s="27" t="s">
        <v>7</v>
      </c>
      <c r="K649" s="27" t="s">
        <v>8</v>
      </c>
      <c r="L649" s="27" t="s">
        <v>7</v>
      </c>
      <c r="M649" s="27" t="s">
        <v>8</v>
      </c>
      <c r="N649" s="27" t="s">
        <v>7</v>
      </c>
      <c r="O649" s="27" t="s">
        <v>8</v>
      </c>
      <c r="P649" s="27" t="s">
        <v>7</v>
      </c>
      <c r="Q649" s="27" t="s">
        <v>8</v>
      </c>
      <c r="R649" s="27" t="s">
        <v>7</v>
      </c>
      <c r="AA649" s="27" t="s">
        <v>8</v>
      </c>
      <c r="AP649" s="27" t="s">
        <v>7</v>
      </c>
      <c r="AR649" s="27" t="s">
        <v>7</v>
      </c>
      <c r="AS649" s="27" t="s">
        <v>8</v>
      </c>
      <c r="AT649" s="27" t="s">
        <v>7</v>
      </c>
      <c r="AW649" s="27" t="s">
        <v>8</v>
      </c>
      <c r="AX649" s="27" t="s">
        <v>7</v>
      </c>
      <c r="BA649" s="27" t="s">
        <v>8</v>
      </c>
      <c r="BD649" s="27" t="s">
        <v>7</v>
      </c>
      <c r="BE649" s="27" t="s">
        <v>8</v>
      </c>
      <c r="BF649" s="27" t="s">
        <v>7</v>
      </c>
      <c r="BK649" s="27" t="s">
        <v>8</v>
      </c>
      <c r="BL649" s="27" t="s">
        <v>7</v>
      </c>
      <c r="BM649" s="27" t="s">
        <v>8</v>
      </c>
      <c r="BN649" s="27" t="s">
        <v>7</v>
      </c>
      <c r="BO649" s="27" t="s">
        <v>8</v>
      </c>
      <c r="BT649" s="27" t="s">
        <v>7</v>
      </c>
      <c r="BV649" s="27" t="s">
        <v>7</v>
      </c>
      <c r="BW649" s="27" t="s">
        <v>8</v>
      </c>
      <c r="BX649" s="27" t="s">
        <v>7</v>
      </c>
      <c r="BY649" s="27" t="s">
        <v>8</v>
      </c>
      <c r="BZ649" s="27" t="s">
        <v>7</v>
      </c>
      <c r="CA649" s="27" t="s">
        <v>8</v>
      </c>
      <c r="CE649" s="27" t="s">
        <v>8</v>
      </c>
      <c r="CF649" s="27" t="s">
        <v>7</v>
      </c>
      <c r="DF649" s="27" t="s">
        <v>7</v>
      </c>
      <c r="DG649" s="27" t="s">
        <v>8</v>
      </c>
      <c r="DH649" s="27" t="s">
        <v>7</v>
      </c>
      <c r="DI649" s="27" t="s">
        <v>8</v>
      </c>
      <c r="DJ649" s="27" t="s">
        <v>7</v>
      </c>
      <c r="DK649" s="27" t="s">
        <v>8</v>
      </c>
      <c r="DW649" s="27" t="s">
        <v>8</v>
      </c>
      <c r="DX649" s="27" t="s">
        <v>7</v>
      </c>
      <c r="DY649" s="27" t="s">
        <v>8</v>
      </c>
      <c r="DZ649" s="27" t="s">
        <v>7</v>
      </c>
      <c r="EA649" s="27" t="s">
        <v>8</v>
      </c>
      <c r="EM649" s="27" t="s">
        <v>8</v>
      </c>
      <c r="EN649" s="27" t="s">
        <v>7</v>
      </c>
      <c r="FI649" s="27" t="s">
        <v>8</v>
      </c>
      <c r="FJ649" s="27" t="s">
        <v>7</v>
      </c>
      <c r="FK649" s="27" t="s">
        <v>8</v>
      </c>
      <c r="FP649" s="27" t="s">
        <v>7</v>
      </c>
      <c r="FQ649" s="27" t="s">
        <v>8</v>
      </c>
      <c r="HS649" s="27" t="s">
        <v>8</v>
      </c>
      <c r="HT649" s="27" t="s">
        <v>7</v>
      </c>
      <c r="HU649" s="27" t="s">
        <v>8</v>
      </c>
      <c r="ID649" s="27" t="s">
        <v>7</v>
      </c>
      <c r="IE649" s="27" t="s">
        <v>8</v>
      </c>
      <c r="IG649" s="27" t="s">
        <v>8</v>
      </c>
      <c r="II649" s="27" t="s">
        <v>8</v>
      </c>
      <c r="IJ649" s="27" t="s">
        <v>7</v>
      </c>
      <c r="IK649" s="27" t="s">
        <v>8</v>
      </c>
      <c r="IL649" s="27" t="s">
        <v>7</v>
      </c>
      <c r="IM649" s="27" t="s">
        <v>8</v>
      </c>
      <c r="IU649" s="27" t="s">
        <v>8</v>
      </c>
      <c r="IV649" s="27" t="s">
        <v>7</v>
      </c>
      <c r="IW649" s="27" t="s">
        <v>8</v>
      </c>
      <c r="JA649" s="27" t="s">
        <v>8</v>
      </c>
      <c r="JK649" s="27" t="s">
        <v>8</v>
      </c>
      <c r="JL649" s="27" t="s">
        <v>7</v>
      </c>
      <c r="JM649" s="27" t="s">
        <v>8</v>
      </c>
      <c r="JR649" s="27" t="s">
        <v>7</v>
      </c>
      <c r="JS649" s="27" t="s">
        <v>8</v>
      </c>
      <c r="JT649" s="27" t="s">
        <v>7</v>
      </c>
      <c r="JU649" s="27" t="s">
        <v>8</v>
      </c>
      <c r="JX649" s="27" t="s">
        <v>7</v>
      </c>
      <c r="JY649" s="27" t="s">
        <v>8</v>
      </c>
      <c r="JZ649" s="27" t="s">
        <v>7</v>
      </c>
      <c r="KA649" s="27" t="s">
        <v>8</v>
      </c>
      <c r="KB649" s="27" t="s">
        <v>7</v>
      </c>
      <c r="KC649" s="27" t="s">
        <v>8</v>
      </c>
      <c r="KD649" s="27" t="s">
        <v>7</v>
      </c>
      <c r="KE649" s="27" t="s">
        <v>8</v>
      </c>
      <c r="KF649" s="27" t="s">
        <v>7</v>
      </c>
      <c r="KG649" s="27" t="s">
        <v>8</v>
      </c>
    </row>
    <row r="650" spans="1:297" x14ac:dyDescent="0.25">
      <c r="A650" s="7">
        <v>0.28720313685825055</v>
      </c>
      <c r="B650"/>
      <c r="C650"/>
      <c r="D650"/>
      <c r="E650"/>
      <c r="J650" s="27" t="s">
        <v>7</v>
      </c>
      <c r="L650" s="27" t="s">
        <v>7</v>
      </c>
      <c r="M650" s="27" t="s">
        <v>8</v>
      </c>
      <c r="N650" s="27" t="s">
        <v>7</v>
      </c>
      <c r="O650" s="27" t="s">
        <v>8</v>
      </c>
      <c r="P650" s="27" t="s">
        <v>7</v>
      </c>
      <c r="Q650" s="27" t="s">
        <v>8</v>
      </c>
      <c r="R650" s="27" t="s">
        <v>7</v>
      </c>
      <c r="AA650" s="27" t="s">
        <v>8</v>
      </c>
      <c r="AR650" s="27" t="s">
        <v>7</v>
      </c>
      <c r="AS650" s="27" t="s">
        <v>8</v>
      </c>
      <c r="AT650" s="27" t="s">
        <v>7</v>
      </c>
      <c r="AU650" s="27" t="s">
        <v>8</v>
      </c>
      <c r="AW650" s="27" t="s">
        <v>8</v>
      </c>
      <c r="AX650" s="27" t="s">
        <v>7</v>
      </c>
      <c r="AY650" s="27" t="s">
        <v>8</v>
      </c>
      <c r="BA650" s="27" t="s">
        <v>8</v>
      </c>
      <c r="BD650" s="27" t="s">
        <v>7</v>
      </c>
      <c r="BE650" s="27" t="s">
        <v>8</v>
      </c>
      <c r="BF650" s="27" t="s">
        <v>7</v>
      </c>
      <c r="BI650" s="27" t="s">
        <v>8</v>
      </c>
      <c r="BK650" s="27" t="s">
        <v>8</v>
      </c>
      <c r="BL650" s="27" t="s">
        <v>7</v>
      </c>
      <c r="BM650" s="27" t="s">
        <v>8</v>
      </c>
      <c r="BN650" s="27" t="s">
        <v>7</v>
      </c>
      <c r="BV650" s="27" t="s">
        <v>7</v>
      </c>
      <c r="BW650" s="27" t="s">
        <v>8</v>
      </c>
      <c r="BX650" s="27" t="s">
        <v>7</v>
      </c>
      <c r="BZ650" s="27" t="s">
        <v>7</v>
      </c>
      <c r="CA650" s="27" t="s">
        <v>8</v>
      </c>
      <c r="CB650" s="27" t="s">
        <v>7</v>
      </c>
      <c r="CC650" s="27" t="s">
        <v>8</v>
      </c>
      <c r="CE650" s="27" t="s">
        <v>8</v>
      </c>
      <c r="DF650" s="27" t="s">
        <v>7</v>
      </c>
      <c r="DG650" s="27" t="s">
        <v>8</v>
      </c>
      <c r="DH650" s="27" t="s">
        <v>7</v>
      </c>
      <c r="DJ650" s="27" t="s">
        <v>7</v>
      </c>
      <c r="DK650" s="27" t="s">
        <v>8</v>
      </c>
      <c r="DL650" s="27" t="s">
        <v>7</v>
      </c>
      <c r="DW650" s="27" t="s">
        <v>8</v>
      </c>
      <c r="DX650" s="27" t="s">
        <v>7</v>
      </c>
      <c r="DY650" s="27" t="s">
        <v>8</v>
      </c>
      <c r="DZ650" s="27" t="s">
        <v>7</v>
      </c>
      <c r="EA650" s="27" t="s">
        <v>8</v>
      </c>
      <c r="EB650" s="27" t="s">
        <v>7</v>
      </c>
      <c r="EM650" s="27" t="s">
        <v>8</v>
      </c>
      <c r="EN650" s="27" t="s">
        <v>7</v>
      </c>
      <c r="FI650" s="27" t="s">
        <v>8</v>
      </c>
      <c r="FJ650" s="27" t="s">
        <v>7</v>
      </c>
      <c r="FK650" s="27" t="s">
        <v>8</v>
      </c>
      <c r="FP650" s="27" t="s">
        <v>7</v>
      </c>
      <c r="FQ650" s="27" t="s">
        <v>8</v>
      </c>
      <c r="FR650" s="27" t="s">
        <v>7</v>
      </c>
      <c r="HS650" s="27" t="s">
        <v>8</v>
      </c>
      <c r="HT650" s="27" t="s">
        <v>7</v>
      </c>
      <c r="HU650" s="27" t="s">
        <v>8</v>
      </c>
      <c r="ID650" s="27" t="s">
        <v>7</v>
      </c>
      <c r="IE650" s="27" t="s">
        <v>8</v>
      </c>
      <c r="IF650" s="27" t="s">
        <v>7</v>
      </c>
      <c r="IG650" s="27" t="s">
        <v>8</v>
      </c>
      <c r="IH650" s="27" t="s">
        <v>7</v>
      </c>
      <c r="II650" s="27" t="s">
        <v>8</v>
      </c>
      <c r="IJ650" s="27" t="s">
        <v>7</v>
      </c>
      <c r="IK650" s="27" t="s">
        <v>8</v>
      </c>
      <c r="IL650" s="27" t="s">
        <v>7</v>
      </c>
      <c r="IM650" s="27" t="s">
        <v>8</v>
      </c>
      <c r="IN650" s="27" t="s">
        <v>7</v>
      </c>
      <c r="IQ650" s="27" t="s">
        <v>8</v>
      </c>
      <c r="IU650" s="27" t="s">
        <v>8</v>
      </c>
      <c r="IV650" s="27" t="s">
        <v>7</v>
      </c>
      <c r="IW650" s="27" t="s">
        <v>8</v>
      </c>
      <c r="IX650" s="27" t="s">
        <v>7</v>
      </c>
      <c r="JA650" s="27" t="s">
        <v>8</v>
      </c>
      <c r="JB650" s="27" t="s">
        <v>7</v>
      </c>
      <c r="JK650" s="27" t="s">
        <v>8</v>
      </c>
      <c r="JL650" s="27" t="s">
        <v>7</v>
      </c>
      <c r="JM650" s="27" t="s">
        <v>8</v>
      </c>
      <c r="JR650" s="27" t="s">
        <v>7</v>
      </c>
      <c r="JT650" s="27" t="s">
        <v>7</v>
      </c>
      <c r="JU650" s="27" t="s">
        <v>8</v>
      </c>
      <c r="JX650" s="27" t="s">
        <v>7</v>
      </c>
      <c r="JY650" s="27" t="s">
        <v>8</v>
      </c>
      <c r="JZ650" s="27" t="s">
        <v>7</v>
      </c>
      <c r="KA650" s="27" t="s">
        <v>8</v>
      </c>
      <c r="KB650" s="27" t="s">
        <v>7</v>
      </c>
      <c r="KD650" s="27" t="s">
        <v>7</v>
      </c>
      <c r="KE650" s="27" t="s">
        <v>8</v>
      </c>
      <c r="KF650" s="27" t="s">
        <v>7</v>
      </c>
      <c r="KG650" s="27" t="s">
        <v>8</v>
      </c>
    </row>
    <row r="651" spans="1:297" x14ac:dyDescent="0.25">
      <c r="A651" s="7">
        <v>0.28157170280220645</v>
      </c>
      <c r="B651"/>
      <c r="C651"/>
      <c r="D651"/>
      <c r="E651"/>
      <c r="L651" s="27" t="s">
        <v>7</v>
      </c>
      <c r="M651" s="27" t="s">
        <v>8</v>
      </c>
      <c r="N651" s="27" t="s">
        <v>7</v>
      </c>
      <c r="O651" s="27" t="s">
        <v>8</v>
      </c>
      <c r="P651" s="27" t="s">
        <v>7</v>
      </c>
      <c r="Q651" s="27" t="s">
        <v>8</v>
      </c>
      <c r="R651" s="27" t="s">
        <v>7</v>
      </c>
      <c r="S651" s="27" t="s">
        <v>8</v>
      </c>
      <c r="AA651" s="27" t="s">
        <v>8</v>
      </c>
      <c r="AR651" s="27" t="s">
        <v>7</v>
      </c>
      <c r="AS651" s="27" t="s">
        <v>8</v>
      </c>
      <c r="AT651" s="27" t="s">
        <v>7</v>
      </c>
      <c r="AU651" s="27" t="s">
        <v>8</v>
      </c>
      <c r="AV651" s="27" t="s">
        <v>7</v>
      </c>
      <c r="AW651" s="27" t="s">
        <v>8</v>
      </c>
      <c r="AX651" s="27" t="s">
        <v>7</v>
      </c>
      <c r="AY651" s="27" t="s">
        <v>8</v>
      </c>
      <c r="AZ651" s="27" t="s">
        <v>7</v>
      </c>
      <c r="BA651" s="27" t="s">
        <v>8</v>
      </c>
      <c r="BD651" s="27" t="s">
        <v>7</v>
      </c>
      <c r="BE651" s="27" t="s">
        <v>8</v>
      </c>
      <c r="BF651" s="27" t="s">
        <v>7</v>
      </c>
      <c r="BG651" s="27" t="s">
        <v>8</v>
      </c>
      <c r="BI651" s="27" t="s">
        <v>8</v>
      </c>
      <c r="BJ651" s="27" t="s">
        <v>7</v>
      </c>
      <c r="BK651" s="27" t="s">
        <v>8</v>
      </c>
      <c r="BL651" s="27" t="s">
        <v>7</v>
      </c>
      <c r="BV651" s="27" t="s">
        <v>7</v>
      </c>
      <c r="BW651" s="27" t="s">
        <v>8</v>
      </c>
      <c r="BZ651" s="27" t="s">
        <v>7</v>
      </c>
      <c r="CA651" s="27" t="s">
        <v>8</v>
      </c>
      <c r="CB651" s="27" t="s">
        <v>7</v>
      </c>
      <c r="CC651" s="27" t="s">
        <v>8</v>
      </c>
      <c r="CD651" s="27" t="s">
        <v>7</v>
      </c>
      <c r="CE651" s="27" t="s">
        <v>8</v>
      </c>
      <c r="DF651" s="27" t="s">
        <v>7</v>
      </c>
      <c r="DG651" s="27" t="s">
        <v>8</v>
      </c>
      <c r="DJ651" s="27" t="s">
        <v>7</v>
      </c>
      <c r="DK651" s="27" t="s">
        <v>8</v>
      </c>
      <c r="DL651" s="27" t="s">
        <v>7</v>
      </c>
      <c r="DW651" s="27" t="s">
        <v>8</v>
      </c>
      <c r="DX651" s="27" t="s">
        <v>7</v>
      </c>
      <c r="DY651" s="27" t="s">
        <v>8</v>
      </c>
      <c r="DZ651" s="27" t="s">
        <v>7</v>
      </c>
      <c r="EA651" s="27" t="s">
        <v>8</v>
      </c>
      <c r="EB651" s="27" t="s">
        <v>7</v>
      </c>
      <c r="EG651" s="27" t="s">
        <v>8</v>
      </c>
      <c r="EI651" s="27" t="s">
        <v>8</v>
      </c>
      <c r="EM651" s="27" t="s">
        <v>8</v>
      </c>
      <c r="EN651" s="27" t="s">
        <v>7</v>
      </c>
      <c r="FI651" s="27" t="s">
        <v>8</v>
      </c>
      <c r="FJ651" s="27" t="s">
        <v>7</v>
      </c>
      <c r="FK651" s="27" t="s">
        <v>8</v>
      </c>
      <c r="FP651" s="27" t="s">
        <v>7</v>
      </c>
      <c r="FQ651" s="27" t="s">
        <v>8</v>
      </c>
      <c r="FR651" s="27" t="s">
        <v>7</v>
      </c>
      <c r="HQ651" s="27" t="s">
        <v>8</v>
      </c>
      <c r="HS651" s="27" t="s">
        <v>8</v>
      </c>
      <c r="HT651" s="27" t="s">
        <v>7</v>
      </c>
      <c r="ID651" s="27" t="s">
        <v>7</v>
      </c>
      <c r="IE651" s="27" t="s">
        <v>8</v>
      </c>
      <c r="IF651" s="27" t="s">
        <v>7</v>
      </c>
      <c r="IG651" s="27" t="s">
        <v>8</v>
      </c>
      <c r="IH651" s="27" t="s">
        <v>7</v>
      </c>
      <c r="II651" s="27" t="s">
        <v>8</v>
      </c>
      <c r="IJ651" s="27" t="s">
        <v>7</v>
      </c>
      <c r="IL651" s="27" t="s">
        <v>7</v>
      </c>
      <c r="IM651" s="27" t="s">
        <v>8</v>
      </c>
      <c r="IN651" s="27" t="s">
        <v>7</v>
      </c>
      <c r="IQ651" s="27" t="s">
        <v>8</v>
      </c>
      <c r="IR651" s="27" t="s">
        <v>7</v>
      </c>
      <c r="IU651" s="27" t="s">
        <v>8</v>
      </c>
      <c r="IV651" s="27" t="s">
        <v>7</v>
      </c>
      <c r="IW651" s="27" t="s">
        <v>8</v>
      </c>
      <c r="IX651" s="27" t="s">
        <v>7</v>
      </c>
      <c r="IY651" s="27" t="s">
        <v>8</v>
      </c>
      <c r="JA651" s="27" t="s">
        <v>8</v>
      </c>
      <c r="JB651" s="27" t="s">
        <v>7</v>
      </c>
      <c r="JK651" s="27" t="s">
        <v>8</v>
      </c>
      <c r="JL651" s="27" t="s">
        <v>7</v>
      </c>
      <c r="JM651" s="27" t="s">
        <v>8</v>
      </c>
      <c r="JT651" s="27" t="s">
        <v>7</v>
      </c>
      <c r="JU651" s="27" t="s">
        <v>8</v>
      </c>
      <c r="JX651" s="27" t="s">
        <v>7</v>
      </c>
      <c r="JY651" s="27" t="s">
        <v>8</v>
      </c>
      <c r="JZ651" s="27" t="s">
        <v>7</v>
      </c>
      <c r="KA651" s="27" t="s">
        <v>8</v>
      </c>
      <c r="KD651" s="27" t="s">
        <v>7</v>
      </c>
      <c r="KF651" s="27" t="s">
        <v>7</v>
      </c>
    </row>
    <row r="652" spans="1:297" x14ac:dyDescent="0.25">
      <c r="A652" s="7">
        <v>0.27605068902177105</v>
      </c>
      <c r="B652"/>
      <c r="C652"/>
      <c r="D652"/>
      <c r="E652"/>
      <c r="L652" s="27" t="s">
        <v>7</v>
      </c>
      <c r="M652" s="27" t="s">
        <v>8</v>
      </c>
      <c r="N652" s="27" t="s">
        <v>7</v>
      </c>
      <c r="O652" s="27" t="s">
        <v>8</v>
      </c>
      <c r="P652" s="27" t="s">
        <v>7</v>
      </c>
      <c r="R652" s="27" t="s">
        <v>7</v>
      </c>
      <c r="S652" s="27" t="s">
        <v>8</v>
      </c>
      <c r="T652" s="27" t="s">
        <v>7</v>
      </c>
      <c r="AA652" s="27" t="s">
        <v>8</v>
      </c>
      <c r="AR652" s="27" t="s">
        <v>7</v>
      </c>
      <c r="AT652" s="27" t="s">
        <v>7</v>
      </c>
      <c r="AU652" s="27" t="s">
        <v>8</v>
      </c>
      <c r="AV652" s="27" t="s">
        <v>7</v>
      </c>
      <c r="AW652" s="27" t="s">
        <v>8</v>
      </c>
      <c r="AX652" s="27" t="s">
        <v>7</v>
      </c>
      <c r="AY652" s="27" t="s">
        <v>8</v>
      </c>
      <c r="AZ652" s="27" t="s">
        <v>7</v>
      </c>
      <c r="BA652" s="27" t="s">
        <v>8</v>
      </c>
      <c r="BD652" s="27" t="s">
        <v>7</v>
      </c>
      <c r="BF652" s="27" t="s">
        <v>7</v>
      </c>
      <c r="BG652" s="27" t="s">
        <v>8</v>
      </c>
      <c r="BH652" s="27" t="s">
        <v>7</v>
      </c>
      <c r="BI652" s="27" t="s">
        <v>8</v>
      </c>
      <c r="BJ652" s="27" t="s">
        <v>7</v>
      </c>
      <c r="BK652" s="27" t="s">
        <v>8</v>
      </c>
      <c r="BV652" s="27" t="s">
        <v>7</v>
      </c>
      <c r="BW652" s="27" t="s">
        <v>8</v>
      </c>
      <c r="BZ652" s="27" t="s">
        <v>7</v>
      </c>
      <c r="CB652" s="27" t="s">
        <v>7</v>
      </c>
      <c r="CC652" s="27" t="s">
        <v>8</v>
      </c>
      <c r="CD652" s="27" t="s">
        <v>7</v>
      </c>
      <c r="CE652" s="27" t="s">
        <v>8</v>
      </c>
      <c r="DF652" s="27" t="s">
        <v>7</v>
      </c>
      <c r="DG652" s="27" t="s">
        <v>8</v>
      </c>
      <c r="DJ652" s="27" t="s">
        <v>7</v>
      </c>
      <c r="DK652" s="27" t="s">
        <v>8</v>
      </c>
      <c r="DL652" s="27" t="s">
        <v>7</v>
      </c>
      <c r="DS652" s="27" t="s">
        <v>8</v>
      </c>
      <c r="DW652" s="27" t="s">
        <v>8</v>
      </c>
      <c r="DX652" s="27" t="s">
        <v>7</v>
      </c>
      <c r="DZ652" s="27" t="s">
        <v>7</v>
      </c>
      <c r="EB652" s="27" t="s">
        <v>7</v>
      </c>
      <c r="EG652" s="27" t="s">
        <v>8</v>
      </c>
      <c r="EH652" s="27" t="s">
        <v>7</v>
      </c>
      <c r="EI652" s="27" t="s">
        <v>8</v>
      </c>
      <c r="EJ652" s="27" t="s">
        <v>7</v>
      </c>
      <c r="EK652" s="27" t="s">
        <v>8</v>
      </c>
      <c r="EM652" s="27" t="s">
        <v>8</v>
      </c>
      <c r="EN652" s="27" t="s">
        <v>7</v>
      </c>
      <c r="FI652" s="27" t="s">
        <v>8</v>
      </c>
      <c r="FJ652" s="27" t="s">
        <v>7</v>
      </c>
      <c r="FP652" s="27" t="s">
        <v>7</v>
      </c>
      <c r="FQ652" s="27" t="s">
        <v>8</v>
      </c>
      <c r="FR652" s="27" t="s">
        <v>7</v>
      </c>
      <c r="FS652" s="27" t="s">
        <v>8</v>
      </c>
      <c r="HQ652" s="27" t="s">
        <v>8</v>
      </c>
      <c r="HR652" s="27" t="s">
        <v>7</v>
      </c>
      <c r="HS652" s="27" t="s">
        <v>8</v>
      </c>
      <c r="ID652" s="27" t="s">
        <v>7</v>
      </c>
      <c r="IE652" s="27" t="s">
        <v>8</v>
      </c>
      <c r="IF652" s="27" t="s">
        <v>7</v>
      </c>
      <c r="IG652" s="27" t="s">
        <v>8</v>
      </c>
      <c r="IH652" s="27" t="s">
        <v>7</v>
      </c>
      <c r="IL652" s="27" t="s">
        <v>7</v>
      </c>
      <c r="IN652" s="27" t="s">
        <v>7</v>
      </c>
      <c r="IQ652" s="27" t="s">
        <v>8</v>
      </c>
      <c r="IR652" s="27" t="s">
        <v>7</v>
      </c>
      <c r="IS652" s="27" t="s">
        <v>8</v>
      </c>
      <c r="IU652" s="27" t="s">
        <v>8</v>
      </c>
      <c r="IV652" s="27" t="s">
        <v>7</v>
      </c>
      <c r="IX652" s="27" t="s">
        <v>7</v>
      </c>
      <c r="IY652" s="27" t="s">
        <v>8</v>
      </c>
      <c r="IZ652" s="27" t="s">
        <v>7</v>
      </c>
      <c r="JA652" s="27" t="s">
        <v>8</v>
      </c>
      <c r="JB652" s="27" t="s">
        <v>7</v>
      </c>
      <c r="JE652" s="27" t="s">
        <v>8</v>
      </c>
      <c r="JK652" s="27" t="s">
        <v>8</v>
      </c>
      <c r="JL652" s="27" t="s">
        <v>7</v>
      </c>
      <c r="JT652" s="27" t="s">
        <v>7</v>
      </c>
      <c r="JU652" s="27" t="s">
        <v>8</v>
      </c>
      <c r="JX652" s="27" t="s">
        <v>7</v>
      </c>
      <c r="JY652" s="27" t="s">
        <v>8</v>
      </c>
      <c r="JZ652" s="27" t="s">
        <v>7</v>
      </c>
    </row>
    <row r="653" spans="1:297" x14ac:dyDescent="0.25">
      <c r="A653" s="7">
        <v>0.27063793041350104</v>
      </c>
      <c r="B653"/>
      <c r="C653"/>
      <c r="D653"/>
      <c r="E653"/>
      <c r="L653" s="27" t="s">
        <v>7</v>
      </c>
      <c r="M653" s="27" t="s">
        <v>8</v>
      </c>
      <c r="N653" s="27" t="s">
        <v>7</v>
      </c>
      <c r="O653" s="27" t="s">
        <v>8</v>
      </c>
      <c r="R653" s="27" t="s">
        <v>7</v>
      </c>
      <c r="S653" s="27" t="s">
        <v>8</v>
      </c>
      <c r="T653" s="27" t="s">
        <v>7</v>
      </c>
      <c r="AA653" s="27" t="s">
        <v>8</v>
      </c>
      <c r="AT653" s="27" t="s">
        <v>7</v>
      </c>
      <c r="AV653" s="27" t="s">
        <v>7</v>
      </c>
      <c r="AW653" s="27" t="s">
        <v>8</v>
      </c>
      <c r="AX653" s="27" t="s">
        <v>7</v>
      </c>
      <c r="AY653" s="27" t="s">
        <v>8</v>
      </c>
      <c r="AZ653" s="27" t="s">
        <v>7</v>
      </c>
      <c r="BA653" s="27" t="s">
        <v>8</v>
      </c>
      <c r="BF653" s="27" t="s">
        <v>7</v>
      </c>
      <c r="BG653" s="27" t="s">
        <v>8</v>
      </c>
      <c r="BH653" s="27" t="s">
        <v>7</v>
      </c>
      <c r="BI653" s="27" t="s">
        <v>8</v>
      </c>
      <c r="BJ653" s="27" t="s">
        <v>7</v>
      </c>
      <c r="BV653" s="27" t="s">
        <v>7</v>
      </c>
      <c r="BW653" s="27" t="s">
        <v>8</v>
      </c>
      <c r="CB653" s="27" t="s">
        <v>7</v>
      </c>
      <c r="CC653" s="27" t="s">
        <v>8</v>
      </c>
      <c r="CD653" s="27" t="s">
        <v>7</v>
      </c>
      <c r="CE653" s="27" t="s">
        <v>8</v>
      </c>
      <c r="DF653" s="27" t="s">
        <v>7</v>
      </c>
      <c r="DG653" s="27" t="s">
        <v>8</v>
      </c>
      <c r="DJ653" s="27" t="s">
        <v>7</v>
      </c>
      <c r="DL653" s="27" t="s">
        <v>7</v>
      </c>
      <c r="DM653" s="27" t="s">
        <v>8</v>
      </c>
      <c r="DS653" s="27" t="s">
        <v>8</v>
      </c>
      <c r="DT653" s="27" t="s">
        <v>7</v>
      </c>
      <c r="DW653" s="27" t="s">
        <v>8</v>
      </c>
      <c r="EB653" s="27" t="s">
        <v>7</v>
      </c>
      <c r="EC653" s="27" t="s">
        <v>8</v>
      </c>
      <c r="EG653" s="27" t="s">
        <v>8</v>
      </c>
      <c r="EH653" s="27" t="s">
        <v>7</v>
      </c>
      <c r="EI653" s="27" t="s">
        <v>8</v>
      </c>
      <c r="EJ653" s="27" t="s">
        <v>7</v>
      </c>
      <c r="EK653" s="27" t="s">
        <v>8</v>
      </c>
      <c r="EL653" s="27" t="s">
        <v>7</v>
      </c>
      <c r="EM653" s="27" t="s">
        <v>8</v>
      </c>
      <c r="EN653" s="27" t="s">
        <v>7</v>
      </c>
      <c r="FI653" s="27" t="s">
        <v>8</v>
      </c>
      <c r="FP653" s="27" t="s">
        <v>7</v>
      </c>
      <c r="FQ653" s="27" t="s">
        <v>8</v>
      </c>
      <c r="FR653" s="27" t="s">
        <v>7</v>
      </c>
      <c r="FS653" s="27" t="s">
        <v>8</v>
      </c>
      <c r="FT653" s="27" t="s">
        <v>7</v>
      </c>
      <c r="HQ653" s="27" t="s">
        <v>8</v>
      </c>
      <c r="HR653" s="27" t="s">
        <v>7</v>
      </c>
      <c r="HS653" s="27" t="s">
        <v>8</v>
      </c>
      <c r="ID653" s="27" t="s">
        <v>7</v>
      </c>
      <c r="IE653" s="27" t="s">
        <v>8</v>
      </c>
      <c r="IF653" s="27" t="s">
        <v>7</v>
      </c>
      <c r="IG653" s="27" t="s">
        <v>8</v>
      </c>
      <c r="IN653" s="27" t="s">
        <v>7</v>
      </c>
      <c r="IQ653" s="27" t="s">
        <v>8</v>
      </c>
      <c r="IR653" s="27" t="s">
        <v>7</v>
      </c>
      <c r="IS653" s="27" t="s">
        <v>8</v>
      </c>
      <c r="IT653" s="27" t="s">
        <v>7</v>
      </c>
      <c r="IU653" s="27" t="s">
        <v>8</v>
      </c>
      <c r="IX653" s="27" t="s">
        <v>7</v>
      </c>
      <c r="IY653" s="27" t="s">
        <v>8</v>
      </c>
      <c r="IZ653" s="27" t="s">
        <v>7</v>
      </c>
      <c r="JA653" s="27" t="s">
        <v>8</v>
      </c>
      <c r="JB653" s="27" t="s">
        <v>7</v>
      </c>
      <c r="JE653" s="27" t="s">
        <v>8</v>
      </c>
      <c r="JF653" s="27" t="s">
        <v>7</v>
      </c>
      <c r="JI653" s="27" t="s">
        <v>8</v>
      </c>
      <c r="JK653" s="27" t="s">
        <v>8</v>
      </c>
      <c r="JT653" s="27" t="s">
        <v>7</v>
      </c>
      <c r="JX653" s="27" t="s">
        <v>7</v>
      </c>
      <c r="JY653" s="27" t="s">
        <v>8</v>
      </c>
    </row>
    <row r="654" spans="1:297" x14ac:dyDescent="0.25">
      <c r="A654" s="7">
        <v>0.26533130432696184</v>
      </c>
      <c r="B654"/>
      <c r="C654"/>
      <c r="D654"/>
      <c r="E654"/>
      <c r="L654" s="27" t="s">
        <v>7</v>
      </c>
      <c r="M654" s="27" t="s">
        <v>8</v>
      </c>
      <c r="N654" s="27" t="s">
        <v>7</v>
      </c>
      <c r="O654" s="27" t="s">
        <v>8</v>
      </c>
      <c r="R654" s="27" t="s">
        <v>7</v>
      </c>
      <c r="T654" s="27" t="s">
        <v>7</v>
      </c>
      <c r="AA654" s="27" t="s">
        <v>8</v>
      </c>
      <c r="AV654" s="27" t="s">
        <v>7</v>
      </c>
      <c r="AW654" s="27" t="s">
        <v>8</v>
      </c>
      <c r="AX654" s="27" t="s">
        <v>7</v>
      </c>
      <c r="AY654" s="27" t="s">
        <v>8</v>
      </c>
      <c r="AZ654" s="27" t="s">
        <v>7</v>
      </c>
      <c r="BF654" s="27" t="s">
        <v>7</v>
      </c>
      <c r="BH654" s="27" t="s">
        <v>7</v>
      </c>
      <c r="BI654" s="27" t="s">
        <v>8</v>
      </c>
      <c r="BV654" s="27" t="s">
        <v>7</v>
      </c>
      <c r="BW654" s="27" t="s">
        <v>8</v>
      </c>
      <c r="CB654" s="27" t="s">
        <v>7</v>
      </c>
      <c r="CC654" s="27" t="s">
        <v>8</v>
      </c>
      <c r="CD654" s="27" t="s">
        <v>7</v>
      </c>
      <c r="DF654" s="27" t="s">
        <v>7</v>
      </c>
      <c r="DG654" s="27" t="s">
        <v>8</v>
      </c>
      <c r="DL654" s="27" t="s">
        <v>7</v>
      </c>
      <c r="DM654" s="27" t="s">
        <v>8</v>
      </c>
      <c r="DN654" s="27" t="s">
        <v>7</v>
      </c>
      <c r="DS654" s="27" t="s">
        <v>8</v>
      </c>
      <c r="DT654" s="27" t="s">
        <v>7</v>
      </c>
      <c r="DW654" s="27" t="s">
        <v>8</v>
      </c>
      <c r="EB654" s="27" t="s">
        <v>7</v>
      </c>
      <c r="EC654" s="27" t="s">
        <v>8</v>
      </c>
      <c r="ED654" s="27" t="s">
        <v>7</v>
      </c>
      <c r="EE654" s="27" t="s">
        <v>8</v>
      </c>
      <c r="EG654" s="27" t="s">
        <v>8</v>
      </c>
      <c r="EH654" s="27" t="s">
        <v>7</v>
      </c>
      <c r="EJ654" s="27" t="s">
        <v>7</v>
      </c>
      <c r="EK654" s="27" t="s">
        <v>8</v>
      </c>
      <c r="EL654" s="27" t="s">
        <v>7</v>
      </c>
      <c r="EM654" s="27" t="s">
        <v>8</v>
      </c>
      <c r="EN654" s="27" t="s">
        <v>7</v>
      </c>
      <c r="FI654" s="27" t="s">
        <v>8</v>
      </c>
      <c r="FP654" s="27" t="s">
        <v>7</v>
      </c>
      <c r="FQ654" s="27" t="s">
        <v>8</v>
      </c>
      <c r="FR654" s="27" t="s">
        <v>7</v>
      </c>
      <c r="FS654" s="27" t="s">
        <v>8</v>
      </c>
      <c r="FT654" s="27" t="s">
        <v>7</v>
      </c>
      <c r="HM654" s="27" t="s">
        <v>8</v>
      </c>
      <c r="HQ654" s="27" t="s">
        <v>8</v>
      </c>
      <c r="HR654" s="27" t="s">
        <v>7</v>
      </c>
      <c r="HS654" s="27" t="s">
        <v>8</v>
      </c>
      <c r="ID654" s="27" t="s">
        <v>7</v>
      </c>
      <c r="IE654" s="27" t="s">
        <v>8</v>
      </c>
      <c r="IF654" s="27" t="s">
        <v>7</v>
      </c>
      <c r="IG654" s="27" t="s">
        <v>8</v>
      </c>
      <c r="IN654" s="27" t="s">
        <v>7</v>
      </c>
      <c r="IQ654" s="27" t="s">
        <v>8</v>
      </c>
      <c r="IR654" s="27" t="s">
        <v>7</v>
      </c>
      <c r="IS654" s="27" t="s">
        <v>8</v>
      </c>
      <c r="IT654" s="27" t="s">
        <v>7</v>
      </c>
      <c r="IU654" s="27" t="s">
        <v>8</v>
      </c>
      <c r="IX654" s="27" t="s">
        <v>7</v>
      </c>
      <c r="IZ654" s="27" t="s">
        <v>7</v>
      </c>
      <c r="JB654" s="27" t="s">
        <v>7</v>
      </c>
      <c r="JE654" s="27" t="s">
        <v>8</v>
      </c>
      <c r="JF654" s="27" t="s">
        <v>7</v>
      </c>
      <c r="JI654" s="27" t="s">
        <v>8</v>
      </c>
      <c r="JJ654" s="27" t="s">
        <v>7</v>
      </c>
      <c r="JK654" s="27" t="s">
        <v>8</v>
      </c>
      <c r="JX654" s="27" t="s">
        <v>7</v>
      </c>
      <c r="JY654" s="27" t="s">
        <v>8</v>
      </c>
    </row>
    <row r="655" spans="1:297" x14ac:dyDescent="0.25">
      <c r="A655" s="7">
        <v>0.26012872973231554</v>
      </c>
      <c r="B655"/>
      <c r="C655"/>
      <c r="D655"/>
      <c r="E655"/>
      <c r="L655" s="27" t="s">
        <v>7</v>
      </c>
      <c r="M655" s="27" t="s">
        <v>8</v>
      </c>
      <c r="N655" s="27" t="s">
        <v>7</v>
      </c>
      <c r="T655" s="27" t="s">
        <v>7</v>
      </c>
      <c r="AA655" s="27" t="s">
        <v>8</v>
      </c>
      <c r="AV655" s="27" t="s">
        <v>7</v>
      </c>
      <c r="AW655" s="27" t="s">
        <v>8</v>
      </c>
      <c r="AX655" s="27" t="s">
        <v>7</v>
      </c>
      <c r="AY655" s="27" t="s">
        <v>8</v>
      </c>
      <c r="BH655" s="27" t="s">
        <v>7</v>
      </c>
      <c r="BV655" s="27" t="s">
        <v>7</v>
      </c>
      <c r="BW655" s="27" t="s">
        <v>8</v>
      </c>
      <c r="CB655" s="27" t="s">
        <v>7</v>
      </c>
      <c r="DF655" s="27" t="s">
        <v>7</v>
      </c>
      <c r="DL655" s="27" t="s">
        <v>7</v>
      </c>
      <c r="DM655" s="27" t="s">
        <v>8</v>
      </c>
      <c r="DN655" s="27" t="s">
        <v>7</v>
      </c>
      <c r="DS655" s="27" t="s">
        <v>8</v>
      </c>
      <c r="DT655" s="27" t="s">
        <v>7</v>
      </c>
      <c r="DW655" s="27" t="s">
        <v>8</v>
      </c>
      <c r="EB655" s="27" t="s">
        <v>7</v>
      </c>
      <c r="EC655" s="27" t="s">
        <v>8</v>
      </c>
      <c r="ED655" s="27" t="s">
        <v>7</v>
      </c>
      <c r="EE655" s="27" t="s">
        <v>8</v>
      </c>
      <c r="EF655" s="27" t="s">
        <v>7</v>
      </c>
      <c r="EG655" s="27" t="s">
        <v>8</v>
      </c>
      <c r="EJ655" s="27" t="s">
        <v>7</v>
      </c>
      <c r="EK655" s="27" t="s">
        <v>8</v>
      </c>
      <c r="EL655" s="27" t="s">
        <v>7</v>
      </c>
      <c r="EN655" s="27" t="s">
        <v>7</v>
      </c>
      <c r="FI655" s="27" t="s">
        <v>8</v>
      </c>
      <c r="FP655" s="27" t="s">
        <v>7</v>
      </c>
      <c r="FR655" s="27" t="s">
        <v>7</v>
      </c>
      <c r="FS655" s="27" t="s">
        <v>8</v>
      </c>
      <c r="FT655" s="27" t="s">
        <v>7</v>
      </c>
      <c r="HM655" s="27" t="s">
        <v>8</v>
      </c>
      <c r="HN655" s="27" t="s">
        <v>7</v>
      </c>
      <c r="HO655" s="27" t="s">
        <v>8</v>
      </c>
      <c r="HQ655" s="27" t="s">
        <v>8</v>
      </c>
      <c r="HR655" s="27" t="s">
        <v>7</v>
      </c>
      <c r="HS655" s="27" t="s">
        <v>8</v>
      </c>
      <c r="ID655" s="27" t="s">
        <v>7</v>
      </c>
      <c r="IE655" s="27" t="s">
        <v>8</v>
      </c>
      <c r="IF655" s="27" t="s">
        <v>7</v>
      </c>
      <c r="IN655" s="27" t="s">
        <v>7</v>
      </c>
      <c r="IQ655" s="27" t="s">
        <v>8</v>
      </c>
      <c r="IR655" s="27" t="s">
        <v>7</v>
      </c>
      <c r="IS655" s="27" t="s">
        <v>8</v>
      </c>
      <c r="IT655" s="27" t="s">
        <v>7</v>
      </c>
      <c r="IU655" s="27" t="s">
        <v>8</v>
      </c>
      <c r="JB655" s="27" t="s">
        <v>7</v>
      </c>
      <c r="JC655" s="27" t="s">
        <v>8</v>
      </c>
      <c r="JE655" s="27" t="s">
        <v>8</v>
      </c>
      <c r="JF655" s="27" t="s">
        <v>7</v>
      </c>
      <c r="JG655" s="27" t="s">
        <v>8</v>
      </c>
      <c r="JI655" s="27" t="s">
        <v>8</v>
      </c>
      <c r="JJ655" s="27" t="s">
        <v>7</v>
      </c>
      <c r="JK655" s="27" t="s">
        <v>8</v>
      </c>
      <c r="JX655" s="27" t="s">
        <v>7</v>
      </c>
      <c r="JY655" s="27" t="s">
        <v>8</v>
      </c>
    </row>
    <row r="656" spans="1:297" x14ac:dyDescent="0.25">
      <c r="A656" s="7">
        <v>0.25502816640423093</v>
      </c>
      <c r="B656"/>
      <c r="C656"/>
      <c r="D656"/>
      <c r="E656"/>
      <c r="L656" s="27" t="s">
        <v>7</v>
      </c>
      <c r="M656" s="27" t="s">
        <v>8</v>
      </c>
      <c r="T656" s="27" t="s">
        <v>7</v>
      </c>
      <c r="AA656" s="27" t="s">
        <v>8</v>
      </c>
      <c r="AV656" s="27" t="s">
        <v>7</v>
      </c>
      <c r="AW656" s="27" t="s">
        <v>8</v>
      </c>
      <c r="AX656" s="27" t="s">
        <v>7</v>
      </c>
      <c r="AY656" s="27" t="s">
        <v>8</v>
      </c>
      <c r="BV656" s="27" t="s">
        <v>7</v>
      </c>
      <c r="BW656" s="27" t="s">
        <v>8</v>
      </c>
      <c r="DL656" s="27" t="s">
        <v>7</v>
      </c>
      <c r="DM656" s="27" t="s">
        <v>8</v>
      </c>
      <c r="DN656" s="27" t="s">
        <v>7</v>
      </c>
      <c r="DS656" s="27" t="s">
        <v>8</v>
      </c>
      <c r="DT656" s="27" t="s">
        <v>7</v>
      </c>
      <c r="DW656" s="27" t="s">
        <v>8</v>
      </c>
      <c r="EB656" s="27" t="s">
        <v>7</v>
      </c>
      <c r="EC656" s="27" t="s">
        <v>8</v>
      </c>
      <c r="ED656" s="27" t="s">
        <v>7</v>
      </c>
      <c r="EE656" s="27" t="s">
        <v>8</v>
      </c>
      <c r="EF656" s="27" t="s">
        <v>7</v>
      </c>
      <c r="EG656" s="27" t="s">
        <v>8</v>
      </c>
      <c r="EJ656" s="27" t="s">
        <v>7</v>
      </c>
      <c r="EK656" s="27" t="s">
        <v>8</v>
      </c>
      <c r="EN656" s="27" t="s">
        <v>7</v>
      </c>
      <c r="FE656" s="27" t="s">
        <v>8</v>
      </c>
      <c r="FG656" s="27" t="s">
        <v>8</v>
      </c>
      <c r="FI656" s="27" t="s">
        <v>8</v>
      </c>
      <c r="FR656" s="27" t="s">
        <v>7</v>
      </c>
      <c r="FT656" s="27" t="s">
        <v>7</v>
      </c>
      <c r="HA656" s="27" t="s">
        <v>8</v>
      </c>
      <c r="HM656" s="27" t="s">
        <v>8</v>
      </c>
      <c r="HN656" s="27" t="s">
        <v>7</v>
      </c>
      <c r="HO656" s="27" t="s">
        <v>8</v>
      </c>
      <c r="HP656" s="27" t="s">
        <v>7</v>
      </c>
      <c r="HQ656" s="27" t="s">
        <v>8</v>
      </c>
      <c r="HR656" s="27" t="s">
        <v>7</v>
      </c>
      <c r="ID656" s="27" t="s">
        <v>7</v>
      </c>
      <c r="IE656" s="27" t="s">
        <v>8</v>
      </c>
      <c r="IN656" s="27" t="s">
        <v>7</v>
      </c>
      <c r="IQ656" s="27" t="s">
        <v>8</v>
      </c>
      <c r="IR656" s="27" t="s">
        <v>7</v>
      </c>
      <c r="IT656" s="27" t="s">
        <v>7</v>
      </c>
      <c r="IU656" s="27" t="s">
        <v>8</v>
      </c>
      <c r="JB656" s="27" t="s">
        <v>7</v>
      </c>
      <c r="JC656" s="27" t="s">
        <v>8</v>
      </c>
      <c r="JD656" s="27" t="s">
        <v>7</v>
      </c>
      <c r="JE656" s="27" t="s">
        <v>8</v>
      </c>
      <c r="JF656" s="27" t="s">
        <v>7</v>
      </c>
      <c r="JG656" s="27" t="s">
        <v>8</v>
      </c>
      <c r="JH656" s="27" t="s">
        <v>7</v>
      </c>
      <c r="JI656" s="27" t="s">
        <v>8</v>
      </c>
      <c r="JJ656" s="27" t="s">
        <v>7</v>
      </c>
      <c r="JK656" s="27" t="s">
        <v>8</v>
      </c>
      <c r="JX656" s="27" t="s">
        <v>7</v>
      </c>
    </row>
    <row r="657" spans="1:270" x14ac:dyDescent="0.25">
      <c r="A657" s="7">
        <v>0.25002761412179503</v>
      </c>
      <c r="B657"/>
      <c r="C657"/>
      <c r="D657"/>
      <c r="E657"/>
      <c r="L657" s="27" t="s">
        <v>7</v>
      </c>
      <c r="T657" s="27" t="s">
        <v>7</v>
      </c>
      <c r="AA657" s="27" t="s">
        <v>8</v>
      </c>
      <c r="AV657" s="27" t="s">
        <v>7</v>
      </c>
      <c r="AW657" s="27" t="s">
        <v>8</v>
      </c>
      <c r="AX657" s="27" t="s">
        <v>7</v>
      </c>
      <c r="AY657" s="27" t="s">
        <v>8</v>
      </c>
      <c r="BV657" s="27" t="s">
        <v>7</v>
      </c>
      <c r="BW657" s="27" t="s">
        <v>8</v>
      </c>
      <c r="DL657" s="27" t="s">
        <v>7</v>
      </c>
      <c r="DN657" s="27" t="s">
        <v>7</v>
      </c>
      <c r="DQ657" s="27" t="s">
        <v>8</v>
      </c>
      <c r="DS657" s="27" t="s">
        <v>8</v>
      </c>
      <c r="DT657" s="27" t="s">
        <v>7</v>
      </c>
      <c r="DU657" s="27" t="s">
        <v>8</v>
      </c>
      <c r="DW657" s="27" t="s">
        <v>8</v>
      </c>
      <c r="EB657" s="27" t="s">
        <v>7</v>
      </c>
      <c r="EC657" s="27" t="s">
        <v>8</v>
      </c>
      <c r="ED657" s="27" t="s">
        <v>7</v>
      </c>
      <c r="EF657" s="27" t="s">
        <v>7</v>
      </c>
      <c r="EJ657" s="27" t="s">
        <v>7</v>
      </c>
      <c r="EK657" s="27" t="s">
        <v>8</v>
      </c>
      <c r="EN657" s="27" t="s">
        <v>7</v>
      </c>
      <c r="FE657" s="27" t="s">
        <v>8</v>
      </c>
      <c r="FF657" s="27" t="s">
        <v>7</v>
      </c>
      <c r="FG657" s="27" t="s">
        <v>8</v>
      </c>
      <c r="FH657" s="27" t="s">
        <v>7</v>
      </c>
      <c r="FI657" s="27" t="s">
        <v>8</v>
      </c>
      <c r="FT657" s="27" t="s">
        <v>7</v>
      </c>
      <c r="HA657" s="27" t="s">
        <v>8</v>
      </c>
      <c r="HB657" s="27" t="s">
        <v>7</v>
      </c>
      <c r="HC657" s="27" t="s">
        <v>8</v>
      </c>
      <c r="HM657" s="27" t="s">
        <v>8</v>
      </c>
      <c r="HN657" s="27" t="s">
        <v>7</v>
      </c>
      <c r="HO657" s="27" t="s">
        <v>8</v>
      </c>
      <c r="HP657" s="27" t="s">
        <v>7</v>
      </c>
      <c r="HQ657" s="27" t="s">
        <v>8</v>
      </c>
      <c r="ID657" s="27" t="s">
        <v>7</v>
      </c>
      <c r="IN657" s="27" t="s">
        <v>7</v>
      </c>
      <c r="IO657" s="27" t="s">
        <v>8</v>
      </c>
      <c r="IQ657" s="27" t="s">
        <v>8</v>
      </c>
      <c r="IT657" s="27" t="s">
        <v>7</v>
      </c>
      <c r="IU657" s="27" t="s">
        <v>8</v>
      </c>
      <c r="JB657" s="27" t="s">
        <v>7</v>
      </c>
      <c r="JC657" s="27" t="s">
        <v>8</v>
      </c>
      <c r="JD657" s="27" t="s">
        <v>7</v>
      </c>
      <c r="JE657" s="27" t="s">
        <v>8</v>
      </c>
      <c r="JF657" s="27" t="s">
        <v>7</v>
      </c>
      <c r="JG657" s="27" t="s">
        <v>8</v>
      </c>
      <c r="JH657" s="27" t="s">
        <v>7</v>
      </c>
      <c r="JI657" s="27" t="s">
        <v>8</v>
      </c>
      <c r="JJ657" s="27" t="s">
        <v>7</v>
      </c>
    </row>
    <row r="658" spans="1:270" x14ac:dyDescent="0.25">
      <c r="A658" s="7">
        <v>0.24512511188411276</v>
      </c>
      <c r="B658"/>
      <c r="C658"/>
      <c r="D658"/>
      <c r="E658"/>
      <c r="T658" s="27" t="s">
        <v>7</v>
      </c>
      <c r="U658" s="27" t="s">
        <v>8</v>
      </c>
      <c r="AA658" s="27" t="s">
        <v>8</v>
      </c>
      <c r="AV658" s="27" t="s">
        <v>7</v>
      </c>
      <c r="AX658" s="27" t="s">
        <v>7</v>
      </c>
      <c r="AY658" s="27" t="s">
        <v>8</v>
      </c>
      <c r="BV658" s="27" t="s">
        <v>7</v>
      </c>
      <c r="BW658" s="27" t="s">
        <v>8</v>
      </c>
      <c r="DN658" s="27" t="s">
        <v>7</v>
      </c>
      <c r="DO658" s="27" t="s">
        <v>8</v>
      </c>
      <c r="DQ658" s="27" t="s">
        <v>8</v>
      </c>
      <c r="DR658" s="27" t="s">
        <v>7</v>
      </c>
      <c r="DS658" s="27" t="s">
        <v>8</v>
      </c>
      <c r="DT658" s="27" t="s">
        <v>7</v>
      </c>
      <c r="DU658" s="27" t="s">
        <v>8</v>
      </c>
      <c r="DV658" s="27" t="s">
        <v>7</v>
      </c>
      <c r="DW658" s="27" t="s">
        <v>8</v>
      </c>
      <c r="EB658" s="27" t="s">
        <v>7</v>
      </c>
      <c r="EC658" s="27" t="s">
        <v>8</v>
      </c>
      <c r="EJ658" s="27" t="s">
        <v>7</v>
      </c>
      <c r="EN658" s="27" t="s">
        <v>7</v>
      </c>
      <c r="FE658" s="27" t="s">
        <v>8</v>
      </c>
      <c r="FF658" s="27" t="s">
        <v>7</v>
      </c>
      <c r="FG658" s="27" t="s">
        <v>8</v>
      </c>
      <c r="FH658" s="27" t="s">
        <v>7</v>
      </c>
      <c r="FI658" s="27" t="s">
        <v>8</v>
      </c>
      <c r="FT658" s="27" t="s">
        <v>7</v>
      </c>
      <c r="HA658" s="27" t="s">
        <v>8</v>
      </c>
      <c r="HB658" s="27" t="s">
        <v>7</v>
      </c>
      <c r="HC658" s="27" t="s">
        <v>8</v>
      </c>
      <c r="HD658" s="27" t="s">
        <v>7</v>
      </c>
      <c r="HM658" s="27" t="s">
        <v>8</v>
      </c>
      <c r="HN658" s="27" t="s">
        <v>7</v>
      </c>
      <c r="HO658" s="27" t="s">
        <v>8</v>
      </c>
      <c r="HP658" s="27" t="s">
        <v>7</v>
      </c>
      <c r="HQ658" s="27" t="s">
        <v>8</v>
      </c>
      <c r="IN658" s="27" t="s">
        <v>7</v>
      </c>
      <c r="IO658" s="27" t="s">
        <v>8</v>
      </c>
      <c r="IP658" s="27" t="s">
        <v>7</v>
      </c>
      <c r="IQ658" s="27" t="s">
        <v>8</v>
      </c>
      <c r="IT658" s="27" t="s">
        <v>7</v>
      </c>
      <c r="JB658" s="27" t="s">
        <v>7</v>
      </c>
      <c r="JD658" s="27" t="s">
        <v>7</v>
      </c>
      <c r="JE658" s="27" t="s">
        <v>8</v>
      </c>
      <c r="JF658" s="27" t="s">
        <v>7</v>
      </c>
      <c r="JH658" s="27" t="s">
        <v>7</v>
      </c>
    </row>
    <row r="659" spans="1:270" x14ac:dyDescent="0.25">
      <c r="A659" s="7">
        <v>0.24031873714128701</v>
      </c>
      <c r="B659"/>
      <c r="C659"/>
      <c r="D659"/>
      <c r="E659"/>
      <c r="T659" s="27" t="s">
        <v>7</v>
      </c>
      <c r="U659" s="27" t="s">
        <v>8</v>
      </c>
      <c r="V659" s="27" t="s">
        <v>7</v>
      </c>
      <c r="AA659" s="27" t="s">
        <v>8</v>
      </c>
      <c r="AX659" s="27" t="s">
        <v>7</v>
      </c>
      <c r="BV659" s="27" t="s">
        <v>7</v>
      </c>
      <c r="BW659" s="27" t="s">
        <v>8</v>
      </c>
      <c r="DN659" s="27" t="s">
        <v>7</v>
      </c>
      <c r="DO659" s="27" t="s">
        <v>8</v>
      </c>
      <c r="DP659" s="27" t="s">
        <v>7</v>
      </c>
      <c r="DQ659" s="27" t="s">
        <v>8</v>
      </c>
      <c r="DR659" s="27" t="s">
        <v>7</v>
      </c>
      <c r="DS659" s="27" t="s">
        <v>8</v>
      </c>
      <c r="DT659" s="27" t="s">
        <v>7</v>
      </c>
      <c r="DU659" s="27" t="s">
        <v>8</v>
      </c>
      <c r="DV659" s="27" t="s">
        <v>7</v>
      </c>
      <c r="DW659" s="27" t="s">
        <v>8</v>
      </c>
      <c r="EB659" s="27" t="s">
        <v>7</v>
      </c>
      <c r="EC659" s="27" t="s">
        <v>8</v>
      </c>
      <c r="EN659" s="27" t="s">
        <v>7</v>
      </c>
      <c r="FE659" s="27" t="s">
        <v>8</v>
      </c>
      <c r="FF659" s="27" t="s">
        <v>7</v>
      </c>
      <c r="FG659" s="27" t="s">
        <v>8</v>
      </c>
      <c r="FH659" s="27" t="s">
        <v>7</v>
      </c>
      <c r="FI659" s="27" t="s">
        <v>8</v>
      </c>
      <c r="FT659" s="27" t="s">
        <v>7</v>
      </c>
      <c r="GY659" s="27" t="s">
        <v>8</v>
      </c>
      <c r="HA659" s="27" t="s">
        <v>8</v>
      </c>
      <c r="HB659" s="27" t="s">
        <v>7</v>
      </c>
      <c r="HC659" s="27" t="s">
        <v>8</v>
      </c>
      <c r="HD659" s="27" t="s">
        <v>7</v>
      </c>
      <c r="HK659" s="27" t="s">
        <v>8</v>
      </c>
      <c r="HM659" s="27" t="s">
        <v>8</v>
      </c>
      <c r="HN659" s="27" t="s">
        <v>7</v>
      </c>
      <c r="HP659" s="27" t="s">
        <v>7</v>
      </c>
      <c r="HQ659" s="27" t="s">
        <v>8</v>
      </c>
      <c r="IN659" s="27" t="s">
        <v>7</v>
      </c>
      <c r="IO659" s="27" t="s">
        <v>8</v>
      </c>
      <c r="IP659" s="27" t="s">
        <v>7</v>
      </c>
      <c r="IQ659" s="27" t="s">
        <v>8</v>
      </c>
      <c r="JD659" s="27" t="s">
        <v>7</v>
      </c>
      <c r="JE659" s="27" t="s">
        <v>8</v>
      </c>
    </row>
    <row r="660" spans="1:270" x14ac:dyDescent="0.25">
      <c r="A660" s="7">
        <v>0.23560660504047748</v>
      </c>
      <c r="B660"/>
      <c r="C660"/>
      <c r="D660"/>
      <c r="E660"/>
      <c r="T660" s="27" t="s">
        <v>7</v>
      </c>
      <c r="U660" s="27" t="s">
        <v>8</v>
      </c>
      <c r="V660" s="27" t="s">
        <v>7</v>
      </c>
      <c r="W660" s="27" t="s">
        <v>8</v>
      </c>
      <c r="AA660" s="27" t="s">
        <v>8</v>
      </c>
      <c r="BV660" s="27" t="s">
        <v>7</v>
      </c>
      <c r="DN660" s="27" t="s">
        <v>7</v>
      </c>
      <c r="DO660" s="27" t="s">
        <v>8</v>
      </c>
      <c r="DP660" s="27" t="s">
        <v>7</v>
      </c>
      <c r="DQ660" s="27" t="s">
        <v>8</v>
      </c>
      <c r="DR660" s="27" t="s">
        <v>7</v>
      </c>
      <c r="DT660" s="27" t="s">
        <v>7</v>
      </c>
      <c r="DV660" s="27" t="s">
        <v>7</v>
      </c>
      <c r="DW660" s="27" t="s">
        <v>8</v>
      </c>
      <c r="EB660" s="27" t="s">
        <v>7</v>
      </c>
      <c r="EN660" s="27" t="s">
        <v>7</v>
      </c>
      <c r="FE660" s="27" t="s">
        <v>8</v>
      </c>
      <c r="FF660" s="27" t="s">
        <v>7</v>
      </c>
      <c r="FG660" s="27" t="s">
        <v>8</v>
      </c>
      <c r="FH660" s="27" t="s">
        <v>7</v>
      </c>
      <c r="FI660" s="27" t="s">
        <v>8</v>
      </c>
      <c r="FT660" s="27" t="s">
        <v>7</v>
      </c>
      <c r="FU660" s="27" t="s">
        <v>8</v>
      </c>
      <c r="GY660" s="27" t="s">
        <v>8</v>
      </c>
      <c r="GZ660" s="27" t="s">
        <v>7</v>
      </c>
      <c r="HA660" s="27" t="s">
        <v>8</v>
      </c>
      <c r="HB660" s="27" t="s">
        <v>7</v>
      </c>
      <c r="HC660" s="27" t="s">
        <v>8</v>
      </c>
      <c r="HD660" s="27" t="s">
        <v>7</v>
      </c>
      <c r="HE660" s="27" t="s">
        <v>8</v>
      </c>
      <c r="HK660" s="27" t="s">
        <v>8</v>
      </c>
      <c r="HL660" s="27" t="s">
        <v>7</v>
      </c>
      <c r="HM660" s="27" t="s">
        <v>8</v>
      </c>
      <c r="HP660" s="27" t="s">
        <v>7</v>
      </c>
      <c r="HQ660" s="27" t="s">
        <v>8</v>
      </c>
      <c r="IN660" s="27" t="s">
        <v>7</v>
      </c>
      <c r="IO660" s="27" t="s">
        <v>8</v>
      </c>
      <c r="IP660" s="27" t="s">
        <v>7</v>
      </c>
      <c r="IQ660" s="27" t="s">
        <v>8</v>
      </c>
      <c r="JD660" s="27" t="s">
        <v>7</v>
      </c>
      <c r="JE660" s="27" t="s">
        <v>8</v>
      </c>
    </row>
    <row r="661" spans="1:270" x14ac:dyDescent="0.25">
      <c r="A661" s="7">
        <v>0.23098686768674265</v>
      </c>
      <c r="B661"/>
      <c r="C661"/>
      <c r="D661"/>
      <c r="E661"/>
      <c r="T661" s="27" t="s">
        <v>7</v>
      </c>
      <c r="U661" s="27" t="s">
        <v>8</v>
      </c>
      <c r="V661" s="27" t="s">
        <v>7</v>
      </c>
      <c r="W661" s="27" t="s">
        <v>8</v>
      </c>
      <c r="X661" s="27" t="s">
        <v>7</v>
      </c>
      <c r="Y661" s="27" t="s">
        <v>8</v>
      </c>
      <c r="AA661" s="27" t="s">
        <v>8</v>
      </c>
      <c r="DN661" s="27" t="s">
        <v>7</v>
      </c>
      <c r="DP661" s="27" t="s">
        <v>7</v>
      </c>
      <c r="DV661" s="27" t="s">
        <v>7</v>
      </c>
      <c r="EN661" s="27" t="s">
        <v>7</v>
      </c>
      <c r="FE661" s="27" t="s">
        <v>8</v>
      </c>
      <c r="FF661" s="27" t="s">
        <v>7</v>
      </c>
      <c r="FG661" s="27" t="s">
        <v>8</v>
      </c>
      <c r="FH661" s="27" t="s">
        <v>7</v>
      </c>
      <c r="FI661" s="27" t="s">
        <v>8</v>
      </c>
      <c r="FT661" s="27" t="s">
        <v>7</v>
      </c>
      <c r="FU661" s="27" t="s">
        <v>8</v>
      </c>
      <c r="FV661" s="27" t="s">
        <v>7</v>
      </c>
      <c r="GY661" s="27" t="s">
        <v>8</v>
      </c>
      <c r="GZ661" s="27" t="s">
        <v>7</v>
      </c>
      <c r="HA661" s="27" t="s">
        <v>8</v>
      </c>
      <c r="HB661" s="27" t="s">
        <v>7</v>
      </c>
      <c r="HD661" s="27" t="s">
        <v>7</v>
      </c>
      <c r="HE661" s="27" t="s">
        <v>8</v>
      </c>
      <c r="HF661" s="27" t="s">
        <v>7</v>
      </c>
      <c r="HI661" s="27" t="s">
        <v>8</v>
      </c>
      <c r="HK661" s="27" t="s">
        <v>8</v>
      </c>
      <c r="HL661" s="27" t="s">
        <v>7</v>
      </c>
      <c r="HM661" s="27" t="s">
        <v>8</v>
      </c>
      <c r="HP661" s="27" t="s">
        <v>7</v>
      </c>
      <c r="IN661" s="27" t="s">
        <v>7</v>
      </c>
      <c r="IP661" s="27" t="s">
        <v>7</v>
      </c>
      <c r="JD661" s="27" t="s">
        <v>7</v>
      </c>
      <c r="JE661" s="27" t="s">
        <v>8</v>
      </c>
    </row>
    <row r="662" spans="1:270" x14ac:dyDescent="0.25">
      <c r="A662" s="7">
        <v>0.22645771341837515</v>
      </c>
      <c r="B662"/>
      <c r="C662"/>
      <c r="D662"/>
      <c r="E662"/>
      <c r="T662" s="27" t="s">
        <v>7</v>
      </c>
      <c r="U662" s="27" t="s">
        <v>8</v>
      </c>
      <c r="V662" s="27" t="s">
        <v>7</v>
      </c>
      <c r="W662" s="27" t="s">
        <v>8</v>
      </c>
      <c r="X662" s="27" t="s">
        <v>7</v>
      </c>
      <c r="Y662" s="27" t="s">
        <v>8</v>
      </c>
      <c r="Z662" s="27" t="s">
        <v>7</v>
      </c>
      <c r="AA662" s="27" t="s">
        <v>8</v>
      </c>
      <c r="EN662" s="27" t="s">
        <v>7</v>
      </c>
      <c r="FE662" s="27" t="s">
        <v>8</v>
      </c>
      <c r="FF662" s="27" t="s">
        <v>7</v>
      </c>
      <c r="FH662" s="27" t="s">
        <v>7</v>
      </c>
      <c r="FT662" s="27" t="s">
        <v>7</v>
      </c>
      <c r="FU662" s="27" t="s">
        <v>8</v>
      </c>
      <c r="FV662" s="27" t="s">
        <v>7</v>
      </c>
      <c r="GY662" s="27" t="s">
        <v>8</v>
      </c>
      <c r="GZ662" s="27" t="s">
        <v>7</v>
      </c>
      <c r="HA662" s="27" t="s">
        <v>8</v>
      </c>
      <c r="HD662" s="27" t="s">
        <v>7</v>
      </c>
      <c r="HE662" s="27" t="s">
        <v>8</v>
      </c>
      <c r="HF662" s="27" t="s">
        <v>7</v>
      </c>
      <c r="HG662" s="27" t="s">
        <v>8</v>
      </c>
      <c r="HI662" s="27" t="s">
        <v>8</v>
      </c>
      <c r="HJ662" s="27" t="s">
        <v>7</v>
      </c>
      <c r="HK662" s="27" t="s">
        <v>8</v>
      </c>
      <c r="HL662" s="27" t="s">
        <v>7</v>
      </c>
      <c r="JD662" s="27" t="s">
        <v>7</v>
      </c>
    </row>
    <row r="663" spans="1:270" x14ac:dyDescent="0.25">
      <c r="A663" s="7">
        <v>0.22201736609644623</v>
      </c>
      <c r="B663"/>
      <c r="C663"/>
      <c r="D663"/>
      <c r="E663"/>
      <c r="T663" s="27" t="s">
        <v>7</v>
      </c>
      <c r="U663" s="27" t="s">
        <v>8</v>
      </c>
      <c r="V663" s="27" t="s">
        <v>7</v>
      </c>
      <c r="X663" s="27" t="s">
        <v>7</v>
      </c>
      <c r="Y663" s="27" t="s">
        <v>8</v>
      </c>
      <c r="Z663" s="27" t="s">
        <v>7</v>
      </c>
      <c r="AA663" s="27" t="s">
        <v>8</v>
      </c>
      <c r="EN663" s="27" t="s">
        <v>7</v>
      </c>
      <c r="FE663" s="27" t="s">
        <v>8</v>
      </c>
      <c r="FT663" s="27" t="s">
        <v>7</v>
      </c>
      <c r="FU663" s="27" t="s">
        <v>8</v>
      </c>
      <c r="FV663" s="27" t="s">
        <v>7</v>
      </c>
      <c r="GY663" s="27" t="s">
        <v>8</v>
      </c>
      <c r="GZ663" s="27" t="s">
        <v>7</v>
      </c>
      <c r="HA663" s="27" t="s">
        <v>8</v>
      </c>
      <c r="HD663" s="27" t="s">
        <v>7</v>
      </c>
      <c r="HE663" s="27" t="s">
        <v>8</v>
      </c>
      <c r="HF663" s="27" t="s">
        <v>7</v>
      </c>
      <c r="HG663" s="27" t="s">
        <v>8</v>
      </c>
      <c r="HH663" s="27" t="s">
        <v>7</v>
      </c>
      <c r="HI663" s="27" t="s">
        <v>8</v>
      </c>
      <c r="HJ663" s="27" t="s">
        <v>7</v>
      </c>
      <c r="HK663" s="27" t="s">
        <v>8</v>
      </c>
    </row>
    <row r="664" spans="1:270" x14ac:dyDescent="0.25">
      <c r="A664" s="7">
        <v>0.21766408440828061</v>
      </c>
      <c r="B664"/>
      <c r="C664"/>
      <c r="D664"/>
      <c r="E664"/>
      <c r="T664" s="27" t="s">
        <v>7</v>
      </c>
      <c r="U664" s="27" t="s">
        <v>8</v>
      </c>
      <c r="X664" s="27" t="s">
        <v>7</v>
      </c>
      <c r="Z664" s="27" t="s">
        <v>7</v>
      </c>
      <c r="AA664" s="27" t="s">
        <v>8</v>
      </c>
      <c r="EN664" s="27" t="s">
        <v>7</v>
      </c>
      <c r="EQ664" s="27" t="s">
        <v>8</v>
      </c>
      <c r="ES664" s="27" t="s">
        <v>8</v>
      </c>
      <c r="FE664" s="27" t="s">
        <v>8</v>
      </c>
      <c r="FT664" s="27" t="s">
        <v>7</v>
      </c>
      <c r="FU664" s="27" t="s">
        <v>8</v>
      </c>
      <c r="FV664" s="27" t="s">
        <v>7</v>
      </c>
      <c r="GU664" s="27" t="s">
        <v>8</v>
      </c>
      <c r="GY664" s="27" t="s">
        <v>8</v>
      </c>
      <c r="GZ664" s="27" t="s">
        <v>7</v>
      </c>
      <c r="HD664" s="27" t="s">
        <v>7</v>
      </c>
      <c r="HF664" s="27" t="s">
        <v>7</v>
      </c>
      <c r="HG664" s="27" t="s">
        <v>8</v>
      </c>
      <c r="HH664" s="27" t="s">
        <v>7</v>
      </c>
      <c r="HI664" s="27" t="s">
        <v>8</v>
      </c>
      <c r="HJ664" s="27" t="s">
        <v>7</v>
      </c>
      <c r="HK664" s="27" t="s">
        <v>8</v>
      </c>
    </row>
    <row r="665" spans="1:270" x14ac:dyDescent="0.25">
      <c r="A665" s="7">
        <v>0.21339616118458882</v>
      </c>
      <c r="B665"/>
      <c r="C665"/>
      <c r="D665"/>
      <c r="E665"/>
      <c r="T665" s="27" t="s">
        <v>7</v>
      </c>
      <c r="U665" s="27" t="s">
        <v>8</v>
      </c>
      <c r="Z665" s="27" t="s">
        <v>7</v>
      </c>
      <c r="AA665" s="27" t="s">
        <v>8</v>
      </c>
      <c r="EN665" s="27" t="s">
        <v>7</v>
      </c>
      <c r="EO665" s="27" t="s">
        <v>8</v>
      </c>
      <c r="EQ665" s="27" t="s">
        <v>8</v>
      </c>
      <c r="ER665" s="27" t="s">
        <v>7</v>
      </c>
      <c r="ES665" s="27" t="s">
        <v>8</v>
      </c>
      <c r="ET665" s="27" t="s">
        <v>7</v>
      </c>
      <c r="FE665" s="27" t="s">
        <v>8</v>
      </c>
      <c r="FT665" s="27" t="s">
        <v>7</v>
      </c>
      <c r="FU665" s="27" t="s">
        <v>8</v>
      </c>
      <c r="FV665" s="27" t="s">
        <v>7</v>
      </c>
      <c r="GS665" s="27" t="s">
        <v>8</v>
      </c>
      <c r="GU665" s="27" t="s">
        <v>8</v>
      </c>
      <c r="GV665" s="27" t="s">
        <v>7</v>
      </c>
      <c r="GY665" s="27" t="s">
        <v>8</v>
      </c>
      <c r="HF665" s="27" t="s">
        <v>7</v>
      </c>
      <c r="HG665" s="27" t="s">
        <v>8</v>
      </c>
      <c r="HH665" s="27" t="s">
        <v>7</v>
      </c>
      <c r="HJ665" s="27" t="s">
        <v>7</v>
      </c>
      <c r="HK665" s="27" t="s">
        <v>8</v>
      </c>
    </row>
    <row r="666" spans="1:270" x14ac:dyDescent="0.25">
      <c r="A666" s="7">
        <v>0.20921192272998904</v>
      </c>
      <c r="B666"/>
      <c r="C666"/>
      <c r="D666"/>
      <c r="E666"/>
      <c r="T666" s="27" t="s">
        <v>7</v>
      </c>
      <c r="U666" s="27" t="s">
        <v>8</v>
      </c>
      <c r="Z666" s="27" t="s">
        <v>7</v>
      </c>
      <c r="AA666" s="27" t="s">
        <v>8</v>
      </c>
      <c r="EN666" s="27" t="s">
        <v>7</v>
      </c>
      <c r="EO666" s="27" t="s">
        <v>8</v>
      </c>
      <c r="EP666" s="27" t="s">
        <v>7</v>
      </c>
      <c r="EQ666" s="27" t="s">
        <v>8</v>
      </c>
      <c r="ER666" s="27" t="s">
        <v>7</v>
      </c>
      <c r="ES666" s="27" t="s">
        <v>8</v>
      </c>
      <c r="ET666" s="27" t="s">
        <v>7</v>
      </c>
      <c r="EU666" s="27" t="s">
        <v>8</v>
      </c>
      <c r="EW666" s="27" t="s">
        <v>8</v>
      </c>
      <c r="FE666" s="27" t="s">
        <v>8</v>
      </c>
      <c r="FT666" s="27" t="s">
        <v>7</v>
      </c>
      <c r="FU666" s="27" t="s">
        <v>8</v>
      </c>
      <c r="FV666" s="27" t="s">
        <v>7</v>
      </c>
      <c r="GS666" s="27" t="s">
        <v>8</v>
      </c>
      <c r="GT666" s="27" t="s">
        <v>7</v>
      </c>
      <c r="GU666" s="27" t="s">
        <v>8</v>
      </c>
      <c r="GV666" s="27" t="s">
        <v>7</v>
      </c>
      <c r="GY666" s="27" t="s">
        <v>8</v>
      </c>
      <c r="HF666" s="27" t="s">
        <v>7</v>
      </c>
      <c r="HG666" s="27" t="s">
        <v>8</v>
      </c>
      <c r="HJ666" s="27" t="s">
        <v>7</v>
      </c>
      <c r="HK666" s="27" t="s">
        <v>8</v>
      </c>
    </row>
    <row r="667" spans="1:270" x14ac:dyDescent="0.25">
      <c r="A667" s="7">
        <v>0.20510972816665593</v>
      </c>
      <c r="B667"/>
      <c r="C667"/>
      <c r="D667"/>
      <c r="E667"/>
      <c r="T667" s="27" t="s">
        <v>7</v>
      </c>
      <c r="Z667" s="27" t="s">
        <v>7</v>
      </c>
      <c r="EN667" s="27" t="s">
        <v>7</v>
      </c>
      <c r="EO667" s="27" t="s">
        <v>8</v>
      </c>
      <c r="EP667" s="27" t="s">
        <v>7</v>
      </c>
      <c r="EQ667" s="27" t="s">
        <v>8</v>
      </c>
      <c r="ER667" s="27" t="s">
        <v>7</v>
      </c>
      <c r="ES667" s="27" t="s">
        <v>8</v>
      </c>
      <c r="ET667" s="27" t="s">
        <v>7</v>
      </c>
      <c r="EU667" s="27" t="s">
        <v>8</v>
      </c>
      <c r="EV667" s="27" t="s">
        <v>7</v>
      </c>
      <c r="EW667" s="27" t="s">
        <v>8</v>
      </c>
      <c r="EX667" s="27" t="s">
        <v>7</v>
      </c>
      <c r="FE667" s="27" t="s">
        <v>8</v>
      </c>
      <c r="FT667" s="27" t="s">
        <v>7</v>
      </c>
      <c r="FV667" s="27" t="s">
        <v>7</v>
      </c>
      <c r="GS667" s="27" t="s">
        <v>8</v>
      </c>
      <c r="GT667" s="27" t="s">
        <v>7</v>
      </c>
      <c r="GU667" s="27" t="s">
        <v>8</v>
      </c>
      <c r="GV667" s="27" t="s">
        <v>7</v>
      </c>
      <c r="GW667" s="27" t="s">
        <v>8</v>
      </c>
      <c r="GY667" s="27" t="s">
        <v>8</v>
      </c>
      <c r="HF667" s="27" t="s">
        <v>7</v>
      </c>
      <c r="HJ667" s="27" t="s">
        <v>7</v>
      </c>
      <c r="HK667" s="27" t="s">
        <v>8</v>
      </c>
    </row>
    <row r="668" spans="1:270" x14ac:dyDescent="0.25">
      <c r="A668" s="7">
        <v>0.20108796879083912</v>
      </c>
      <c r="B668"/>
      <c r="C668"/>
      <c r="D668"/>
      <c r="E668"/>
      <c r="EN668" s="27" t="s">
        <v>7</v>
      </c>
      <c r="EO668" s="27" t="s">
        <v>8</v>
      </c>
      <c r="EP668" s="27" t="s">
        <v>7</v>
      </c>
      <c r="EQ668" s="27" t="s">
        <v>8</v>
      </c>
      <c r="ER668" s="27" t="s">
        <v>7</v>
      </c>
      <c r="ES668" s="27" t="s">
        <v>8</v>
      </c>
      <c r="ET668" s="27" t="s">
        <v>7</v>
      </c>
      <c r="EU668" s="27" t="s">
        <v>8</v>
      </c>
      <c r="EV668" s="27" t="s">
        <v>7</v>
      </c>
      <c r="EW668" s="27" t="s">
        <v>8</v>
      </c>
      <c r="EX668" s="27" t="s">
        <v>7</v>
      </c>
      <c r="FE668" s="27" t="s">
        <v>8</v>
      </c>
      <c r="FV668" s="27" t="s">
        <v>7</v>
      </c>
      <c r="FW668" s="27" t="s">
        <v>8</v>
      </c>
      <c r="GS668" s="27" t="s">
        <v>8</v>
      </c>
      <c r="GT668" s="27" t="s">
        <v>7</v>
      </c>
      <c r="GU668" s="27" t="s">
        <v>8</v>
      </c>
      <c r="GV668" s="27" t="s">
        <v>7</v>
      </c>
      <c r="GW668" s="27" t="s">
        <v>8</v>
      </c>
      <c r="GX668" s="27" t="s">
        <v>7</v>
      </c>
      <c r="GY668" s="27" t="s">
        <v>8</v>
      </c>
      <c r="HJ668" s="27" t="s">
        <v>7</v>
      </c>
      <c r="HK668" s="27" t="s">
        <v>8</v>
      </c>
    </row>
    <row r="669" spans="1:270" x14ac:dyDescent="0.25">
      <c r="A669" s="7">
        <v>0.19714506744199917</v>
      </c>
      <c r="B669"/>
      <c r="C669"/>
      <c r="D669"/>
      <c r="E669"/>
      <c r="EN669" s="27" t="s">
        <v>7</v>
      </c>
      <c r="EO669" s="27" t="s">
        <v>8</v>
      </c>
      <c r="EP669" s="27" t="s">
        <v>7</v>
      </c>
      <c r="EQ669" s="27" t="s">
        <v>8</v>
      </c>
      <c r="ER669" s="27" t="s">
        <v>7</v>
      </c>
      <c r="ET669" s="27" t="s">
        <v>7</v>
      </c>
      <c r="EU669" s="27" t="s">
        <v>8</v>
      </c>
      <c r="EV669" s="27" t="s">
        <v>7</v>
      </c>
      <c r="EX669" s="27" t="s">
        <v>7</v>
      </c>
      <c r="FC669" s="27" t="s">
        <v>8</v>
      </c>
      <c r="FE669" s="27" t="s">
        <v>8</v>
      </c>
      <c r="FV669" s="27" t="s">
        <v>7</v>
      </c>
      <c r="FW669" s="27" t="s">
        <v>8</v>
      </c>
      <c r="FX669" s="27" t="s">
        <v>7</v>
      </c>
      <c r="GS669" s="27" t="s">
        <v>8</v>
      </c>
      <c r="GT669" s="27" t="s">
        <v>7</v>
      </c>
      <c r="GU669" s="27" t="s">
        <v>8</v>
      </c>
      <c r="GV669" s="27" t="s">
        <v>7</v>
      </c>
      <c r="GW669" s="27" t="s">
        <v>8</v>
      </c>
      <c r="GX669" s="27" t="s">
        <v>7</v>
      </c>
      <c r="GY669" s="27" t="s">
        <v>8</v>
      </c>
      <c r="HJ669" s="27" t="s">
        <v>7</v>
      </c>
    </row>
    <row r="670" spans="1:270" x14ac:dyDescent="0.25">
      <c r="A670" s="7">
        <v>0.19327947788431293</v>
      </c>
      <c r="B670"/>
      <c r="C670"/>
      <c r="D670"/>
      <c r="E670"/>
      <c r="EN670" s="27" t="s">
        <v>7</v>
      </c>
      <c r="EO670" s="27" t="s">
        <v>8</v>
      </c>
      <c r="EP670" s="27" t="s">
        <v>7</v>
      </c>
      <c r="EQ670" s="27" t="s">
        <v>8</v>
      </c>
      <c r="ET670" s="27" t="s">
        <v>7</v>
      </c>
      <c r="EU670" s="27" t="s">
        <v>8</v>
      </c>
      <c r="EX670" s="27" t="s">
        <v>7</v>
      </c>
      <c r="FC670" s="27" t="s">
        <v>8</v>
      </c>
      <c r="FD670" s="27" t="s">
        <v>7</v>
      </c>
      <c r="FE670" s="27" t="s">
        <v>8</v>
      </c>
      <c r="FV670" s="27" t="s">
        <v>7</v>
      </c>
      <c r="FW670" s="27" t="s">
        <v>8</v>
      </c>
      <c r="FX670" s="27" t="s">
        <v>7</v>
      </c>
      <c r="GO670" s="27" t="s">
        <v>8</v>
      </c>
      <c r="GS670" s="27" t="s">
        <v>8</v>
      </c>
      <c r="GT670" s="27" t="s">
        <v>7</v>
      </c>
      <c r="GU670" s="27" t="s">
        <v>8</v>
      </c>
      <c r="GV670" s="27" t="s">
        <v>7</v>
      </c>
      <c r="GW670" s="27" t="s">
        <v>8</v>
      </c>
      <c r="GX670" s="27" t="s">
        <v>7</v>
      </c>
      <c r="GY670" s="27" t="s">
        <v>8</v>
      </c>
    </row>
    <row r="671" spans="1:270" x14ac:dyDescent="0.25">
      <c r="A671" s="7">
        <v>0.18948968420030682</v>
      </c>
      <c r="B671"/>
      <c r="C671"/>
      <c r="D671"/>
      <c r="E671"/>
      <c r="EN671" s="27" t="s">
        <v>7</v>
      </c>
      <c r="EO671" s="27" t="s">
        <v>8</v>
      </c>
      <c r="EP671" s="27" t="s">
        <v>7</v>
      </c>
      <c r="ET671" s="27" t="s">
        <v>7</v>
      </c>
      <c r="EX671" s="27" t="s">
        <v>7</v>
      </c>
      <c r="FC671" s="27" t="s">
        <v>8</v>
      </c>
      <c r="FD671" s="27" t="s">
        <v>7</v>
      </c>
      <c r="FE671" s="27" t="s">
        <v>8</v>
      </c>
      <c r="FV671" s="27" t="s">
        <v>7</v>
      </c>
      <c r="FW671" s="27" t="s">
        <v>8</v>
      </c>
      <c r="FX671" s="27" t="s">
        <v>7</v>
      </c>
      <c r="GM671" s="27" t="s">
        <v>8</v>
      </c>
      <c r="GO671" s="27" t="s">
        <v>8</v>
      </c>
      <c r="GP671" s="27" t="s">
        <v>7</v>
      </c>
      <c r="GQ671" s="27" t="s">
        <v>8</v>
      </c>
      <c r="GS671" s="27" t="s">
        <v>8</v>
      </c>
      <c r="GT671" s="27" t="s">
        <v>7</v>
      </c>
      <c r="GU671" s="27" t="s">
        <v>8</v>
      </c>
      <c r="GV671" s="27" t="s">
        <v>7</v>
      </c>
      <c r="GW671" s="27" t="s">
        <v>8</v>
      </c>
      <c r="GX671" s="27" t="s">
        <v>7</v>
      </c>
    </row>
    <row r="672" spans="1:270" x14ac:dyDescent="0.25">
      <c r="A672" s="7">
        <v>0.18577420019637925</v>
      </c>
      <c r="B672"/>
      <c r="C672"/>
      <c r="D672"/>
      <c r="E672"/>
      <c r="EN672" s="27" t="s">
        <v>7</v>
      </c>
      <c r="EO672" s="27" t="s">
        <v>8</v>
      </c>
      <c r="EX672" s="27" t="s">
        <v>7</v>
      </c>
      <c r="FC672" s="27" t="s">
        <v>8</v>
      </c>
      <c r="FD672" s="27" t="s">
        <v>7</v>
      </c>
      <c r="FE672" s="27" t="s">
        <v>8</v>
      </c>
      <c r="FV672" s="27" t="s">
        <v>7</v>
      </c>
      <c r="FW672" s="27" t="s">
        <v>8</v>
      </c>
      <c r="FX672" s="27" t="s">
        <v>7</v>
      </c>
      <c r="GM672" s="27" t="s">
        <v>8</v>
      </c>
      <c r="GN672" s="27" t="s">
        <v>7</v>
      </c>
      <c r="GO672" s="27" t="s">
        <v>8</v>
      </c>
      <c r="GP672" s="27" t="s">
        <v>7</v>
      </c>
      <c r="GQ672" s="27" t="s">
        <v>8</v>
      </c>
      <c r="GR672" s="27" t="s">
        <v>7</v>
      </c>
      <c r="GS672" s="27" t="s">
        <v>8</v>
      </c>
      <c r="GT672" s="27" t="s">
        <v>7</v>
      </c>
      <c r="GU672" s="27" t="s">
        <v>8</v>
      </c>
      <c r="GV672" s="27" t="s">
        <v>7</v>
      </c>
      <c r="GW672" s="27" t="s">
        <v>8</v>
      </c>
    </row>
    <row r="673" spans="1:204" x14ac:dyDescent="0.25">
      <c r="A673" s="7">
        <v>0.18213156881997963</v>
      </c>
      <c r="B673"/>
      <c r="C673"/>
      <c r="D673"/>
      <c r="E673"/>
      <c r="EN673" s="27" t="s">
        <v>7</v>
      </c>
      <c r="EX673" s="27" t="s">
        <v>7</v>
      </c>
      <c r="FC673" s="27" t="s">
        <v>8</v>
      </c>
      <c r="FD673" s="27" t="s">
        <v>7</v>
      </c>
      <c r="FE673" s="27" t="s">
        <v>8</v>
      </c>
      <c r="FV673" s="27" t="s">
        <v>7</v>
      </c>
      <c r="FW673" s="27" t="s">
        <v>8</v>
      </c>
      <c r="FX673" s="27" t="s">
        <v>7</v>
      </c>
      <c r="GM673" s="27" t="s">
        <v>8</v>
      </c>
      <c r="GN673" s="27" t="s">
        <v>7</v>
      </c>
      <c r="GO673" s="27" t="s">
        <v>8</v>
      </c>
      <c r="GP673" s="27" t="s">
        <v>7</v>
      </c>
      <c r="GQ673" s="27" t="s">
        <v>8</v>
      </c>
      <c r="GR673" s="27" t="s">
        <v>7</v>
      </c>
      <c r="GS673" s="27" t="s">
        <v>8</v>
      </c>
      <c r="GT673" s="27" t="s">
        <v>7</v>
      </c>
      <c r="GU673" s="27" t="s">
        <v>8</v>
      </c>
      <c r="GV673" s="27" t="s">
        <v>7</v>
      </c>
    </row>
    <row r="674" spans="1:204" x14ac:dyDescent="0.25">
      <c r="A674" s="7">
        <v>0.17856036158821534</v>
      </c>
      <c r="B674"/>
      <c r="C674"/>
      <c r="D674"/>
      <c r="E674"/>
      <c r="EX674" s="27" t="s">
        <v>7</v>
      </c>
      <c r="FC674" s="27" t="s">
        <v>8</v>
      </c>
      <c r="FD674" s="27" t="s">
        <v>7</v>
      </c>
      <c r="FE674" s="27" t="s">
        <v>8</v>
      </c>
      <c r="FV674" s="27" t="s">
        <v>7</v>
      </c>
      <c r="FX674" s="27" t="s">
        <v>7</v>
      </c>
      <c r="GK674" s="27" t="s">
        <v>8</v>
      </c>
      <c r="GM674" s="27" t="s">
        <v>8</v>
      </c>
      <c r="GN674" s="27" t="s">
        <v>7</v>
      </c>
      <c r="GP674" s="27" t="s">
        <v>7</v>
      </c>
      <c r="GQ674" s="27" t="s">
        <v>8</v>
      </c>
      <c r="GR674" s="27" t="s">
        <v>7</v>
      </c>
      <c r="GT674" s="27" t="s">
        <v>7</v>
      </c>
      <c r="GU674" s="27" t="s">
        <v>8</v>
      </c>
    </row>
    <row r="675" spans="1:204" x14ac:dyDescent="0.25">
      <c r="A675" s="7">
        <v>0.17505917802766208</v>
      </c>
      <c r="B675"/>
      <c r="C675"/>
      <c r="D675"/>
      <c r="E675"/>
      <c r="EX675" s="27" t="s">
        <v>7</v>
      </c>
      <c r="FC675" s="27" t="s">
        <v>8</v>
      </c>
      <c r="FD675" s="27" t="s">
        <v>7</v>
      </c>
      <c r="FE675" s="27" t="s">
        <v>8</v>
      </c>
      <c r="FX675" s="27" t="s">
        <v>7</v>
      </c>
      <c r="GE675" s="27" t="s">
        <v>8</v>
      </c>
      <c r="GK675" s="27" t="s">
        <v>8</v>
      </c>
      <c r="GL675" s="27" t="s">
        <v>7</v>
      </c>
      <c r="GM675" s="27" t="s">
        <v>8</v>
      </c>
      <c r="GP675" s="27" t="s">
        <v>7</v>
      </c>
      <c r="GT675" s="27" t="s">
        <v>7</v>
      </c>
      <c r="GU675" s="27" t="s">
        <v>8</v>
      </c>
    </row>
    <row r="676" spans="1:204" x14ac:dyDescent="0.25">
      <c r="A676" s="7">
        <v>0.17162664512515888</v>
      </c>
      <c r="B676"/>
      <c r="C676"/>
      <c r="D676"/>
      <c r="E676"/>
      <c r="EX676" s="27" t="s">
        <v>7</v>
      </c>
      <c r="FC676" s="27" t="s">
        <v>8</v>
      </c>
      <c r="FD676" s="27" t="s">
        <v>7</v>
      </c>
      <c r="FX676" s="27" t="s">
        <v>7</v>
      </c>
      <c r="GE676" s="27" t="s">
        <v>8</v>
      </c>
      <c r="GF676" s="27" t="s">
        <v>7</v>
      </c>
      <c r="GK676" s="27" t="s">
        <v>8</v>
      </c>
      <c r="GL676" s="27" t="s">
        <v>7</v>
      </c>
      <c r="GM676" s="27" t="s">
        <v>8</v>
      </c>
      <c r="GT676" s="27" t="s">
        <v>7</v>
      </c>
      <c r="GU676" s="27" t="s">
        <v>8</v>
      </c>
    </row>
    <row r="677" spans="1:204" x14ac:dyDescent="0.25">
      <c r="A677" s="7">
        <v>0.16826141678937145</v>
      </c>
      <c r="B677"/>
      <c r="C677"/>
      <c r="D677"/>
      <c r="E677"/>
      <c r="EX677" s="27" t="s">
        <v>7</v>
      </c>
      <c r="FA677" s="27" t="s">
        <v>8</v>
      </c>
      <c r="FC677" s="27" t="s">
        <v>8</v>
      </c>
      <c r="FX677" s="27" t="s">
        <v>7</v>
      </c>
      <c r="GE677" s="27" t="s">
        <v>8</v>
      </c>
      <c r="GF677" s="27" t="s">
        <v>7</v>
      </c>
      <c r="GK677" s="27" t="s">
        <v>8</v>
      </c>
      <c r="GL677" s="27" t="s">
        <v>7</v>
      </c>
      <c r="GM677" s="27" t="s">
        <v>8</v>
      </c>
      <c r="GT677" s="27" t="s">
        <v>7</v>
      </c>
    </row>
    <row r="678" spans="1:204" x14ac:dyDescent="0.25">
      <c r="A678" s="7">
        <v>0.16496217332291319</v>
      </c>
      <c r="B678"/>
      <c r="C678"/>
      <c r="D678"/>
      <c r="E678"/>
      <c r="EX678" s="27" t="s">
        <v>7</v>
      </c>
      <c r="EY678" s="27" t="s">
        <v>8</v>
      </c>
      <c r="FA678" s="27" t="s">
        <v>8</v>
      </c>
      <c r="FB678" s="27" t="s">
        <v>7</v>
      </c>
      <c r="FC678" s="27" t="s">
        <v>8</v>
      </c>
      <c r="FX678" s="27" t="s">
        <v>7</v>
      </c>
      <c r="GA678" s="27" t="s">
        <v>8</v>
      </c>
      <c r="GE678" s="27" t="s">
        <v>8</v>
      </c>
      <c r="GF678" s="27" t="s">
        <v>7</v>
      </c>
      <c r="GG678" s="27" t="s">
        <v>8</v>
      </c>
      <c r="GK678" s="27" t="s">
        <v>8</v>
      </c>
      <c r="GL678" s="27" t="s">
        <v>7</v>
      </c>
      <c r="GM678" s="27" t="s">
        <v>8</v>
      </c>
    </row>
    <row r="679" spans="1:204" x14ac:dyDescent="0.25">
      <c r="A679" s="7">
        <v>0.16172762090481685</v>
      </c>
      <c r="B679"/>
      <c r="C679"/>
      <c r="D679"/>
      <c r="E679"/>
      <c r="EX679" s="27" t="s">
        <v>7</v>
      </c>
      <c r="EY679" s="27" t="s">
        <v>8</v>
      </c>
      <c r="EZ679" s="27" t="s">
        <v>7</v>
      </c>
      <c r="FA679" s="27" t="s">
        <v>8</v>
      </c>
      <c r="FB679" s="27" t="s">
        <v>7</v>
      </c>
      <c r="FC679" s="27" t="s">
        <v>8</v>
      </c>
      <c r="FX679" s="27" t="s">
        <v>7</v>
      </c>
      <c r="GA679" s="27" t="s">
        <v>8</v>
      </c>
      <c r="GB679" s="27" t="s">
        <v>7</v>
      </c>
      <c r="GE679" s="27" t="s">
        <v>8</v>
      </c>
      <c r="GF679" s="27" t="s">
        <v>7</v>
      </c>
      <c r="GG679" s="27" t="s">
        <v>8</v>
      </c>
      <c r="GH679" s="27" t="s">
        <v>7</v>
      </c>
      <c r="GI679" s="27" t="s">
        <v>8</v>
      </c>
      <c r="GK679" s="27" t="s">
        <v>8</v>
      </c>
      <c r="GL679" s="27" t="s">
        <v>7</v>
      </c>
    </row>
    <row r="680" spans="1:204" x14ac:dyDescent="0.25">
      <c r="A680" s="7">
        <v>0.15855649108315376</v>
      </c>
      <c r="B680"/>
      <c r="C680"/>
      <c r="D680"/>
      <c r="E680"/>
      <c r="EX680" s="27" t="s">
        <v>7</v>
      </c>
      <c r="EY680" s="27" t="s">
        <v>8</v>
      </c>
      <c r="EZ680" s="27" t="s">
        <v>7</v>
      </c>
      <c r="FA680" s="27" t="s">
        <v>8</v>
      </c>
      <c r="FB680" s="27" t="s">
        <v>7</v>
      </c>
      <c r="FC680" s="27" t="s">
        <v>8</v>
      </c>
      <c r="FX680" s="27" t="s">
        <v>7</v>
      </c>
      <c r="GA680" s="27" t="s">
        <v>8</v>
      </c>
      <c r="GB680" s="27" t="s">
        <v>7</v>
      </c>
      <c r="GE680" s="27" t="s">
        <v>8</v>
      </c>
      <c r="GF680" s="27" t="s">
        <v>7</v>
      </c>
      <c r="GG680" s="27" t="s">
        <v>8</v>
      </c>
      <c r="GH680" s="27" t="s">
        <v>7</v>
      </c>
      <c r="GI680" s="27" t="s">
        <v>8</v>
      </c>
      <c r="GJ680" s="27" t="s">
        <v>7</v>
      </c>
      <c r="GK680" s="27" t="s">
        <v>8</v>
      </c>
    </row>
    <row r="681" spans="1:204" x14ac:dyDescent="0.25">
      <c r="A681" s="7">
        <v>0.15544754027760171</v>
      </c>
      <c r="B681"/>
      <c r="C681"/>
      <c r="D681"/>
      <c r="E681"/>
      <c r="EX681" s="27" t="s">
        <v>7</v>
      </c>
      <c r="EY681" s="27" t="s">
        <v>8</v>
      </c>
      <c r="EZ681" s="27" t="s">
        <v>7</v>
      </c>
      <c r="FA681" s="27" t="s">
        <v>8</v>
      </c>
      <c r="FB681" s="27" t="s">
        <v>7</v>
      </c>
      <c r="FX681" s="27" t="s">
        <v>7</v>
      </c>
      <c r="GA681" s="27" t="s">
        <v>8</v>
      </c>
      <c r="GB681" s="27" t="s">
        <v>7</v>
      </c>
      <c r="GE681" s="27" t="s">
        <v>8</v>
      </c>
      <c r="GF681" s="27" t="s">
        <v>7</v>
      </c>
      <c r="GG681" s="27" t="s">
        <v>8</v>
      </c>
      <c r="GH681" s="27" t="s">
        <v>7</v>
      </c>
      <c r="GI681" s="27" t="s">
        <v>8</v>
      </c>
      <c r="GJ681" s="27" t="s">
        <v>7</v>
      </c>
      <c r="GK681" s="27" t="s">
        <v>8</v>
      </c>
    </row>
    <row r="682" spans="1:204" x14ac:dyDescent="0.25">
      <c r="A682" s="7">
        <v>0.15239954929176638</v>
      </c>
      <c r="B682"/>
      <c r="C682"/>
      <c r="D682"/>
      <c r="E682"/>
      <c r="EX682" s="27" t="s">
        <v>7</v>
      </c>
      <c r="EY682" s="27" t="s">
        <v>8</v>
      </c>
      <c r="EZ682" s="27" t="s">
        <v>7</v>
      </c>
      <c r="FX682" s="27" t="s">
        <v>7</v>
      </c>
      <c r="GA682" s="27" t="s">
        <v>8</v>
      </c>
      <c r="GB682" s="27" t="s">
        <v>7</v>
      </c>
      <c r="GE682" s="27" t="s">
        <v>8</v>
      </c>
      <c r="GF682" s="27" t="s">
        <v>7</v>
      </c>
      <c r="GH682" s="27" t="s">
        <v>7</v>
      </c>
      <c r="GI682" s="27" t="s">
        <v>8</v>
      </c>
      <c r="GJ682" s="27" t="s">
        <v>7</v>
      </c>
      <c r="GK682" s="27" t="s">
        <v>8</v>
      </c>
    </row>
    <row r="683" spans="1:204" x14ac:dyDescent="0.25">
      <c r="A683" s="7">
        <v>0.14941132283506509</v>
      </c>
      <c r="B683"/>
      <c r="C683"/>
      <c r="D683"/>
      <c r="E683"/>
      <c r="EX683" s="27" t="s">
        <v>7</v>
      </c>
      <c r="FX683" s="27" t="s">
        <v>7</v>
      </c>
      <c r="GA683" s="27" t="s">
        <v>8</v>
      </c>
      <c r="GB683" s="27" t="s">
        <v>7</v>
      </c>
      <c r="GC683" s="27" t="s">
        <v>8</v>
      </c>
      <c r="GE683" s="27" t="s">
        <v>8</v>
      </c>
      <c r="GH683" s="27" t="s">
        <v>7</v>
      </c>
      <c r="GI683" s="27" t="s">
        <v>8</v>
      </c>
      <c r="GJ683" s="27" t="s">
        <v>7</v>
      </c>
      <c r="GK683" s="27" t="s">
        <v>8</v>
      </c>
    </row>
    <row r="684" spans="1:204" x14ac:dyDescent="0.25">
      <c r="A684" s="7">
        <v>0.14648168905398537</v>
      </c>
      <c r="B684"/>
      <c r="C684"/>
      <c r="D684"/>
      <c r="E684"/>
      <c r="FX684" s="27" t="s">
        <v>7</v>
      </c>
      <c r="GA684" s="27" t="s">
        <v>8</v>
      </c>
      <c r="GB684" s="27" t="s">
        <v>7</v>
      </c>
      <c r="GC684" s="27" t="s">
        <v>8</v>
      </c>
      <c r="GD684" s="27" t="s">
        <v>7</v>
      </c>
      <c r="GE684" s="27" t="s">
        <v>8</v>
      </c>
      <c r="GH684" s="27" t="s">
        <v>7</v>
      </c>
      <c r="GI684" s="27" t="s">
        <v>8</v>
      </c>
      <c r="GJ684" s="27" t="s">
        <v>7</v>
      </c>
    </row>
    <row r="685" spans="1:204" x14ac:dyDescent="0.25">
      <c r="A685" s="7">
        <v>0.14360949907253467</v>
      </c>
      <c r="B685"/>
      <c r="C685"/>
      <c r="D685"/>
      <c r="E685"/>
      <c r="FX685" s="27" t="s">
        <v>7</v>
      </c>
      <c r="GA685" s="27" t="s">
        <v>8</v>
      </c>
      <c r="GB685" s="27" t="s">
        <v>7</v>
      </c>
      <c r="GC685" s="27" t="s">
        <v>8</v>
      </c>
      <c r="GD685" s="27" t="s">
        <v>7</v>
      </c>
      <c r="GE685" s="27" t="s">
        <v>8</v>
      </c>
      <c r="GH685" s="27" t="s">
        <v>7</v>
      </c>
    </row>
    <row r="686" spans="1:204" x14ac:dyDescent="0.25">
      <c r="A686" s="7">
        <v>0.14079362654170066</v>
      </c>
      <c r="B686"/>
      <c r="C686"/>
      <c r="D686"/>
      <c r="E686"/>
      <c r="FX686" s="27" t="s">
        <v>7</v>
      </c>
      <c r="GA686" s="27" t="s">
        <v>8</v>
      </c>
      <c r="GB686" s="27" t="s">
        <v>7</v>
      </c>
      <c r="GC686" s="27" t="s">
        <v>8</v>
      </c>
      <c r="GD686" s="27" t="s">
        <v>7</v>
      </c>
      <c r="GE686" s="27" t="s">
        <v>8</v>
      </c>
    </row>
    <row r="687" spans="1:204" x14ac:dyDescent="0.25">
      <c r="A687" s="7">
        <v>0.13803296719774574</v>
      </c>
      <c r="B687"/>
      <c r="C687"/>
      <c r="D687"/>
      <c r="E687"/>
      <c r="FX687" s="27" t="s">
        <v>7</v>
      </c>
      <c r="GA687" s="27" t="s">
        <v>8</v>
      </c>
      <c r="GB687" s="27" t="s">
        <v>7</v>
      </c>
      <c r="GC687" s="27" t="s">
        <v>8</v>
      </c>
      <c r="GD687" s="27" t="s">
        <v>7</v>
      </c>
      <c r="GE687" s="27" t="s">
        <v>8</v>
      </c>
    </row>
    <row r="688" spans="1:204" x14ac:dyDescent="0.25">
      <c r="A688" s="7">
        <v>0.1353264384291625</v>
      </c>
      <c r="B688"/>
      <c r="C688"/>
      <c r="D688"/>
      <c r="E688"/>
      <c r="FX688" s="27" t="s">
        <v>7</v>
      </c>
      <c r="GA688" s="27" t="s">
        <v>8</v>
      </c>
      <c r="GB688" s="27" t="s">
        <v>7</v>
      </c>
      <c r="GC688" s="27" t="s">
        <v>8</v>
      </c>
      <c r="GD688" s="27" t="s">
        <v>7</v>
      </c>
      <c r="GE688" s="27" t="s">
        <v>8</v>
      </c>
    </row>
    <row r="689" spans="1:186" x14ac:dyDescent="0.25">
      <c r="A689" s="7">
        <v>0.13267297885212009</v>
      </c>
      <c r="B689"/>
      <c r="C689"/>
      <c r="D689"/>
      <c r="E689"/>
      <c r="FX689" s="27" t="s">
        <v>7</v>
      </c>
      <c r="FY689" s="27" t="s">
        <v>8</v>
      </c>
      <c r="GA689" s="27" t="s">
        <v>8</v>
      </c>
      <c r="GB689" s="27" t="s">
        <v>7</v>
      </c>
      <c r="GC689" s="27" t="s">
        <v>8</v>
      </c>
      <c r="GD689" s="27" t="s">
        <v>7</v>
      </c>
    </row>
    <row r="690" spans="1:186" x14ac:dyDescent="0.25">
      <c r="A690" s="7">
        <v>0.13007154789423539</v>
      </c>
      <c r="B690"/>
      <c r="C690"/>
      <c r="D690"/>
      <c r="E690"/>
      <c r="FX690" s="27" t="s">
        <v>7</v>
      </c>
      <c r="FY690" s="27" t="s">
        <v>8</v>
      </c>
      <c r="FZ690" s="27" t="s">
        <v>7</v>
      </c>
      <c r="GA690" s="27" t="s">
        <v>8</v>
      </c>
      <c r="GB690" s="27" t="s">
        <v>7</v>
      </c>
      <c r="GC690" s="27" t="s">
        <v>8</v>
      </c>
    </row>
    <row r="691" spans="1:186" x14ac:dyDescent="0.25">
      <c r="A691" s="7">
        <v>0.12752112538650529</v>
      </c>
      <c r="B691"/>
      <c r="C691"/>
      <c r="D691"/>
      <c r="E691"/>
      <c r="FX691" s="27" t="s">
        <v>7</v>
      </c>
      <c r="FY691" s="27" t="s">
        <v>8</v>
      </c>
      <c r="FZ691" s="27" t="s">
        <v>7</v>
      </c>
      <c r="GA691" s="27" t="s">
        <v>8</v>
      </c>
      <c r="GB691" s="27" t="s">
        <v>7</v>
      </c>
      <c r="GC691" s="27" t="s">
        <v>8</v>
      </c>
    </row>
    <row r="692" spans="1:186" x14ac:dyDescent="0.25">
      <c r="A692" s="7">
        <v>0.12502071116324048</v>
      </c>
      <c r="B692"/>
      <c r="C692"/>
      <c r="D692"/>
      <c r="E692"/>
      <c r="FX692" s="27" t="s">
        <v>7</v>
      </c>
      <c r="FY692" s="27" t="s">
        <v>8</v>
      </c>
      <c r="FZ692" s="27" t="s">
        <v>7</v>
      </c>
      <c r="GA692" s="27" t="s">
        <v>8</v>
      </c>
      <c r="GB692" s="27" t="s">
        <v>7</v>
      </c>
    </row>
    <row r="693" spans="1:186" x14ac:dyDescent="0.25">
      <c r="A693" s="7">
        <v>0.1225693246698436</v>
      </c>
      <c r="B693"/>
      <c r="C693"/>
      <c r="D693"/>
      <c r="E693"/>
      <c r="FX693" s="27" t="s">
        <v>7</v>
      </c>
      <c r="FY693" s="27" t="s">
        <v>8</v>
      </c>
      <c r="FZ693" s="27" t="s">
        <v>7</v>
      </c>
      <c r="GA693" s="27" t="s">
        <v>8</v>
      </c>
    </row>
    <row r="694" spans="1:186" x14ac:dyDescent="0.25">
      <c r="A694" s="7">
        <v>0.12016600457827803</v>
      </c>
      <c r="B694"/>
      <c r="C694"/>
      <c r="D694"/>
      <c r="E694"/>
      <c r="FX694" s="27" t="s">
        <v>7</v>
      </c>
      <c r="FY694" s="27" t="s">
        <v>8</v>
      </c>
      <c r="FZ694" s="27" t="s">
        <v>7</v>
      </c>
      <c r="GA694" s="27" t="s">
        <v>8</v>
      </c>
    </row>
    <row r="695" spans="1:186" x14ac:dyDescent="0.25">
      <c r="A695" s="7">
        <v>0.1178098084100765</v>
      </c>
      <c r="B695"/>
      <c r="C695"/>
      <c r="D695"/>
      <c r="E695"/>
      <c r="FX695" s="27" t="s">
        <v>7</v>
      </c>
      <c r="FY695" s="27" t="s">
        <v>8</v>
      </c>
      <c r="FZ695" s="27" t="s">
        <v>7</v>
      </c>
      <c r="GA695" s="27" t="s">
        <v>8</v>
      </c>
    </row>
    <row r="696" spans="1:186" x14ac:dyDescent="0.25">
      <c r="A696" s="7">
        <v>0.11549981216674166</v>
      </c>
      <c r="B696"/>
      <c r="C696"/>
      <c r="D696"/>
      <c r="E696"/>
      <c r="FX696" s="27" t="s">
        <v>7</v>
      </c>
      <c r="FY696" s="27" t="s">
        <v>8</v>
      </c>
      <c r="FZ696" s="27" t="s">
        <v>7</v>
      </c>
      <c r="GA696" s="27" t="s">
        <v>8</v>
      </c>
    </row>
    <row r="697" spans="1:186" x14ac:dyDescent="0.25">
      <c r="A697" s="7">
        <v>0.11323510996739378</v>
      </c>
      <c r="B697"/>
      <c r="C697"/>
      <c r="D697"/>
      <c r="E697"/>
      <c r="FX697" s="27" t="s">
        <v>7</v>
      </c>
      <c r="FY697" s="27" t="s">
        <v>8</v>
      </c>
      <c r="FZ697" s="27" t="s">
        <v>7</v>
      </c>
      <c r="GA697" s="27" t="s">
        <v>8</v>
      </c>
    </row>
    <row r="698" spans="1:186" x14ac:dyDescent="0.25">
      <c r="A698" s="7">
        <v>0.11101481369352331</v>
      </c>
      <c r="B698"/>
      <c r="C698"/>
      <c r="D698"/>
      <c r="E698"/>
      <c r="FX698" s="27" t="s">
        <v>7</v>
      </c>
      <c r="FY698" s="27" t="s">
        <v>8</v>
      </c>
      <c r="FZ698" s="27" t="s">
        <v>7</v>
      </c>
      <c r="GA698" s="27" t="s">
        <v>8</v>
      </c>
    </row>
    <row r="699" spans="1:186" x14ac:dyDescent="0.25">
      <c r="A699" s="7">
        <v>0.10883805264070913</v>
      </c>
      <c r="B699"/>
      <c r="C699"/>
      <c r="D699"/>
      <c r="E699"/>
      <c r="FX699" s="27" t="s">
        <v>7</v>
      </c>
      <c r="FY699" s="27" t="s">
        <v>8</v>
      </c>
      <c r="FZ699" s="27" t="s">
        <v>7</v>
      </c>
      <c r="GA699" s="27" t="s">
        <v>8</v>
      </c>
    </row>
    <row r="700" spans="1:186" x14ac:dyDescent="0.25">
      <c r="A700" s="7">
        <v>0.10670397317716582</v>
      </c>
      <c r="B700"/>
      <c r="C700"/>
      <c r="D700"/>
      <c r="E700"/>
      <c r="FX700" s="27" t="s">
        <v>7</v>
      </c>
      <c r="FY700" s="27" t="s">
        <v>8</v>
      </c>
      <c r="FZ700" s="27" t="s">
        <v>7</v>
      </c>
      <c r="GA700" s="27" t="s">
        <v>8</v>
      </c>
    </row>
    <row r="701" spans="1:186" x14ac:dyDescent="0.25">
      <c r="A701" s="7">
        <v>0.1046117384089861</v>
      </c>
      <c r="B701"/>
      <c r="C701"/>
      <c r="D701"/>
      <c r="E701"/>
      <c r="FX701" s="27" t="s">
        <v>7</v>
      </c>
      <c r="FY701" s="27" t="s">
        <v>8</v>
      </c>
      <c r="FZ701" s="27" t="s">
        <v>7</v>
      </c>
      <c r="GA701" s="27" t="s">
        <v>8</v>
      </c>
    </row>
    <row r="702" spans="1:186" x14ac:dyDescent="0.25">
      <c r="A702" s="7">
        <v>0.10256052785194716</v>
      </c>
      <c r="B702"/>
      <c r="C702"/>
      <c r="D702"/>
      <c r="E702"/>
      <c r="FX702" s="27" t="s">
        <v>7</v>
      </c>
      <c r="FY702" s="27" t="s">
        <v>8</v>
      </c>
      <c r="FZ702" s="27" t="s">
        <v>7</v>
      </c>
      <c r="GA702" s="27" t="s">
        <v>8</v>
      </c>
    </row>
    <row r="703" spans="1:186" x14ac:dyDescent="0.25">
      <c r="A703" s="7">
        <v>0.10054953710975212</v>
      </c>
      <c r="B703"/>
      <c r="C703"/>
      <c r="D703"/>
      <c r="E703"/>
      <c r="FX703" s="27" t="s">
        <v>7</v>
      </c>
      <c r="FY703" s="27" t="s">
        <v>8</v>
      </c>
      <c r="FZ703" s="27" t="s">
        <v>7</v>
      </c>
      <c r="GA703" s="27" t="s">
        <v>8</v>
      </c>
    </row>
    <row r="704" spans="1:186" x14ac:dyDescent="0.25">
      <c r="A704" s="7">
        <v>9.8577977558580512E-2</v>
      </c>
      <c r="B704"/>
      <c r="C704"/>
      <c r="D704"/>
      <c r="E704"/>
      <c r="FX704" s="27" t="s">
        <v>7</v>
      </c>
      <c r="FY704" s="27" t="s">
        <v>8</v>
      </c>
      <c r="FZ704" s="27" t="s">
        <v>7</v>
      </c>
      <c r="GA704" s="27" t="s">
        <v>8</v>
      </c>
    </row>
    <row r="705" spans="1:183" x14ac:dyDescent="0.25">
      <c r="A705" s="7">
        <v>9.6645076037824032E-2</v>
      </c>
      <c r="B705"/>
      <c r="C705"/>
      <c r="D705"/>
      <c r="E705"/>
      <c r="FX705" s="27" t="s">
        <v>7</v>
      </c>
      <c r="FY705" s="27" t="s">
        <v>8</v>
      </c>
      <c r="FZ705" s="27" t="s">
        <v>7</v>
      </c>
      <c r="GA705" s="27" t="s">
        <v>8</v>
      </c>
    </row>
    <row r="706" spans="1:183" x14ac:dyDescent="0.25">
      <c r="A706" s="7">
        <v>9.4750074546886304E-2</v>
      </c>
      <c r="B706"/>
      <c r="C706"/>
      <c r="D706"/>
      <c r="E706"/>
      <c r="FX706" s="27" t="s">
        <v>7</v>
      </c>
      <c r="FY706" s="27" t="s">
        <v>8</v>
      </c>
      <c r="FZ706" s="27" t="s">
        <v>7</v>
      </c>
      <c r="GA706" s="27" t="s">
        <v>8</v>
      </c>
    </row>
    <row r="707" spans="1:183" x14ac:dyDescent="0.25">
      <c r="A707" s="7">
        <v>9.2892229947927743E-2</v>
      </c>
      <c r="B707"/>
      <c r="C707"/>
      <c r="D707"/>
      <c r="E707"/>
      <c r="FX707" s="27" t="s">
        <v>7</v>
      </c>
      <c r="FY707" s="27" t="s">
        <v>8</v>
      </c>
      <c r="FZ707" s="27" t="s">
        <v>7</v>
      </c>
      <c r="GA707" s="27" t="s">
        <v>8</v>
      </c>
    </row>
    <row r="708" spans="1:183" x14ac:dyDescent="0.25">
      <c r="A708" s="7">
        <v>9.1070813674438963E-2</v>
      </c>
      <c r="B708"/>
      <c r="C708"/>
      <c r="D708"/>
      <c r="E708"/>
      <c r="FX708" s="27" t="s">
        <v>7</v>
      </c>
      <c r="FY708" s="27" t="s">
        <v>8</v>
      </c>
      <c r="FZ708" s="27" t="s">
        <v>7</v>
      </c>
    </row>
    <row r="709" spans="1:183" x14ac:dyDescent="0.25">
      <c r="A709" s="7">
        <v>8.9285111445528392E-2</v>
      </c>
      <c r="B709"/>
      <c r="C709"/>
      <c r="D709"/>
      <c r="E709"/>
      <c r="FX709" s="27" t="s">
        <v>7</v>
      </c>
      <c r="FY709" s="27" t="s">
        <v>8</v>
      </c>
    </row>
    <row r="710" spans="1:183" x14ac:dyDescent="0.25">
      <c r="A710" s="7">
        <v>8.7534422985812155E-2</v>
      </c>
      <c r="B710"/>
      <c r="C710"/>
      <c r="D710"/>
      <c r="E710"/>
      <c r="FX710" s="27" t="s">
        <v>7</v>
      </c>
      <c r="FY710" s="27" t="s">
        <v>8</v>
      </c>
    </row>
    <row r="711" spans="1:183" x14ac:dyDescent="0.25">
      <c r="A711" s="7">
        <v>8.5818061750796232E-2</v>
      </c>
      <c r="B711"/>
      <c r="C711"/>
      <c r="D711"/>
      <c r="E711"/>
      <c r="FX711" s="27" t="s">
        <v>7</v>
      </c>
      <c r="FY711" s="27" t="s">
        <v>8</v>
      </c>
    </row>
    <row r="712" spans="1:183" x14ac:dyDescent="0.25">
      <c r="A712" s="7">
        <v>8.4135354657643366E-2</v>
      </c>
      <c r="B712"/>
      <c r="C712"/>
      <c r="D712"/>
      <c r="E712"/>
      <c r="FX712" s="27" t="s">
        <v>7</v>
      </c>
      <c r="FY712" s="27" t="s">
        <v>8</v>
      </c>
    </row>
    <row r="713" spans="1:183" x14ac:dyDescent="0.25">
      <c r="A713" s="7">
        <v>8.248564182121898E-2</v>
      </c>
      <c r="B713"/>
      <c r="C713"/>
      <c r="D713"/>
      <c r="E713"/>
      <c r="FX713" s="27" t="s">
        <v>7</v>
      </c>
      <c r="FY713" s="27" t="s">
        <v>8</v>
      </c>
    </row>
    <row r="714" spans="1:183" x14ac:dyDescent="0.25">
      <c r="A714" s="7">
        <v>8.0868276295312735E-2</v>
      </c>
      <c r="B714"/>
      <c r="C714"/>
      <c r="D714"/>
      <c r="E714"/>
      <c r="FX714" s="27" t="s">
        <v>7</v>
      </c>
      <c r="FY714" s="27" t="s">
        <v>8</v>
      </c>
    </row>
    <row r="715" spans="1:183" x14ac:dyDescent="0.25">
      <c r="A715" s="7">
        <v>7.9282623818934056E-2</v>
      </c>
      <c r="B715"/>
      <c r="C715"/>
      <c r="D715"/>
      <c r="E715"/>
      <c r="FX715" s="27" t="s">
        <v>7</v>
      </c>
      <c r="FY715" s="27" t="s">
        <v>8</v>
      </c>
    </row>
    <row r="716" spans="1:183" x14ac:dyDescent="0.25">
      <c r="A716" s="7">
        <v>7.7728062567582412E-2</v>
      </c>
      <c r="B716"/>
      <c r="C716"/>
      <c r="D716"/>
      <c r="E716"/>
      <c r="FX716" s="27" t="s">
        <v>7</v>
      </c>
      <c r="FY716" s="27" t="s">
        <v>8</v>
      </c>
    </row>
    <row r="717" spans="1:183" x14ac:dyDescent="0.25">
      <c r="A717" s="7">
        <v>7.6203982909394521E-2</v>
      </c>
      <c r="B717"/>
      <c r="C717"/>
      <c r="D717"/>
      <c r="E717"/>
      <c r="FX717" s="27" t="s">
        <v>7</v>
      </c>
      <c r="FY717" s="27" t="s">
        <v>8</v>
      </c>
    </row>
    <row r="718" spans="1:183" x14ac:dyDescent="0.25">
      <c r="A718" s="7">
        <v>7.4709787166073058E-2</v>
      </c>
      <c r="B718"/>
      <c r="C718"/>
      <c r="D718"/>
      <c r="E718"/>
      <c r="FX718" s="27" t="s">
        <v>7</v>
      </c>
      <c r="FY718" s="27" t="s">
        <v>8</v>
      </c>
    </row>
    <row r="719" spans="1:183" x14ac:dyDescent="0.25">
      <c r="A719" s="7">
        <v>7.3244889378503E-2</v>
      </c>
      <c r="B719"/>
      <c r="C719"/>
      <c r="D719"/>
      <c r="E719"/>
      <c r="FX719" s="27" t="s">
        <v>7</v>
      </c>
      <c r="FY719" s="27" t="s">
        <v>8</v>
      </c>
    </row>
    <row r="720" spans="1:183" x14ac:dyDescent="0.25">
      <c r="A720" s="7">
        <v>7.1808715076963722E-2</v>
      </c>
      <c r="B720"/>
      <c r="C720"/>
      <c r="D720"/>
      <c r="E720"/>
      <c r="FX720" s="27" t="s">
        <v>7</v>
      </c>
      <c r="FY720" s="27" t="s">
        <v>8</v>
      </c>
    </row>
    <row r="721" spans="1:181" x14ac:dyDescent="0.25">
      <c r="A721" s="7">
        <v>7.0400701055846782E-2</v>
      </c>
      <c r="B721"/>
      <c r="C721"/>
      <c r="D721"/>
      <c r="E721"/>
      <c r="FX721" s="27" t="s">
        <v>7</v>
      </c>
      <c r="FY721" s="27" t="s">
        <v>8</v>
      </c>
    </row>
    <row r="722" spans="1:181" x14ac:dyDescent="0.25">
      <c r="A722" s="7">
        <v>6.9020295152790956E-2</v>
      </c>
      <c r="B722"/>
      <c r="C722"/>
      <c r="D722"/>
      <c r="E722"/>
      <c r="FX722" s="27" t="s">
        <v>7</v>
      </c>
      <c r="FY722" s="27" t="s">
        <v>8</v>
      </c>
    </row>
    <row r="723" spans="1:181" x14ac:dyDescent="0.25">
      <c r="A723" s="7">
        <v>6.7666956032147993E-2</v>
      </c>
      <c r="B723"/>
      <c r="C723"/>
      <c r="D723"/>
      <c r="E723"/>
      <c r="FX723" s="27" t="s">
        <v>7</v>
      </c>
      <c r="FY723" s="27" t="s">
        <v>8</v>
      </c>
    </row>
    <row r="724" spans="1:181" x14ac:dyDescent="0.25">
      <c r="A724" s="7">
        <v>6.6340152972694105E-2</v>
      </c>
      <c r="B724"/>
      <c r="C724"/>
      <c r="D724"/>
      <c r="E724"/>
      <c r="FX724" s="27" t="s">
        <v>7</v>
      </c>
      <c r="FY724" s="27" t="s">
        <v>8</v>
      </c>
    </row>
    <row r="725" spans="1:181" x14ac:dyDescent="0.25">
      <c r="A725" s="7">
        <v>6.5039365659504023E-2</v>
      </c>
      <c r="B725"/>
      <c r="C725"/>
      <c r="D725"/>
      <c r="E725"/>
      <c r="FX725" s="27" t="s">
        <v>7</v>
      </c>
      <c r="FY725" s="27" t="s">
        <v>8</v>
      </c>
    </row>
    <row r="726" spans="1:181" x14ac:dyDescent="0.25">
      <c r="A726" s="7">
        <v>6.3764083979905906E-2</v>
      </c>
      <c r="B726"/>
      <c r="C726"/>
      <c r="D726"/>
      <c r="E726"/>
      <c r="FX726" s="27" t="s">
        <v>7</v>
      </c>
      <c r="FY726" s="27" t="s">
        <v>8</v>
      </c>
    </row>
    <row r="727" spans="1:181" x14ac:dyDescent="0.25">
      <c r="A727" s="7">
        <v>6.251380782343717E-2</v>
      </c>
      <c r="B727"/>
      <c r="C727"/>
      <c r="D727"/>
      <c r="E727"/>
      <c r="FX727" s="27" t="s">
        <v>7</v>
      </c>
      <c r="FY727" s="27" t="s">
        <v>8</v>
      </c>
    </row>
    <row r="728" spans="1:181" x14ac:dyDescent="0.25">
      <c r="A728" s="7">
        <v>6.1288046885722716E-2</v>
      </c>
      <c r="B728"/>
      <c r="C728"/>
      <c r="D728"/>
      <c r="E728"/>
      <c r="FX728" s="27" t="s">
        <v>7</v>
      </c>
      <c r="FY728" s="27" t="s">
        <v>8</v>
      </c>
    </row>
    <row r="729" spans="1:181" x14ac:dyDescent="0.25">
      <c r="A729" s="7">
        <v>6.0086320476198739E-2</v>
      </c>
      <c r="B729"/>
      <c r="C729"/>
      <c r="D729"/>
      <c r="E729"/>
      <c r="FX729" s="27" t="s">
        <v>7</v>
      </c>
      <c r="FY729" s="27" t="s">
        <v>8</v>
      </c>
    </row>
    <row r="730" spans="1:181" x14ac:dyDescent="0.25">
      <c r="A730" s="7">
        <v>5.8908157329606609E-2</v>
      </c>
      <c r="B730"/>
      <c r="C730"/>
      <c r="D730"/>
      <c r="E730"/>
      <c r="FX730" s="27" t="s">
        <v>7</v>
      </c>
      <c r="FY730" s="27" t="s">
        <v>8</v>
      </c>
    </row>
    <row r="731" spans="1:181" x14ac:dyDescent="0.25">
      <c r="A731" s="7">
        <v>5.7753095421182947E-2</v>
      </c>
      <c r="B731"/>
      <c r="C731"/>
      <c r="D731"/>
      <c r="E731"/>
      <c r="FX731" s="27" t="s">
        <v>7</v>
      </c>
      <c r="FY731" s="27" t="s">
        <v>8</v>
      </c>
    </row>
    <row r="732" spans="1:181" x14ac:dyDescent="0.25">
      <c r="A732" s="7">
        <v>5.6620681785473484E-2</v>
      </c>
      <c r="B732"/>
      <c r="C732"/>
      <c r="D732"/>
      <c r="E732"/>
      <c r="FX732" s="27" t="s">
        <v>7</v>
      </c>
      <c r="FY732" s="27" t="s">
        <v>8</v>
      </c>
    </row>
    <row r="733" spans="1:181" x14ac:dyDescent="0.25">
      <c r="A733" s="7">
        <v>5.5510472338699497E-2</v>
      </c>
      <c r="B733"/>
      <c r="C733"/>
      <c r="D733"/>
      <c r="E733"/>
      <c r="FX733" s="27" t="s">
        <v>7</v>
      </c>
      <c r="FY733" s="27" t="s">
        <v>8</v>
      </c>
    </row>
    <row r="734" spans="1:181" x14ac:dyDescent="0.25">
      <c r="A734" s="7">
        <v>5.4422031704607354E-2</v>
      </c>
      <c r="B734"/>
      <c r="C734"/>
      <c r="D734"/>
      <c r="E734"/>
      <c r="FX734" s="27" t="s">
        <v>7</v>
      </c>
    </row>
    <row r="735" spans="1:181" x14ac:dyDescent="0.25">
      <c r="A735" s="7">
        <v>5.3354933043732705E-2</v>
      </c>
      <c r="B735"/>
      <c r="C735"/>
      <c r="D735"/>
      <c r="E735"/>
    </row>
    <row r="736" spans="1:181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4" zoomScale="90" zoomScaleNormal="90" workbookViewId="0">
      <pane xSplit="4" topLeftCell="CA1" activePane="topRight" state="frozen"/>
      <selection activeCell="A109" sqref="A109"/>
      <selection pane="topRight" activeCell="EW243" sqref="EW24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$A$242</v>
      </c>
      <c r="D111" s="1" t="str">
        <f>ADDRESS(C121-1,D121,1,1)</f>
        <v>$EW$242</v>
      </c>
      <c r="E111"/>
    </row>
    <row r="112" spans="1:5" x14ac:dyDescent="0.25">
      <c r="A112" s="30">
        <v>515.50191262726139</v>
      </c>
      <c r="C112" s="1" t="str">
        <f>ADDRESS(C121,1,1,1)</f>
        <v>$A$243</v>
      </c>
      <c r="D112" s="1" t="str">
        <f>ADDRESS(C121,D121-1,1,1)</f>
        <v>$EV$243</v>
      </c>
      <c r="E112"/>
    </row>
    <row r="113" spans="1:5" x14ac:dyDescent="0.25">
      <c r="A113" s="30">
        <v>490.95420250215363</v>
      </c>
      <c r="C113" s="1" t="str">
        <f>ADDRESS(C121+1,1,1,1)</f>
        <v>$A$244</v>
      </c>
      <c r="D113" s="1" t="str">
        <f>ADDRESS(C121-1,D121+1,1,1)</f>
        <v>$EX$242</v>
      </c>
    </row>
    <row r="114" spans="1:5" x14ac:dyDescent="0.25">
      <c r="A114" s="30">
        <v>467.57543095443202</v>
      </c>
      <c r="C114" s="1" t="str">
        <f>ADDRESS(C121,D121,1,1)</f>
        <v>$EW$243</v>
      </c>
      <c r="D114" s="1" t="str">
        <f>ADDRESS(C121+1,D121+1,1,1)</f>
        <v>$EX$244</v>
      </c>
    </row>
    <row r="115" spans="1:5" x14ac:dyDescent="0.25">
      <c r="A115" s="30">
        <v>445.30993424231622</v>
      </c>
      <c r="C115" s="1" t="str">
        <f>ADDRESS(C121+1,D121,1,1)</f>
        <v>$EW$244</v>
      </c>
    </row>
    <row r="116" spans="1:5" x14ac:dyDescent="0.25">
      <c r="A116" s="30">
        <v>424.10469927839637</v>
      </c>
      <c r="C116" s="1">
        <f>C117-1</f>
        <v>242</v>
      </c>
    </row>
    <row r="117" spans="1:5" x14ac:dyDescent="0.25">
      <c r="A117" s="30">
        <v>403.9092374079965</v>
      </c>
      <c r="C117" s="1">
        <f>C121</f>
        <v>243</v>
      </c>
      <c r="D117" s="1">
        <f>D121</f>
        <v>153</v>
      </c>
    </row>
    <row r="118" spans="1:5" x14ac:dyDescent="0.25">
      <c r="A118" s="30">
        <v>384.6754641980919</v>
      </c>
      <c r="C118" s="1">
        <f>C117+1</f>
        <v>244</v>
      </c>
      <c r="D118" s="1">
        <f>D117+1</f>
        <v>154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243</v>
      </c>
      <c r="D121" s="19">
        <v>153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R243</v>
      </c>
      <c r="D123" s="1" t="str">
        <f>"C"&amp;D121</f>
        <v>C153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0.86383759853147501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07" x14ac:dyDescent="0.25">
      <c r="A209" s="30">
        <v>4.5380394939082018</v>
      </c>
      <c r="E209"/>
    </row>
    <row r="210" spans="1:107" x14ac:dyDescent="0.25">
      <c r="A210" s="30">
        <v>4.3219423751506678</v>
      </c>
      <c r="C210"/>
      <c r="E210"/>
    </row>
    <row r="211" spans="1:107" x14ac:dyDescent="0.25">
      <c r="A211" s="30">
        <v>4.1161355953815884</v>
      </c>
      <c r="E211"/>
    </row>
    <row r="212" spans="1:107" x14ac:dyDescent="0.25">
      <c r="A212" s="30">
        <v>3.9201291384586554</v>
      </c>
      <c r="E212"/>
    </row>
    <row r="213" spans="1:107" x14ac:dyDescent="0.25">
      <c r="A213" s="30">
        <v>3.7334563223415764</v>
      </c>
      <c r="E213"/>
    </row>
    <row r="214" spans="1:107" x14ac:dyDescent="0.25">
      <c r="A214" s="30">
        <v>3.5556726879443583</v>
      </c>
      <c r="E214"/>
    </row>
    <row r="215" spans="1:107" x14ac:dyDescent="0.25">
      <c r="A215" s="30">
        <v>3.3863549408993889</v>
      </c>
      <c r="E215"/>
    </row>
    <row r="216" spans="1:107" x14ac:dyDescent="0.25">
      <c r="A216" s="30">
        <v>3.2250999437137038</v>
      </c>
      <c r="E216"/>
    </row>
    <row r="217" spans="1:107" x14ac:dyDescent="0.25">
      <c r="A217" s="30">
        <v>3.0715237559178128</v>
      </c>
      <c r="E217"/>
    </row>
    <row r="218" spans="1:107" x14ac:dyDescent="0.25">
      <c r="A218" s="30">
        <v>2.9252607199217264</v>
      </c>
      <c r="E218"/>
    </row>
    <row r="219" spans="1:107" x14ac:dyDescent="0.25">
      <c r="A219" s="30">
        <v>2.7859625904016441</v>
      </c>
      <c r="E219"/>
    </row>
    <row r="220" spans="1:107" x14ac:dyDescent="0.25">
      <c r="A220" s="30">
        <v>2.6532977051444226</v>
      </c>
      <c r="E220"/>
      <c r="CQ220" s="27" t="s">
        <v>8</v>
      </c>
    </row>
    <row r="221" spans="1:107" x14ac:dyDescent="0.25">
      <c r="A221" s="30">
        <v>2.5269501953756404</v>
      </c>
      <c r="E221"/>
      <c r="CQ221" s="27" t="s">
        <v>8</v>
      </c>
      <c r="CR221" s="27" t="s">
        <v>7</v>
      </c>
    </row>
    <row r="222" spans="1:107" x14ac:dyDescent="0.25">
      <c r="A222" s="30">
        <v>2.4066192336910861</v>
      </c>
      <c r="E222"/>
      <c r="CQ222" s="27" t="s">
        <v>8</v>
      </c>
      <c r="CR222" s="27" t="s">
        <v>7</v>
      </c>
      <c r="CS222" s="27" t="s">
        <v>8</v>
      </c>
    </row>
    <row r="223" spans="1:107" x14ac:dyDescent="0.25">
      <c r="A223" s="30">
        <v>2.2920183178010345</v>
      </c>
      <c r="E223"/>
      <c r="CQ223" s="27" t="s">
        <v>8</v>
      </c>
      <c r="CR223" s="27" t="s">
        <v>7</v>
      </c>
      <c r="CS223" s="27" t="s">
        <v>8</v>
      </c>
      <c r="CT223" s="27" t="s">
        <v>7</v>
      </c>
      <c r="CY223" s="32" t="s">
        <v>8</v>
      </c>
      <c r="DA223" s="32" t="s">
        <v>8</v>
      </c>
    </row>
    <row r="224" spans="1:107" x14ac:dyDescent="0.25">
      <c r="A224" s="30">
        <v>2.1828745883819374</v>
      </c>
      <c r="E224"/>
      <c r="CQ224" s="27" t="s">
        <v>8</v>
      </c>
      <c r="CR224" s="27" t="s">
        <v>7</v>
      </c>
      <c r="CS224" s="27" t="s">
        <v>8</v>
      </c>
      <c r="CT224" s="27" t="s">
        <v>7</v>
      </c>
      <c r="CU224" s="27" t="s">
        <v>8</v>
      </c>
      <c r="CY224" s="27" t="s">
        <v>8</v>
      </c>
      <c r="CZ224" s="27" t="s">
        <v>7</v>
      </c>
      <c r="DA224" s="27" t="s">
        <v>8</v>
      </c>
      <c r="DB224" s="27" t="s">
        <v>7</v>
      </c>
      <c r="DC224" s="31" t="s">
        <v>8</v>
      </c>
    </row>
    <row r="225" spans="1:150" x14ac:dyDescent="0.25">
      <c r="A225" s="30">
        <v>2.0789281794113688</v>
      </c>
      <c r="E225"/>
      <c r="CQ225" s="27" t="s">
        <v>8</v>
      </c>
      <c r="CR225" s="27" t="s">
        <v>7</v>
      </c>
      <c r="CS225" s="27" t="s">
        <v>8</v>
      </c>
      <c r="CT225" s="27" t="s">
        <v>7</v>
      </c>
      <c r="CU225" s="27" t="s">
        <v>8</v>
      </c>
      <c r="CV225" s="27" t="s">
        <v>7</v>
      </c>
      <c r="CY225" s="27" t="s">
        <v>8</v>
      </c>
      <c r="CZ225" s="27" t="s">
        <v>7</v>
      </c>
      <c r="DA225" s="27" t="s">
        <v>8</v>
      </c>
      <c r="DB225" s="27" t="s">
        <v>7</v>
      </c>
      <c r="DC225" s="27" t="s">
        <v>8</v>
      </c>
      <c r="DD225" s="31" t="s">
        <v>7</v>
      </c>
      <c r="DU225" s="27" t="s">
        <v>8</v>
      </c>
    </row>
    <row r="226" spans="1:150" x14ac:dyDescent="0.25">
      <c r="A226" s="30">
        <v>1.9799315994393987</v>
      </c>
      <c r="E226"/>
      <c r="CQ226" s="27" t="s">
        <v>8</v>
      </c>
      <c r="CR226" s="27" t="s">
        <v>7</v>
      </c>
      <c r="CS226" s="27" t="s">
        <v>8</v>
      </c>
      <c r="CT226" s="27" t="s">
        <v>7</v>
      </c>
      <c r="CU226" s="27" t="s">
        <v>8</v>
      </c>
      <c r="CV226" s="27" t="s">
        <v>7</v>
      </c>
      <c r="CY226" s="27" t="s">
        <v>8</v>
      </c>
      <c r="CZ226" s="27" t="s">
        <v>7</v>
      </c>
      <c r="DA226" s="27" t="s">
        <v>8</v>
      </c>
      <c r="DB226" s="27" t="s">
        <v>7</v>
      </c>
      <c r="DC226" s="27" t="s">
        <v>8</v>
      </c>
      <c r="DD226" s="27" t="s">
        <v>7</v>
      </c>
      <c r="DE226" s="31"/>
      <c r="DU226" s="27" t="s">
        <v>8</v>
      </c>
      <c r="DV226" s="27" t="s">
        <v>7</v>
      </c>
    </row>
    <row r="227" spans="1:150" x14ac:dyDescent="0.25">
      <c r="A227" s="30">
        <v>1.8856491423232367</v>
      </c>
      <c r="E227"/>
      <c r="CQ227" s="27" t="s">
        <v>8</v>
      </c>
      <c r="CR227" s="27" t="s">
        <v>7</v>
      </c>
      <c r="CS227" s="27" t="s">
        <v>8</v>
      </c>
      <c r="CT227" s="27" t="s">
        <v>7</v>
      </c>
      <c r="CV227" s="27" t="s">
        <v>7</v>
      </c>
      <c r="CY227" s="33" t="s">
        <v>8</v>
      </c>
      <c r="CZ227" s="27" t="s">
        <v>7</v>
      </c>
      <c r="DB227" s="27" t="s">
        <v>7</v>
      </c>
      <c r="DC227" s="27" t="s">
        <v>8</v>
      </c>
      <c r="DD227" s="27" t="s">
        <v>7</v>
      </c>
      <c r="DF227" s="31"/>
      <c r="DU227" s="27" t="s">
        <v>8</v>
      </c>
      <c r="DV227" s="27" t="s">
        <v>7</v>
      </c>
    </row>
    <row r="228" spans="1:150" x14ac:dyDescent="0.25">
      <c r="A228" s="30">
        <v>1.7958563260221301</v>
      </c>
      <c r="C228" s="7"/>
      <c r="D228"/>
      <c r="E228"/>
      <c r="CQ228" s="27" t="s">
        <v>8</v>
      </c>
      <c r="CR228" s="27" t="s">
        <v>7</v>
      </c>
      <c r="CS228" s="27" t="s">
        <v>8</v>
      </c>
      <c r="CV228" s="34" t="s">
        <v>7</v>
      </c>
      <c r="CW228" s="27" t="s">
        <v>8</v>
      </c>
      <c r="CY228" s="27" t="s">
        <v>8</v>
      </c>
      <c r="DB228" s="34" t="s">
        <v>7</v>
      </c>
      <c r="DC228" s="27" t="s">
        <v>8</v>
      </c>
      <c r="DD228" s="27" t="s">
        <v>7</v>
      </c>
      <c r="DG228" s="31"/>
      <c r="DU228" s="27" t="s">
        <v>8</v>
      </c>
      <c r="DV228" s="27" t="s">
        <v>7</v>
      </c>
    </row>
    <row r="229" spans="1:150" x14ac:dyDescent="0.25">
      <c r="A229" s="30">
        <v>1.7103393581163142</v>
      </c>
      <c r="E229"/>
      <c r="CO229" s="27" t="s">
        <v>8</v>
      </c>
      <c r="CQ229" s="27" t="s">
        <v>8</v>
      </c>
      <c r="CR229" s="27" t="s">
        <v>7</v>
      </c>
      <c r="CS229" s="27" t="s">
        <v>8</v>
      </c>
      <c r="CV229" s="27" t="s">
        <v>7</v>
      </c>
      <c r="CW229" s="27" t="s">
        <v>8</v>
      </c>
      <c r="CX229" s="27" t="s">
        <v>7</v>
      </c>
      <c r="CY229" s="27" t="s">
        <v>8</v>
      </c>
      <c r="DB229" s="27" t="s">
        <v>7</v>
      </c>
      <c r="DD229" s="27" t="s">
        <v>7</v>
      </c>
      <c r="DH229" s="31"/>
      <c r="DU229" s="27" t="s">
        <v>8</v>
      </c>
      <c r="DV229" s="27" t="s">
        <v>7</v>
      </c>
      <c r="DW229" s="27" t="s">
        <v>8</v>
      </c>
      <c r="DY229" s="27" t="s">
        <v>8</v>
      </c>
    </row>
    <row r="230" spans="1:150" x14ac:dyDescent="0.25">
      <c r="A230" s="30">
        <v>1.628894626777442</v>
      </c>
      <c r="E230"/>
      <c r="CO230" s="27" t="s">
        <v>8</v>
      </c>
      <c r="CP230" s="27" t="s">
        <v>7</v>
      </c>
      <c r="CQ230" s="27" t="s">
        <v>8</v>
      </c>
      <c r="CR230" s="27" t="s">
        <v>7</v>
      </c>
      <c r="CV230" s="27" t="s">
        <v>7</v>
      </c>
      <c r="CW230" s="27" t="s">
        <v>8</v>
      </c>
      <c r="CX230" s="27" t="s">
        <v>7</v>
      </c>
      <c r="CY230" s="27" t="s">
        <v>8</v>
      </c>
      <c r="DD230" s="27" t="s">
        <v>7</v>
      </c>
      <c r="DI230" s="31"/>
      <c r="DU230" s="27" t="s">
        <v>8</v>
      </c>
      <c r="DV230" s="27" t="s">
        <v>7</v>
      </c>
      <c r="DW230" s="27" t="s">
        <v>8</v>
      </c>
      <c r="DX230" s="27" t="s">
        <v>7</v>
      </c>
      <c r="DY230" s="27" t="s">
        <v>8</v>
      </c>
      <c r="DZ230" s="27" t="s">
        <v>7</v>
      </c>
      <c r="EK230" s="27" t="s">
        <v>8</v>
      </c>
    </row>
    <row r="231" spans="1:150" x14ac:dyDescent="0.25">
      <c r="A231" s="30">
        <v>1.5513282159785162</v>
      </c>
      <c r="C231"/>
      <c r="D231"/>
      <c r="E231"/>
      <c r="CG231" s="27" t="s">
        <v>8</v>
      </c>
      <c r="CO231" s="27" t="s">
        <v>8</v>
      </c>
      <c r="CP231" s="27" t="s">
        <v>7</v>
      </c>
      <c r="CQ231" s="27" t="s">
        <v>8</v>
      </c>
      <c r="CV231" s="32" t="s">
        <v>7</v>
      </c>
      <c r="CX231" s="32" t="s">
        <v>7</v>
      </c>
      <c r="DD231" s="27" t="s">
        <v>7</v>
      </c>
      <c r="DJ231" s="31"/>
      <c r="DU231" s="27" t="s">
        <v>8</v>
      </c>
      <c r="DV231" s="27" t="s">
        <v>7</v>
      </c>
      <c r="DW231" s="27" t="s">
        <v>8</v>
      </c>
      <c r="DX231" s="27" t="s">
        <v>7</v>
      </c>
      <c r="DY231" s="27" t="s">
        <v>8</v>
      </c>
      <c r="DZ231" s="27" t="s">
        <v>7</v>
      </c>
      <c r="EC231" s="27" t="s">
        <v>8</v>
      </c>
      <c r="EK231" s="27" t="s">
        <v>8</v>
      </c>
      <c r="EL231" s="27" t="s">
        <v>7</v>
      </c>
      <c r="EM231" s="27" t="s">
        <v>8</v>
      </c>
    </row>
    <row r="232" spans="1:150" x14ac:dyDescent="0.25">
      <c r="A232" s="30">
        <v>1.477455443789063</v>
      </c>
      <c r="E232"/>
      <c r="CG232" s="27" t="s">
        <v>8</v>
      </c>
      <c r="CH232" s="27" t="s">
        <v>7</v>
      </c>
      <c r="CM232" s="27" t="s">
        <v>8</v>
      </c>
      <c r="CO232" s="27" t="s">
        <v>8</v>
      </c>
      <c r="CP232" s="27" t="s">
        <v>7</v>
      </c>
      <c r="CQ232" s="27" t="s">
        <v>8</v>
      </c>
      <c r="DD232" s="31" t="s">
        <v>7</v>
      </c>
      <c r="DK232" s="31" t="s">
        <v>8</v>
      </c>
      <c r="DU232" s="27" t="s">
        <v>8</v>
      </c>
      <c r="DV232" s="27" t="s">
        <v>7</v>
      </c>
      <c r="DW232" s="27" t="s">
        <v>8</v>
      </c>
      <c r="DX232" s="27" t="s">
        <v>7</v>
      </c>
      <c r="DY232" s="27" t="s">
        <v>8</v>
      </c>
      <c r="DZ232" s="27" t="s">
        <v>7</v>
      </c>
      <c r="EC232" s="27" t="s">
        <v>8</v>
      </c>
      <c r="ED232" s="27" t="s">
        <v>7</v>
      </c>
      <c r="EG232" s="27" t="s">
        <v>8</v>
      </c>
      <c r="EI232" s="27" t="s">
        <v>8</v>
      </c>
      <c r="EK232" s="27" t="s">
        <v>8</v>
      </c>
      <c r="EL232" s="27" t="s">
        <v>7</v>
      </c>
      <c r="EM232" s="27" t="s">
        <v>8</v>
      </c>
      <c r="EN232" s="27" t="s">
        <v>7</v>
      </c>
      <c r="ES232" s="27" t="s">
        <v>8</v>
      </c>
    </row>
    <row r="233" spans="1:150" x14ac:dyDescent="0.25">
      <c r="A233" s="30">
        <v>1.4071004226562505</v>
      </c>
      <c r="E233"/>
      <c r="CE233" s="27" t="s">
        <v>8</v>
      </c>
      <c r="CG233" s="27" t="s">
        <v>8</v>
      </c>
      <c r="CH233" s="27" t="s">
        <v>7</v>
      </c>
      <c r="CM233" s="27" t="s">
        <v>8</v>
      </c>
      <c r="CN233" s="27" t="s">
        <v>7</v>
      </c>
      <c r="CO233" s="27" t="s">
        <v>8</v>
      </c>
      <c r="CP233" s="27" t="s">
        <v>7</v>
      </c>
      <c r="CQ233" s="27" t="s">
        <v>8</v>
      </c>
      <c r="DC233" s="31"/>
      <c r="DD233" s="27" t="s">
        <v>7</v>
      </c>
      <c r="DK233" s="27" t="s">
        <v>8</v>
      </c>
      <c r="DL233" s="31" t="s">
        <v>7</v>
      </c>
      <c r="DU233" s="27" t="s">
        <v>8</v>
      </c>
      <c r="DV233" s="27" t="s">
        <v>7</v>
      </c>
      <c r="DW233" s="27" t="s">
        <v>8</v>
      </c>
      <c r="DX233" s="27" t="s">
        <v>7</v>
      </c>
      <c r="DY233" s="27" t="s">
        <v>8</v>
      </c>
      <c r="DZ233" s="27" t="s">
        <v>7</v>
      </c>
      <c r="EA233" s="27" t="s">
        <v>8</v>
      </c>
      <c r="EC233" s="27" t="s">
        <v>8</v>
      </c>
      <c r="ED233" s="27" t="s">
        <v>7</v>
      </c>
      <c r="EE233" s="27" t="s">
        <v>8</v>
      </c>
      <c r="EG233" s="27" t="s">
        <v>8</v>
      </c>
      <c r="EH233" s="27" t="s">
        <v>7</v>
      </c>
      <c r="EI233" s="27" t="s">
        <v>8</v>
      </c>
      <c r="EJ233" s="27" t="s">
        <v>7</v>
      </c>
      <c r="EK233" s="27" t="s">
        <v>8</v>
      </c>
      <c r="EL233" s="27" t="s">
        <v>7</v>
      </c>
      <c r="EM233" s="27" t="s">
        <v>8</v>
      </c>
      <c r="EN233" s="27" t="s">
        <v>7</v>
      </c>
      <c r="ES233" s="27" t="s">
        <v>8</v>
      </c>
      <c r="ET233" s="27" t="s">
        <v>7</v>
      </c>
    </row>
    <row r="234" spans="1:150" x14ac:dyDescent="0.25">
      <c r="A234" s="30">
        <v>1.3400956406250004</v>
      </c>
      <c r="E234"/>
      <c r="CE234" s="27" t="s">
        <v>8</v>
      </c>
      <c r="CF234" s="27" t="s">
        <v>7</v>
      </c>
      <c r="CG234" s="27" t="s">
        <v>8</v>
      </c>
      <c r="CH234" s="27" t="s">
        <v>7</v>
      </c>
      <c r="CM234" s="27" t="s">
        <v>8</v>
      </c>
      <c r="CN234" s="27" t="s">
        <v>7</v>
      </c>
      <c r="CO234" s="27" t="s">
        <v>8</v>
      </c>
      <c r="CP234" s="27" t="s">
        <v>7</v>
      </c>
      <c r="DB234" s="31"/>
      <c r="DD234" s="27" t="s">
        <v>7</v>
      </c>
      <c r="DE234" s="27" t="s">
        <v>8</v>
      </c>
      <c r="DK234" s="27" t="s">
        <v>8</v>
      </c>
      <c r="DL234" s="27" t="s">
        <v>7</v>
      </c>
      <c r="DM234" s="31"/>
      <c r="DU234" s="27" t="s">
        <v>8</v>
      </c>
      <c r="DV234" s="27" t="s">
        <v>7</v>
      </c>
      <c r="DW234" s="27" t="s">
        <v>8</v>
      </c>
      <c r="DX234" s="27" t="s">
        <v>7</v>
      </c>
      <c r="DZ234" s="27" t="s">
        <v>7</v>
      </c>
      <c r="EA234" s="27" t="s">
        <v>8</v>
      </c>
      <c r="EB234" s="27" t="s">
        <v>7</v>
      </c>
      <c r="EC234" s="27" t="s">
        <v>8</v>
      </c>
      <c r="ED234" s="27" t="s">
        <v>7</v>
      </c>
      <c r="EE234" s="27" t="s">
        <v>8</v>
      </c>
      <c r="EF234" s="27" t="s">
        <v>7</v>
      </c>
      <c r="EG234" s="27" t="s">
        <v>8</v>
      </c>
      <c r="EH234" s="27" t="s">
        <v>7</v>
      </c>
      <c r="EI234" s="27" t="s">
        <v>8</v>
      </c>
      <c r="EJ234" s="27" t="s">
        <v>7</v>
      </c>
      <c r="EK234" s="27" t="s">
        <v>8</v>
      </c>
      <c r="EL234" s="27" t="s">
        <v>7</v>
      </c>
      <c r="EM234" s="27" t="s">
        <v>8</v>
      </c>
      <c r="EN234" s="27" t="s">
        <v>7</v>
      </c>
      <c r="ES234" s="27" t="s">
        <v>8</v>
      </c>
      <c r="ET234" s="27" t="s">
        <v>7</v>
      </c>
    </row>
    <row r="235" spans="1:150" x14ac:dyDescent="0.25">
      <c r="A235" s="30">
        <v>1.2762815625000004</v>
      </c>
      <c r="C235"/>
      <c r="E235"/>
      <c r="CC235" s="27" t="s">
        <v>8</v>
      </c>
      <c r="CE235" s="27" t="s">
        <v>8</v>
      </c>
      <c r="CF235" s="27" t="s">
        <v>7</v>
      </c>
      <c r="CG235" s="27" t="s">
        <v>8</v>
      </c>
      <c r="CH235" s="27" t="s">
        <v>7</v>
      </c>
      <c r="CI235" s="27" t="s">
        <v>8</v>
      </c>
      <c r="CM235" s="33" t="s">
        <v>8</v>
      </c>
      <c r="CN235" s="27" t="s">
        <v>7</v>
      </c>
      <c r="CO235" s="27" t="s">
        <v>8</v>
      </c>
      <c r="DA235" s="31"/>
      <c r="DD235" s="27" t="s">
        <v>7</v>
      </c>
      <c r="DE235" s="27" t="s">
        <v>8</v>
      </c>
      <c r="DF235" s="27" t="s">
        <v>7</v>
      </c>
      <c r="DI235" s="27" t="s">
        <v>8</v>
      </c>
      <c r="DK235" s="27" t="s">
        <v>8</v>
      </c>
      <c r="DL235" s="27" t="s">
        <v>7</v>
      </c>
      <c r="DN235" s="31"/>
      <c r="DU235" s="27" t="s">
        <v>8</v>
      </c>
      <c r="DV235" s="27" t="s">
        <v>7</v>
      </c>
      <c r="DZ235" s="27" t="s">
        <v>7</v>
      </c>
      <c r="EA235" s="27" t="s">
        <v>8</v>
      </c>
      <c r="EB235" s="27" t="s">
        <v>7</v>
      </c>
      <c r="EC235" s="27" t="s">
        <v>8</v>
      </c>
      <c r="ED235" s="27" t="s">
        <v>7</v>
      </c>
      <c r="EE235" s="27" t="s">
        <v>8</v>
      </c>
      <c r="EF235" s="27" t="s">
        <v>7</v>
      </c>
      <c r="EG235" s="27" t="s">
        <v>8</v>
      </c>
      <c r="EH235" s="27" t="s">
        <v>7</v>
      </c>
      <c r="EI235" s="27" t="s">
        <v>8</v>
      </c>
      <c r="EJ235" s="27" t="s">
        <v>7</v>
      </c>
      <c r="EK235" s="27" t="s">
        <v>8</v>
      </c>
      <c r="EL235" s="27" t="s">
        <v>7</v>
      </c>
      <c r="EN235" s="27" t="s">
        <v>7</v>
      </c>
      <c r="ES235" s="27" t="s">
        <v>8</v>
      </c>
      <c r="ET235" s="27" t="s">
        <v>7</v>
      </c>
    </row>
    <row r="236" spans="1:150" x14ac:dyDescent="0.25">
      <c r="A236" s="30">
        <v>1.2155062500000002</v>
      </c>
      <c r="E236"/>
      <c r="CC236" s="27" t="s">
        <v>8</v>
      </c>
      <c r="CD236" s="27" t="s">
        <v>7</v>
      </c>
      <c r="CE236" s="27" t="s">
        <v>8</v>
      </c>
      <c r="CF236" s="27" t="s">
        <v>7</v>
      </c>
      <c r="CG236" s="27" t="s">
        <v>8</v>
      </c>
      <c r="CH236" s="27" t="s">
        <v>7</v>
      </c>
      <c r="CI236" s="27" t="s">
        <v>8</v>
      </c>
      <c r="CJ236" s="27" t="s">
        <v>7</v>
      </c>
      <c r="CK236" s="27" t="s">
        <v>8</v>
      </c>
      <c r="CM236" s="27" t="s">
        <v>8</v>
      </c>
      <c r="CN236" s="27" t="s">
        <v>7</v>
      </c>
      <c r="CZ236" s="31"/>
      <c r="DD236" s="27" t="s">
        <v>7</v>
      </c>
      <c r="DE236" s="27" t="s">
        <v>8</v>
      </c>
      <c r="DF236" s="27" t="s">
        <v>7</v>
      </c>
      <c r="DI236" s="27" t="s">
        <v>8</v>
      </c>
      <c r="DJ236" s="27" t="s">
        <v>7</v>
      </c>
      <c r="DK236" s="27" t="s">
        <v>8</v>
      </c>
      <c r="DL236" s="27" t="s">
        <v>7</v>
      </c>
      <c r="DO236" s="31"/>
      <c r="DQ236" s="27" t="s">
        <v>8</v>
      </c>
      <c r="DU236" s="27" t="s">
        <v>8</v>
      </c>
      <c r="DZ236" s="27" t="s">
        <v>7</v>
      </c>
      <c r="EB236" s="27" t="s">
        <v>7</v>
      </c>
      <c r="EC236" s="27" t="s">
        <v>8</v>
      </c>
      <c r="ED236" s="27" t="s">
        <v>7</v>
      </c>
      <c r="EF236" s="27" t="s">
        <v>7</v>
      </c>
      <c r="EG236" s="27" t="s">
        <v>8</v>
      </c>
      <c r="EH236" s="27" t="s">
        <v>7</v>
      </c>
      <c r="EI236" s="27" t="s">
        <v>8</v>
      </c>
      <c r="EJ236" s="27" t="s">
        <v>7</v>
      </c>
      <c r="EN236" s="27" t="s">
        <v>7</v>
      </c>
      <c r="EO236" s="27" t="s">
        <v>8</v>
      </c>
      <c r="EQ236" s="27" t="s">
        <v>8</v>
      </c>
      <c r="ES236" s="27" t="s">
        <v>8</v>
      </c>
      <c r="ET236" s="27" t="s">
        <v>7</v>
      </c>
    </row>
    <row r="237" spans="1:150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C237" s="27" t="s">
        <v>8</v>
      </c>
      <c r="CD237" s="27" t="s">
        <v>7</v>
      </c>
      <c r="CE237" s="27" t="s">
        <v>8</v>
      </c>
      <c r="CF237" s="27" t="s">
        <v>7</v>
      </c>
      <c r="CG237" s="27" t="s">
        <v>8</v>
      </c>
      <c r="CH237" s="27" t="s">
        <v>7</v>
      </c>
      <c r="CI237" s="27" t="s">
        <v>8</v>
      </c>
      <c r="CJ237" s="27" t="s">
        <v>7</v>
      </c>
      <c r="CK237" s="27" t="s">
        <v>8</v>
      </c>
      <c r="CL237" s="27" t="s">
        <v>7</v>
      </c>
      <c r="CM237" s="27" t="s">
        <v>8</v>
      </c>
      <c r="CY237" s="31"/>
      <c r="DD237" s="27" t="s">
        <v>7</v>
      </c>
      <c r="DE237" s="27" t="s">
        <v>8</v>
      </c>
      <c r="DF237" s="27" t="s">
        <v>7</v>
      </c>
      <c r="DI237" s="33" t="s">
        <v>8</v>
      </c>
      <c r="DJ237" s="27" t="s">
        <v>7</v>
      </c>
      <c r="DK237" s="27" t="s">
        <v>8</v>
      </c>
      <c r="DL237" s="27" t="s">
        <v>7</v>
      </c>
      <c r="DM237" s="27" t="s">
        <v>8</v>
      </c>
      <c r="DP237" s="31"/>
      <c r="DQ237" s="27" t="s">
        <v>8</v>
      </c>
      <c r="DR237" s="27" t="s">
        <v>7</v>
      </c>
      <c r="DS237" s="27" t="s">
        <v>8</v>
      </c>
      <c r="DU237" s="27" t="s">
        <v>8</v>
      </c>
      <c r="EB237" s="27" t="s">
        <v>7</v>
      </c>
      <c r="EC237" s="27" t="s">
        <v>8</v>
      </c>
      <c r="EF237" s="27" t="s">
        <v>7</v>
      </c>
      <c r="EG237" s="27" t="s">
        <v>8</v>
      </c>
      <c r="EH237" s="27" t="s">
        <v>7</v>
      </c>
      <c r="EN237" s="27" t="s">
        <v>7</v>
      </c>
      <c r="EO237" s="27" t="s">
        <v>8</v>
      </c>
      <c r="EP237" s="27" t="s">
        <v>7</v>
      </c>
      <c r="EQ237" s="27" t="s">
        <v>8</v>
      </c>
      <c r="ER237" s="27" t="s">
        <v>7</v>
      </c>
      <c r="ES237" s="27" t="s">
        <v>8</v>
      </c>
      <c r="ET237" s="27" t="s">
        <v>7</v>
      </c>
    </row>
    <row r="238" spans="1:150" x14ac:dyDescent="0.25">
      <c r="A238" s="30">
        <v>1.1025</v>
      </c>
      <c r="E238"/>
      <c r="CC238" s="27" t="s">
        <v>8</v>
      </c>
      <c r="CD238" s="27" t="s">
        <v>7</v>
      </c>
      <c r="CF238" s="27" t="s">
        <v>7</v>
      </c>
      <c r="CG238" s="27" t="s">
        <v>8</v>
      </c>
      <c r="CH238" s="27" t="s">
        <v>7</v>
      </c>
      <c r="CI238" s="27" t="s">
        <v>8</v>
      </c>
      <c r="CJ238" s="27" t="s">
        <v>7</v>
      </c>
      <c r="CK238" s="27" t="s">
        <v>8</v>
      </c>
      <c r="CL238" s="27" t="s">
        <v>7</v>
      </c>
      <c r="CM238" s="27" t="s">
        <v>8</v>
      </c>
      <c r="CX238" s="31"/>
      <c r="DD238" s="27" t="s">
        <v>7</v>
      </c>
      <c r="DE238" s="27" t="s">
        <v>8</v>
      </c>
      <c r="DF238" s="27" t="s">
        <v>7</v>
      </c>
      <c r="DG238" s="27" t="s">
        <v>8</v>
      </c>
      <c r="DI238" s="27" t="s">
        <v>8</v>
      </c>
      <c r="DJ238" s="27" t="s">
        <v>7</v>
      </c>
      <c r="DK238" s="27" t="s">
        <v>8</v>
      </c>
      <c r="DL238" s="27" t="s">
        <v>7</v>
      </c>
      <c r="DM238" s="27" t="s">
        <v>8</v>
      </c>
      <c r="DN238" s="27" t="s">
        <v>7</v>
      </c>
      <c r="DQ238" s="31" t="s">
        <v>8</v>
      </c>
      <c r="DR238" s="27" t="s">
        <v>7</v>
      </c>
      <c r="DS238" s="27" t="s">
        <v>8</v>
      </c>
      <c r="DT238" s="27" t="s">
        <v>7</v>
      </c>
      <c r="DU238" s="27" t="s">
        <v>8</v>
      </c>
      <c r="EB238" s="27" t="s">
        <v>7</v>
      </c>
      <c r="EC238" s="27" t="s">
        <v>8</v>
      </c>
      <c r="EF238" s="27" t="s">
        <v>7</v>
      </c>
      <c r="EN238" s="27" t="s">
        <v>7</v>
      </c>
      <c r="EO238" s="27" t="s">
        <v>8</v>
      </c>
      <c r="EP238" s="27" t="s">
        <v>7</v>
      </c>
      <c r="EQ238" s="27" t="s">
        <v>8</v>
      </c>
      <c r="ER238" s="27" t="s">
        <v>7</v>
      </c>
      <c r="ES238" s="27" t="s">
        <v>8</v>
      </c>
      <c r="ET238" s="27" t="s">
        <v>7</v>
      </c>
    </row>
    <row r="239" spans="1:150" x14ac:dyDescent="0.25">
      <c r="A239" s="30">
        <v>1.05</v>
      </c>
      <c r="E239"/>
      <c r="CC239" s="27" t="s">
        <v>8</v>
      </c>
      <c r="CF239" s="27" t="s">
        <v>7</v>
      </c>
      <c r="CG239" s="27" t="s">
        <v>8</v>
      </c>
      <c r="CH239" s="27" t="s">
        <v>7</v>
      </c>
      <c r="CI239" s="27" t="s">
        <v>8</v>
      </c>
      <c r="CJ239" s="32" t="s">
        <v>7</v>
      </c>
      <c r="CL239" s="32" t="s">
        <v>7</v>
      </c>
      <c r="CW239" s="31"/>
      <c r="DD239" s="27" t="s">
        <v>7</v>
      </c>
      <c r="DE239" s="27" t="s">
        <v>8</v>
      </c>
      <c r="DF239" s="27" t="s">
        <v>7</v>
      </c>
      <c r="DG239" s="27" t="s">
        <v>8</v>
      </c>
      <c r="DH239" s="27" t="s">
        <v>7</v>
      </c>
      <c r="DI239" s="27" t="s">
        <v>8</v>
      </c>
      <c r="DJ239" s="27" t="s">
        <v>7</v>
      </c>
      <c r="DK239" s="27" t="s">
        <v>8</v>
      </c>
      <c r="DL239" s="27" t="s">
        <v>7</v>
      </c>
      <c r="DM239" s="27" t="s">
        <v>8</v>
      </c>
      <c r="DN239" s="27" t="s">
        <v>7</v>
      </c>
      <c r="DQ239" s="27" t="s">
        <v>8</v>
      </c>
      <c r="DR239" s="31" t="s">
        <v>7</v>
      </c>
      <c r="DS239" s="27" t="s">
        <v>8</v>
      </c>
      <c r="DT239" s="27" t="s">
        <v>7</v>
      </c>
      <c r="DU239" s="27" t="s">
        <v>8</v>
      </c>
      <c r="EB239" s="27" t="s">
        <v>7</v>
      </c>
      <c r="EN239" s="27" t="s">
        <v>7</v>
      </c>
      <c r="EP239" s="27" t="s">
        <v>7</v>
      </c>
      <c r="ER239" s="27" t="s">
        <v>7</v>
      </c>
      <c r="ES239" s="27" t="s">
        <v>8</v>
      </c>
      <c r="ET239" s="27" t="s">
        <v>7</v>
      </c>
    </row>
    <row r="240" spans="1:150" x14ac:dyDescent="0.25">
      <c r="A240" s="30">
        <v>1</v>
      </c>
      <c r="E240" s="29" t="s">
        <v>8</v>
      </c>
      <c r="CC240" s="27" t="s">
        <v>8</v>
      </c>
      <c r="CF240" s="27" t="s">
        <v>7</v>
      </c>
      <c r="CG240" s="27" t="s">
        <v>8</v>
      </c>
      <c r="CH240" s="27" t="s">
        <v>7</v>
      </c>
      <c r="CI240" s="27" t="s">
        <v>8</v>
      </c>
      <c r="CV240" s="31"/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K240" s="27" t="s">
        <v>8</v>
      </c>
      <c r="DL240" s="27" t="s">
        <v>7</v>
      </c>
      <c r="DN240" s="27" t="s">
        <v>7</v>
      </c>
      <c r="DQ240" s="27" t="s">
        <v>8</v>
      </c>
      <c r="DR240" s="27" t="s">
        <v>7</v>
      </c>
      <c r="DS240" s="31" t="s">
        <v>8</v>
      </c>
      <c r="DT240" s="27" t="s">
        <v>7</v>
      </c>
      <c r="DU240" s="27" t="s">
        <v>8</v>
      </c>
      <c r="ER240" s="27" t="s">
        <v>7</v>
      </c>
      <c r="ET240" s="27" t="s">
        <v>7</v>
      </c>
    </row>
    <row r="241" spans="1:153" x14ac:dyDescent="0.25">
      <c r="A241" s="30">
        <v>0.952380952380952</v>
      </c>
      <c r="B241"/>
      <c r="C241"/>
      <c r="D241"/>
      <c r="E241"/>
      <c r="F241" s="27" t="s">
        <v>7</v>
      </c>
      <c r="CC241" s="27" t="s">
        <v>8</v>
      </c>
      <c r="CF241" s="27" t="s">
        <v>7</v>
      </c>
      <c r="CH241" s="27" t="s">
        <v>7</v>
      </c>
      <c r="CI241" s="27" t="s">
        <v>8</v>
      </c>
      <c r="CU241" s="31"/>
      <c r="DD241" s="27" t="s">
        <v>7</v>
      </c>
      <c r="DE241" s="27" t="s">
        <v>8</v>
      </c>
      <c r="DF241" s="27" t="s">
        <v>7</v>
      </c>
      <c r="DH241" s="27" t="s">
        <v>7</v>
      </c>
      <c r="DI241" s="27" t="s">
        <v>8</v>
      </c>
      <c r="DJ241" s="27" t="s">
        <v>7</v>
      </c>
      <c r="DN241" s="34" t="s">
        <v>7</v>
      </c>
      <c r="DQ241" s="33" t="s">
        <v>8</v>
      </c>
      <c r="DR241" s="27" t="s">
        <v>7</v>
      </c>
      <c r="DT241" s="31" t="s">
        <v>7</v>
      </c>
      <c r="ET241" s="27" t="s">
        <v>7</v>
      </c>
    </row>
    <row r="242" spans="1:153" x14ac:dyDescent="0.25">
      <c r="A242" s="30">
        <v>0.90702947845804915</v>
      </c>
      <c r="B242"/>
      <c r="C242"/>
      <c r="D242"/>
      <c r="E242"/>
      <c r="F242" s="27" t="s">
        <v>7</v>
      </c>
      <c r="CC242" s="27" t="s">
        <v>8</v>
      </c>
      <c r="CH242" s="34" t="s">
        <v>7</v>
      </c>
      <c r="CT242" s="31"/>
      <c r="DD242" s="27" t="s">
        <v>7</v>
      </c>
      <c r="DE242" s="27" t="s">
        <v>8</v>
      </c>
      <c r="DH242" s="27" t="s">
        <v>7</v>
      </c>
      <c r="DI242" s="27" t="s">
        <v>8</v>
      </c>
      <c r="DN242" s="27" t="s">
        <v>7</v>
      </c>
      <c r="DO242" s="27" t="s">
        <v>8</v>
      </c>
      <c r="DQ242" s="27" t="s">
        <v>8</v>
      </c>
      <c r="ET242" s="27" t="s">
        <v>7</v>
      </c>
    </row>
    <row r="243" spans="1:153" x14ac:dyDescent="0.25">
      <c r="A243" s="30">
        <v>0.86383759853147501</v>
      </c>
      <c r="B243"/>
      <c r="C243"/>
      <c r="D243"/>
      <c r="E243"/>
      <c r="F243" s="27" t="s">
        <v>7</v>
      </c>
      <c r="CC243" s="27" t="s">
        <v>8</v>
      </c>
      <c r="CS243" s="31"/>
      <c r="DD243" s="27" t="s">
        <v>7</v>
      </c>
      <c r="DH243" s="27" t="s">
        <v>7</v>
      </c>
      <c r="DI243" s="27" t="s">
        <v>8</v>
      </c>
      <c r="DN243" s="27" t="s">
        <v>7</v>
      </c>
      <c r="DO243" s="27" t="s">
        <v>8</v>
      </c>
      <c r="DP243" s="27" t="s">
        <v>7</v>
      </c>
      <c r="DQ243" s="27" t="s">
        <v>8</v>
      </c>
      <c r="ET243" s="27" t="s">
        <v>7</v>
      </c>
      <c r="EW243" s="27" t="s">
        <v>8</v>
      </c>
    </row>
    <row r="244" spans="1:153" x14ac:dyDescent="0.25">
      <c r="A244" s="30">
        <v>0.82270247479188063</v>
      </c>
      <c r="B244"/>
      <c r="C244"/>
      <c r="D244"/>
      <c r="E244"/>
      <c r="F244" s="27" t="s">
        <v>7</v>
      </c>
      <c r="CC244" s="27" t="s">
        <v>8</v>
      </c>
      <c r="CR244" s="31"/>
      <c r="DH244" s="27" t="s">
        <v>7</v>
      </c>
      <c r="DI244" s="27" t="s">
        <v>8</v>
      </c>
      <c r="DN244" s="27" t="s">
        <v>7</v>
      </c>
      <c r="DO244" s="27" t="s">
        <v>8</v>
      </c>
      <c r="DP244" s="27" t="s">
        <v>7</v>
      </c>
      <c r="DQ244" s="27" t="s">
        <v>8</v>
      </c>
      <c r="ET244" s="27" t="s">
        <v>7</v>
      </c>
      <c r="EU244" s="27" t="s">
        <v>8</v>
      </c>
      <c r="EW244" s="27" t="s">
        <v>8</v>
      </c>
    </row>
    <row r="245" spans="1:153" x14ac:dyDescent="0.25">
      <c r="A245" s="30">
        <v>0.78352616646845741</v>
      </c>
      <c r="B245"/>
      <c r="C245"/>
      <c r="D245"/>
      <c r="E245"/>
      <c r="F245" s="27" t="s">
        <v>7</v>
      </c>
      <c r="CC245" s="27" t="s">
        <v>8</v>
      </c>
      <c r="CQ245" s="31"/>
      <c r="DH245" s="27" t="s">
        <v>7</v>
      </c>
      <c r="DI245" s="27" t="s">
        <v>8</v>
      </c>
      <c r="DN245" s="27" t="s">
        <v>7</v>
      </c>
      <c r="DO245" s="27" t="s">
        <v>8</v>
      </c>
      <c r="DP245" s="27" t="s">
        <v>7</v>
      </c>
      <c r="DQ245" s="27" t="s">
        <v>8</v>
      </c>
      <c r="ET245" s="27" t="s">
        <v>7</v>
      </c>
      <c r="EU245" s="27" t="s">
        <v>8</v>
      </c>
      <c r="EV245" s="27" t="s">
        <v>7</v>
      </c>
      <c r="EW245" s="27" t="s">
        <v>8</v>
      </c>
    </row>
    <row r="246" spans="1:153" x14ac:dyDescent="0.25">
      <c r="A246" s="30">
        <v>0.74621539663662584</v>
      </c>
      <c r="B246"/>
      <c r="C246"/>
      <c r="D246"/>
      <c r="E246"/>
      <c r="F246" s="27" t="s">
        <v>7</v>
      </c>
      <c r="CC246" s="27" t="s">
        <v>8</v>
      </c>
      <c r="CP246" s="31"/>
      <c r="DH246" s="27" t="s">
        <v>7</v>
      </c>
      <c r="DI246" s="27" t="s">
        <v>8</v>
      </c>
      <c r="DN246" s="27" t="s">
        <v>7</v>
      </c>
      <c r="DO246" s="27" t="s">
        <v>8</v>
      </c>
      <c r="DP246" s="27" t="s">
        <v>7</v>
      </c>
      <c r="DQ246" s="27" t="s">
        <v>8</v>
      </c>
      <c r="ET246" s="27" t="s">
        <v>7</v>
      </c>
      <c r="EU246" s="27" t="s">
        <v>8</v>
      </c>
      <c r="EV246" s="27" t="s">
        <v>7</v>
      </c>
      <c r="EW246" s="27" t="s">
        <v>8</v>
      </c>
    </row>
    <row r="247" spans="1:153" x14ac:dyDescent="0.25">
      <c r="A247" s="30">
        <v>0.71068133013011958</v>
      </c>
      <c r="B247"/>
      <c r="C247"/>
      <c r="D247"/>
      <c r="E247"/>
      <c r="F247" s="27" t="s">
        <v>7</v>
      </c>
      <c r="CC247" s="27" t="s">
        <v>8</v>
      </c>
      <c r="CO247" s="31"/>
      <c r="DH247" s="27" t="s">
        <v>7</v>
      </c>
      <c r="DI247" s="27" t="s">
        <v>8</v>
      </c>
      <c r="DN247" s="27" t="s">
        <v>7</v>
      </c>
      <c r="DO247" s="27" t="s">
        <v>8</v>
      </c>
      <c r="DP247" s="27" t="s">
        <v>7</v>
      </c>
      <c r="DQ247" s="27" t="s">
        <v>8</v>
      </c>
      <c r="DT247" s="31"/>
      <c r="ET247" s="27" t="s">
        <v>7</v>
      </c>
      <c r="EV247" s="27" t="s">
        <v>7</v>
      </c>
    </row>
    <row r="248" spans="1:153" x14ac:dyDescent="0.25">
      <c r="A248" s="30">
        <v>0.676839362028685</v>
      </c>
      <c r="B248"/>
      <c r="C248"/>
      <c r="D248"/>
      <c r="E248"/>
      <c r="F248" s="27" t="s">
        <v>7</v>
      </c>
      <c r="CC248" s="27" t="s">
        <v>8</v>
      </c>
      <c r="CN248" s="31"/>
      <c r="DH248" s="27" t="s">
        <v>7</v>
      </c>
      <c r="DN248" s="27" t="s">
        <v>7</v>
      </c>
      <c r="DO248" s="27" t="s">
        <v>8</v>
      </c>
      <c r="DP248" s="27" t="s">
        <v>7</v>
      </c>
      <c r="DQ248" s="27" t="s">
        <v>8</v>
      </c>
      <c r="DS248" s="31"/>
    </row>
    <row r="249" spans="1:153" x14ac:dyDescent="0.25">
      <c r="A249" s="30">
        <v>0.64460891621779492</v>
      </c>
      <c r="B249"/>
      <c r="C249"/>
      <c r="D249"/>
      <c r="E249"/>
      <c r="F249" s="27" t="s">
        <v>7</v>
      </c>
      <c r="CC249" s="27" t="s">
        <v>8</v>
      </c>
      <c r="CM249" s="31"/>
      <c r="DN249" s="27" t="s">
        <v>7</v>
      </c>
      <c r="DP249" s="18" t="s">
        <v>7</v>
      </c>
      <c r="DQ249" s="27" t="s">
        <v>8</v>
      </c>
      <c r="DR249" s="31"/>
    </row>
    <row r="250" spans="1:153" x14ac:dyDescent="0.25">
      <c r="A250" s="30">
        <v>0.61391325354075688</v>
      </c>
      <c r="B250"/>
      <c r="C250"/>
      <c r="D250"/>
      <c r="E250"/>
      <c r="F250" s="27" t="s">
        <v>7</v>
      </c>
      <c r="CA250" s="27" t="s">
        <v>8</v>
      </c>
      <c r="CC250" s="27" t="s">
        <v>8</v>
      </c>
      <c r="CL250" s="31"/>
      <c r="DP250" s="27" t="s">
        <v>7</v>
      </c>
      <c r="DQ250" s="31" t="s">
        <v>8</v>
      </c>
    </row>
    <row r="251" spans="1:153" x14ac:dyDescent="0.25">
      <c r="A251" s="30">
        <v>0.58467928908643485</v>
      </c>
      <c r="B251"/>
      <c r="C251"/>
      <c r="D251"/>
      <c r="E251"/>
      <c r="F251" s="27" t="s">
        <v>7</v>
      </c>
      <c r="CA251" s="27" t="s">
        <v>8</v>
      </c>
      <c r="CB251" s="27" t="s">
        <v>7</v>
      </c>
      <c r="CC251" s="27" t="s">
        <v>8</v>
      </c>
      <c r="CK251" s="31"/>
      <c r="DP251" s="31" t="s">
        <v>7</v>
      </c>
    </row>
    <row r="252" spans="1:153" x14ac:dyDescent="0.25">
      <c r="A252" s="30">
        <v>0.55683741817755672</v>
      </c>
      <c r="B252"/>
      <c r="C252"/>
      <c r="D252"/>
      <c r="E252"/>
      <c r="F252" s="27" t="s">
        <v>7</v>
      </c>
      <c r="AA252" s="27" t="s">
        <v>8</v>
      </c>
      <c r="CA252" s="27" t="s">
        <v>8</v>
      </c>
      <c r="CB252" s="27" t="s">
        <v>7</v>
      </c>
      <c r="CC252" s="27" t="s">
        <v>8</v>
      </c>
      <c r="CJ252" s="31"/>
    </row>
    <row r="253" spans="1:153" x14ac:dyDescent="0.25">
      <c r="A253" s="30">
        <v>0.53032135064529184</v>
      </c>
      <c r="B253"/>
      <c r="C253"/>
      <c r="D253"/>
      <c r="E253"/>
      <c r="F253" s="27" t="s">
        <v>7</v>
      </c>
      <c r="AA253" s="27" t="s">
        <v>8</v>
      </c>
      <c r="AB253" s="27" t="s">
        <v>7</v>
      </c>
      <c r="CA253" s="27" t="s">
        <v>8</v>
      </c>
      <c r="CB253" s="27" t="s">
        <v>7</v>
      </c>
      <c r="CI253" s="31"/>
    </row>
    <row r="254" spans="1:153" x14ac:dyDescent="0.25">
      <c r="A254" s="30">
        <v>0.50506795299551588</v>
      </c>
      <c r="B254"/>
      <c r="C254"/>
      <c r="D254"/>
      <c r="E254"/>
      <c r="F254" s="27" t="s">
        <v>7</v>
      </c>
      <c r="AA254" s="27" t="s">
        <v>8</v>
      </c>
      <c r="AB254" s="27" t="s">
        <v>7</v>
      </c>
      <c r="BW254" s="27" t="s">
        <v>8</v>
      </c>
      <c r="CA254" s="27" t="s">
        <v>8</v>
      </c>
      <c r="CH254" s="31"/>
    </row>
    <row r="255" spans="1:153" x14ac:dyDescent="0.25">
      <c r="A255" s="30">
        <v>0.48101709809096732</v>
      </c>
      <c r="E255"/>
      <c r="F255" s="27" t="s">
        <v>7</v>
      </c>
      <c r="AA255" s="27" t="s">
        <v>8</v>
      </c>
      <c r="AB255" s="27" t="s">
        <v>7</v>
      </c>
      <c r="AC255" s="27" t="s">
        <v>8</v>
      </c>
      <c r="BW255" s="27" t="s">
        <v>8</v>
      </c>
      <c r="BX255" s="27" t="s">
        <v>7</v>
      </c>
      <c r="BY255" s="27" t="s">
        <v>8</v>
      </c>
      <c r="CA255" s="27" t="s">
        <v>8</v>
      </c>
      <c r="CG255" s="31"/>
    </row>
    <row r="256" spans="1:153" x14ac:dyDescent="0.25">
      <c r="A256" s="30">
        <v>0.45811152199139726</v>
      </c>
      <c r="E256"/>
      <c r="F256" s="27" t="s">
        <v>7</v>
      </c>
      <c r="W256" s="27" t="s">
        <v>8</v>
      </c>
      <c r="AA256" s="27" t="s">
        <v>8</v>
      </c>
      <c r="AB256" s="27" t="s">
        <v>7</v>
      </c>
      <c r="AC256" s="27" t="s">
        <v>8</v>
      </c>
      <c r="AD256" s="27" t="s">
        <v>7</v>
      </c>
      <c r="BU256" s="27" t="s">
        <v>8</v>
      </c>
      <c r="BW256" s="27" t="s">
        <v>8</v>
      </c>
      <c r="BX256" s="27" t="s">
        <v>7</v>
      </c>
      <c r="BY256" s="27" t="s">
        <v>8</v>
      </c>
      <c r="BZ256" s="27" t="s">
        <v>7</v>
      </c>
      <c r="CA256" s="27" t="s">
        <v>8</v>
      </c>
      <c r="CF256" s="31"/>
    </row>
    <row r="257" spans="1:83" x14ac:dyDescent="0.25">
      <c r="A257" s="30">
        <v>0.43629668761085438</v>
      </c>
      <c r="B257"/>
      <c r="C257"/>
      <c r="D257"/>
      <c r="E257"/>
      <c r="F257" s="27" t="s">
        <v>7</v>
      </c>
      <c r="W257" s="27" t="s">
        <v>8</v>
      </c>
      <c r="X257" s="27" t="s">
        <v>7</v>
      </c>
      <c r="AA257" s="27" t="s">
        <v>8</v>
      </c>
      <c r="AB257" s="27" t="s">
        <v>7</v>
      </c>
      <c r="AC257" s="27" t="s">
        <v>8</v>
      </c>
      <c r="AD257" s="27" t="s">
        <v>7</v>
      </c>
      <c r="BE257" s="27" t="s">
        <v>8</v>
      </c>
      <c r="BG257" s="27" t="s">
        <v>8</v>
      </c>
      <c r="BU257" s="27" t="s">
        <v>8</v>
      </c>
      <c r="BV257" s="27" t="s">
        <v>7</v>
      </c>
      <c r="BW257" s="27" t="s">
        <v>8</v>
      </c>
      <c r="BX257" s="27" t="s">
        <v>7</v>
      </c>
      <c r="BY257" s="27" t="s">
        <v>8</v>
      </c>
      <c r="BZ257" s="27" t="s">
        <v>7</v>
      </c>
      <c r="CA257" s="27" t="s">
        <v>8</v>
      </c>
      <c r="CE257" s="31"/>
    </row>
    <row r="258" spans="1:83" x14ac:dyDescent="0.25">
      <c r="A258" s="30">
        <v>0.41552065486748019</v>
      </c>
      <c r="B258"/>
      <c r="C258"/>
      <c r="D258"/>
      <c r="E258"/>
      <c r="F258" s="27" t="s">
        <v>7</v>
      </c>
      <c r="W258" s="27" t="s">
        <v>8</v>
      </c>
      <c r="X258" s="27" t="s">
        <v>7</v>
      </c>
      <c r="Y258" s="27" t="s">
        <v>8</v>
      </c>
      <c r="AA258" s="27" t="s">
        <v>8</v>
      </c>
      <c r="AB258" s="27" t="s">
        <v>7</v>
      </c>
      <c r="AC258" s="27" t="s">
        <v>8</v>
      </c>
      <c r="AD258" s="27" t="s">
        <v>7</v>
      </c>
      <c r="BC258" s="27" t="s">
        <v>8</v>
      </c>
      <c r="BE258" s="27" t="s">
        <v>8</v>
      </c>
      <c r="BF258" s="27" t="s">
        <v>7</v>
      </c>
      <c r="BG258" s="27" t="s">
        <v>8</v>
      </c>
      <c r="BH258" s="27" t="s">
        <v>7</v>
      </c>
      <c r="BO258" s="27" t="s">
        <v>8</v>
      </c>
      <c r="BU258" s="27" t="s">
        <v>8</v>
      </c>
      <c r="BV258" s="27" t="s">
        <v>7</v>
      </c>
      <c r="BW258" s="27" t="s">
        <v>8</v>
      </c>
      <c r="BX258" s="27" t="s">
        <v>7</v>
      </c>
      <c r="BY258" s="27" t="s">
        <v>8</v>
      </c>
      <c r="BZ258" s="27" t="s">
        <v>7</v>
      </c>
      <c r="CA258" s="27" t="s">
        <v>8</v>
      </c>
      <c r="CD258" s="31"/>
    </row>
    <row r="259" spans="1:83" x14ac:dyDescent="0.25">
      <c r="A259" s="30">
        <v>0.39573395701664765</v>
      </c>
      <c r="B259"/>
      <c r="C259"/>
      <c r="D259"/>
      <c r="E259"/>
      <c r="F259" s="27" t="s">
        <v>7</v>
      </c>
      <c r="W259" s="27" t="s">
        <v>8</v>
      </c>
      <c r="X259" s="27" t="s">
        <v>7</v>
      </c>
      <c r="Y259" s="27" t="s">
        <v>8</v>
      </c>
      <c r="Z259" s="27" t="s">
        <v>7</v>
      </c>
      <c r="AA259" s="27" t="s">
        <v>8</v>
      </c>
      <c r="AB259" s="27" t="s">
        <v>7</v>
      </c>
      <c r="AD259" s="27" t="s">
        <v>7</v>
      </c>
      <c r="BC259" s="27" t="s">
        <v>8</v>
      </c>
      <c r="BD259" s="27" t="s">
        <v>7</v>
      </c>
      <c r="BE259" s="27" t="s">
        <v>8</v>
      </c>
      <c r="BF259" s="27" t="s">
        <v>7</v>
      </c>
      <c r="BG259" s="27" t="s">
        <v>8</v>
      </c>
      <c r="BH259" s="27" t="s">
        <v>7</v>
      </c>
      <c r="BO259" s="27" t="s">
        <v>8</v>
      </c>
      <c r="BP259" s="27" t="s">
        <v>7</v>
      </c>
      <c r="BU259" s="27" t="s">
        <v>8</v>
      </c>
      <c r="BV259" s="27" t="s">
        <v>7</v>
      </c>
      <c r="BW259" s="27" t="s">
        <v>8</v>
      </c>
      <c r="BX259" s="32" t="s">
        <v>7</v>
      </c>
      <c r="BZ259" s="32" t="s">
        <v>7</v>
      </c>
      <c r="CC259" s="31"/>
    </row>
    <row r="260" spans="1:83" x14ac:dyDescent="0.25">
      <c r="A260" s="30">
        <v>0.37688948287299762</v>
      </c>
      <c r="B260"/>
      <c r="C260"/>
      <c r="D260"/>
      <c r="E260"/>
      <c r="F260" s="27" t="s">
        <v>7</v>
      </c>
      <c r="K260" s="27" t="s">
        <v>8</v>
      </c>
      <c r="M260" s="27" t="s">
        <v>8</v>
      </c>
      <c r="S260" s="27" t="s">
        <v>8</v>
      </c>
      <c r="W260" s="27" t="s">
        <v>8</v>
      </c>
      <c r="X260" s="27" t="s">
        <v>7</v>
      </c>
      <c r="Y260" s="27" t="s">
        <v>8</v>
      </c>
      <c r="Z260" s="27" t="s">
        <v>7</v>
      </c>
      <c r="AA260" s="27" t="s">
        <v>8</v>
      </c>
      <c r="AD260" s="27" t="s">
        <v>7</v>
      </c>
      <c r="BC260" s="27" t="s">
        <v>8</v>
      </c>
      <c r="BD260" s="27" t="s">
        <v>7</v>
      </c>
      <c r="BE260" s="27" t="s">
        <v>8</v>
      </c>
      <c r="BF260" s="27" t="s">
        <v>7</v>
      </c>
      <c r="BG260" s="27" t="s">
        <v>8</v>
      </c>
      <c r="BH260" s="27" t="s">
        <v>7</v>
      </c>
      <c r="BI260" s="27" t="s">
        <v>8</v>
      </c>
      <c r="BO260" s="27" t="s">
        <v>8</v>
      </c>
      <c r="BP260" s="27" t="s">
        <v>7</v>
      </c>
      <c r="BU260" s="27" t="s">
        <v>8</v>
      </c>
      <c r="BV260" s="27" t="s">
        <v>7</v>
      </c>
      <c r="BW260" s="27" t="s">
        <v>8</v>
      </c>
      <c r="CB260" s="31"/>
    </row>
    <row r="261" spans="1:83" x14ac:dyDescent="0.25">
      <c r="A261" s="30">
        <v>0.35894236464094997</v>
      </c>
      <c r="B261"/>
      <c r="C261"/>
      <c r="D261"/>
      <c r="E261"/>
      <c r="F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S261" s="27" t="s">
        <v>8</v>
      </c>
      <c r="T261" s="27" t="s">
        <v>7</v>
      </c>
      <c r="W261" s="27" t="s">
        <v>8</v>
      </c>
      <c r="X261" s="27" t="s">
        <v>7</v>
      </c>
      <c r="Z261" s="27" t="s">
        <v>7</v>
      </c>
      <c r="AD261" s="27" t="s">
        <v>7</v>
      </c>
      <c r="AO261" s="27" t="s">
        <v>8</v>
      </c>
      <c r="BC261" s="27" t="s">
        <v>8</v>
      </c>
      <c r="BD261" s="27" t="s">
        <v>7</v>
      </c>
      <c r="BE261" s="27" t="s">
        <v>8</v>
      </c>
      <c r="BF261" s="27" t="s">
        <v>7</v>
      </c>
      <c r="BH261" s="27" t="s">
        <v>7</v>
      </c>
      <c r="BI261" s="27" t="s">
        <v>8</v>
      </c>
      <c r="BJ261" s="27" t="s">
        <v>7</v>
      </c>
      <c r="BO261" s="27" t="s">
        <v>8</v>
      </c>
      <c r="BP261" s="27" t="s">
        <v>7</v>
      </c>
      <c r="BQ261" s="27" t="s">
        <v>8</v>
      </c>
      <c r="BU261" s="33" t="s">
        <v>8</v>
      </c>
      <c r="BV261" s="27" t="s">
        <v>7</v>
      </c>
      <c r="BW261" s="27" t="s">
        <v>8</v>
      </c>
      <c r="CA261" s="31"/>
    </row>
    <row r="262" spans="1:83" x14ac:dyDescent="0.25">
      <c r="A262" s="30">
        <v>0.34184987108661891</v>
      </c>
      <c r="B262"/>
      <c r="C262"/>
      <c r="D262"/>
      <c r="E262"/>
      <c r="F262" s="27" t="s">
        <v>7</v>
      </c>
      <c r="K262" s="27" t="s">
        <v>8</v>
      </c>
      <c r="L262" s="27" t="s">
        <v>7</v>
      </c>
      <c r="M262" s="27" t="s">
        <v>8</v>
      </c>
      <c r="N262" s="27" t="s">
        <v>7</v>
      </c>
      <c r="S262" s="27" t="s">
        <v>8</v>
      </c>
      <c r="T262" s="27" t="s">
        <v>7</v>
      </c>
      <c r="W262" s="27" t="s">
        <v>8</v>
      </c>
      <c r="AD262" s="27" t="s">
        <v>7</v>
      </c>
      <c r="AO262" s="27" t="s">
        <v>8</v>
      </c>
      <c r="AP262" s="27" t="s">
        <v>7</v>
      </c>
      <c r="BC262" s="27" t="s">
        <v>8</v>
      </c>
      <c r="BD262" s="27" t="s">
        <v>7</v>
      </c>
      <c r="BH262" s="27" t="s">
        <v>7</v>
      </c>
      <c r="BI262" s="27" t="s">
        <v>8</v>
      </c>
      <c r="BJ262" s="27" t="s">
        <v>7</v>
      </c>
      <c r="BO262" s="27" t="s">
        <v>8</v>
      </c>
      <c r="BP262" s="27" t="s">
        <v>7</v>
      </c>
      <c r="BQ262" s="27" t="s">
        <v>8</v>
      </c>
      <c r="BR262" s="27" t="s">
        <v>7</v>
      </c>
      <c r="BS262" s="27" t="s">
        <v>8</v>
      </c>
      <c r="BU262" s="27" t="s">
        <v>8</v>
      </c>
      <c r="BV262" s="27" t="s">
        <v>7</v>
      </c>
      <c r="BZ262" s="31"/>
    </row>
    <row r="263" spans="1:83" x14ac:dyDescent="0.25">
      <c r="A263" s="30">
        <v>0.32557130579677979</v>
      </c>
      <c r="B263"/>
      <c r="C263"/>
      <c r="D263"/>
      <c r="E263"/>
      <c r="F263" s="27" t="s">
        <v>7</v>
      </c>
      <c r="K263" s="27" t="s">
        <v>8</v>
      </c>
      <c r="L263" s="27" t="s">
        <v>7</v>
      </c>
      <c r="M263" s="27" t="s">
        <v>8</v>
      </c>
      <c r="N263" s="27" t="s">
        <v>7</v>
      </c>
      <c r="Q263" s="27" t="s">
        <v>8</v>
      </c>
      <c r="S263" s="27" t="s">
        <v>8</v>
      </c>
      <c r="T263" s="27" t="s">
        <v>7</v>
      </c>
      <c r="U263" s="27" t="s">
        <v>8</v>
      </c>
      <c r="W263" s="27" t="s">
        <v>8</v>
      </c>
      <c r="AD263" s="27" t="s">
        <v>7</v>
      </c>
      <c r="AE263" s="27" t="s">
        <v>8</v>
      </c>
      <c r="AO263" s="27" t="s">
        <v>8</v>
      </c>
      <c r="AP263" s="27" t="s">
        <v>7</v>
      </c>
      <c r="BC263" s="27" t="s">
        <v>8</v>
      </c>
      <c r="BH263" s="27" t="s">
        <v>7</v>
      </c>
      <c r="BJ263" s="27" t="s">
        <v>7</v>
      </c>
      <c r="BO263" s="27" t="s">
        <v>8</v>
      </c>
      <c r="BP263" s="27" t="s">
        <v>7</v>
      </c>
      <c r="BQ263" s="27" t="s">
        <v>8</v>
      </c>
      <c r="BR263" s="27" t="s">
        <v>7</v>
      </c>
      <c r="BS263" s="27" t="s">
        <v>8</v>
      </c>
      <c r="BT263" s="27" t="s">
        <v>7</v>
      </c>
      <c r="BU263" s="27" t="s">
        <v>8</v>
      </c>
      <c r="BY263" s="31"/>
    </row>
    <row r="264" spans="1:83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K264" s="27" t="s">
        <v>8</v>
      </c>
      <c r="L264" s="27" t="s">
        <v>7</v>
      </c>
      <c r="N264" s="27" t="s">
        <v>7</v>
      </c>
      <c r="O264" s="27" t="s">
        <v>8</v>
      </c>
      <c r="Q264" s="27" t="s">
        <v>8</v>
      </c>
      <c r="R264" s="27" t="s">
        <v>7</v>
      </c>
      <c r="S264" s="27" t="s">
        <v>8</v>
      </c>
      <c r="T264" s="27" t="s">
        <v>7</v>
      </c>
      <c r="U264" s="27" t="s">
        <v>8</v>
      </c>
      <c r="V264" s="27" t="s">
        <v>7</v>
      </c>
      <c r="W264" s="27" t="s">
        <v>8</v>
      </c>
      <c r="AD264" s="27" t="s">
        <v>7</v>
      </c>
      <c r="AE264" s="27" t="s">
        <v>8</v>
      </c>
      <c r="AF264" s="27" t="s">
        <v>7</v>
      </c>
      <c r="AI264" s="27" t="s">
        <v>8</v>
      </c>
      <c r="AO264" s="27" t="s">
        <v>8</v>
      </c>
      <c r="AP264" s="27" t="s">
        <v>7</v>
      </c>
      <c r="BC264" s="27" t="s">
        <v>8</v>
      </c>
      <c r="BJ264" s="27" t="s">
        <v>7</v>
      </c>
      <c r="BO264" s="27" t="s">
        <v>8</v>
      </c>
      <c r="BP264" s="27" t="s">
        <v>7</v>
      </c>
      <c r="BQ264" s="27" t="s">
        <v>8</v>
      </c>
      <c r="BR264" s="27" t="s">
        <v>7</v>
      </c>
      <c r="BS264" s="27" t="s">
        <v>8</v>
      </c>
      <c r="BT264" s="27" t="s">
        <v>7</v>
      </c>
      <c r="BU264" s="27" t="s">
        <v>8</v>
      </c>
      <c r="BX264" s="31"/>
    </row>
    <row r="265" spans="1:83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K265" s="27" t="s">
        <v>8</v>
      </c>
      <c r="N265" s="27" t="s">
        <v>7</v>
      </c>
      <c r="O265" s="27" t="s">
        <v>8</v>
      </c>
      <c r="P265" s="27" t="s">
        <v>7</v>
      </c>
      <c r="Q265" s="27" t="s">
        <v>8</v>
      </c>
      <c r="R265" s="27" t="s">
        <v>7</v>
      </c>
      <c r="S265" s="27" t="s">
        <v>8</v>
      </c>
      <c r="T265" s="27" t="s">
        <v>7</v>
      </c>
      <c r="U265" s="27" t="s">
        <v>8</v>
      </c>
      <c r="V265" s="27" t="s">
        <v>7</v>
      </c>
      <c r="W265" s="27" t="s">
        <v>8</v>
      </c>
      <c r="AD265" s="27" t="s">
        <v>7</v>
      </c>
      <c r="AE265" s="27" t="s">
        <v>8</v>
      </c>
      <c r="AF265" s="27" t="s">
        <v>7</v>
      </c>
      <c r="AI265" s="27" t="s">
        <v>8</v>
      </c>
      <c r="AJ265" s="27" t="s">
        <v>7</v>
      </c>
      <c r="AM265" s="27" t="s">
        <v>8</v>
      </c>
      <c r="AO265" s="27" t="s">
        <v>8</v>
      </c>
      <c r="AP265" s="27" t="s">
        <v>7</v>
      </c>
      <c r="BC265" s="27" t="s">
        <v>8</v>
      </c>
      <c r="BJ265" s="27" t="s">
        <v>7</v>
      </c>
      <c r="BK265" s="32" t="s">
        <v>8</v>
      </c>
      <c r="BM265" s="32" t="s">
        <v>8</v>
      </c>
      <c r="BO265" s="27" t="s">
        <v>8</v>
      </c>
      <c r="BP265" s="27" t="s">
        <v>7</v>
      </c>
      <c r="BQ265" s="27" t="s">
        <v>8</v>
      </c>
      <c r="BR265" s="27" t="s">
        <v>7</v>
      </c>
      <c r="BS265" s="27" t="s">
        <v>8</v>
      </c>
      <c r="BT265" s="27" t="s">
        <v>7</v>
      </c>
      <c r="BU265" s="27" t="s">
        <v>8</v>
      </c>
      <c r="BW265" s="31"/>
    </row>
    <row r="266" spans="1:83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K266" s="27" t="s">
        <v>8</v>
      </c>
      <c r="N266" s="27" t="s">
        <v>7</v>
      </c>
      <c r="O266" s="27" t="s">
        <v>8</v>
      </c>
      <c r="P266" s="27" t="s">
        <v>7</v>
      </c>
      <c r="Q266" s="27" t="s">
        <v>8</v>
      </c>
      <c r="R266" s="27" t="s">
        <v>7</v>
      </c>
      <c r="S266" s="27" t="s">
        <v>8</v>
      </c>
      <c r="T266" s="27" t="s">
        <v>7</v>
      </c>
      <c r="U266" s="27" t="s">
        <v>8</v>
      </c>
      <c r="V266" s="27" t="s">
        <v>7</v>
      </c>
      <c r="W266" s="27" t="s">
        <v>8</v>
      </c>
      <c r="AD266" s="27" t="s">
        <v>7</v>
      </c>
      <c r="AE266" s="27" t="s">
        <v>8</v>
      </c>
      <c r="AF266" s="27" t="s">
        <v>7</v>
      </c>
      <c r="AI266" s="27" t="s">
        <v>8</v>
      </c>
      <c r="AJ266" s="27" t="s">
        <v>7</v>
      </c>
      <c r="AK266" s="27" t="s">
        <v>8</v>
      </c>
      <c r="AM266" s="27" t="s">
        <v>8</v>
      </c>
      <c r="AN266" s="27" t="s">
        <v>7</v>
      </c>
      <c r="AO266" s="27" t="s">
        <v>8</v>
      </c>
      <c r="AP266" s="27" t="s">
        <v>7</v>
      </c>
      <c r="BC266" s="27" t="s">
        <v>8</v>
      </c>
      <c r="BJ266" s="27" t="s">
        <v>7</v>
      </c>
      <c r="BK266" s="27" t="s">
        <v>8</v>
      </c>
      <c r="BL266" s="27" t="s">
        <v>7</v>
      </c>
      <c r="BM266" s="27" t="s">
        <v>8</v>
      </c>
      <c r="BN266" s="27" t="s">
        <v>7</v>
      </c>
      <c r="BO266" s="27" t="s">
        <v>8</v>
      </c>
      <c r="BP266" s="27" t="s">
        <v>7</v>
      </c>
      <c r="BR266" s="27" t="s">
        <v>7</v>
      </c>
      <c r="BS266" s="27" t="s">
        <v>8</v>
      </c>
      <c r="BT266" s="27" t="s">
        <v>7</v>
      </c>
      <c r="BU266" s="27" t="s">
        <v>8</v>
      </c>
      <c r="BV266" s="31"/>
    </row>
    <row r="267" spans="1:83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H267" s="27" t="s">
        <v>7</v>
      </c>
      <c r="K267" s="27" t="s">
        <v>8</v>
      </c>
      <c r="N267" s="27" t="s">
        <v>7</v>
      </c>
      <c r="O267" s="27" t="s">
        <v>8</v>
      </c>
      <c r="P267" s="27" t="s">
        <v>7</v>
      </c>
      <c r="Q267" s="27" t="s">
        <v>8</v>
      </c>
      <c r="R267" s="27" t="s">
        <v>7</v>
      </c>
      <c r="T267" s="27" t="s">
        <v>7</v>
      </c>
      <c r="U267" s="27" t="s">
        <v>8</v>
      </c>
      <c r="V267" s="27" t="s">
        <v>7</v>
      </c>
      <c r="AD267" s="27" t="s">
        <v>7</v>
      </c>
      <c r="AF267" s="27" t="s">
        <v>7</v>
      </c>
      <c r="AG267" s="27" t="s">
        <v>8</v>
      </c>
      <c r="AI267" s="27" t="s">
        <v>8</v>
      </c>
      <c r="AJ267" s="27" t="s">
        <v>7</v>
      </c>
      <c r="AK267" s="27" t="s">
        <v>8</v>
      </c>
      <c r="AL267" s="27" t="s">
        <v>7</v>
      </c>
      <c r="AM267" s="27" t="s">
        <v>8</v>
      </c>
      <c r="AN267" s="27" t="s">
        <v>7</v>
      </c>
      <c r="AO267" s="27" t="s">
        <v>8</v>
      </c>
      <c r="AP267" s="27" t="s">
        <v>7</v>
      </c>
      <c r="BC267" s="27" t="s">
        <v>8</v>
      </c>
      <c r="BJ267" s="27" t="s">
        <v>7</v>
      </c>
      <c r="BK267" s="27" t="s">
        <v>8</v>
      </c>
      <c r="BL267" s="27" t="s">
        <v>7</v>
      </c>
      <c r="BM267" s="27" t="s">
        <v>8</v>
      </c>
      <c r="BN267" s="27" t="s">
        <v>7</v>
      </c>
      <c r="BO267" s="27" t="s">
        <v>8</v>
      </c>
      <c r="BR267" s="27" t="s">
        <v>7</v>
      </c>
      <c r="BT267" s="27" t="s">
        <v>7</v>
      </c>
      <c r="BU267" s="31" t="s">
        <v>8</v>
      </c>
    </row>
    <row r="268" spans="1:83" x14ac:dyDescent="0.25">
      <c r="A268" s="30">
        <v>0.25509363714308075</v>
      </c>
      <c r="B268"/>
      <c r="C268"/>
      <c r="D268"/>
      <c r="E268"/>
      <c r="F268" s="27" t="s">
        <v>7</v>
      </c>
      <c r="H268" s="27" t="s">
        <v>7</v>
      </c>
      <c r="K268" s="27" t="s">
        <v>8</v>
      </c>
      <c r="N268" s="27" t="s">
        <v>7</v>
      </c>
      <c r="O268" s="27" t="s">
        <v>8</v>
      </c>
      <c r="P268" s="27" t="s">
        <v>7</v>
      </c>
      <c r="Q268" s="27" t="s">
        <v>8</v>
      </c>
      <c r="T268" s="27" t="s">
        <v>7</v>
      </c>
      <c r="U268" s="27" t="s">
        <v>8</v>
      </c>
      <c r="AF268" s="27" t="s">
        <v>7</v>
      </c>
      <c r="AG268" s="27" t="s">
        <v>8</v>
      </c>
      <c r="AH268" s="27" t="s">
        <v>7</v>
      </c>
      <c r="AI268" s="27" t="s">
        <v>8</v>
      </c>
      <c r="AJ268" s="27" t="s">
        <v>7</v>
      </c>
      <c r="AK268" s="27" t="s">
        <v>8</v>
      </c>
      <c r="AL268" s="27" t="s">
        <v>7</v>
      </c>
      <c r="AM268" s="27" t="s">
        <v>8</v>
      </c>
      <c r="AN268" s="27" t="s">
        <v>7</v>
      </c>
      <c r="AO268" s="27" t="s">
        <v>8</v>
      </c>
      <c r="AP268" s="27" t="s">
        <v>7</v>
      </c>
      <c r="BA268" s="27" t="s">
        <v>8</v>
      </c>
      <c r="BC268" s="27" t="s">
        <v>8</v>
      </c>
      <c r="BJ268" s="27" t="s">
        <v>7</v>
      </c>
      <c r="BL268" s="27" t="s">
        <v>7</v>
      </c>
      <c r="BM268" s="27" t="s">
        <v>8</v>
      </c>
      <c r="BN268" s="27" t="s">
        <v>7</v>
      </c>
      <c r="BO268" s="27" t="s">
        <v>8</v>
      </c>
      <c r="BT268" s="31" t="s">
        <v>7</v>
      </c>
    </row>
    <row r="269" spans="1:83" x14ac:dyDescent="0.25">
      <c r="A269" s="30">
        <v>0.24294632108864825</v>
      </c>
      <c r="B269"/>
      <c r="C269"/>
      <c r="D269"/>
      <c r="E269"/>
      <c r="H269" s="27" t="s">
        <v>7</v>
      </c>
      <c r="I269" s="27" t="s">
        <v>8</v>
      </c>
      <c r="K269" s="27" t="s">
        <v>8</v>
      </c>
      <c r="N269" s="27" t="s">
        <v>7</v>
      </c>
      <c r="P269" s="27" t="s">
        <v>7</v>
      </c>
      <c r="T269" s="27" t="s">
        <v>7</v>
      </c>
      <c r="AF269" s="27" t="s">
        <v>7</v>
      </c>
      <c r="AG269" s="27" t="s">
        <v>8</v>
      </c>
      <c r="AH269" s="27" t="s">
        <v>7</v>
      </c>
      <c r="AI269" s="27" t="s">
        <v>8</v>
      </c>
      <c r="AJ269" s="27" t="s">
        <v>7</v>
      </c>
      <c r="AL269" s="27" t="s">
        <v>7</v>
      </c>
      <c r="AN269" s="27" t="s">
        <v>7</v>
      </c>
      <c r="AO269" s="27" t="s">
        <v>8</v>
      </c>
      <c r="AP269" s="27" t="s">
        <v>7</v>
      </c>
      <c r="BA269" s="27" t="s">
        <v>8</v>
      </c>
      <c r="BB269" s="27" t="s">
        <v>7</v>
      </c>
      <c r="BC269" s="27" t="s">
        <v>8</v>
      </c>
      <c r="BL269" s="27" t="s">
        <v>7</v>
      </c>
      <c r="BM269" s="27" t="s">
        <v>8</v>
      </c>
      <c r="BN269" s="27" t="s">
        <v>7</v>
      </c>
      <c r="BO269" s="27" t="s">
        <v>8</v>
      </c>
    </row>
    <row r="270" spans="1:83" x14ac:dyDescent="0.25">
      <c r="A270" s="30">
        <v>0.23137744865585538</v>
      </c>
      <c r="B270"/>
      <c r="C270"/>
      <c r="D270"/>
      <c r="E270"/>
      <c r="H270" s="27" t="s">
        <v>7</v>
      </c>
      <c r="I270" s="27" t="s">
        <v>8</v>
      </c>
      <c r="J270" s="27" t="s">
        <v>7</v>
      </c>
      <c r="K270" s="27" t="s">
        <v>8</v>
      </c>
      <c r="AF270" s="27" t="s">
        <v>7</v>
      </c>
      <c r="AH270" s="27" t="s">
        <v>7</v>
      </c>
      <c r="AN270" s="27" t="s">
        <v>7</v>
      </c>
      <c r="AO270" s="27" t="s">
        <v>8</v>
      </c>
      <c r="AP270" s="27" t="s">
        <v>7</v>
      </c>
      <c r="BA270" s="27" t="s">
        <v>8</v>
      </c>
      <c r="BB270" s="27" t="s">
        <v>7</v>
      </c>
      <c r="BC270" s="27" t="s">
        <v>8</v>
      </c>
      <c r="BL270" s="32" t="s">
        <v>7</v>
      </c>
      <c r="BN270" s="32" t="s">
        <v>7</v>
      </c>
    </row>
    <row r="271" spans="1:83" x14ac:dyDescent="0.25">
      <c r="A271" s="30">
        <v>0.22035947491033836</v>
      </c>
      <c r="B271"/>
      <c r="C271"/>
      <c r="D271"/>
      <c r="E271"/>
      <c r="H271" s="27" t="s">
        <v>7</v>
      </c>
      <c r="I271" s="27" t="s">
        <v>8</v>
      </c>
      <c r="J271" s="27" t="s">
        <v>7</v>
      </c>
      <c r="K271" s="27" t="s">
        <v>8</v>
      </c>
      <c r="AN271" s="27" t="s">
        <v>7</v>
      </c>
      <c r="AO271" s="27" t="s">
        <v>8</v>
      </c>
      <c r="AP271" s="27" t="s">
        <v>7</v>
      </c>
      <c r="AY271" s="27" t="s">
        <v>8</v>
      </c>
      <c r="BA271" s="27" t="s">
        <v>8</v>
      </c>
      <c r="BB271" s="27" t="s">
        <v>7</v>
      </c>
      <c r="BC271" s="27" t="s">
        <v>8</v>
      </c>
    </row>
    <row r="272" spans="1:83" x14ac:dyDescent="0.25">
      <c r="A272" s="30">
        <v>0.20986616658127455</v>
      </c>
      <c r="B272"/>
      <c r="C272"/>
      <c r="D272"/>
      <c r="E272"/>
      <c r="H272" s="27" t="s">
        <v>7</v>
      </c>
      <c r="J272" s="27" t="s">
        <v>7</v>
      </c>
      <c r="AN272" s="27" t="s">
        <v>7</v>
      </c>
      <c r="AO272" s="27" t="s">
        <v>8</v>
      </c>
      <c r="AP272" s="27" t="s">
        <v>7</v>
      </c>
      <c r="AW272" s="27" t="s">
        <v>8</v>
      </c>
      <c r="AY272" s="27" t="s">
        <v>8</v>
      </c>
      <c r="AZ272" s="27" t="s">
        <v>7</v>
      </c>
      <c r="BA272" s="27" t="s">
        <v>8</v>
      </c>
      <c r="BB272" s="27" t="s">
        <v>7</v>
      </c>
      <c r="BC272" s="27" t="s">
        <v>8</v>
      </c>
    </row>
    <row r="273" spans="1:54" x14ac:dyDescent="0.25">
      <c r="A273" s="30">
        <v>0.19987253960121379</v>
      </c>
      <c r="B273"/>
      <c r="C273"/>
      <c r="D273"/>
      <c r="E273"/>
      <c r="AN273" s="27" t="s">
        <v>7</v>
      </c>
      <c r="AO273" s="27" t="s">
        <v>8</v>
      </c>
      <c r="AP273" s="27" t="s">
        <v>7</v>
      </c>
      <c r="AW273" s="27" t="s">
        <v>8</v>
      </c>
      <c r="AX273" s="27" t="s">
        <v>7</v>
      </c>
      <c r="AY273" s="27" t="s">
        <v>8</v>
      </c>
      <c r="AZ273" s="27" t="s">
        <v>7</v>
      </c>
      <c r="BA273" s="27" t="s">
        <v>8</v>
      </c>
      <c r="BB273" s="27" t="s">
        <v>7</v>
      </c>
    </row>
    <row r="274" spans="1:54" x14ac:dyDescent="0.25">
      <c r="A274" s="30">
        <v>0.19035479962020352</v>
      </c>
      <c r="B274"/>
      <c r="C274"/>
      <c r="D274"/>
      <c r="E274"/>
      <c r="AN274" s="27" t="s">
        <v>7</v>
      </c>
      <c r="AO274" s="27" t="s">
        <v>8</v>
      </c>
      <c r="AP274" s="27" t="s">
        <v>7</v>
      </c>
      <c r="AW274" s="27" t="s">
        <v>8</v>
      </c>
      <c r="AX274" s="27" t="s">
        <v>7</v>
      </c>
      <c r="AY274" s="27" t="s">
        <v>8</v>
      </c>
      <c r="AZ274" s="27" t="s">
        <v>7</v>
      </c>
      <c r="BA274" s="27" t="s">
        <v>8</v>
      </c>
    </row>
    <row r="275" spans="1:54" x14ac:dyDescent="0.25">
      <c r="A275" s="30">
        <v>0.18129028535257471</v>
      </c>
      <c r="B275"/>
      <c r="C275"/>
      <c r="D275"/>
      <c r="E275"/>
      <c r="AN275" s="27" t="s">
        <v>7</v>
      </c>
      <c r="AO275" s="27" t="s">
        <v>8</v>
      </c>
      <c r="AP275" s="27" t="s">
        <v>7</v>
      </c>
      <c r="AW275" s="27" t="s">
        <v>8</v>
      </c>
      <c r="AX275" s="27" t="s">
        <v>7</v>
      </c>
      <c r="AY275" s="27" t="s">
        <v>8</v>
      </c>
      <c r="AZ275" s="27" t="s">
        <v>7</v>
      </c>
    </row>
    <row r="276" spans="1:54" x14ac:dyDescent="0.25">
      <c r="A276" s="30">
        <v>0.17265741462149967</v>
      </c>
      <c r="B276"/>
      <c r="C276"/>
      <c r="D276"/>
      <c r="E276"/>
      <c r="AN276" s="27" t="s">
        <v>7</v>
      </c>
      <c r="AO276" s="27" t="s">
        <v>8</v>
      </c>
      <c r="AP276" s="27" t="s">
        <v>7</v>
      </c>
      <c r="AU276" s="27" t="s">
        <v>8</v>
      </c>
      <c r="AW276" s="27" t="s">
        <v>8</v>
      </c>
      <c r="AX276" s="27" t="s">
        <v>7</v>
      </c>
    </row>
    <row r="277" spans="1:54" x14ac:dyDescent="0.25">
      <c r="A277" s="30">
        <v>0.16443563297285677</v>
      </c>
      <c r="B277"/>
      <c r="C277"/>
      <c r="D277"/>
      <c r="E277"/>
      <c r="AN277" s="27" t="s">
        <v>7</v>
      </c>
      <c r="AO277" s="27" t="s">
        <v>8</v>
      </c>
      <c r="AP277" s="27" t="s">
        <v>7</v>
      </c>
      <c r="AS277" s="27" t="s">
        <v>8</v>
      </c>
      <c r="AU277" s="27" t="s">
        <v>8</v>
      </c>
      <c r="AV277" s="27" t="s">
        <v>7</v>
      </c>
      <c r="AW277" s="27" t="s">
        <v>8</v>
      </c>
    </row>
    <row r="278" spans="1:54" x14ac:dyDescent="0.25">
      <c r="A278" s="30">
        <v>0.15660536473605399</v>
      </c>
      <c r="B278"/>
      <c r="C278"/>
      <c r="D278"/>
      <c r="E278"/>
      <c r="AN278" s="27" t="s">
        <v>7</v>
      </c>
      <c r="AO278" s="27" t="s">
        <v>8</v>
      </c>
      <c r="AP278" s="27" t="s">
        <v>7</v>
      </c>
      <c r="AS278" s="27" t="s">
        <v>8</v>
      </c>
      <c r="AT278" s="27" t="s">
        <v>7</v>
      </c>
      <c r="AU278" s="27" t="s">
        <v>8</v>
      </c>
      <c r="AV278" s="27" t="s">
        <v>7</v>
      </c>
      <c r="AW278" s="27" t="s">
        <v>8</v>
      </c>
    </row>
    <row r="279" spans="1:54" x14ac:dyDescent="0.25">
      <c r="A279" s="30">
        <v>0.14914796641528946</v>
      </c>
      <c r="B279"/>
      <c r="C279"/>
      <c r="D279"/>
      <c r="E279"/>
      <c r="AN279" s="27" t="s">
        <v>7</v>
      </c>
      <c r="AP279" s="27" t="s">
        <v>7</v>
      </c>
      <c r="AS279" s="27" t="s">
        <v>8</v>
      </c>
      <c r="AT279" s="27" t="s">
        <v>7</v>
      </c>
      <c r="AU279" s="27" t="s">
        <v>8</v>
      </c>
      <c r="AV279" s="27" t="s">
        <v>7</v>
      </c>
      <c r="AW279" s="27" t="s">
        <v>8</v>
      </c>
    </row>
    <row r="280" spans="1:54" x14ac:dyDescent="0.25">
      <c r="A280" s="30">
        <v>0.14204568230027562</v>
      </c>
      <c r="B280"/>
      <c r="C280"/>
      <c r="D280"/>
      <c r="E280"/>
      <c r="AP280" s="27" t="s">
        <v>7</v>
      </c>
      <c r="AS280" s="27" t="s">
        <v>8</v>
      </c>
      <c r="AT280" s="27" t="s">
        <v>7</v>
      </c>
      <c r="AU280" s="27" t="s">
        <v>8</v>
      </c>
      <c r="AV280" s="27" t="s">
        <v>7</v>
      </c>
    </row>
    <row r="281" spans="1:54" x14ac:dyDescent="0.25">
      <c r="A281" s="30">
        <v>0.13528160219073862</v>
      </c>
      <c r="B281"/>
      <c r="C281"/>
      <c r="D281"/>
      <c r="E281"/>
      <c r="AP281" s="27" t="s">
        <v>7</v>
      </c>
      <c r="AS281" s="27" t="s">
        <v>8</v>
      </c>
      <c r="AT281" s="27" t="s">
        <v>7</v>
      </c>
      <c r="AU281" s="27" t="s">
        <v>8</v>
      </c>
    </row>
    <row r="282" spans="1:54" x14ac:dyDescent="0.25">
      <c r="A282" s="30">
        <v>0.12883962113403674</v>
      </c>
      <c r="B282"/>
      <c r="C282"/>
      <c r="D282"/>
      <c r="E282"/>
      <c r="AP282" s="27" t="s">
        <v>7</v>
      </c>
      <c r="AQ282" s="27" t="s">
        <v>8</v>
      </c>
      <c r="AS282" s="27" t="s">
        <v>8</v>
      </c>
      <c r="AT282" s="27" t="s">
        <v>7</v>
      </c>
    </row>
    <row r="283" spans="1:54" x14ac:dyDescent="0.25">
      <c r="A283" s="30">
        <v>0.12270440108003494</v>
      </c>
      <c r="B283"/>
      <c r="C283"/>
      <c r="D283"/>
      <c r="E283"/>
      <c r="AP283" s="27" t="s">
        <v>7</v>
      </c>
      <c r="AQ283" s="27" t="s">
        <v>8</v>
      </c>
      <c r="AR283" s="27" t="s">
        <v>7</v>
      </c>
      <c r="AS283" s="27" t="s">
        <v>8</v>
      </c>
    </row>
    <row r="284" spans="1:54" x14ac:dyDescent="0.25">
      <c r="A284" s="30">
        <v>0.11686133436193799</v>
      </c>
      <c r="B284"/>
      <c r="C284"/>
      <c r="D284"/>
      <c r="E284"/>
      <c r="AP284" s="27" t="s">
        <v>7</v>
      </c>
      <c r="AQ284" s="27" t="s">
        <v>8</v>
      </c>
      <c r="AR284" s="27" t="s">
        <v>7</v>
      </c>
      <c r="AS284" s="27" t="s">
        <v>8</v>
      </c>
    </row>
    <row r="285" spans="1:54" x14ac:dyDescent="0.25">
      <c r="A285" s="30">
        <v>0.11129650891613138</v>
      </c>
      <c r="B285"/>
      <c r="C285"/>
      <c r="D285"/>
      <c r="E285"/>
      <c r="AP285" s="27" t="s">
        <v>7</v>
      </c>
      <c r="AQ285" s="27" t="s">
        <v>8</v>
      </c>
      <c r="AR285" s="27" t="s">
        <v>7</v>
      </c>
      <c r="AS285" s="27" t="s">
        <v>8</v>
      </c>
    </row>
    <row r="286" spans="1:54" x14ac:dyDescent="0.25">
      <c r="A286" s="30">
        <v>0.10599667515822032</v>
      </c>
      <c r="B286"/>
      <c r="C286"/>
      <c r="D286"/>
      <c r="E286"/>
      <c r="AP286" s="27" t="s">
        <v>7</v>
      </c>
      <c r="AQ286" s="27" t="s">
        <v>8</v>
      </c>
      <c r="AR286" s="27" t="s">
        <v>7</v>
      </c>
      <c r="AS286" s="27" t="s">
        <v>8</v>
      </c>
    </row>
    <row r="287" spans="1:54" x14ac:dyDescent="0.25">
      <c r="A287" s="30">
        <v>0.10094921443640027</v>
      </c>
      <c r="B287"/>
      <c r="C287"/>
      <c r="D287"/>
      <c r="E287"/>
      <c r="AP287" s="27" t="s">
        <v>7</v>
      </c>
      <c r="AQ287" s="27" t="s">
        <v>8</v>
      </c>
      <c r="AR287" s="27" t="s">
        <v>7</v>
      </c>
      <c r="AS287" s="27" t="s">
        <v>8</v>
      </c>
    </row>
    <row r="288" spans="1:54" x14ac:dyDescent="0.25">
      <c r="A288" s="30">
        <v>9.6142108987047836E-2</v>
      </c>
      <c r="B288"/>
      <c r="C288"/>
      <c r="D288"/>
      <c r="E288"/>
      <c r="AP288" s="27" t="s">
        <v>7</v>
      </c>
      <c r="AQ288" s="27" t="s">
        <v>8</v>
      </c>
      <c r="AR288" s="27" t="s">
        <v>7</v>
      </c>
      <c r="AS288" s="27" t="s">
        <v>8</v>
      </c>
    </row>
    <row r="289" spans="1:44" x14ac:dyDescent="0.25">
      <c r="A289" s="30">
        <v>9.1563913320997906E-2</v>
      </c>
      <c r="B289"/>
      <c r="C289"/>
      <c r="D289"/>
      <c r="E289"/>
      <c r="AP289" s="27" t="s">
        <v>7</v>
      </c>
      <c r="AQ289" s="27" t="s">
        <v>8</v>
      </c>
      <c r="AR289" s="27" t="s">
        <v>7</v>
      </c>
    </row>
    <row r="290" spans="1:44" x14ac:dyDescent="0.25">
      <c r="A290" s="30">
        <v>8.7203726972378923E-2</v>
      </c>
      <c r="B290"/>
      <c r="C290"/>
      <c r="D290"/>
      <c r="E290"/>
      <c r="AP290" s="27" t="s">
        <v>7</v>
      </c>
      <c r="AQ290" s="27" t="s">
        <v>8</v>
      </c>
    </row>
    <row r="291" spans="1:44" x14ac:dyDescent="0.25">
      <c r="A291" s="30">
        <v>8.3051168545122747E-2</v>
      </c>
      <c r="B291"/>
      <c r="C291"/>
      <c r="D291"/>
      <c r="E291"/>
      <c r="AP291" s="27" t="s">
        <v>7</v>
      </c>
      <c r="AQ291" s="27" t="s">
        <v>8</v>
      </c>
    </row>
    <row r="292" spans="1:44" x14ac:dyDescent="0.25">
      <c r="A292" s="30">
        <v>7.9096350995354961E-2</v>
      </c>
      <c r="B292"/>
      <c r="C292"/>
      <c r="D292"/>
      <c r="E292"/>
      <c r="AP292" s="27" t="s">
        <v>7</v>
      </c>
      <c r="AQ292" s="27" t="s">
        <v>8</v>
      </c>
    </row>
    <row r="293" spans="1:44" x14ac:dyDescent="0.25">
      <c r="A293" s="30">
        <v>7.5329858090814217E-2</v>
      </c>
      <c r="B293"/>
      <c r="C293"/>
      <c r="D293"/>
      <c r="E293"/>
      <c r="AP293" s="27" t="s">
        <v>7</v>
      </c>
      <c r="AQ293" s="27" t="s">
        <v>8</v>
      </c>
    </row>
    <row r="294" spans="1:44" x14ac:dyDescent="0.25">
      <c r="A294" s="30">
        <v>7.1742721991251604E-2</v>
      </c>
      <c r="B294"/>
      <c r="C294"/>
      <c r="D294"/>
      <c r="E294"/>
      <c r="AP294" s="27" t="s">
        <v>7</v>
      </c>
      <c r="AQ294" s="27" t="s">
        <v>8</v>
      </c>
    </row>
    <row r="295" spans="1:44" x14ac:dyDescent="0.25">
      <c r="A295" s="30">
        <v>6.8326401896430078E-2</v>
      </c>
      <c r="B295"/>
      <c r="C295"/>
      <c r="D295"/>
      <c r="E295"/>
      <c r="AP295" s="27" t="s">
        <v>7</v>
      </c>
      <c r="AQ295" s="27" t="s">
        <v>8</v>
      </c>
    </row>
    <row r="296" spans="1:44" x14ac:dyDescent="0.25">
      <c r="A296" s="30">
        <v>6.5072763710885759E-2</v>
      </c>
      <c r="B296"/>
      <c r="C296"/>
      <c r="D296"/>
      <c r="E296"/>
      <c r="AP296" s="27" t="s">
        <v>7</v>
      </c>
      <c r="AQ296" s="27" t="s">
        <v>8</v>
      </c>
    </row>
    <row r="297" spans="1:44" x14ac:dyDescent="0.25">
      <c r="A297" s="30">
        <v>6.197406067703403E-2</v>
      </c>
      <c r="B297"/>
      <c r="C297"/>
      <c r="D297"/>
      <c r="E297"/>
      <c r="AP297" s="27" t="s">
        <v>7</v>
      </c>
      <c r="AQ297" s="27" t="s">
        <v>8</v>
      </c>
    </row>
    <row r="298" spans="1:44" x14ac:dyDescent="0.25">
      <c r="A298" s="30">
        <v>5.9022914930508576E-2</v>
      </c>
      <c r="B298"/>
      <c r="C298"/>
      <c r="D298"/>
      <c r="E298"/>
      <c r="AP298" s="27" t="s">
        <v>7</v>
      </c>
      <c r="AQ298" s="27" t="s">
        <v>8</v>
      </c>
    </row>
    <row r="299" spans="1:44" x14ac:dyDescent="0.25">
      <c r="A299" s="30">
        <v>5.6212299933817669E-2</v>
      </c>
      <c r="B299"/>
      <c r="C299"/>
      <c r="D299"/>
      <c r="E299"/>
      <c r="AP299" s="27" t="s">
        <v>7</v>
      </c>
      <c r="AQ299" s="27" t="s">
        <v>8</v>
      </c>
    </row>
    <row r="300" spans="1:44" x14ac:dyDescent="0.25">
      <c r="A300" s="30">
        <v>5.3535523746492994E-2</v>
      </c>
      <c r="B300"/>
      <c r="C300"/>
      <c r="D300"/>
      <c r="E300"/>
      <c r="AP300" s="27" t="s">
        <v>7</v>
      </c>
    </row>
    <row r="301" spans="1:44" x14ac:dyDescent="0.25">
      <c r="A301" s="30">
        <v>5.0986213091898068E-2</v>
      </c>
      <c r="B301"/>
      <c r="C301"/>
      <c r="D301"/>
      <c r="E301"/>
    </row>
    <row r="302" spans="1:44" x14ac:dyDescent="0.25">
      <c r="A302" s="30">
        <v>4.8558298182760043E-2</v>
      </c>
      <c r="B302"/>
      <c r="C302"/>
      <c r="D302"/>
      <c r="E302"/>
    </row>
    <row r="303" spans="1:44" x14ac:dyDescent="0.25">
      <c r="A303" s="30">
        <v>4.6245998269295263E-2</v>
      </c>
      <c r="B303"/>
      <c r="C303"/>
      <c r="D303"/>
      <c r="E303"/>
    </row>
    <row r="304" spans="1:44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6" zoomScale="90" zoomScaleNormal="90" workbookViewId="0">
      <pane xSplit="4" topLeftCell="G1" activePane="topRight" state="frozen"/>
      <selection activeCell="A109" sqref="A109"/>
      <selection pane="topRight" activeCell="AV124" sqref="AV12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3" x14ac:dyDescent="0.25">
      <c r="A97" s="30">
        <v>9.849732675807628</v>
      </c>
      <c r="E97"/>
    </row>
    <row r="98" spans="1:33" x14ac:dyDescent="0.25">
      <c r="A98" s="30">
        <v>8.9543024325523888</v>
      </c>
      <c r="C98" s="1" t="s">
        <v>13</v>
      </c>
      <c r="E98"/>
    </row>
    <row r="99" spans="1:33" x14ac:dyDescent="0.25">
      <c r="A99" s="30">
        <v>8.140274938683989</v>
      </c>
      <c r="C99" s="1">
        <f>C88</f>
        <v>0</v>
      </c>
      <c r="E99"/>
    </row>
    <row r="100" spans="1:33" x14ac:dyDescent="0.25">
      <c r="A100" s="30">
        <v>7.4002499442581717</v>
      </c>
      <c r="C100"/>
      <c r="D100"/>
      <c r="E100"/>
    </row>
    <row r="101" spans="1:33" x14ac:dyDescent="0.25">
      <c r="A101" s="30">
        <v>6.72749994932561</v>
      </c>
      <c r="C101" s="1" t="s">
        <v>14</v>
      </c>
      <c r="E101"/>
    </row>
    <row r="102" spans="1:33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3" x14ac:dyDescent="0.25">
      <c r="A103" s="30">
        <v>5.5599173134922388</v>
      </c>
      <c r="E103"/>
    </row>
    <row r="104" spans="1:33" x14ac:dyDescent="0.25">
      <c r="A104" s="30">
        <v>5.0544702849929442</v>
      </c>
      <c r="E104"/>
    </row>
    <row r="105" spans="1:33" x14ac:dyDescent="0.25">
      <c r="A105" s="30">
        <v>4.594972986357222</v>
      </c>
      <c r="E105"/>
    </row>
    <row r="106" spans="1:33" x14ac:dyDescent="0.25">
      <c r="A106" s="30">
        <v>4.1772481694156562</v>
      </c>
      <c r="E106"/>
    </row>
    <row r="107" spans="1:33" x14ac:dyDescent="0.25">
      <c r="A107" s="30">
        <v>3.7974983358324148</v>
      </c>
      <c r="E107"/>
    </row>
    <row r="108" spans="1:33" x14ac:dyDescent="0.25">
      <c r="A108" s="30">
        <v>3.4522712143931042</v>
      </c>
      <c r="E108"/>
    </row>
    <row r="109" spans="1:33" x14ac:dyDescent="0.25">
      <c r="A109" s="30">
        <v>3.1384283767210035</v>
      </c>
      <c r="E109"/>
    </row>
    <row r="110" spans="1:33" x14ac:dyDescent="0.25">
      <c r="A110" s="30">
        <v>2.8531167061100029</v>
      </c>
      <c r="E110"/>
    </row>
    <row r="111" spans="1:33" x14ac:dyDescent="0.25">
      <c r="A111" s="30">
        <v>2.5937424601000023</v>
      </c>
      <c r="C111" s="1" t="str">
        <f>ADDRESS(C121-1,1,1,1)</f>
        <v>$A$123</v>
      </c>
      <c r="D111" s="1" t="str">
        <f>ADDRESS(C121-1,D121,1,1)</f>
        <v>$AV$123</v>
      </c>
      <c r="E111"/>
      <c r="AC111" s="27" t="s">
        <v>8</v>
      </c>
    </row>
    <row r="112" spans="1:33" x14ac:dyDescent="0.25">
      <c r="A112" s="30">
        <v>2.3579476910000019</v>
      </c>
      <c r="C112" s="1" t="str">
        <f>ADDRESS(C121,1,1,1)</f>
        <v>$A$124</v>
      </c>
      <c r="D112" s="1" t="str">
        <f>ADDRESS(C121,D121-1,1,1)</f>
        <v>$AU$124</v>
      </c>
      <c r="E112"/>
      <c r="AC112" s="27" t="s">
        <v>8</v>
      </c>
      <c r="AD112" s="27" t="s">
        <v>7</v>
      </c>
      <c r="AE112" s="32" t="s">
        <v>8</v>
      </c>
      <c r="AG112" s="32" t="s">
        <v>8</v>
      </c>
    </row>
    <row r="113" spans="1:48" x14ac:dyDescent="0.25">
      <c r="A113" s="30">
        <v>2.1435888100000016</v>
      </c>
      <c r="C113" s="1" t="str">
        <f>ADDRESS(C121+1,1,1,1)</f>
        <v>$A$125</v>
      </c>
      <c r="D113" s="1" t="str">
        <f>ADDRESS(C121-1,D121+1,1,1)</f>
        <v>$AW$123</v>
      </c>
      <c r="AC113" s="27" t="s">
        <v>8</v>
      </c>
      <c r="AD113" s="27" t="s">
        <v>7</v>
      </c>
      <c r="AE113" s="27" t="s">
        <v>8</v>
      </c>
      <c r="AF113" s="27" t="s">
        <v>7</v>
      </c>
      <c r="AG113" s="27" t="s">
        <v>8</v>
      </c>
      <c r="AH113" s="31" t="s">
        <v>7</v>
      </c>
    </row>
    <row r="114" spans="1:48" x14ac:dyDescent="0.25">
      <c r="A114" s="30">
        <v>1.9487171000000014</v>
      </c>
      <c r="C114" s="1" t="str">
        <f>ADDRESS(C121,D121,1,1)</f>
        <v>$AV$124</v>
      </c>
      <c r="D114" s="1" t="str">
        <f>ADDRESS(C121+1,D121+1,1,1)</f>
        <v>$AW$125</v>
      </c>
      <c r="AC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H114" s="27" t="s">
        <v>7</v>
      </c>
      <c r="AI114" s="31"/>
      <c r="AO114" s="27" t="s">
        <v>8</v>
      </c>
    </row>
    <row r="115" spans="1:48" x14ac:dyDescent="0.25">
      <c r="A115" s="30">
        <v>1.7715610000000011</v>
      </c>
      <c r="C115" s="1" t="str">
        <f>ADDRESS(C121+1,D121,1,1)</f>
        <v>$AV$125</v>
      </c>
      <c r="AA115" s="27" t="s">
        <v>8</v>
      </c>
      <c r="AC115" s="27" t="s">
        <v>8</v>
      </c>
      <c r="AD115" s="27" t="s">
        <v>7</v>
      </c>
      <c r="AE115" s="27" t="s">
        <v>8</v>
      </c>
      <c r="AF115" s="27" t="s">
        <v>7</v>
      </c>
      <c r="AG115" s="27" t="s">
        <v>8</v>
      </c>
      <c r="AH115" s="27" t="s">
        <v>7</v>
      </c>
      <c r="AJ115" s="31"/>
      <c r="AO115" s="27" t="s">
        <v>8</v>
      </c>
      <c r="AP115" s="27" t="s">
        <v>7</v>
      </c>
    </row>
    <row r="116" spans="1:48" x14ac:dyDescent="0.25">
      <c r="A116" s="30">
        <v>1.6105100000000008</v>
      </c>
      <c r="C116" s="1">
        <f>C117-1</f>
        <v>123</v>
      </c>
      <c r="AA116" s="33" t="s">
        <v>8</v>
      </c>
      <c r="AB116" s="27" t="s">
        <v>7</v>
      </c>
      <c r="AC116" s="27" t="s">
        <v>8</v>
      </c>
      <c r="AD116" s="32" t="s">
        <v>7</v>
      </c>
      <c r="AF116" s="32" t="s">
        <v>7</v>
      </c>
      <c r="AH116" s="27" t="s">
        <v>7</v>
      </c>
      <c r="AK116" s="31"/>
      <c r="AO116" s="27" t="s">
        <v>8</v>
      </c>
      <c r="AP116" s="27" t="s">
        <v>7</v>
      </c>
      <c r="AQ116" s="27" t="s">
        <v>8</v>
      </c>
      <c r="AS116" s="27" t="s">
        <v>8</v>
      </c>
    </row>
    <row r="117" spans="1:48" x14ac:dyDescent="0.25">
      <c r="A117" s="30">
        <v>1.4641000000000006</v>
      </c>
      <c r="C117" s="1">
        <f>C121</f>
        <v>124</v>
      </c>
      <c r="D117" s="1">
        <f>D121</f>
        <v>48</v>
      </c>
      <c r="Y117" s="27" t="s">
        <v>8</v>
      </c>
      <c r="AA117" s="27" t="s">
        <v>8</v>
      </c>
      <c r="AB117" s="27" t="s">
        <v>7</v>
      </c>
      <c r="AC117" s="27" t="s">
        <v>8</v>
      </c>
      <c r="AH117" s="34" t="s">
        <v>7</v>
      </c>
      <c r="AK117" s="33" t="s">
        <v>8</v>
      </c>
      <c r="AL117" s="31"/>
      <c r="AO117" s="27" t="s">
        <v>8</v>
      </c>
      <c r="AP117" s="27" t="s">
        <v>7</v>
      </c>
      <c r="AQ117" s="27" t="s">
        <v>8</v>
      </c>
      <c r="AR117" s="27" t="s">
        <v>7</v>
      </c>
      <c r="AS117" s="27" t="s">
        <v>8</v>
      </c>
      <c r="AT117" s="27" t="s">
        <v>7</v>
      </c>
      <c r="AU117" s="27" t="s">
        <v>8</v>
      </c>
    </row>
    <row r="118" spans="1:48" x14ac:dyDescent="0.25">
      <c r="A118" s="30">
        <v>1.3310000000000004</v>
      </c>
      <c r="C118" s="1">
        <f>C117+1</f>
        <v>125</v>
      </c>
      <c r="D118" s="1">
        <f>D117+1</f>
        <v>49</v>
      </c>
      <c r="W118" s="27" t="s">
        <v>8</v>
      </c>
      <c r="Y118" s="27" t="s">
        <v>8</v>
      </c>
      <c r="Z118" s="27" t="s">
        <v>7</v>
      </c>
      <c r="AA118" s="27" t="s">
        <v>8</v>
      </c>
      <c r="AB118" s="27" t="s">
        <v>7</v>
      </c>
      <c r="AH118" s="27" t="s">
        <v>7</v>
      </c>
      <c r="AI118" s="27" t="s">
        <v>8</v>
      </c>
      <c r="AK118" s="27" t="s">
        <v>8</v>
      </c>
      <c r="AL118" s="27" t="s">
        <v>7</v>
      </c>
      <c r="AM118" s="31"/>
      <c r="AO118" s="27" t="s">
        <v>8</v>
      </c>
      <c r="AP118" s="27" t="s">
        <v>7</v>
      </c>
      <c r="AQ118" s="27" t="s">
        <v>8</v>
      </c>
      <c r="AR118" s="27" t="s">
        <v>7</v>
      </c>
      <c r="AS118" s="27" t="s">
        <v>8</v>
      </c>
      <c r="AT118" s="27" t="s">
        <v>7</v>
      </c>
      <c r="AU118" s="27" t="s">
        <v>8</v>
      </c>
      <c r="AV118" s="27" t="s">
        <v>7</v>
      </c>
    </row>
    <row r="119" spans="1:48" x14ac:dyDescent="0.25">
      <c r="A119" s="30">
        <v>1.2100000000000002</v>
      </c>
      <c r="W119" s="27" t="s">
        <v>8</v>
      </c>
      <c r="X119" s="27" t="s">
        <v>7</v>
      </c>
      <c r="Y119" s="27" t="s">
        <v>8</v>
      </c>
      <c r="Z119" s="27" t="s">
        <v>7</v>
      </c>
      <c r="AA119" s="27" t="s">
        <v>8</v>
      </c>
      <c r="AH119" s="27" t="s">
        <v>7</v>
      </c>
      <c r="AI119" s="27" t="s">
        <v>8</v>
      </c>
      <c r="AJ119" s="27" t="s">
        <v>7</v>
      </c>
      <c r="AK119" s="27" t="s">
        <v>8</v>
      </c>
      <c r="AL119" s="27" t="s">
        <v>7</v>
      </c>
      <c r="AN119" s="31"/>
      <c r="AO119" s="27" t="s">
        <v>8</v>
      </c>
      <c r="AP119" s="27" t="s">
        <v>7</v>
      </c>
      <c r="AQ119" s="27" t="s">
        <v>8</v>
      </c>
      <c r="AR119" s="27" t="s">
        <v>7</v>
      </c>
      <c r="AS119" s="27" t="s">
        <v>8</v>
      </c>
      <c r="AT119" s="27" t="s">
        <v>7</v>
      </c>
      <c r="AU119" s="27" t="s">
        <v>8</v>
      </c>
      <c r="AV119" s="27" t="s">
        <v>7</v>
      </c>
    </row>
    <row r="120" spans="1:48" x14ac:dyDescent="0.25">
      <c r="A120" s="30">
        <v>1.1000000000000001</v>
      </c>
      <c r="C120" s="1" t="s">
        <v>9</v>
      </c>
      <c r="W120" s="27" t="s">
        <v>8</v>
      </c>
      <c r="X120" s="27" t="s">
        <v>7</v>
      </c>
      <c r="Y120" s="27" t="s">
        <v>8</v>
      </c>
      <c r="Z120" s="27" t="s">
        <v>7</v>
      </c>
      <c r="AA120" s="27" t="s">
        <v>8</v>
      </c>
      <c r="AH120" s="27" t="s">
        <v>7</v>
      </c>
      <c r="AI120" s="27" t="s">
        <v>8</v>
      </c>
      <c r="AJ120" s="27" t="s">
        <v>7</v>
      </c>
      <c r="AK120" s="27" t="s">
        <v>8</v>
      </c>
      <c r="AL120" s="27" t="s">
        <v>7</v>
      </c>
      <c r="AO120" s="31" t="s">
        <v>8</v>
      </c>
      <c r="AP120" s="27" t="s">
        <v>7</v>
      </c>
      <c r="AR120" s="27" t="s">
        <v>7</v>
      </c>
      <c r="AT120" s="27" t="s">
        <v>7</v>
      </c>
      <c r="AU120" s="27" t="s">
        <v>8</v>
      </c>
      <c r="AV120" s="27" t="s">
        <v>7</v>
      </c>
    </row>
    <row r="121" spans="1:48" x14ac:dyDescent="0.25">
      <c r="A121" s="30">
        <v>1</v>
      </c>
      <c r="C121" s="18">
        <v>124</v>
      </c>
      <c r="D121" s="19">
        <v>48</v>
      </c>
      <c r="E121" s="18" t="s">
        <v>8</v>
      </c>
      <c r="W121" s="27" t="s">
        <v>8</v>
      </c>
      <c r="X121" s="27" t="s">
        <v>7</v>
      </c>
      <c r="Z121" s="27" t="s">
        <v>7</v>
      </c>
      <c r="AA121" s="27" t="s">
        <v>8</v>
      </c>
      <c r="AH121" s="27" t="s">
        <v>7</v>
      </c>
      <c r="AI121" s="27" t="s">
        <v>8</v>
      </c>
      <c r="AJ121" s="27" t="s">
        <v>7</v>
      </c>
      <c r="AK121" s="27" t="s">
        <v>8</v>
      </c>
      <c r="AL121" s="27" t="s">
        <v>7</v>
      </c>
      <c r="AO121" s="27" t="s">
        <v>8</v>
      </c>
      <c r="AP121" s="31"/>
      <c r="AT121" s="27" t="s">
        <v>7</v>
      </c>
      <c r="AV121" s="27" t="s">
        <v>7</v>
      </c>
    </row>
    <row r="122" spans="1:48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Z122" s="34" t="s">
        <v>7</v>
      </c>
      <c r="AH122" s="27" t="s">
        <v>7</v>
      </c>
      <c r="AJ122" s="27" t="s">
        <v>7</v>
      </c>
      <c r="AK122" s="27" t="s">
        <v>8</v>
      </c>
      <c r="AL122" s="27" t="s">
        <v>7</v>
      </c>
      <c r="AM122" s="27" t="s">
        <v>8</v>
      </c>
      <c r="AO122" s="27" t="s">
        <v>8</v>
      </c>
      <c r="AQ122" s="31"/>
      <c r="AV122" s="27" t="s">
        <v>7</v>
      </c>
    </row>
    <row r="123" spans="1:48" x14ac:dyDescent="0.25">
      <c r="A123" s="30">
        <v>0.82644628099173523</v>
      </c>
      <c r="C123" s="1" t="str">
        <f>"R"&amp;C121</f>
        <v>R124</v>
      </c>
      <c r="D123" s="1" t="str">
        <f>"C"&amp;D121</f>
        <v>C48</v>
      </c>
      <c r="F123" s="27" t="s">
        <v>7</v>
      </c>
      <c r="W123" s="27" t="s">
        <v>8</v>
      </c>
      <c r="AJ123" s="27" t="s">
        <v>7</v>
      </c>
      <c r="AK123" s="27" t="s">
        <v>8</v>
      </c>
      <c r="AL123" s="27" t="s">
        <v>7</v>
      </c>
      <c r="AM123" s="27" t="s">
        <v>8</v>
      </c>
      <c r="AN123" s="27" t="s">
        <v>7</v>
      </c>
      <c r="AO123" s="27" t="s">
        <v>8</v>
      </c>
      <c r="AV123" s="27" t="s">
        <v>7</v>
      </c>
    </row>
    <row r="124" spans="1:4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W124" s="27" t="s">
        <v>8</v>
      </c>
      <c r="AJ124" s="27" t="s">
        <v>7</v>
      </c>
      <c r="AK124" s="27" t="s">
        <v>8</v>
      </c>
      <c r="AL124" s="27" t="s">
        <v>7</v>
      </c>
      <c r="AM124" s="27" t="s">
        <v>8</v>
      </c>
      <c r="AN124" s="27" t="s">
        <v>7</v>
      </c>
      <c r="AO124" s="27" t="s">
        <v>8</v>
      </c>
      <c r="AV124" s="27" t="s">
        <v>7</v>
      </c>
    </row>
    <row r="125" spans="1:48" x14ac:dyDescent="0.25">
      <c r="A125" s="30">
        <v>0.68301345536507019</v>
      </c>
      <c r="F125" s="27" t="s">
        <v>7</v>
      </c>
      <c r="W125" s="27" t="s">
        <v>8</v>
      </c>
      <c r="AJ125" s="27" t="s">
        <v>7</v>
      </c>
      <c r="AL125" s="27" t="s">
        <v>7</v>
      </c>
      <c r="AM125" s="27" t="s">
        <v>8</v>
      </c>
      <c r="AN125" s="31" t="s">
        <v>7</v>
      </c>
      <c r="AO125" s="27" t="s">
        <v>8</v>
      </c>
    </row>
    <row r="126" spans="1:48" x14ac:dyDescent="0.25">
      <c r="A126" s="30">
        <v>0.6209213230591546</v>
      </c>
      <c r="C126" s="1" t="s">
        <v>10</v>
      </c>
      <c r="F126" s="27" t="s">
        <v>7</v>
      </c>
      <c r="W126" s="27" t="s">
        <v>8</v>
      </c>
      <c r="AL126" s="34" t="s">
        <v>7</v>
      </c>
      <c r="AM126" s="31"/>
      <c r="AN126" s="32" t="s">
        <v>7</v>
      </c>
    </row>
    <row r="127" spans="1:48" x14ac:dyDescent="0.25">
      <c r="A127" s="30">
        <v>0.56447393005377677</v>
      </c>
      <c r="C127" s="30">
        <v>0.75131480090157732</v>
      </c>
      <c r="D127"/>
      <c r="F127" s="27" t="s">
        <v>7</v>
      </c>
      <c r="W127" s="27" t="s">
        <v>8</v>
      </c>
      <c r="AL127" s="31"/>
    </row>
    <row r="128" spans="1:48" x14ac:dyDescent="0.25">
      <c r="A128" s="30">
        <v>0.51315811823070612</v>
      </c>
      <c r="F128" s="27" t="s">
        <v>7</v>
      </c>
      <c r="K128" s="27" t="s">
        <v>8</v>
      </c>
      <c r="W128" s="27" t="s">
        <v>8</v>
      </c>
      <c r="AK128" s="31"/>
    </row>
    <row r="129" spans="1:3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K129" s="27" t="s">
        <v>8</v>
      </c>
      <c r="L129" s="27" t="s">
        <v>7</v>
      </c>
      <c r="U129" s="27" t="s">
        <v>8</v>
      </c>
      <c r="W129" s="27" t="s">
        <v>8</v>
      </c>
      <c r="AJ129" s="31"/>
    </row>
    <row r="130" spans="1:36" x14ac:dyDescent="0.25">
      <c r="A130" s="30">
        <v>0.42409761837248428</v>
      </c>
      <c r="C130" s="6"/>
      <c r="D130" s="6"/>
      <c r="E130"/>
      <c r="F130" s="27" t="s">
        <v>7</v>
      </c>
      <c r="K130" s="27" t="s">
        <v>8</v>
      </c>
      <c r="L130" s="27" t="s">
        <v>7</v>
      </c>
      <c r="Q130" s="32" t="s">
        <v>8</v>
      </c>
      <c r="S130" s="32" t="s">
        <v>8</v>
      </c>
      <c r="U130" s="27" t="s">
        <v>8</v>
      </c>
      <c r="V130" s="27" t="s">
        <v>7</v>
      </c>
      <c r="W130" s="27" t="s">
        <v>8</v>
      </c>
      <c r="AI130" s="31"/>
    </row>
    <row r="131" spans="1:36" x14ac:dyDescent="0.25">
      <c r="A131" s="30">
        <v>0.38554328942953109</v>
      </c>
      <c r="E131"/>
      <c r="F131" s="27" t="s">
        <v>7</v>
      </c>
      <c r="G131" s="27" t="s">
        <v>8</v>
      </c>
      <c r="K131" s="27" t="s">
        <v>8</v>
      </c>
      <c r="L131" s="27" t="s">
        <v>7</v>
      </c>
      <c r="Q131" s="27" t="s">
        <v>8</v>
      </c>
      <c r="R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AH131" s="31"/>
    </row>
    <row r="132" spans="1:36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I132" s="27" t="s">
        <v>8</v>
      </c>
      <c r="K132" s="27" t="s">
        <v>8</v>
      </c>
      <c r="L132" s="27" t="s">
        <v>7</v>
      </c>
      <c r="M132" s="27" t="s">
        <v>8</v>
      </c>
      <c r="Q132" s="27" t="s">
        <v>8</v>
      </c>
      <c r="R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AG132" s="31"/>
    </row>
    <row r="133" spans="1:36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  <c r="L133" s="27" t="s">
        <v>7</v>
      </c>
      <c r="M133" s="27" t="s">
        <v>8</v>
      </c>
      <c r="N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  <c r="U133" s="27" t="s">
        <v>8</v>
      </c>
      <c r="AF133" s="31"/>
    </row>
    <row r="134" spans="1:36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K134" s="27" t="s">
        <v>8</v>
      </c>
      <c r="L134" s="27" t="s">
        <v>7</v>
      </c>
      <c r="M134" s="27" t="s">
        <v>8</v>
      </c>
      <c r="N134" s="27" t="s">
        <v>7</v>
      </c>
      <c r="Q134" s="27" t="s">
        <v>8</v>
      </c>
      <c r="R134" s="27" t="s">
        <v>7</v>
      </c>
      <c r="S134" s="27" t="s">
        <v>8</v>
      </c>
      <c r="T134" s="27" t="s">
        <v>7</v>
      </c>
      <c r="U134" s="27" t="s">
        <v>8</v>
      </c>
      <c r="AE134" s="31"/>
    </row>
    <row r="135" spans="1:36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I135" s="27" t="s">
        <v>8</v>
      </c>
      <c r="J135" s="27" t="s">
        <v>7</v>
      </c>
      <c r="K135" s="27" t="s">
        <v>8</v>
      </c>
      <c r="L135" s="27" t="s">
        <v>7</v>
      </c>
      <c r="M135" s="27" t="s">
        <v>8</v>
      </c>
      <c r="N135" s="27" t="s">
        <v>7</v>
      </c>
      <c r="Q135" s="27" t="s">
        <v>8</v>
      </c>
      <c r="R135" s="27" t="s">
        <v>7</v>
      </c>
      <c r="S135" s="27" t="s">
        <v>8</v>
      </c>
      <c r="T135" s="27" t="s">
        <v>7</v>
      </c>
      <c r="AD135" s="31"/>
    </row>
    <row r="136" spans="1:3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32" t="s">
        <v>7</v>
      </c>
      <c r="J136" s="32" t="s">
        <v>7</v>
      </c>
      <c r="L136" s="27" t="s">
        <v>7</v>
      </c>
      <c r="M136" s="27" t="s">
        <v>8</v>
      </c>
      <c r="N136" s="27" t="s">
        <v>7</v>
      </c>
      <c r="Q136" s="27" t="s">
        <v>8</v>
      </c>
      <c r="R136" s="27" t="s">
        <v>7</v>
      </c>
      <c r="AC136" s="31"/>
    </row>
    <row r="137" spans="1:36" x14ac:dyDescent="0.25">
      <c r="A137" s="30">
        <v>0.2176291357901482</v>
      </c>
      <c r="E137"/>
      <c r="F137" s="27" t="s">
        <v>7</v>
      </c>
      <c r="L137" s="27" t="s">
        <v>7</v>
      </c>
      <c r="M137" s="27" t="s">
        <v>8</v>
      </c>
      <c r="N137" s="27" t="s">
        <v>7</v>
      </c>
      <c r="Q137" s="27" t="s">
        <v>8</v>
      </c>
      <c r="AB137" s="31"/>
    </row>
    <row r="138" spans="1:3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L138" s="27" t="s">
        <v>7</v>
      </c>
      <c r="M138" s="27" t="s">
        <v>8</v>
      </c>
      <c r="N138" s="27" t="s">
        <v>7</v>
      </c>
      <c r="Q138" s="27" t="s">
        <v>8</v>
      </c>
      <c r="AA138" s="31"/>
    </row>
    <row r="139" spans="1:36" x14ac:dyDescent="0.25">
      <c r="A139" s="30">
        <v>0.17985878990921333</v>
      </c>
      <c r="E139"/>
      <c r="L139" s="27" t="s">
        <v>7</v>
      </c>
      <c r="M139" s="27" t="s">
        <v>8</v>
      </c>
      <c r="N139" s="27" t="s">
        <v>7</v>
      </c>
      <c r="Q139" s="27" t="s">
        <v>8</v>
      </c>
      <c r="Z139" s="31"/>
    </row>
    <row r="140" spans="1:36" x14ac:dyDescent="0.25">
      <c r="A140" s="30">
        <v>0.16350799082655756</v>
      </c>
      <c r="C140" s="1">
        <v>0</v>
      </c>
      <c r="E140"/>
      <c r="L140" s="27" t="s">
        <v>7</v>
      </c>
      <c r="M140" s="27" t="s">
        <v>8</v>
      </c>
      <c r="N140" s="27" t="s">
        <v>7</v>
      </c>
      <c r="Q140" s="27" t="s">
        <v>8</v>
      </c>
      <c r="Y140" s="31"/>
    </row>
    <row r="141" spans="1:36" x14ac:dyDescent="0.25">
      <c r="A141" s="30">
        <v>0.14864362802414322</v>
      </c>
      <c r="C141" s="1">
        <v>1</v>
      </c>
      <c r="E141"/>
      <c r="L141" s="27" t="s">
        <v>7</v>
      </c>
      <c r="N141" s="27" t="s">
        <v>7</v>
      </c>
      <c r="Q141" s="27" t="s">
        <v>8</v>
      </c>
      <c r="X141" s="31"/>
    </row>
    <row r="142" spans="1:36" x14ac:dyDescent="0.25">
      <c r="A142" s="30">
        <v>0.13513057093103928</v>
      </c>
      <c r="C142" s="1">
        <v>2</v>
      </c>
      <c r="E142"/>
      <c r="N142" s="27" t="s">
        <v>7</v>
      </c>
      <c r="Q142" s="27" t="s">
        <v>8</v>
      </c>
      <c r="W142" s="31"/>
    </row>
    <row r="143" spans="1:36" x14ac:dyDescent="0.25">
      <c r="A143" s="30">
        <v>0.12284597357367205</v>
      </c>
      <c r="C143" s="1">
        <v>3</v>
      </c>
      <c r="E143"/>
      <c r="N143" s="27" t="s">
        <v>7</v>
      </c>
      <c r="O143" s="27" t="s">
        <v>8</v>
      </c>
      <c r="Q143" s="27" t="s">
        <v>8</v>
      </c>
      <c r="V143" s="31"/>
    </row>
    <row r="144" spans="1:36" x14ac:dyDescent="0.25">
      <c r="A144" s="30">
        <v>0.11167815779424731</v>
      </c>
      <c r="C144" s="1">
        <v>4</v>
      </c>
      <c r="E144"/>
      <c r="N144" s="27" t="s">
        <v>7</v>
      </c>
      <c r="O144" s="27" t="s">
        <v>8</v>
      </c>
      <c r="P144" s="27" t="s">
        <v>7</v>
      </c>
      <c r="Q144" s="27" t="s">
        <v>8</v>
      </c>
      <c r="U144" s="31"/>
    </row>
    <row r="145" spans="1:20" x14ac:dyDescent="0.25">
      <c r="A145" s="30">
        <v>0.10152559799477026</v>
      </c>
      <c r="B145"/>
      <c r="C145"/>
      <c r="D145"/>
      <c r="E145"/>
      <c r="N145" s="27" t="s">
        <v>7</v>
      </c>
      <c r="O145" s="27" t="s">
        <v>8</v>
      </c>
      <c r="P145" s="27" t="s">
        <v>7</v>
      </c>
      <c r="Q145" s="27" t="s">
        <v>8</v>
      </c>
      <c r="T145" s="31"/>
    </row>
    <row r="146" spans="1:20" x14ac:dyDescent="0.25">
      <c r="A146" s="30">
        <v>9.2295998177063854E-2</v>
      </c>
      <c r="B146"/>
      <c r="C146"/>
      <c r="D146"/>
      <c r="E146"/>
      <c r="N146" s="27" t="s">
        <v>7</v>
      </c>
      <c r="O146" s="27" t="s">
        <v>8</v>
      </c>
      <c r="P146" s="27" t="s">
        <v>7</v>
      </c>
      <c r="S146" s="31"/>
    </row>
    <row r="147" spans="1:20" x14ac:dyDescent="0.25">
      <c r="A147" s="30">
        <v>8.3905452888239848E-2</v>
      </c>
      <c r="B147"/>
      <c r="C147"/>
      <c r="D147"/>
      <c r="E147"/>
      <c r="N147" s="27" t="s">
        <v>7</v>
      </c>
      <c r="O147" s="27" t="s">
        <v>8</v>
      </c>
      <c r="R147" s="31"/>
    </row>
    <row r="148" spans="1:20" x14ac:dyDescent="0.25">
      <c r="A148" s="30">
        <v>7.6277684443854396E-2</v>
      </c>
      <c r="B148"/>
      <c r="C148"/>
      <c r="D148"/>
      <c r="E148"/>
      <c r="N148" s="27" t="s">
        <v>7</v>
      </c>
      <c r="O148" s="27" t="s">
        <v>8</v>
      </c>
      <c r="Q148" s="31"/>
    </row>
    <row r="149" spans="1:20" x14ac:dyDescent="0.25">
      <c r="A149" s="30">
        <v>6.9343349494413078E-2</v>
      </c>
      <c r="B149"/>
      <c r="C149"/>
      <c r="D149"/>
      <c r="E149"/>
      <c r="N149" s="27" t="s">
        <v>7</v>
      </c>
      <c r="O149" s="27" t="s">
        <v>8</v>
      </c>
      <c r="P149" s="31"/>
    </row>
    <row r="150" spans="1:20" x14ac:dyDescent="0.25">
      <c r="A150" s="30">
        <v>6.3039408631284613E-2</v>
      </c>
      <c r="B150"/>
      <c r="C150"/>
      <c r="D150"/>
      <c r="E150"/>
      <c r="N150" s="27" t="s">
        <v>7</v>
      </c>
      <c r="O150" s="31" t="s">
        <v>8</v>
      </c>
    </row>
    <row r="151" spans="1:20" x14ac:dyDescent="0.25">
      <c r="A151" s="30">
        <v>5.7308553301167818E-2</v>
      </c>
      <c r="B151"/>
      <c r="C151"/>
      <c r="D151"/>
      <c r="E151"/>
      <c r="N151" s="31" t="s">
        <v>7</v>
      </c>
    </row>
    <row r="152" spans="1:20" x14ac:dyDescent="0.25">
      <c r="A152" s="30">
        <v>5.2098684819243464E-2</v>
      </c>
      <c r="B152"/>
      <c r="C152"/>
      <c r="D152"/>
      <c r="E152"/>
    </row>
    <row r="153" spans="1:20" x14ac:dyDescent="0.25">
      <c r="A153" s="30">
        <v>4.7362440744766775E-2</v>
      </c>
      <c r="B153"/>
      <c r="C153"/>
      <c r="D153"/>
      <c r="E153"/>
    </row>
    <row r="154" spans="1:20" x14ac:dyDescent="0.25">
      <c r="A154" s="30">
        <v>4.3056764313424332E-2</v>
      </c>
      <c r="B154"/>
      <c r="C154"/>
      <c r="D154"/>
      <c r="E154"/>
    </row>
    <row r="155" spans="1:20" x14ac:dyDescent="0.25">
      <c r="A155" s="30">
        <v>3.9142513012203929E-2</v>
      </c>
      <c r="B155"/>
      <c r="C155"/>
      <c r="D155"/>
      <c r="E155"/>
    </row>
    <row r="156" spans="1:20" x14ac:dyDescent="0.25">
      <c r="A156" s="30">
        <v>3.55841027383672E-2</v>
      </c>
      <c r="B156"/>
      <c r="C156"/>
      <c r="D156"/>
      <c r="E156"/>
    </row>
    <row r="157" spans="1:20" x14ac:dyDescent="0.25">
      <c r="A157" s="30">
        <v>3.2349184307606541E-2</v>
      </c>
      <c r="B157"/>
      <c r="C157"/>
      <c r="D157"/>
      <c r="E157"/>
    </row>
    <row r="158" spans="1:20" x14ac:dyDescent="0.25">
      <c r="A158" s="30">
        <v>2.9408349370551395E-2</v>
      </c>
      <c r="B158"/>
      <c r="C158"/>
      <c r="D158"/>
      <c r="E158"/>
    </row>
    <row r="159" spans="1:20" x14ac:dyDescent="0.25">
      <c r="A159" s="30">
        <v>2.6734863064137627E-2</v>
      </c>
      <c r="B159"/>
      <c r="C159"/>
      <c r="D159"/>
      <c r="E159"/>
    </row>
    <row r="160" spans="1:2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2022-01-28T01:17:47Z</dcterms:modified>
</cp:coreProperties>
</file>