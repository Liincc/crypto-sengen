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1F65CC1-FE7E-44B0-889A-1B6FB25FBDA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22" i="4"/>
  <c r="C133" i="4" s="1"/>
  <c r="D136" i="4" s="1"/>
  <c r="C122" i="3"/>
  <c r="C133" i="3" s="1"/>
  <c r="D136" i="3" s="1"/>
  <c r="C118" i="4"/>
  <c r="R765" i="1"/>
  <c r="S765" i="1" s="1"/>
  <c r="T765" i="1" s="1"/>
  <c r="C118" i="3"/>
  <c r="C116" i="3"/>
  <c r="D136" i="5" l="1"/>
  <c r="C138" i="5" s="1"/>
  <c r="C136" i="4"/>
  <c r="C138" i="4" s="1"/>
  <c r="R764" i="1"/>
  <c r="R763" i="1" s="1"/>
  <c r="C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S168" i="1" l="1"/>
  <c r="T168" i="1" s="1"/>
  <c r="R167" i="1"/>
  <c r="R166" i="1" l="1"/>
  <c r="S167" i="1"/>
  <c r="T167" i="1" s="1"/>
  <c r="R165" i="1" l="1"/>
  <c r="S166" i="1"/>
  <c r="T166" i="1" s="1"/>
  <c r="S165" i="1" l="1"/>
  <c r="T165" i="1" s="1"/>
  <c r="R164" i="1"/>
  <c r="S164" i="1" l="1"/>
  <c r="T164" i="1" s="1"/>
  <c r="R163" i="1"/>
  <c r="R162" i="1" l="1"/>
  <c r="S163" i="1"/>
  <c r="T163" i="1" s="1"/>
  <c r="R161" i="1" l="1"/>
  <c r="S162" i="1"/>
  <c r="T162" i="1" s="1"/>
  <c r="S161" i="1" l="1"/>
  <c r="T161" i="1" s="1"/>
  <c r="R160" i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S155" i="1" l="1"/>
  <c r="T155" i="1" s="1"/>
  <c r="R154" i="1"/>
  <c r="R153" i="1" l="1"/>
  <c r="S154" i="1"/>
  <c r="T154" i="1" s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S145" i="1" l="1"/>
  <c r="T145" i="1" s="1"/>
  <c r="R144" i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<sst xmlns="http://schemas.openxmlformats.org/spreadsheetml/2006/main" count="8448" uniqueCount="34">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</sst>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44215</c:v>
                </c:pt>
                <c:pt idx="371">
                  <c:v>44214</c:v>
                </c:pt>
                <c:pt idx="372">
                  <c:v>44213</c:v>
                </c:pt>
                <c:pt idx="373">
                  <c:v>44212</c:v>
                </c:pt>
                <c:pt idx="374">
                  <c:v>44211</c:v>
                </c:pt>
                <c:pt idx="375">
                  <c:v>44210</c:v>
                </c:pt>
                <c:pt idx="376">
                  <c:v>44209</c:v>
                </c:pt>
                <c:pt idx="377">
                  <c:v>44208</c:v>
                </c:pt>
                <c:pt idx="378">
                  <c:v>44207</c:v>
                </c:pt>
                <c:pt idx="379">
                  <c:v>44206</c:v>
                </c:pt>
                <c:pt idx="380">
                  <c:v>44205</c:v>
                </c:pt>
                <c:pt idx="381">
                  <c:v>44204</c:v>
                </c:pt>
                <c:pt idx="382">
                  <c:v>44203</c:v>
                </c:pt>
                <c:pt idx="383">
                  <c:v>44202</c:v>
                </c:pt>
                <c:pt idx="384">
                  <c:v>44201</c:v>
                </c:pt>
                <c:pt idx="385">
                  <c:v>44200</c:v>
                </c:pt>
                <c:pt idx="386">
                  <c:v>44199</c:v>
                </c:pt>
                <c:pt idx="387">
                  <c:v>44198</c:v>
                </c:pt>
                <c:pt idx="388">
                  <c:v>44197</c:v>
                </c:pt>
                <c:pt idx="389">
                  <c:v>44196</c:v>
                </c:pt>
                <c:pt idx="390">
                  <c:v>44195</c:v>
                </c:pt>
                <c:pt idx="391">
                  <c:v>44194</c:v>
                </c:pt>
                <c:pt idx="392">
                  <c:v>44193</c:v>
                </c:pt>
                <c:pt idx="393">
                  <c:v>44192</c:v>
                </c:pt>
                <c:pt idx="394">
                  <c:v>44191</c:v>
                </c:pt>
                <c:pt idx="395">
                  <c:v>44190</c:v>
                </c:pt>
                <c:pt idx="396">
                  <c:v>44189</c:v>
                </c:pt>
                <c:pt idx="397">
                  <c:v>44188</c:v>
                </c:pt>
                <c:pt idx="398">
                  <c:v>44187</c:v>
                </c:pt>
                <c:pt idx="399">
                  <c:v>44186</c:v>
                </c:pt>
                <c:pt idx="400">
                  <c:v>44185</c:v>
                </c:pt>
                <c:pt idx="401">
                  <c:v>44184</c:v>
                </c:pt>
                <c:pt idx="402">
                  <c:v>44183</c:v>
                </c:pt>
                <c:pt idx="403">
                  <c:v>44182</c:v>
                </c:pt>
                <c:pt idx="404">
                  <c:v>44181</c:v>
                </c:pt>
                <c:pt idx="405">
                  <c:v>44180</c:v>
                </c:pt>
                <c:pt idx="406">
                  <c:v>44179</c:v>
                </c:pt>
                <c:pt idx="407">
                  <c:v>44178</c:v>
                </c:pt>
                <c:pt idx="408">
                  <c:v>44177</c:v>
                </c:pt>
                <c:pt idx="409">
                  <c:v>44176</c:v>
                </c:pt>
                <c:pt idx="410">
                  <c:v>44175</c:v>
                </c:pt>
                <c:pt idx="411">
                  <c:v>44174</c:v>
                </c:pt>
                <c:pt idx="412">
                  <c:v>44173</c:v>
                </c:pt>
                <c:pt idx="413">
                  <c:v>44172</c:v>
                </c:pt>
                <c:pt idx="414">
                  <c:v>44171</c:v>
                </c:pt>
                <c:pt idx="415">
                  <c:v>44170</c:v>
                </c:pt>
                <c:pt idx="416">
                  <c:v>44169</c:v>
                </c:pt>
                <c:pt idx="417">
                  <c:v>44168</c:v>
                </c:pt>
                <c:pt idx="418">
                  <c:v>44167</c:v>
                </c:pt>
                <c:pt idx="419">
                  <c:v>44166</c:v>
                </c:pt>
                <c:pt idx="420">
                  <c:v>44165</c:v>
                </c:pt>
                <c:pt idx="421">
                  <c:v>44164</c:v>
                </c:pt>
                <c:pt idx="422">
                  <c:v>44163</c:v>
                </c:pt>
                <c:pt idx="423">
                  <c:v>44162</c:v>
                </c:pt>
                <c:pt idx="424">
                  <c:v>44161</c:v>
                </c:pt>
                <c:pt idx="425">
                  <c:v>44160</c:v>
                </c:pt>
                <c:pt idx="426">
                  <c:v>44159</c:v>
                </c:pt>
                <c:pt idx="427">
                  <c:v>44158</c:v>
                </c:pt>
                <c:pt idx="428">
                  <c:v>44157</c:v>
                </c:pt>
                <c:pt idx="429">
                  <c:v>44156</c:v>
                </c:pt>
                <c:pt idx="430">
                  <c:v>44155</c:v>
                </c:pt>
                <c:pt idx="431">
                  <c:v>44154</c:v>
                </c:pt>
                <c:pt idx="432">
                  <c:v>44153</c:v>
                </c:pt>
                <c:pt idx="433">
                  <c:v>44152</c:v>
                </c:pt>
                <c:pt idx="434">
                  <c:v>44151</c:v>
                </c:pt>
                <c:pt idx="435">
                  <c:v>44150</c:v>
                </c:pt>
                <c:pt idx="436">
                  <c:v>44149</c:v>
                </c:pt>
                <c:pt idx="437">
                  <c:v>44148</c:v>
                </c:pt>
                <c:pt idx="438">
                  <c:v>44147</c:v>
                </c:pt>
                <c:pt idx="439">
                  <c:v>44146</c:v>
                </c:pt>
                <c:pt idx="440">
                  <c:v>44145</c:v>
                </c:pt>
                <c:pt idx="441">
                  <c:v>44144</c:v>
                </c:pt>
                <c:pt idx="442">
                  <c:v>44143</c:v>
                </c:pt>
                <c:pt idx="443">
                  <c:v>44142</c:v>
                </c:pt>
                <c:pt idx="444">
                  <c:v>44141</c:v>
                </c:pt>
                <c:pt idx="445">
                  <c:v>44140</c:v>
                </c:pt>
                <c:pt idx="446">
                  <c:v>44139</c:v>
                </c:pt>
                <c:pt idx="447">
                  <c:v>44138</c:v>
                </c:pt>
                <c:pt idx="448">
                  <c:v>44137</c:v>
                </c:pt>
                <c:pt idx="449">
                  <c:v>44136</c:v>
                </c:pt>
                <c:pt idx="450">
                  <c:v>44135</c:v>
                </c:pt>
                <c:pt idx="451">
                  <c:v>44134</c:v>
                </c:pt>
                <c:pt idx="452">
                  <c:v>44133</c:v>
                </c:pt>
                <c:pt idx="453">
                  <c:v>44132</c:v>
                </c:pt>
                <c:pt idx="454">
                  <c:v>44131</c:v>
                </c:pt>
                <c:pt idx="455">
                  <c:v>44130</c:v>
                </c:pt>
                <c:pt idx="456">
                  <c:v>44129</c:v>
                </c:pt>
                <c:pt idx="457">
                  <c:v>44128</c:v>
                </c:pt>
                <c:pt idx="458">
                  <c:v>44127</c:v>
                </c:pt>
                <c:pt idx="459">
                  <c:v>44126</c:v>
                </c:pt>
                <c:pt idx="460">
                  <c:v>44125</c:v>
                </c:pt>
                <c:pt idx="461">
                  <c:v>44124</c:v>
                </c:pt>
                <c:pt idx="462">
                  <c:v>44123</c:v>
                </c:pt>
                <c:pt idx="463">
                  <c:v>44122</c:v>
                </c:pt>
                <c:pt idx="464">
                  <c:v>44121</c:v>
                </c:pt>
                <c:pt idx="465">
                  <c:v>44120</c:v>
                </c:pt>
                <c:pt idx="466">
                  <c:v>44119</c:v>
                </c:pt>
                <c:pt idx="467">
                  <c:v>44118</c:v>
                </c:pt>
                <c:pt idx="468">
                  <c:v>44117</c:v>
                </c:pt>
                <c:pt idx="469">
                  <c:v>44116</c:v>
                </c:pt>
                <c:pt idx="470">
                  <c:v>44115</c:v>
                </c:pt>
                <c:pt idx="471">
                  <c:v>44114</c:v>
                </c:pt>
                <c:pt idx="472">
                  <c:v>44113</c:v>
                </c:pt>
                <c:pt idx="473">
                  <c:v>44112</c:v>
                </c:pt>
                <c:pt idx="474">
                  <c:v>44111</c:v>
                </c:pt>
                <c:pt idx="475">
                  <c:v>44110</c:v>
                </c:pt>
                <c:pt idx="476">
                  <c:v>44109</c:v>
                </c:pt>
                <c:pt idx="477">
                  <c:v>44108</c:v>
                </c:pt>
                <c:pt idx="478">
                  <c:v>44107</c:v>
                </c:pt>
                <c:pt idx="479">
                  <c:v>44106</c:v>
                </c:pt>
                <c:pt idx="480">
                  <c:v>44105</c:v>
                </c:pt>
                <c:pt idx="481">
                  <c:v>44104</c:v>
                </c:pt>
                <c:pt idx="482">
                  <c:v>44103</c:v>
                </c:pt>
                <c:pt idx="483">
                  <c:v>44102</c:v>
                </c:pt>
                <c:pt idx="484">
                  <c:v>44101</c:v>
                </c:pt>
                <c:pt idx="485">
                  <c:v>44100</c:v>
                </c:pt>
                <c:pt idx="486">
                  <c:v>44099</c:v>
                </c:pt>
                <c:pt idx="487">
                  <c:v>44098</c:v>
                </c:pt>
                <c:pt idx="488">
                  <c:v>44097</c:v>
                </c:pt>
                <c:pt idx="489">
                  <c:v>44096</c:v>
                </c:pt>
                <c:pt idx="490">
                  <c:v>44095</c:v>
                </c:pt>
                <c:pt idx="491">
                  <c:v>44094</c:v>
                </c:pt>
                <c:pt idx="492">
                  <c:v>44093</c:v>
                </c:pt>
                <c:pt idx="493">
                  <c:v>44092</c:v>
                </c:pt>
                <c:pt idx="494">
                  <c:v>44091</c:v>
                </c:pt>
                <c:pt idx="495">
                  <c:v>44090</c:v>
                </c:pt>
                <c:pt idx="496">
                  <c:v>44089</c:v>
                </c:pt>
                <c:pt idx="497">
                  <c:v>44088</c:v>
                </c:pt>
                <c:pt idx="498">
                  <c:v>44087</c:v>
                </c:pt>
                <c:pt idx="499">
                  <c:v>44086</c:v>
                </c:pt>
                <c:pt idx="500">
                  <c:v>44085</c:v>
                </c:pt>
                <c:pt idx="501">
                  <c:v>44084</c:v>
                </c:pt>
                <c:pt idx="502">
                  <c:v>44083</c:v>
                </c:pt>
                <c:pt idx="503">
                  <c:v>44082</c:v>
                </c:pt>
                <c:pt idx="504">
                  <c:v>44081</c:v>
                </c:pt>
                <c:pt idx="505">
                  <c:v>44080</c:v>
                </c:pt>
                <c:pt idx="506">
                  <c:v>44079</c:v>
                </c:pt>
                <c:pt idx="507">
                  <c:v>44078</c:v>
                </c:pt>
                <c:pt idx="508">
                  <c:v>44077</c:v>
                </c:pt>
                <c:pt idx="509">
                  <c:v>44076</c:v>
                </c:pt>
                <c:pt idx="510">
                  <c:v>44075</c:v>
                </c:pt>
                <c:pt idx="511">
                  <c:v>44074</c:v>
                </c:pt>
                <c:pt idx="512">
                  <c:v>44073</c:v>
                </c:pt>
                <c:pt idx="513">
                  <c:v>44072</c:v>
                </c:pt>
                <c:pt idx="514">
                  <c:v>44071</c:v>
                </c:pt>
                <c:pt idx="515">
                  <c:v>44070</c:v>
                </c:pt>
                <c:pt idx="516">
                  <c:v>44069</c:v>
                </c:pt>
                <c:pt idx="517">
                  <c:v>44068</c:v>
                </c:pt>
                <c:pt idx="518">
                  <c:v>44067</c:v>
                </c:pt>
                <c:pt idx="519">
                  <c:v>44066</c:v>
                </c:pt>
                <c:pt idx="520">
                  <c:v>44065</c:v>
                </c:pt>
                <c:pt idx="521">
                  <c:v>44064</c:v>
                </c:pt>
                <c:pt idx="522">
                  <c:v>44063</c:v>
                </c:pt>
                <c:pt idx="523">
                  <c:v>44062</c:v>
                </c:pt>
                <c:pt idx="524">
                  <c:v>44061</c:v>
                </c:pt>
                <c:pt idx="525">
                  <c:v>44060</c:v>
                </c:pt>
                <c:pt idx="526">
                  <c:v>44059</c:v>
                </c:pt>
                <c:pt idx="527">
                  <c:v>44058</c:v>
                </c:pt>
                <c:pt idx="528">
                  <c:v>44057</c:v>
                </c:pt>
                <c:pt idx="529">
                  <c:v>44056</c:v>
                </c:pt>
                <c:pt idx="530">
                  <c:v>44055</c:v>
                </c:pt>
                <c:pt idx="531">
                  <c:v>44054</c:v>
                </c:pt>
                <c:pt idx="532">
                  <c:v>44053</c:v>
                </c:pt>
                <c:pt idx="533">
                  <c:v>44052</c:v>
                </c:pt>
                <c:pt idx="534">
                  <c:v>44051</c:v>
                </c:pt>
                <c:pt idx="535">
                  <c:v>44050</c:v>
                </c:pt>
                <c:pt idx="536">
                  <c:v>44049</c:v>
                </c:pt>
                <c:pt idx="537">
                  <c:v>44048</c:v>
                </c:pt>
                <c:pt idx="538">
                  <c:v>44047</c:v>
                </c:pt>
                <c:pt idx="539">
                  <c:v>44046</c:v>
                </c:pt>
                <c:pt idx="540">
                  <c:v>44045</c:v>
                </c:pt>
                <c:pt idx="541">
                  <c:v>44044</c:v>
                </c:pt>
                <c:pt idx="542">
                  <c:v>44043</c:v>
                </c:pt>
                <c:pt idx="543">
                  <c:v>44042</c:v>
                </c:pt>
                <c:pt idx="544">
                  <c:v>44041</c:v>
                </c:pt>
                <c:pt idx="545">
                  <c:v>44040</c:v>
                </c:pt>
                <c:pt idx="546">
                  <c:v>44039</c:v>
                </c:pt>
                <c:pt idx="547">
                  <c:v>44038</c:v>
                </c:pt>
                <c:pt idx="548">
                  <c:v>44037</c:v>
                </c:pt>
                <c:pt idx="549">
                  <c:v>44036</c:v>
                </c:pt>
                <c:pt idx="550">
                  <c:v>44035</c:v>
                </c:pt>
                <c:pt idx="551">
                  <c:v>44034</c:v>
                </c:pt>
                <c:pt idx="552">
                  <c:v>44033</c:v>
                </c:pt>
                <c:pt idx="553">
                  <c:v>44032</c:v>
                </c:pt>
                <c:pt idx="554">
                  <c:v>44031</c:v>
                </c:pt>
                <c:pt idx="555">
                  <c:v>44030</c:v>
                </c:pt>
                <c:pt idx="556">
                  <c:v>44029</c:v>
                </c:pt>
                <c:pt idx="557">
                  <c:v>44028</c:v>
                </c:pt>
                <c:pt idx="558">
                  <c:v>44027</c:v>
                </c:pt>
                <c:pt idx="559">
                  <c:v>44026</c:v>
                </c:pt>
                <c:pt idx="560">
                  <c:v>44025</c:v>
                </c:pt>
                <c:pt idx="561">
                  <c:v>44024</c:v>
                </c:pt>
                <c:pt idx="562">
                  <c:v>44023</c:v>
                </c:pt>
                <c:pt idx="563">
                  <c:v>44022</c:v>
                </c:pt>
                <c:pt idx="564">
                  <c:v>44021</c:v>
                </c:pt>
                <c:pt idx="565">
                  <c:v>44020</c:v>
                </c:pt>
                <c:pt idx="566">
                  <c:v>44019</c:v>
                </c:pt>
                <c:pt idx="567">
                  <c:v>44018</c:v>
                </c:pt>
                <c:pt idx="568">
                  <c:v>44017</c:v>
                </c:pt>
                <c:pt idx="569">
                  <c:v>44016</c:v>
                </c:pt>
                <c:pt idx="570">
                  <c:v>44015</c:v>
                </c:pt>
                <c:pt idx="571">
                  <c:v>44014</c:v>
                </c:pt>
                <c:pt idx="572">
                  <c:v>44013</c:v>
                </c:pt>
                <c:pt idx="573">
                  <c:v>44012</c:v>
                </c:pt>
                <c:pt idx="574">
                  <c:v>44011</c:v>
                </c:pt>
                <c:pt idx="575">
                  <c:v>44010</c:v>
                </c:pt>
                <c:pt idx="576">
                  <c:v>44009</c:v>
                </c:pt>
                <c:pt idx="577">
                  <c:v>44008</c:v>
                </c:pt>
                <c:pt idx="578">
                  <c:v>44007</c:v>
                </c:pt>
                <c:pt idx="579">
                  <c:v>44006</c:v>
                </c:pt>
                <c:pt idx="580">
                  <c:v>44005</c:v>
                </c:pt>
                <c:pt idx="581">
                  <c:v>44004</c:v>
                </c:pt>
                <c:pt idx="582">
                  <c:v>44003</c:v>
                </c:pt>
                <c:pt idx="583">
                  <c:v>44002</c:v>
                </c:pt>
                <c:pt idx="584">
                  <c:v>44001</c:v>
                </c:pt>
                <c:pt idx="585">
                  <c:v>44000</c:v>
                </c:pt>
                <c:pt idx="586">
                  <c:v>43999</c:v>
                </c:pt>
                <c:pt idx="587">
                  <c:v>43998</c:v>
                </c:pt>
                <c:pt idx="588">
                  <c:v>43997</c:v>
                </c:pt>
                <c:pt idx="589">
                  <c:v>43996</c:v>
                </c:pt>
                <c:pt idx="590">
                  <c:v>43995</c:v>
                </c:pt>
                <c:pt idx="591">
                  <c:v>43994</c:v>
                </c:pt>
                <c:pt idx="592">
                  <c:v>43993</c:v>
                </c:pt>
                <c:pt idx="593">
                  <c:v>43992</c:v>
                </c:pt>
                <c:pt idx="594">
                  <c:v>43991</c:v>
                </c:pt>
                <c:pt idx="595">
                  <c:v>43990</c:v>
                </c:pt>
                <c:pt idx="596">
                  <c:v>43989</c:v>
                </c:pt>
                <c:pt idx="597">
                  <c:v>43988</c:v>
                </c:pt>
                <c:pt idx="598">
                  <c:v>43987</c:v>
                </c:pt>
                <c:pt idx="599">
                  <c:v>43986</c:v>
                </c:pt>
                <c:pt idx="600">
                  <c:v>43985</c:v>
                </c:pt>
                <c:pt idx="601">
                  <c:v>43984</c:v>
                </c:pt>
                <c:pt idx="602">
                  <c:v>43983</c:v>
                </c:pt>
                <c:pt idx="603">
                  <c:v>43982</c:v>
                </c:pt>
                <c:pt idx="604">
                  <c:v>43981</c:v>
                </c:pt>
                <c:pt idx="605">
                  <c:v>43980</c:v>
                </c:pt>
                <c:pt idx="606">
                  <c:v>43979</c:v>
                </c:pt>
                <c:pt idx="607">
                  <c:v>43978</c:v>
                </c:pt>
                <c:pt idx="608">
                  <c:v>43977</c:v>
                </c:pt>
                <c:pt idx="609">
                  <c:v>43976</c:v>
                </c:pt>
                <c:pt idx="610">
                  <c:v>43975</c:v>
                </c:pt>
                <c:pt idx="611">
                  <c:v>43974</c:v>
                </c:pt>
                <c:pt idx="612">
                  <c:v>43973</c:v>
                </c:pt>
                <c:pt idx="613">
                  <c:v>43972</c:v>
                </c:pt>
                <c:pt idx="614">
                  <c:v>43971</c:v>
                </c:pt>
                <c:pt idx="615">
                  <c:v>43970</c:v>
                </c:pt>
                <c:pt idx="616">
                  <c:v>43969</c:v>
                </c:pt>
                <c:pt idx="617">
                  <c:v>43968</c:v>
                </c:pt>
                <c:pt idx="618">
                  <c:v>43967</c:v>
                </c:pt>
                <c:pt idx="619">
                  <c:v>43966</c:v>
                </c:pt>
                <c:pt idx="620">
                  <c:v>43965</c:v>
                </c:pt>
                <c:pt idx="621">
                  <c:v>43964</c:v>
                </c:pt>
                <c:pt idx="622">
                  <c:v>43963</c:v>
                </c:pt>
                <c:pt idx="623">
                  <c:v>43962</c:v>
                </c:pt>
                <c:pt idx="624">
                  <c:v>43961</c:v>
                </c:pt>
                <c:pt idx="625">
                  <c:v>43960</c:v>
                </c:pt>
                <c:pt idx="626">
                  <c:v>43959</c:v>
                </c:pt>
                <c:pt idx="627">
                  <c:v>43958</c:v>
                </c:pt>
                <c:pt idx="628">
                  <c:v>43957</c:v>
                </c:pt>
                <c:pt idx="629">
                  <c:v>43956</c:v>
                </c:pt>
                <c:pt idx="630">
                  <c:v>43955</c:v>
                </c:pt>
                <c:pt idx="631">
                  <c:v>43954</c:v>
                </c:pt>
                <c:pt idx="632">
                  <c:v>43953</c:v>
                </c:pt>
                <c:pt idx="633">
                  <c:v>43952</c:v>
                </c:pt>
                <c:pt idx="634">
                  <c:v>43951</c:v>
                </c:pt>
                <c:pt idx="635">
                  <c:v>43950</c:v>
                </c:pt>
                <c:pt idx="636">
                  <c:v>43949</c:v>
                </c:pt>
                <c:pt idx="637">
                  <c:v>43948</c:v>
                </c:pt>
                <c:pt idx="638">
                  <c:v>43947</c:v>
                </c:pt>
                <c:pt idx="639">
                  <c:v>43946</c:v>
                </c:pt>
                <c:pt idx="640">
                  <c:v>43945</c:v>
                </c:pt>
                <c:pt idx="641">
                  <c:v>43944</c:v>
                </c:pt>
                <c:pt idx="642">
                  <c:v>43943</c:v>
                </c:pt>
                <c:pt idx="643">
                  <c:v>43942</c:v>
                </c:pt>
                <c:pt idx="644">
                  <c:v>43941</c:v>
                </c:pt>
                <c:pt idx="645">
                  <c:v>43940</c:v>
                </c:pt>
                <c:pt idx="646">
                  <c:v>43939</c:v>
                </c:pt>
                <c:pt idx="647">
                  <c:v>43938</c:v>
                </c:pt>
                <c:pt idx="648">
                  <c:v>43937</c:v>
                </c:pt>
                <c:pt idx="649">
                  <c:v>43936</c:v>
                </c:pt>
                <c:pt idx="650">
                  <c:v>43935</c:v>
                </c:pt>
                <c:pt idx="651">
                  <c:v>43934</c:v>
                </c:pt>
                <c:pt idx="652">
                  <c:v>43933</c:v>
                </c:pt>
                <c:pt idx="653">
                  <c:v>43932</c:v>
                </c:pt>
                <c:pt idx="654">
                  <c:v>43931</c:v>
                </c:pt>
                <c:pt idx="655">
                  <c:v>43930</c:v>
                </c:pt>
                <c:pt idx="656">
                  <c:v>43929</c:v>
                </c:pt>
                <c:pt idx="657">
                  <c:v>43928</c:v>
                </c:pt>
                <c:pt idx="658">
                  <c:v>43927</c:v>
                </c:pt>
                <c:pt idx="659">
                  <c:v>43926</c:v>
                </c:pt>
                <c:pt idx="660">
                  <c:v>43925</c:v>
                </c:pt>
                <c:pt idx="661">
                  <c:v>43924</c:v>
                </c:pt>
                <c:pt idx="662">
                  <c:v>43923</c:v>
                </c:pt>
                <c:pt idx="663">
                  <c:v>43922</c:v>
                </c:pt>
                <c:pt idx="664">
                  <c:v>43921</c:v>
                </c:pt>
                <c:pt idx="665">
                  <c:v>43920</c:v>
                </c:pt>
                <c:pt idx="666">
                  <c:v>43919</c:v>
                </c:pt>
                <c:pt idx="667">
                  <c:v>43918</c:v>
                </c:pt>
                <c:pt idx="668">
                  <c:v>43917</c:v>
                </c:pt>
                <c:pt idx="669">
                  <c:v>43916</c:v>
                </c:pt>
                <c:pt idx="670">
                  <c:v>43915</c:v>
                </c:pt>
                <c:pt idx="671">
                  <c:v>43914</c:v>
                </c:pt>
                <c:pt idx="672">
                  <c:v>43913</c:v>
                </c:pt>
                <c:pt idx="673">
                  <c:v>43912</c:v>
                </c:pt>
                <c:pt idx="674">
                  <c:v>43911</c:v>
                </c:pt>
                <c:pt idx="675">
                  <c:v>43910</c:v>
                </c:pt>
                <c:pt idx="676">
                  <c:v>43909</c:v>
                </c:pt>
                <c:pt idx="677">
                  <c:v>43908</c:v>
                </c:pt>
                <c:pt idx="678">
                  <c:v>43907</c:v>
                </c:pt>
                <c:pt idx="679">
                  <c:v>43906</c:v>
                </c:pt>
                <c:pt idx="680">
                  <c:v>43905</c:v>
                </c:pt>
                <c:pt idx="681">
                  <c:v>43904</c:v>
                </c:pt>
                <c:pt idx="682">
                  <c:v>43903</c:v>
                </c:pt>
                <c:pt idx="683">
                  <c:v>43902</c:v>
                </c:pt>
                <c:pt idx="684">
                  <c:v>43901</c:v>
                </c:pt>
                <c:pt idx="685">
                  <c:v>43900</c:v>
                </c:pt>
                <c:pt idx="686">
                  <c:v>43899</c:v>
                </c:pt>
                <c:pt idx="687">
                  <c:v>43898</c:v>
                </c:pt>
                <c:pt idx="688">
                  <c:v>43897</c:v>
                </c:pt>
                <c:pt idx="689">
                  <c:v>43896</c:v>
                </c:pt>
                <c:pt idx="690">
                  <c:v>43895</c:v>
                </c:pt>
                <c:pt idx="691">
                  <c:v>43894</c:v>
                </c:pt>
                <c:pt idx="692">
                  <c:v>43893</c:v>
                </c:pt>
                <c:pt idx="693">
                  <c:v>43892</c:v>
                </c:pt>
                <c:pt idx="694">
                  <c:v>43891</c:v>
                </c:pt>
                <c:pt idx="695">
                  <c:v>43890</c:v>
                </c:pt>
                <c:pt idx="696">
                  <c:v>43889</c:v>
                </c:pt>
                <c:pt idx="697">
                  <c:v>43888</c:v>
                </c:pt>
                <c:pt idx="698">
                  <c:v>43887</c:v>
                </c:pt>
                <c:pt idx="699">
                  <c:v>43886</c:v>
                </c:pt>
                <c:pt idx="700">
                  <c:v>43885</c:v>
                </c:pt>
                <c:pt idx="701">
                  <c:v>43884</c:v>
                </c:pt>
                <c:pt idx="702">
                  <c:v>43883</c:v>
                </c:pt>
                <c:pt idx="703">
                  <c:v>43882</c:v>
                </c:pt>
                <c:pt idx="704">
                  <c:v>43881</c:v>
                </c:pt>
                <c:pt idx="705">
                  <c:v>43880</c:v>
                </c:pt>
                <c:pt idx="706">
                  <c:v>43879</c:v>
                </c:pt>
                <c:pt idx="707">
                  <c:v>43878</c:v>
                </c:pt>
                <c:pt idx="708">
                  <c:v>43877</c:v>
                </c:pt>
                <c:pt idx="709">
                  <c:v>43876</c:v>
                </c:pt>
                <c:pt idx="710">
                  <c:v>43875</c:v>
                </c:pt>
                <c:pt idx="711">
                  <c:v>43874</c:v>
                </c:pt>
                <c:pt idx="712">
                  <c:v>43873</c:v>
                </c:pt>
                <c:pt idx="713">
                  <c:v>43872</c:v>
                </c:pt>
                <c:pt idx="714">
                  <c:v>43871</c:v>
                </c:pt>
                <c:pt idx="715">
                  <c:v>43870</c:v>
                </c:pt>
                <c:pt idx="716">
                  <c:v>43869</c:v>
                </c:pt>
                <c:pt idx="717">
                  <c:v>43868</c:v>
                </c:pt>
                <c:pt idx="718">
                  <c:v>43867</c:v>
                </c:pt>
                <c:pt idx="719">
                  <c:v>43866</c:v>
                </c:pt>
                <c:pt idx="720">
                  <c:v>43865</c:v>
                </c:pt>
                <c:pt idx="721">
                  <c:v>43864</c:v>
                </c:pt>
                <c:pt idx="722">
                  <c:v>43863</c:v>
                </c:pt>
                <c:pt idx="723">
                  <c:v>43862</c:v>
                </c:pt>
                <c:pt idx="724">
                  <c:v>43861</c:v>
                </c:pt>
                <c:pt idx="725">
                  <c:v>43860</c:v>
                </c:pt>
                <c:pt idx="726">
                  <c:v>43859</c:v>
                </c:pt>
                <c:pt idx="727">
                  <c:v>43858</c:v>
                </c:pt>
                <c:pt idx="728">
                  <c:v>43857</c:v>
                </c:pt>
                <c:pt idx="729">
                  <c:v>43856</c:v>
                </c:pt>
                <c:pt idx="730">
                  <c:v>43855</c:v>
                </c:pt>
                <c:pt idx="731">
                  <c:v>43854</c:v>
                </c:pt>
                <c:pt idx="732">
                  <c:v>43853</c:v>
                </c:pt>
                <c:pt idx="733">
                  <c:v>43852</c:v>
                </c:pt>
                <c:pt idx="734">
                  <c:v>43851</c:v>
                </c:pt>
                <c:pt idx="735">
                  <c:v>43850</c:v>
                </c:pt>
                <c:pt idx="736">
                  <c:v>43849</c:v>
                </c:pt>
                <c:pt idx="737">
                  <c:v>43848</c:v>
                </c:pt>
                <c:pt idx="738">
                  <c:v>43847</c:v>
                </c:pt>
                <c:pt idx="739">
                  <c:v>43846</c:v>
                </c:pt>
                <c:pt idx="740">
                  <c:v>43845</c:v>
                </c:pt>
                <c:pt idx="741">
                  <c:v>43844</c:v>
                </c:pt>
                <c:pt idx="742">
                  <c:v>43843</c:v>
                </c:pt>
                <c:pt idx="743">
                  <c:v>43842</c:v>
                </c:pt>
                <c:pt idx="744">
                  <c:v>43841</c:v>
                </c:pt>
                <c:pt idx="745">
                  <c:v>43840</c:v>
                </c:pt>
                <c:pt idx="746">
                  <c:v>43839</c:v>
                </c:pt>
                <c:pt idx="747">
                  <c:v>43838</c:v>
                </c:pt>
                <c:pt idx="748">
                  <c:v>43837</c:v>
                </c:pt>
                <c:pt idx="749">
                  <c:v>43836</c:v>
                </c:pt>
                <c:pt idx="750">
                  <c:v>43835</c:v>
                </c:pt>
                <c:pt idx="751">
                  <c:v>43834</c:v>
                </c:pt>
                <c:pt idx="752">
                  <c:v>43833</c:v>
                </c:pt>
                <c:pt idx="753">
                  <c:v>43832</c:v>
                </c:pt>
                <c:pt idx="754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1.0622</c:v>
                </c:pt>
                <c:pt idx="1">
                  <c:v>1.0703</c:v>
                </c:pt>
                <c:pt idx="2">
                  <c:v>1.093</c:v>
                </c:pt>
                <c:pt idx="3">
                  <c:v>1.0905</c:v>
                </c:pt>
                <c:pt idx="4">
                  <c:v>1.1994</c:v>
                </c:pt>
                <c:pt idx="5">
                  <c:v>1.1851</c:v>
                </c:pt>
                <c:pt idx="6">
                  <c:v>1.4180999999999999</c:v>
                </c:pt>
                <c:pt idx="7">
                  <c:v>1.6091</c:v>
                </c:pt>
                <c:pt idx="8">
                  <c:v>1.5667</c:v>
                </c:pt>
                <c:pt idx="9">
                  <c:v>1.5195000000000001</c:v>
                </c:pt>
                <c:pt idx="10">
                  <c:v>1.5586</c:v>
                </c:pt>
                <c:pt idx="11">
                  <c:v>1.6623000000000001</c:v>
                </c:pt>
                <c:pt idx="12">
                  <c:v>1.6600999999999999</c:v>
                </c:pt>
                <c:pt idx="13">
                  <c:v>1.6907000000000001</c:v>
                </c:pt>
                <c:pt idx="14">
                  <c:v>1.7154</c:v>
                </c:pt>
                <c:pt idx="15">
                  <c:v>1.7848999999999999</c:v>
                </c:pt>
                <c:pt idx="16">
                  <c:v>1.6972</c:v>
                </c:pt>
                <c:pt idx="17">
                  <c:v>1.6547000000000001</c:v>
                </c:pt>
                <c:pt idx="18">
                  <c:v>1.7438</c:v>
                </c:pt>
                <c:pt idx="19">
                  <c:v>1.7088000000000001</c:v>
                </c:pt>
                <c:pt idx="20">
                  <c:v>1.7519</c:v>
                </c:pt>
                <c:pt idx="21">
                  <c:v>1.9053</c:v>
                </c:pt>
                <c:pt idx="22">
                  <c:v>1.9457</c:v>
                </c:pt>
                <c:pt idx="23">
                  <c:v>2.1484000000000001</c:v>
                </c:pt>
                <c:pt idx="24">
                  <c:v>2.1808000000000001</c:v>
                </c:pt>
                <c:pt idx="25">
                  <c:v>2.0731000000000002</c:v>
                </c:pt>
                <c:pt idx="26">
                  <c:v>2.0895000000000001</c:v>
                </c:pt>
                <c:pt idx="27">
                  <c:v>2.0383</c:v>
                </c:pt>
                <c:pt idx="28">
                  <c:v>2.0514000000000001</c:v>
                </c:pt>
                <c:pt idx="29">
                  <c:v>2.0750000000000002</c:v>
                </c:pt>
                <c:pt idx="30">
                  <c:v>2.1114999999999999</c:v>
                </c:pt>
                <c:pt idx="31">
                  <c:v>2.391</c:v>
                </c:pt>
                <c:pt idx="32">
                  <c:v>2.3712</c:v>
                </c:pt>
                <c:pt idx="33">
                  <c:v>2.3311000000000002</c:v>
                </c:pt>
                <c:pt idx="34">
                  <c:v>2.4104999999999999</c:v>
                </c:pt>
                <c:pt idx="35">
                  <c:v>2.5657000000000001</c:v>
                </c:pt>
                <c:pt idx="36">
                  <c:v>2.375</c:v>
                </c:pt>
                <c:pt idx="37">
                  <c:v>2.4081999999999999</c:v>
                </c:pt>
                <c:pt idx="38">
                  <c:v>2.3603999999999998</c:v>
                </c:pt>
                <c:pt idx="39">
                  <c:v>2.3593000000000002</c:v>
                </c:pt>
                <c:pt idx="40">
                  <c:v>2.4268999999999998</c:v>
                </c:pt>
                <c:pt idx="41">
                  <c:v>2.1793</c:v>
                </c:pt>
                <c:pt idx="42">
                  <c:v>2.3485999999999998</c:v>
                </c:pt>
                <c:pt idx="43">
                  <c:v>1.99</c:v>
                </c:pt>
                <c:pt idx="44">
                  <c:v>1.9782</c:v>
                </c:pt>
                <c:pt idx="45">
                  <c:v>1.9756</c:v>
                </c:pt>
                <c:pt idx="46">
                  <c:v>2.3338000000000001</c:v>
                </c:pt>
                <c:pt idx="47">
                  <c:v>2.1427</c:v>
                </c:pt>
                <c:pt idx="48">
                  <c:v>2.1455000000000002</c:v>
                </c:pt>
                <c:pt idx="49">
                  <c:v>2.3106</c:v>
                </c:pt>
                <c:pt idx="50">
                  <c:v>2.6516999999999999</c:v>
                </c:pt>
                <c:pt idx="51">
                  <c:v>2.8553000000000002</c:v>
                </c:pt>
                <c:pt idx="52">
                  <c:v>2.1842999999999999</c:v>
                </c:pt>
                <c:pt idx="53">
                  <c:v>2.1728000000000001</c:v>
                </c:pt>
                <c:pt idx="54">
                  <c:v>2.3996</c:v>
                </c:pt>
                <c:pt idx="55">
                  <c:v>2.7801999999999998</c:v>
                </c:pt>
                <c:pt idx="56">
                  <c:v>3.2052999999999998</c:v>
                </c:pt>
                <c:pt idx="57">
                  <c:v>3.2504</c:v>
                </c:pt>
                <c:pt idx="58">
                  <c:v>3.3675999999999999</c:v>
                </c:pt>
                <c:pt idx="59">
                  <c:v>3.7164999999999999</c:v>
                </c:pt>
                <c:pt idx="60">
                  <c:v>4.0290999999999997</c:v>
                </c:pt>
                <c:pt idx="61">
                  <c:v>3.4060999999999999</c:v>
                </c:pt>
                <c:pt idx="62">
                  <c:v>3.5066000000000002</c:v>
                </c:pt>
                <c:pt idx="63">
                  <c:v>4.1422999999999996</c:v>
                </c:pt>
                <c:pt idx="64">
                  <c:v>5.0309999999999997</c:v>
                </c:pt>
                <c:pt idx="65">
                  <c:v>3.0739999999999998</c:v>
                </c:pt>
                <c:pt idx="66">
                  <c:v>2.782</c:v>
                </c:pt>
                <c:pt idx="67">
                  <c:v>3.1861000000000002</c:v>
                </c:pt>
                <c:pt idx="68">
                  <c:v>4.2699999999999996</c:v>
                </c:pt>
                <c:pt idx="69">
                  <c:v>1.5693999999999999</c:v>
                </c:pt>
                <c:pt idx="70">
                  <c:v>0.69530000000000003</c:v>
                </c:pt>
                <c:pt idx="71">
                  <c:v>0.755</c:v>
                </c:pt>
                <c:pt idx="72">
                  <c:v>0.71340000000000003</c:v>
                </c:pt>
                <c:pt idx="73">
                  <c:v>0.78210000000000002</c:v>
                </c:pt>
                <c:pt idx="74">
                  <c:v>0.81259999999999999</c:v>
                </c:pt>
                <c:pt idx="75">
                  <c:v>0.83199999999999996</c:v>
                </c:pt>
                <c:pt idx="76">
                  <c:v>0.78969999999999996</c:v>
                </c:pt>
                <c:pt idx="77">
                  <c:v>0.80210000000000004</c:v>
                </c:pt>
                <c:pt idx="78">
                  <c:v>0.79569999999999996</c:v>
                </c:pt>
                <c:pt idx="79">
                  <c:v>0.76049999999999995</c:v>
                </c:pt>
                <c:pt idx="80">
                  <c:v>0.78169999999999995</c:v>
                </c:pt>
                <c:pt idx="81">
                  <c:v>0.80310000000000004</c:v>
                </c:pt>
                <c:pt idx="82">
                  <c:v>0.77</c:v>
                </c:pt>
                <c:pt idx="83">
                  <c:v>0.77890000000000004</c:v>
                </c:pt>
                <c:pt idx="84">
                  <c:v>0.77370000000000005</c:v>
                </c:pt>
                <c:pt idx="85">
                  <c:v>0.7823</c:v>
                </c:pt>
                <c:pt idx="86">
                  <c:v>0.7782</c:v>
                </c:pt>
                <c:pt idx="87">
                  <c:v>0.78939999999999999</c:v>
                </c:pt>
                <c:pt idx="88">
                  <c:v>0.81710000000000005</c:v>
                </c:pt>
                <c:pt idx="89">
                  <c:v>0.95299999999999996</c:v>
                </c:pt>
                <c:pt idx="90">
                  <c:v>0.73470000000000002</c:v>
                </c:pt>
                <c:pt idx="91">
                  <c:v>0.68669999999999998</c:v>
                </c:pt>
                <c:pt idx="92">
                  <c:v>0.67330000000000001</c:v>
                </c:pt>
                <c:pt idx="93">
                  <c:v>0.70269999999999999</c:v>
                </c:pt>
                <c:pt idx="94">
                  <c:v>0.71030000000000004</c:v>
                </c:pt>
                <c:pt idx="95">
                  <c:v>0.69550000000000001</c:v>
                </c:pt>
                <c:pt idx="96">
                  <c:v>0.749</c:v>
                </c:pt>
                <c:pt idx="97">
                  <c:v>0.70340000000000003</c:v>
                </c:pt>
                <c:pt idx="98">
                  <c:v>0.6179</c:v>
                </c:pt>
                <c:pt idx="99">
                  <c:v>0.64100000000000001</c:v>
                </c:pt>
                <c:pt idx="100">
                  <c:v>0.61880000000000002</c:v>
                </c:pt>
                <c:pt idx="101">
                  <c:v>0.63400000000000001</c:v>
                </c:pt>
                <c:pt idx="102">
                  <c:v>0.65480000000000005</c:v>
                </c:pt>
                <c:pt idx="103">
                  <c:v>0.64829999999999999</c:v>
                </c:pt>
                <c:pt idx="104">
                  <c:v>0.63</c:v>
                </c:pt>
                <c:pt idx="105">
                  <c:v>0.64059999999999995</c:v>
                </c:pt>
                <c:pt idx="106">
                  <c:v>0.6482</c:v>
                </c:pt>
                <c:pt idx="107">
                  <c:v>0.62180000000000002</c:v>
                </c:pt>
                <c:pt idx="108">
                  <c:v>0.62050000000000005</c:v>
                </c:pt>
                <c:pt idx="109">
                  <c:v>0.61299999999999999</c:v>
                </c:pt>
                <c:pt idx="110">
                  <c:v>0.66669999999999996</c:v>
                </c:pt>
                <c:pt idx="111">
                  <c:v>0.65680000000000005</c:v>
                </c:pt>
                <c:pt idx="112">
                  <c:v>0.67210000000000003</c:v>
                </c:pt>
                <c:pt idx="113">
                  <c:v>0.77859999999999996</c:v>
                </c:pt>
                <c:pt idx="114">
                  <c:v>0.6079</c:v>
                </c:pt>
                <c:pt idx="115">
                  <c:v>0.5887</c:v>
                </c:pt>
                <c:pt idx="116">
                  <c:v>0.59830000000000005</c:v>
                </c:pt>
                <c:pt idx="117">
                  <c:v>0.59189999999999998</c:v>
                </c:pt>
                <c:pt idx="118">
                  <c:v>0.61699999999999999</c:v>
                </c:pt>
                <c:pt idx="119">
                  <c:v>0.55020000000000002</c:v>
                </c:pt>
                <c:pt idx="120">
                  <c:v>0.51249999999999996</c:v>
                </c:pt>
                <c:pt idx="121">
                  <c:v>0.51280000000000003</c:v>
                </c:pt>
                <c:pt idx="122">
                  <c:v>0.52349999999999997</c:v>
                </c:pt>
                <c:pt idx="123">
                  <c:v>0.53520000000000001</c:v>
                </c:pt>
                <c:pt idx="124">
                  <c:v>0.56420000000000003</c:v>
                </c:pt>
                <c:pt idx="125">
                  <c:v>0.58660000000000001</c:v>
                </c:pt>
                <c:pt idx="126">
                  <c:v>0.63470000000000004</c:v>
                </c:pt>
                <c:pt idx="127">
                  <c:v>0.61170000000000002</c:v>
                </c:pt>
                <c:pt idx="128">
                  <c:v>0.55459999999999998</c:v>
                </c:pt>
                <c:pt idx="129">
                  <c:v>0.64180000000000004</c:v>
                </c:pt>
                <c:pt idx="130">
                  <c:v>0.69299999999999995</c:v>
                </c:pt>
                <c:pt idx="131">
                  <c:v>0.72199999999999998</c:v>
                </c:pt>
                <c:pt idx="132">
                  <c:v>0.7006</c:v>
                </c:pt>
                <c:pt idx="133">
                  <c:v>0.73340000000000005</c:v>
                </c:pt>
                <c:pt idx="134">
                  <c:v>0.75800000000000001</c:v>
                </c:pt>
                <c:pt idx="135">
                  <c:v>0.75229999999999997</c:v>
                </c:pt>
                <c:pt idx="136">
                  <c:v>0.72150000000000003</c:v>
                </c:pt>
                <c:pt idx="137">
                  <c:v>0.78500000000000003</c:v>
                </c:pt>
                <c:pt idx="138">
                  <c:v>0.79879999999999995</c:v>
                </c:pt>
                <c:pt idx="139">
                  <c:v>0.78280000000000005</c:v>
                </c:pt>
                <c:pt idx="140">
                  <c:v>0.81320000000000003</c:v>
                </c:pt>
                <c:pt idx="141">
                  <c:v>0.83099999999999996</c:v>
                </c:pt>
                <c:pt idx="142">
                  <c:v>0.73170000000000002</c:v>
                </c:pt>
                <c:pt idx="143">
                  <c:v>0.87039999999999995</c:v>
                </c:pt>
                <c:pt idx="144">
                  <c:v>0.77249999999999996</c:v>
                </c:pt>
                <c:pt idx="145">
                  <c:v>0.74980000000000002</c:v>
                </c:pt>
                <c:pt idx="146">
                  <c:v>0.76060000000000005</c:v>
                </c:pt>
                <c:pt idx="147">
                  <c:v>0.73370000000000002</c:v>
                </c:pt>
                <c:pt idx="148">
                  <c:v>0.74729999999999996</c:v>
                </c:pt>
                <c:pt idx="149">
                  <c:v>0.7389</c:v>
                </c:pt>
                <c:pt idx="150">
                  <c:v>0.71850000000000003</c:v>
                </c:pt>
                <c:pt idx="151">
                  <c:v>0.73909999999999998</c:v>
                </c:pt>
                <c:pt idx="152">
                  <c:v>0.73680000000000001</c:v>
                </c:pt>
                <c:pt idx="153">
                  <c:v>0.74809999999999999</c:v>
                </c:pt>
                <c:pt idx="154">
                  <c:v>0.71689999999999998</c:v>
                </c:pt>
                <c:pt idx="155">
                  <c:v>0.76319999999999999</c:v>
                </c:pt>
                <c:pt idx="156">
                  <c:v>0.74660000000000004</c:v>
                </c:pt>
                <c:pt idx="157">
                  <c:v>0.82220000000000004</c:v>
                </c:pt>
                <c:pt idx="158">
                  <c:v>0.80379999999999996</c:v>
                </c:pt>
                <c:pt idx="159">
                  <c:v>0.82299999999999995</c:v>
                </c:pt>
                <c:pt idx="160">
                  <c:v>0.77910000000000001</c:v>
                </c:pt>
                <c:pt idx="161">
                  <c:v>0.77329999999999999</c:v>
                </c:pt>
                <c:pt idx="162">
                  <c:v>0.76849999999999996</c:v>
                </c:pt>
                <c:pt idx="163">
                  <c:v>0.77529999999999999</c:v>
                </c:pt>
                <c:pt idx="164">
                  <c:v>0.78790000000000004</c:v>
                </c:pt>
                <c:pt idx="165">
                  <c:v>0.83709999999999996</c:v>
                </c:pt>
                <c:pt idx="166">
                  <c:v>0.84450000000000003</c:v>
                </c:pt>
                <c:pt idx="167">
                  <c:v>0.85160000000000002</c:v>
                </c:pt>
                <c:pt idx="168">
                  <c:v>0.77329999999999999</c:v>
                </c:pt>
                <c:pt idx="169">
                  <c:v>0.82140000000000002</c:v>
                </c:pt>
                <c:pt idx="170">
                  <c:v>0.81930000000000003</c:v>
                </c:pt>
                <c:pt idx="171">
                  <c:v>0.83560000000000001</c:v>
                </c:pt>
                <c:pt idx="172">
                  <c:v>0.7843</c:v>
                </c:pt>
                <c:pt idx="173">
                  <c:v>0.73080000000000001</c:v>
                </c:pt>
                <c:pt idx="174">
                  <c:v>0.72260000000000002</c:v>
                </c:pt>
                <c:pt idx="175">
                  <c:v>0.72150000000000003</c:v>
                </c:pt>
                <c:pt idx="176">
                  <c:v>0.72360000000000002</c:v>
                </c:pt>
                <c:pt idx="177">
                  <c:v>0.69869999999999999</c:v>
                </c:pt>
                <c:pt idx="178">
                  <c:v>0.73299999999999998</c:v>
                </c:pt>
                <c:pt idx="179">
                  <c:v>0.67959999999999998</c:v>
                </c:pt>
                <c:pt idx="180">
                  <c:v>0.74839999999999995</c:v>
                </c:pt>
                <c:pt idx="181">
                  <c:v>0.753</c:v>
                </c:pt>
                <c:pt idx="182">
                  <c:v>0.75760000000000005</c:v>
                </c:pt>
                <c:pt idx="183">
                  <c:v>0.76659999999999995</c:v>
                </c:pt>
                <c:pt idx="184">
                  <c:v>0.78569999999999995</c:v>
                </c:pt>
                <c:pt idx="185">
                  <c:v>0.65400000000000003</c:v>
                </c:pt>
                <c:pt idx="186">
                  <c:v>0.67390000000000005</c:v>
                </c:pt>
                <c:pt idx="187">
                  <c:v>0.67390000000000005</c:v>
                </c:pt>
                <c:pt idx="188">
                  <c:v>0.6089</c:v>
                </c:pt>
                <c:pt idx="189">
                  <c:v>0.53720000000000001</c:v>
                </c:pt>
                <c:pt idx="190">
                  <c:v>0.52669999999999995</c:v>
                </c:pt>
                <c:pt idx="191">
                  <c:v>0.46960000000000002</c:v>
                </c:pt>
                <c:pt idx="192">
                  <c:v>0.54800000000000004</c:v>
                </c:pt>
                <c:pt idx="193">
                  <c:v>0.59250000000000003</c:v>
                </c:pt>
                <c:pt idx="194">
                  <c:v>0.64990000000000003</c:v>
                </c:pt>
                <c:pt idx="195">
                  <c:v>0.56730000000000003</c:v>
                </c:pt>
                <c:pt idx="196">
                  <c:v>0.64439999999999997</c:v>
                </c:pt>
                <c:pt idx="197">
                  <c:v>0.72199999999999998</c:v>
                </c:pt>
                <c:pt idx="198">
                  <c:v>0.50919999999999999</c:v>
                </c:pt>
                <c:pt idx="199">
                  <c:v>0.47989999999999999</c:v>
                </c:pt>
                <c:pt idx="200">
                  <c:v>0.49959999999999999</c:v>
                </c:pt>
                <c:pt idx="201">
                  <c:v>0.47099999999999997</c:v>
                </c:pt>
                <c:pt idx="202">
                  <c:v>0.47439999999999999</c:v>
                </c:pt>
                <c:pt idx="203">
                  <c:v>0.4607</c:v>
                </c:pt>
                <c:pt idx="204">
                  <c:v>0.5131</c:v>
                </c:pt>
                <c:pt idx="205">
                  <c:v>0.44579999999999997</c:v>
                </c:pt>
                <c:pt idx="206">
                  <c:v>0.42980000000000002</c:v>
                </c:pt>
                <c:pt idx="207">
                  <c:v>0.45650000000000002</c:v>
                </c:pt>
                <c:pt idx="208">
                  <c:v>0.46050000000000002</c:v>
                </c:pt>
                <c:pt idx="209">
                  <c:v>0.41389999999999999</c:v>
                </c:pt>
                <c:pt idx="210">
                  <c:v>0.42249999999999999</c:v>
                </c:pt>
                <c:pt idx="211">
                  <c:v>0.45600000000000002</c:v>
                </c:pt>
                <c:pt idx="212">
                  <c:v>0.46579999999999999</c:v>
                </c:pt>
                <c:pt idx="213">
                  <c:v>0.45269999999999999</c:v>
                </c:pt>
                <c:pt idx="214">
                  <c:v>0.47689999999999999</c:v>
                </c:pt>
                <c:pt idx="215">
                  <c:v>0.40039999999999998</c:v>
                </c:pt>
                <c:pt idx="216">
                  <c:v>0.41570000000000001</c:v>
                </c:pt>
                <c:pt idx="217">
                  <c:v>0.46589999999999998</c:v>
                </c:pt>
                <c:pt idx="218">
                  <c:v>0.48320000000000002</c:v>
                </c:pt>
                <c:pt idx="219">
                  <c:v>0.46439999999999998</c:v>
                </c:pt>
                <c:pt idx="220">
                  <c:v>0.45029999999999998</c:v>
                </c:pt>
                <c:pt idx="221">
                  <c:v>0.59550000000000003</c:v>
                </c:pt>
                <c:pt idx="222">
                  <c:v>0.59230000000000005</c:v>
                </c:pt>
                <c:pt idx="223">
                  <c:v>0.60340000000000005</c:v>
                </c:pt>
                <c:pt idx="224">
                  <c:v>0.68330000000000002</c:v>
                </c:pt>
                <c:pt idx="225">
                  <c:v>0.66759999999999997</c:v>
                </c:pt>
                <c:pt idx="226">
                  <c:v>0.6895</c:v>
                </c:pt>
                <c:pt idx="227">
                  <c:v>0.75700000000000001</c:v>
                </c:pt>
                <c:pt idx="228">
                  <c:v>0.60299999999999998</c:v>
                </c:pt>
                <c:pt idx="229">
                  <c:v>0.54020000000000001</c:v>
                </c:pt>
                <c:pt idx="230">
                  <c:v>0.60229999999999995</c:v>
                </c:pt>
                <c:pt idx="231">
                  <c:v>0.61450000000000005</c:v>
                </c:pt>
                <c:pt idx="232">
                  <c:v>0.4577</c:v>
                </c:pt>
                <c:pt idx="233">
                  <c:v>0.44429999999999997</c:v>
                </c:pt>
                <c:pt idx="234">
                  <c:v>0.46529999999999999</c:v>
                </c:pt>
                <c:pt idx="235">
                  <c:v>0.50349999999999995</c:v>
                </c:pt>
                <c:pt idx="236">
                  <c:v>0.46729999999999999</c:v>
                </c:pt>
                <c:pt idx="237">
                  <c:v>0.49220000000000003</c:v>
                </c:pt>
                <c:pt idx="238">
                  <c:v>0.54910000000000003</c:v>
                </c:pt>
                <c:pt idx="239">
                  <c:v>0.53039999999999998</c:v>
                </c:pt>
                <c:pt idx="240">
                  <c:v>0.50919999999999999</c:v>
                </c:pt>
                <c:pt idx="241">
                  <c:v>0.53749999999999998</c:v>
                </c:pt>
                <c:pt idx="242">
                  <c:v>0.52580000000000005</c:v>
                </c:pt>
                <c:pt idx="243">
                  <c:v>0.43280000000000002</c:v>
                </c:pt>
                <c:pt idx="244">
                  <c:v>0.4824</c:v>
                </c:pt>
                <c:pt idx="245">
                  <c:v>0.59799999999999998</c:v>
                </c:pt>
                <c:pt idx="246">
                  <c:v>0.61950000000000005</c:v>
                </c:pt>
                <c:pt idx="247">
                  <c:v>0.49590000000000001</c:v>
                </c:pt>
                <c:pt idx="248">
                  <c:v>0.40860000000000002</c:v>
                </c:pt>
                <c:pt idx="249">
                  <c:v>0.33929999999999999</c:v>
                </c:pt>
                <c:pt idx="250">
                  <c:v>0.43230000000000002</c:v>
                </c:pt>
                <c:pt idx="251">
                  <c:v>0.47120000000000001</c:v>
                </c:pt>
                <c:pt idx="252">
                  <c:v>0.60609999999999997</c:v>
                </c:pt>
                <c:pt idx="253">
                  <c:v>0.495</c:v>
                </c:pt>
                <c:pt idx="254">
                  <c:v>0.81179999999999997</c:v>
                </c:pt>
                <c:pt idx="255">
                  <c:v>0.85129999999999995</c:v>
                </c:pt>
                <c:pt idx="256">
                  <c:v>0.87949999999999995</c:v>
                </c:pt>
                <c:pt idx="257">
                  <c:v>0.88080000000000003</c:v>
                </c:pt>
                <c:pt idx="258">
                  <c:v>0.96330000000000005</c:v>
                </c:pt>
                <c:pt idx="259">
                  <c:v>0.88100000000000001</c:v>
                </c:pt>
                <c:pt idx="260">
                  <c:v>0.8518</c:v>
                </c:pt>
                <c:pt idx="261">
                  <c:v>1.0775999999999999</c:v>
                </c:pt>
                <c:pt idx="262">
                  <c:v>0.93300000000000005</c:v>
                </c:pt>
                <c:pt idx="263">
                  <c:v>1.0656000000000001</c:v>
                </c:pt>
                <c:pt idx="264">
                  <c:v>1.0953999999999999</c:v>
                </c:pt>
                <c:pt idx="265">
                  <c:v>1.1125</c:v>
                </c:pt>
                <c:pt idx="266">
                  <c:v>1.1283000000000001</c:v>
                </c:pt>
                <c:pt idx="267">
                  <c:v>1.2101</c:v>
                </c:pt>
                <c:pt idx="268">
                  <c:v>1.1535</c:v>
                </c:pt>
                <c:pt idx="269">
                  <c:v>1.3150999999999999</c:v>
                </c:pt>
                <c:pt idx="270">
                  <c:v>1.2690999999999999</c:v>
                </c:pt>
                <c:pt idx="271">
                  <c:v>1.2256</c:v>
                </c:pt>
                <c:pt idx="272">
                  <c:v>1.2350000000000001</c:v>
                </c:pt>
                <c:pt idx="273">
                  <c:v>1.2984</c:v>
                </c:pt>
                <c:pt idx="274">
                  <c:v>1.0947</c:v>
                </c:pt>
                <c:pt idx="275">
                  <c:v>1.149</c:v>
                </c:pt>
                <c:pt idx="276">
                  <c:v>0.91839999999999999</c:v>
                </c:pt>
                <c:pt idx="277">
                  <c:v>0.78029999999999999</c:v>
                </c:pt>
                <c:pt idx="278">
                  <c:v>0.78549999999999998</c:v>
                </c:pt>
                <c:pt idx="279">
                  <c:v>0.74660000000000004</c:v>
                </c:pt>
                <c:pt idx="280">
                  <c:v>0.84430000000000005</c:v>
                </c:pt>
                <c:pt idx="281">
                  <c:v>0.95709999999999995</c:v>
                </c:pt>
                <c:pt idx="282">
                  <c:v>1.0119</c:v>
                </c:pt>
                <c:pt idx="283">
                  <c:v>1.0703</c:v>
                </c:pt>
                <c:pt idx="284">
                  <c:v>1.091</c:v>
                </c:pt>
                <c:pt idx="285">
                  <c:v>1.2165999999999999</c:v>
                </c:pt>
                <c:pt idx="286">
                  <c:v>1.1906000000000001</c:v>
                </c:pt>
                <c:pt idx="287">
                  <c:v>1.2622</c:v>
                </c:pt>
                <c:pt idx="288">
                  <c:v>1.2209000000000001</c:v>
                </c:pt>
                <c:pt idx="289">
                  <c:v>1.2723</c:v>
                </c:pt>
                <c:pt idx="290">
                  <c:v>1.2735000000000001</c:v>
                </c:pt>
                <c:pt idx="291">
                  <c:v>1.3388</c:v>
                </c:pt>
                <c:pt idx="292">
                  <c:v>1.3585</c:v>
                </c:pt>
                <c:pt idx="293">
                  <c:v>1.498</c:v>
                </c:pt>
                <c:pt idx="294">
                  <c:v>1.4038999999999999</c:v>
                </c:pt>
                <c:pt idx="295">
                  <c:v>1.3174999999999999</c:v>
                </c:pt>
                <c:pt idx="296">
                  <c:v>1.5165</c:v>
                </c:pt>
                <c:pt idx="297">
                  <c:v>1.4277</c:v>
                </c:pt>
                <c:pt idx="298">
                  <c:v>1.5107999999999999</c:v>
                </c:pt>
                <c:pt idx="299">
                  <c:v>1.3299000000000001</c:v>
                </c:pt>
                <c:pt idx="300">
                  <c:v>1.444</c:v>
                </c:pt>
                <c:pt idx="301">
                  <c:v>1.4225000000000001</c:v>
                </c:pt>
                <c:pt idx="302">
                  <c:v>1.4875</c:v>
                </c:pt>
                <c:pt idx="303">
                  <c:v>1.577</c:v>
                </c:pt>
                <c:pt idx="304">
                  <c:v>1.6184000000000001</c:v>
                </c:pt>
                <c:pt idx="305">
                  <c:v>1.5316000000000001</c:v>
                </c:pt>
                <c:pt idx="306">
                  <c:v>1.2712000000000001</c:v>
                </c:pt>
                <c:pt idx="307">
                  <c:v>1.2736000000000001</c:v>
                </c:pt>
                <c:pt idx="308">
                  <c:v>1.1536</c:v>
                </c:pt>
                <c:pt idx="309">
                  <c:v>1.2509999999999999</c:v>
                </c:pt>
                <c:pt idx="310">
                  <c:v>1.3360000000000001</c:v>
                </c:pt>
                <c:pt idx="311">
                  <c:v>1.4755</c:v>
                </c:pt>
                <c:pt idx="312">
                  <c:v>1.4774</c:v>
                </c:pt>
                <c:pt idx="313">
                  <c:v>1.4913000000000001</c:v>
                </c:pt>
                <c:pt idx="314">
                  <c:v>1.3788</c:v>
                </c:pt>
                <c:pt idx="315">
                  <c:v>1.3149999999999999</c:v>
                </c:pt>
                <c:pt idx="316">
                  <c:v>1.3576999999999999</c:v>
                </c:pt>
                <c:pt idx="317">
                  <c:v>1.3841000000000001</c:v>
                </c:pt>
                <c:pt idx="318">
                  <c:v>1.3351999999999999</c:v>
                </c:pt>
                <c:pt idx="319">
                  <c:v>1.4127000000000001</c:v>
                </c:pt>
                <c:pt idx="320">
                  <c:v>1.6044</c:v>
                </c:pt>
                <c:pt idx="321">
                  <c:v>1.5609999999999999</c:v>
                </c:pt>
                <c:pt idx="322">
                  <c:v>1.6579999999999999</c:v>
                </c:pt>
                <c:pt idx="323">
                  <c:v>1.0518000000000001</c:v>
                </c:pt>
                <c:pt idx="324">
                  <c:v>1.2</c:v>
                </c:pt>
                <c:pt idx="325">
                  <c:v>1.1519999999999999</c:v>
                </c:pt>
                <c:pt idx="326">
                  <c:v>0.92430000000000001</c:v>
                </c:pt>
                <c:pt idx="327">
                  <c:v>0.9456</c:v>
                </c:pt>
                <c:pt idx="328">
                  <c:v>0.9173</c:v>
                </c:pt>
                <c:pt idx="329">
                  <c:v>1.0313000000000001</c:v>
                </c:pt>
                <c:pt idx="330">
                  <c:v>0.84830000000000005</c:v>
                </c:pt>
                <c:pt idx="331">
                  <c:v>0.82720000000000005</c:v>
                </c:pt>
                <c:pt idx="332">
                  <c:v>0.75119999999999998</c:v>
                </c:pt>
                <c:pt idx="333">
                  <c:v>0.60229999999999995</c:v>
                </c:pt>
                <c:pt idx="334">
                  <c:v>0.67659999999999998</c:v>
                </c:pt>
                <c:pt idx="335">
                  <c:v>0.67290000000000005</c:v>
                </c:pt>
                <c:pt idx="336">
                  <c:v>0.7228</c:v>
                </c:pt>
                <c:pt idx="337">
                  <c:v>0.78520000000000001</c:v>
                </c:pt>
                <c:pt idx="338">
                  <c:v>0.69</c:v>
                </c:pt>
                <c:pt idx="339">
                  <c:v>0.89039999999999997</c:v>
                </c:pt>
                <c:pt idx="340">
                  <c:v>0.98099999999999998</c:v>
                </c:pt>
                <c:pt idx="341">
                  <c:v>0.94030000000000002</c:v>
                </c:pt>
                <c:pt idx="342">
                  <c:v>0.99150000000000005</c:v>
                </c:pt>
                <c:pt idx="343">
                  <c:v>1.0611999999999999</c:v>
                </c:pt>
                <c:pt idx="344">
                  <c:v>1.1114999999999999</c:v>
                </c:pt>
                <c:pt idx="345">
                  <c:v>1.0860000000000001</c:v>
                </c:pt>
                <c:pt idx="346">
                  <c:v>1.1451</c:v>
                </c:pt>
                <c:pt idx="347">
                  <c:v>0.89129999999999998</c:v>
                </c:pt>
                <c:pt idx="348">
                  <c:v>0.86</c:v>
                </c:pt>
                <c:pt idx="349">
                  <c:v>0.81</c:v>
                </c:pt>
                <c:pt idx="350">
                  <c:v>0.71230000000000004</c:v>
                </c:pt>
                <c:pt idx="351">
                  <c:v>0.66259999999999997</c:v>
                </c:pt>
                <c:pt idx="352">
                  <c:v>0.67549999999999999</c:v>
                </c:pt>
                <c:pt idx="353">
                  <c:v>0.57279999999999998</c:v>
                </c:pt>
                <c:pt idx="354">
                  <c:v>0.52690000000000003</c:v>
                </c:pt>
                <c:pt idx="355">
                  <c:v>0.53959999999999997</c:v>
                </c:pt>
                <c:pt idx="356">
                  <c:v>0.57520000000000004</c:v>
                </c:pt>
                <c:pt idx="357">
                  <c:v>0.4995</c:v>
                </c:pt>
                <c:pt idx="358">
                  <c:v>0.53110000000000002</c:v>
                </c:pt>
                <c:pt idx="359">
                  <c:v>0.57079999999999997</c:v>
                </c:pt>
                <c:pt idx="360">
                  <c:v>0.43619999999999998</c:v>
                </c:pt>
                <c:pt idx="361">
                  <c:v>0.42070000000000002</c:v>
                </c:pt>
                <c:pt idx="362">
                  <c:v>0.45490000000000003</c:v>
                </c:pt>
                <c:pt idx="363">
                  <c:v>0.49930000000000002</c:v>
                </c:pt>
                <c:pt idx="364">
                  <c:v>0.52500000000000002</c:v>
                </c:pt>
                <c:pt idx="365">
                  <c:v>0.54920000000000002</c:v>
                </c:pt>
                <c:pt idx="366">
                  <c:v>0.67</c:v>
                </c:pt>
                <c:pt idx="367">
                  <c:v>0.68</c:v>
                </c:pt>
                <c:pt idx="368">
                  <c:v>0.76270000000000004</c:v>
                </c:pt>
                <c:pt idx="369">
                  <c:v>0.90029999999999999</c:v>
                </c:pt>
                <c:pt idx="370">
                  <c:v>6.9499999999999998E-4</c:v>
                </c:pt>
                <c:pt idx="371">
                  <c:v>6.2500000000000001E-4</c:v>
                </c:pt>
                <c:pt idx="372">
                  <c:v>5.4900000000000001E-4</c:v>
                </c:pt>
                <c:pt idx="373">
                  <c:v>5.5599999999999996E-4</c:v>
                </c:pt>
                <c:pt idx="374">
                  <c:v>7.1400000000000001E-4</c:v>
                </c:pt>
                <c:pt idx="375">
                  <c:v>3.4299999999999999E-4</c:v>
                </c:pt>
                <c:pt idx="376">
                  <c:v>3.1199999999999999E-4</c:v>
                </c:pt>
                <c:pt idx="377">
                  <c:v>3.2600000000000001E-4</c:v>
                </c:pt>
                <c:pt idx="378">
                  <c:v>3.2000000000000003E-4</c:v>
                </c:pt>
                <c:pt idx="379">
                  <c:v>3.1300000000000002E-4</c:v>
                </c:pt>
                <c:pt idx="380">
                  <c:v>3.1199999999999999E-4</c:v>
                </c:pt>
                <c:pt idx="381">
                  <c:v>2.9700000000000001E-4</c:v>
                </c:pt>
                <c:pt idx="382">
                  <c:v>2.7500000000000002E-4</c:v>
                </c:pt>
                <c:pt idx="383">
                  <c:v>2.6499999999999999E-4</c:v>
                </c:pt>
                <c:pt idx="384">
                  <c:v>2.63E-4</c:v>
                </c:pt>
                <c:pt idx="385">
                  <c:v>2.5300000000000002E-4</c:v>
                </c:pt>
                <c:pt idx="386">
                  <c:v>2.5099999999999998E-4</c:v>
                </c:pt>
                <c:pt idx="387">
                  <c:v>2.43E-4</c:v>
                </c:pt>
                <c:pt idx="388">
                  <c:v>2.41E-4</c:v>
                </c:pt>
                <c:pt idx="389">
                  <c:v>2.4600000000000002E-4</c:v>
                </c:pt>
                <c:pt idx="390">
                  <c:v>2.5099999999999998E-4</c:v>
                </c:pt>
                <c:pt idx="391">
                  <c:v>2.4600000000000002E-4</c:v>
                </c:pt>
                <c:pt idx="392">
                  <c:v>2.34E-4</c:v>
                </c:pt>
                <c:pt idx="393">
                  <c:v>2.3699999999999999E-4</c:v>
                </c:pt>
                <c:pt idx="394">
                  <c:v>2.4499999999999999E-4</c:v>
                </c:pt>
                <c:pt idx="395">
                  <c:v>2.4600000000000002E-4</c:v>
                </c:pt>
                <c:pt idx="396">
                  <c:v>2.52E-4</c:v>
                </c:pt>
                <c:pt idx="397">
                  <c:v>2.3699999999999999E-4</c:v>
                </c:pt>
                <c:pt idx="398">
                  <c:v>2.7099999999999997E-4</c:v>
                </c:pt>
                <c:pt idx="399">
                  <c:v>2.7399999999999999E-4</c:v>
                </c:pt>
                <c:pt idx="400">
                  <c:v>2.81E-4</c:v>
                </c:pt>
                <c:pt idx="401">
                  <c:v>2.7500000000000002E-4</c:v>
                </c:pt>
                <c:pt idx="402">
                  <c:v>2.7700000000000001E-4</c:v>
                </c:pt>
                <c:pt idx="403">
                  <c:v>2.7500000000000002E-4</c:v>
                </c:pt>
                <c:pt idx="404">
                  <c:v>2.7799999999999998E-4</c:v>
                </c:pt>
                <c:pt idx="405">
                  <c:v>2.7999999999999998E-4</c:v>
                </c:pt>
                <c:pt idx="406">
                  <c:v>2.7700000000000001E-4</c:v>
                </c:pt>
                <c:pt idx="407">
                  <c:v>2.8400000000000002E-4</c:v>
                </c:pt>
                <c:pt idx="408">
                  <c:v>2.81E-4</c:v>
                </c:pt>
                <c:pt idx="409">
                  <c:v>2.6800000000000001E-4</c:v>
                </c:pt>
                <c:pt idx="410">
                  <c:v>2.7500000000000002E-4</c:v>
                </c:pt>
                <c:pt idx="411">
                  <c:v>3.0800000000000001E-4</c:v>
                </c:pt>
                <c:pt idx="412">
                  <c:v>3.2899999999999997E-4</c:v>
                </c:pt>
                <c:pt idx="413">
                  <c:v>2.99E-4</c:v>
                </c:pt>
                <c:pt idx="414">
                  <c:v>2.9599999999999998E-4</c:v>
                </c:pt>
                <c:pt idx="415">
                  <c:v>2.9700000000000001E-4</c:v>
                </c:pt>
                <c:pt idx="416">
                  <c:v>2.8699999999999998E-4</c:v>
                </c:pt>
                <c:pt idx="417">
                  <c:v>3.01E-4</c:v>
                </c:pt>
                <c:pt idx="418">
                  <c:v>2.92E-4</c:v>
                </c:pt>
                <c:pt idx="419">
                  <c:v>2.8800000000000001E-4</c:v>
                </c:pt>
                <c:pt idx="420">
                  <c:v>2.9500000000000001E-4</c:v>
                </c:pt>
                <c:pt idx="421">
                  <c:v>2.9E-4</c:v>
                </c:pt>
                <c:pt idx="422">
                  <c:v>2.92E-4</c:v>
                </c:pt>
                <c:pt idx="423">
                  <c:v>2.8499999999999999E-4</c:v>
                </c:pt>
                <c:pt idx="424">
                  <c:v>2.8600000000000001E-4</c:v>
                </c:pt>
                <c:pt idx="425">
                  <c:v>3.19E-4</c:v>
                </c:pt>
                <c:pt idx="426">
                  <c:v>3.28E-4</c:v>
                </c:pt>
                <c:pt idx="427">
                  <c:v>3.0200000000000002E-4</c:v>
                </c:pt>
                <c:pt idx="428">
                  <c:v>2.9999999999999997E-4</c:v>
                </c:pt>
                <c:pt idx="429">
                  <c:v>3.0800000000000001E-4</c:v>
                </c:pt>
                <c:pt idx="430">
                  <c:v>2.8499999999999999E-4</c:v>
                </c:pt>
                <c:pt idx="431">
                  <c:v>2.7500000000000002E-4</c:v>
                </c:pt>
                <c:pt idx="432">
                  <c:v>2.7500000000000002E-4</c:v>
                </c:pt>
                <c:pt idx="433">
                  <c:v>2.6899999999999998E-4</c:v>
                </c:pt>
                <c:pt idx="434">
                  <c:v>2.7099999999999997E-4</c:v>
                </c:pt>
                <c:pt idx="435">
                  <c:v>2.6699999999999998E-4</c:v>
                </c:pt>
                <c:pt idx="436">
                  <c:v>2.7099999999999997E-4</c:v>
                </c:pt>
                <c:pt idx="437">
                  <c:v>2.8299999999999999E-4</c:v>
                </c:pt>
                <c:pt idx="438">
                  <c:v>2.7599999999999999E-4</c:v>
                </c:pt>
                <c:pt idx="439">
                  <c:v>2.7700000000000001E-4</c:v>
                </c:pt>
                <c:pt idx="440">
                  <c:v>2.8600000000000001E-4</c:v>
                </c:pt>
                <c:pt idx="441">
                  <c:v>2.7399999999999999E-4</c:v>
                </c:pt>
                <c:pt idx="442">
                  <c:v>2.8800000000000001E-4</c:v>
                </c:pt>
                <c:pt idx="443">
                  <c:v>2.8499999999999999E-4</c:v>
                </c:pt>
                <c:pt idx="444">
                  <c:v>2.9E-4</c:v>
                </c:pt>
                <c:pt idx="445">
                  <c:v>2.8699999999999998E-4</c:v>
                </c:pt>
                <c:pt idx="446">
                  <c:v>2.6899999999999998E-4</c:v>
                </c:pt>
                <c:pt idx="447">
                  <c:v>2.6200000000000003E-4</c:v>
                </c:pt>
                <c:pt idx="448">
                  <c:v>2.6899999999999998E-4</c:v>
                </c:pt>
                <c:pt idx="449">
                  <c:v>2.7099999999999997E-4</c:v>
                </c:pt>
                <c:pt idx="450">
                  <c:v>2.7099999999999997E-4</c:v>
                </c:pt>
                <c:pt idx="451">
                  <c:v>2.7E-4</c:v>
                </c:pt>
                <c:pt idx="452">
                  <c:v>2.72E-4</c:v>
                </c:pt>
                <c:pt idx="453">
                  <c:v>2.6800000000000001E-4</c:v>
                </c:pt>
                <c:pt idx="454">
                  <c:v>2.7500000000000002E-4</c:v>
                </c:pt>
                <c:pt idx="455">
                  <c:v>2.6899999999999998E-4</c:v>
                </c:pt>
                <c:pt idx="456">
                  <c:v>2.5999999999999998E-4</c:v>
                </c:pt>
                <c:pt idx="457">
                  <c:v>2.6600000000000001E-4</c:v>
                </c:pt>
                <c:pt idx="458">
                  <c:v>2.6699999999999998E-4</c:v>
                </c:pt>
                <c:pt idx="459">
                  <c:v>2.5500000000000002E-4</c:v>
                </c:pt>
                <c:pt idx="460">
                  <c:v>2.7099999999999997E-4</c:v>
                </c:pt>
                <c:pt idx="461">
                  <c:v>2.5700000000000001E-4</c:v>
                </c:pt>
                <c:pt idx="462">
                  <c:v>2.7099999999999997E-4</c:v>
                </c:pt>
                <c:pt idx="463">
                  <c:v>2.81E-4</c:v>
                </c:pt>
                <c:pt idx="464">
                  <c:v>2.7099999999999997E-4</c:v>
                </c:pt>
                <c:pt idx="465">
                  <c:v>2.7E-4</c:v>
                </c:pt>
                <c:pt idx="466">
                  <c:v>2.7799999999999998E-4</c:v>
                </c:pt>
                <c:pt idx="467">
                  <c:v>2.8699999999999998E-4</c:v>
                </c:pt>
                <c:pt idx="468">
                  <c:v>2.9700000000000001E-4</c:v>
                </c:pt>
                <c:pt idx="469">
                  <c:v>3.1700000000000001E-4</c:v>
                </c:pt>
                <c:pt idx="470">
                  <c:v>3.1599999999999998E-4</c:v>
                </c:pt>
                <c:pt idx="471">
                  <c:v>3.2600000000000001E-4</c:v>
                </c:pt>
                <c:pt idx="472">
                  <c:v>3.2200000000000002E-4</c:v>
                </c:pt>
                <c:pt idx="473">
                  <c:v>3.2499999999999999E-4</c:v>
                </c:pt>
                <c:pt idx="474">
                  <c:v>3.1500000000000001E-4</c:v>
                </c:pt>
                <c:pt idx="475">
                  <c:v>3.1500000000000001E-4</c:v>
                </c:pt>
                <c:pt idx="476">
                  <c:v>3.4299999999999999E-4</c:v>
                </c:pt>
                <c:pt idx="477">
                  <c:v>3.2499999999999999E-4</c:v>
                </c:pt>
                <c:pt idx="478">
                  <c:v>3.2899999999999997E-4</c:v>
                </c:pt>
                <c:pt idx="479">
                  <c:v>3.1599999999999998E-4</c:v>
                </c:pt>
                <c:pt idx="480">
                  <c:v>3.2299999999999999E-4</c:v>
                </c:pt>
                <c:pt idx="481">
                  <c:v>3.3799999999999998E-4</c:v>
                </c:pt>
                <c:pt idx="482">
                  <c:v>3.5399999999999999E-4</c:v>
                </c:pt>
                <c:pt idx="483">
                  <c:v>3.59E-4</c:v>
                </c:pt>
                <c:pt idx="484">
                  <c:v>3.6099999999999999E-4</c:v>
                </c:pt>
                <c:pt idx="485">
                  <c:v>3.7100000000000002E-4</c:v>
                </c:pt>
                <c:pt idx="486">
                  <c:v>3.7599999999999998E-4</c:v>
                </c:pt>
                <c:pt idx="487">
                  <c:v>3.9599999999999998E-4</c:v>
                </c:pt>
                <c:pt idx="488">
                  <c:v>3.4200000000000002E-4</c:v>
                </c:pt>
                <c:pt idx="489">
                  <c:v>3.6600000000000001E-4</c:v>
                </c:pt>
                <c:pt idx="490">
                  <c:v>3.0600000000000001E-4</c:v>
                </c:pt>
                <c:pt idx="491">
                  <c:v>3.68E-4</c:v>
                </c:pt>
                <c:pt idx="492">
                  <c:v>3.8699999999999997E-4</c:v>
                </c:pt>
                <c:pt idx="493">
                  <c:v>3.5599999999999998E-4</c:v>
                </c:pt>
                <c:pt idx="494">
                  <c:v>3.6400000000000001E-4</c:v>
                </c:pt>
                <c:pt idx="495">
                  <c:v>3.6099999999999999E-4</c:v>
                </c:pt>
                <c:pt idx="496">
                  <c:v>3.7399999999999998E-4</c:v>
                </c:pt>
                <c:pt idx="497">
                  <c:v>3.6400000000000001E-4</c:v>
                </c:pt>
                <c:pt idx="498">
                  <c:v>3.2200000000000002E-4</c:v>
                </c:pt>
                <c:pt idx="499">
                  <c:v>3.5199999999999999E-4</c:v>
                </c:pt>
                <c:pt idx="500">
                  <c:v>3.3399999999999999E-4</c:v>
                </c:pt>
                <c:pt idx="501">
                  <c:v>3.3199999999999999E-4</c:v>
                </c:pt>
                <c:pt idx="502">
                  <c:v>3.4200000000000002E-4</c:v>
                </c:pt>
                <c:pt idx="503">
                  <c:v>3.4600000000000001E-4</c:v>
                </c:pt>
                <c:pt idx="504">
                  <c:v>3.1799999999999998E-4</c:v>
                </c:pt>
                <c:pt idx="505">
                  <c:v>3.1700000000000001E-4</c:v>
                </c:pt>
                <c:pt idx="506">
                  <c:v>3.0499999999999999E-4</c:v>
                </c:pt>
                <c:pt idx="507">
                  <c:v>3.7100000000000002E-4</c:v>
                </c:pt>
                <c:pt idx="508">
                  <c:v>3.79E-4</c:v>
                </c:pt>
                <c:pt idx="509">
                  <c:v>4.5600000000000003E-4</c:v>
                </c:pt>
                <c:pt idx="510">
                  <c:v>4.7100000000000001E-4</c:v>
                </c:pt>
                <c:pt idx="511">
                  <c:v>4.9299999999999995E-4</c:v>
                </c:pt>
                <c:pt idx="512">
                  <c:v>4.95E-4</c:v>
                </c:pt>
                <c:pt idx="513">
                  <c:v>4.9299999999999995E-4</c:v>
                </c:pt>
                <c:pt idx="514">
                  <c:v>4.86E-4</c:v>
                </c:pt>
                <c:pt idx="515">
                  <c:v>4.5300000000000001E-4</c:v>
                </c:pt>
                <c:pt idx="516">
                  <c:v>4.8899999999999996E-4</c:v>
                </c:pt>
                <c:pt idx="517">
                  <c:v>4.4000000000000002E-4</c:v>
                </c:pt>
                <c:pt idx="518">
                  <c:v>4.8700000000000002E-4</c:v>
                </c:pt>
                <c:pt idx="519">
                  <c:v>4.7199999999999998E-4</c:v>
                </c:pt>
                <c:pt idx="520">
                  <c:v>4.8099999999999998E-4</c:v>
                </c:pt>
                <c:pt idx="521">
                  <c:v>4.8299999999999998E-4</c:v>
                </c:pt>
                <c:pt idx="522">
                  <c:v>5.2700000000000002E-4</c:v>
                </c:pt>
                <c:pt idx="523">
                  <c:v>5.3700000000000004E-4</c:v>
                </c:pt>
                <c:pt idx="524">
                  <c:v>5.5699999999999999E-4</c:v>
                </c:pt>
                <c:pt idx="525">
                  <c:v>5.9999999999999995E-4</c:v>
                </c:pt>
                <c:pt idx="526">
                  <c:v>5.6800000000000004E-4</c:v>
                </c:pt>
                <c:pt idx="527">
                  <c:v>5.4000000000000001E-4</c:v>
                </c:pt>
                <c:pt idx="528">
                  <c:v>5.7600000000000001E-4</c:v>
                </c:pt>
                <c:pt idx="529">
                  <c:v>5.22E-4</c:v>
                </c:pt>
                <c:pt idx="530">
                  <c:v>5.3799999999999996E-4</c:v>
                </c:pt>
                <c:pt idx="531">
                  <c:v>4.9899999999999999E-4</c:v>
                </c:pt>
                <c:pt idx="532">
                  <c:v>5.62E-4</c:v>
                </c:pt>
                <c:pt idx="533">
                  <c:v>5.8200000000000005E-4</c:v>
                </c:pt>
                <c:pt idx="534">
                  <c:v>6.0499999999999996E-4</c:v>
                </c:pt>
                <c:pt idx="535">
                  <c:v>5.4500000000000002E-4</c:v>
                </c:pt>
                <c:pt idx="536">
                  <c:v>5.1500000000000005E-4</c:v>
                </c:pt>
                <c:pt idx="537">
                  <c:v>4.66E-4</c:v>
                </c:pt>
                <c:pt idx="538">
                  <c:v>4.5899999999999999E-4</c:v>
                </c:pt>
                <c:pt idx="539">
                  <c:v>4.57E-4</c:v>
                </c:pt>
                <c:pt idx="540">
                  <c:v>4.4799999999999999E-4</c:v>
                </c:pt>
                <c:pt idx="541">
                  <c:v>4.5899999999999999E-4</c:v>
                </c:pt>
                <c:pt idx="542">
                  <c:v>4.5600000000000003E-4</c:v>
                </c:pt>
                <c:pt idx="543">
                  <c:v>4.6700000000000002E-4</c:v>
                </c:pt>
                <c:pt idx="544">
                  <c:v>4.5100000000000001E-4</c:v>
                </c:pt>
                <c:pt idx="545">
                  <c:v>4.7899999999999999E-4</c:v>
                </c:pt>
                <c:pt idx="546">
                  <c:v>4.5399999999999998E-4</c:v>
                </c:pt>
                <c:pt idx="547">
                  <c:v>4.4099999999999999E-4</c:v>
                </c:pt>
                <c:pt idx="548">
                  <c:v>4.5399999999999998E-4</c:v>
                </c:pt>
                <c:pt idx="549">
                  <c:v>4.8999999999999998E-4</c:v>
                </c:pt>
                <c:pt idx="550">
                  <c:v>4.3300000000000001E-4</c:v>
                </c:pt>
                <c:pt idx="551">
                  <c:v>3.8499999999999998E-4</c:v>
                </c:pt>
                <c:pt idx="552">
                  <c:v>3.9899999999999999E-4</c:v>
                </c:pt>
                <c:pt idx="553">
                  <c:v>3.8099999999999999E-4</c:v>
                </c:pt>
                <c:pt idx="554">
                  <c:v>3.7199999999999999E-4</c:v>
                </c:pt>
                <c:pt idx="555">
                  <c:v>3.5199999999999999E-4</c:v>
                </c:pt>
                <c:pt idx="556">
                  <c:v>3.4499999999999998E-4</c:v>
                </c:pt>
                <c:pt idx="557">
                  <c:v>3.4900000000000003E-4</c:v>
                </c:pt>
                <c:pt idx="558">
                  <c:v>3.6900000000000002E-4</c:v>
                </c:pt>
                <c:pt idx="559">
                  <c:v>3.6499999999999998E-4</c:v>
                </c:pt>
                <c:pt idx="560">
                  <c:v>3.6499999999999998E-4</c:v>
                </c:pt>
                <c:pt idx="561">
                  <c:v>3.6600000000000001E-4</c:v>
                </c:pt>
                <c:pt idx="562">
                  <c:v>3.6900000000000002E-4</c:v>
                </c:pt>
                <c:pt idx="563">
                  <c:v>3.68E-4</c:v>
                </c:pt>
                <c:pt idx="564">
                  <c:v>3.5100000000000002E-4</c:v>
                </c:pt>
                <c:pt idx="565">
                  <c:v>3.6699999999999998E-4</c:v>
                </c:pt>
                <c:pt idx="566">
                  <c:v>3.4900000000000003E-4</c:v>
                </c:pt>
                <c:pt idx="567">
                  <c:v>3.4600000000000001E-4</c:v>
                </c:pt>
                <c:pt idx="568">
                  <c:v>3.3500000000000001E-4</c:v>
                </c:pt>
                <c:pt idx="569">
                  <c:v>3.5100000000000002E-4</c:v>
                </c:pt>
                <c:pt idx="570">
                  <c:v>3.4299999999999999E-4</c:v>
                </c:pt>
                <c:pt idx="571">
                  <c:v>3.2600000000000001E-4</c:v>
                </c:pt>
                <c:pt idx="572">
                  <c:v>3.28E-4</c:v>
                </c:pt>
                <c:pt idx="573">
                  <c:v>3.2200000000000002E-4</c:v>
                </c:pt>
                <c:pt idx="574">
                  <c:v>3.2499999999999999E-4</c:v>
                </c:pt>
                <c:pt idx="575">
                  <c:v>3.2400000000000001E-4</c:v>
                </c:pt>
                <c:pt idx="576">
                  <c:v>3.2600000000000001E-4</c:v>
                </c:pt>
                <c:pt idx="577">
                  <c:v>3.6400000000000001E-4</c:v>
                </c:pt>
                <c:pt idx="578">
                  <c:v>3.77E-4</c:v>
                </c:pt>
                <c:pt idx="579">
                  <c:v>3.8200000000000002E-4</c:v>
                </c:pt>
                <c:pt idx="580">
                  <c:v>3.97E-4</c:v>
                </c:pt>
                <c:pt idx="581">
                  <c:v>3.9300000000000001E-4</c:v>
                </c:pt>
                <c:pt idx="582">
                  <c:v>3.88E-4</c:v>
                </c:pt>
                <c:pt idx="583">
                  <c:v>3.9300000000000001E-4</c:v>
                </c:pt>
                <c:pt idx="584">
                  <c:v>3.8299999999999999E-4</c:v>
                </c:pt>
                <c:pt idx="585">
                  <c:v>3.8999999999999999E-4</c:v>
                </c:pt>
                <c:pt idx="586">
                  <c:v>3.77E-4</c:v>
                </c:pt>
                <c:pt idx="587">
                  <c:v>3.68E-4</c:v>
                </c:pt>
                <c:pt idx="588">
                  <c:v>3.6600000000000001E-4</c:v>
                </c:pt>
                <c:pt idx="589">
                  <c:v>3.7500000000000001E-4</c:v>
                </c:pt>
                <c:pt idx="590">
                  <c:v>3.8200000000000002E-4</c:v>
                </c:pt>
                <c:pt idx="591">
                  <c:v>3.6999999999999999E-4</c:v>
                </c:pt>
                <c:pt idx="592">
                  <c:v>3.6600000000000001E-4</c:v>
                </c:pt>
                <c:pt idx="593">
                  <c:v>3.8000000000000002E-4</c:v>
                </c:pt>
                <c:pt idx="594">
                  <c:v>3.8400000000000001E-4</c:v>
                </c:pt>
                <c:pt idx="595">
                  <c:v>3.8200000000000002E-4</c:v>
                </c:pt>
                <c:pt idx="596">
                  <c:v>3.7199999999999999E-4</c:v>
                </c:pt>
                <c:pt idx="597">
                  <c:v>3.68E-4</c:v>
                </c:pt>
                <c:pt idx="598">
                  <c:v>3.77E-4</c:v>
                </c:pt>
                <c:pt idx="599">
                  <c:v>3.86E-4</c:v>
                </c:pt>
                <c:pt idx="600">
                  <c:v>3.7100000000000002E-4</c:v>
                </c:pt>
                <c:pt idx="601">
                  <c:v>3.7300000000000001E-4</c:v>
                </c:pt>
                <c:pt idx="602">
                  <c:v>3.9599999999999998E-4</c:v>
                </c:pt>
                <c:pt idx="603">
                  <c:v>3.8099999999999999E-4</c:v>
                </c:pt>
                <c:pt idx="604">
                  <c:v>4.08E-4</c:v>
                </c:pt>
                <c:pt idx="605">
                  <c:v>3.77E-4</c:v>
                </c:pt>
                <c:pt idx="606">
                  <c:v>3.3799999999999998E-4</c:v>
                </c:pt>
                <c:pt idx="607">
                  <c:v>3.1700000000000001E-4</c:v>
                </c:pt>
                <c:pt idx="608">
                  <c:v>3.2000000000000003E-4</c:v>
                </c:pt>
                <c:pt idx="609">
                  <c:v>3.2899999999999997E-4</c:v>
                </c:pt>
                <c:pt idx="610">
                  <c:v>2.9999999999999997E-4</c:v>
                </c:pt>
                <c:pt idx="611">
                  <c:v>3.0400000000000002E-4</c:v>
                </c:pt>
                <c:pt idx="612">
                  <c:v>3.0600000000000001E-4</c:v>
                </c:pt>
                <c:pt idx="613">
                  <c:v>2.9300000000000002E-4</c:v>
                </c:pt>
                <c:pt idx="614">
                  <c:v>3.2000000000000003E-4</c:v>
                </c:pt>
                <c:pt idx="615">
                  <c:v>3.3399999999999999E-4</c:v>
                </c:pt>
                <c:pt idx="616">
                  <c:v>3.3199999999999999E-4</c:v>
                </c:pt>
                <c:pt idx="617">
                  <c:v>3.21E-4</c:v>
                </c:pt>
                <c:pt idx="618">
                  <c:v>3.1500000000000001E-4</c:v>
                </c:pt>
                <c:pt idx="619">
                  <c:v>3.0899999999999998E-4</c:v>
                </c:pt>
                <c:pt idx="620">
                  <c:v>3.1700000000000001E-4</c:v>
                </c:pt>
                <c:pt idx="621">
                  <c:v>3.1599999999999998E-4</c:v>
                </c:pt>
                <c:pt idx="622">
                  <c:v>3.1100000000000002E-4</c:v>
                </c:pt>
                <c:pt idx="623">
                  <c:v>3.0299999999999999E-4</c:v>
                </c:pt>
                <c:pt idx="624">
                  <c:v>3.1500000000000001E-4</c:v>
                </c:pt>
                <c:pt idx="625">
                  <c:v>3.4299999999999999E-4</c:v>
                </c:pt>
                <c:pt idx="626">
                  <c:v>3.19E-4</c:v>
                </c:pt>
                <c:pt idx="627">
                  <c:v>3.1100000000000002E-4</c:v>
                </c:pt>
                <c:pt idx="628">
                  <c:v>3.1399999999999999E-4</c:v>
                </c:pt>
                <c:pt idx="629">
                  <c:v>3.2000000000000003E-4</c:v>
                </c:pt>
                <c:pt idx="630">
                  <c:v>2.9999999999999997E-4</c:v>
                </c:pt>
                <c:pt idx="631">
                  <c:v>3.1100000000000002E-4</c:v>
                </c:pt>
                <c:pt idx="632">
                  <c:v>3.1799999999999998E-4</c:v>
                </c:pt>
                <c:pt idx="633">
                  <c:v>2.7999999999999998E-4</c:v>
                </c:pt>
                <c:pt idx="634">
                  <c:v>2.7399999999999999E-4</c:v>
                </c:pt>
                <c:pt idx="635">
                  <c:v>2.81E-4</c:v>
                </c:pt>
                <c:pt idx="636">
                  <c:v>2.72E-4</c:v>
                </c:pt>
                <c:pt idx="637">
                  <c:v>2.6899999999999998E-4</c:v>
                </c:pt>
                <c:pt idx="638">
                  <c:v>2.6800000000000001E-4</c:v>
                </c:pt>
                <c:pt idx="639">
                  <c:v>2.6600000000000001E-4</c:v>
                </c:pt>
                <c:pt idx="640">
                  <c:v>2.7099999999999997E-4</c:v>
                </c:pt>
                <c:pt idx="641">
                  <c:v>2.7300000000000002E-4</c:v>
                </c:pt>
                <c:pt idx="642">
                  <c:v>2.7999999999999998E-4</c:v>
                </c:pt>
                <c:pt idx="643">
                  <c:v>2.72E-4</c:v>
                </c:pt>
                <c:pt idx="644">
                  <c:v>2.7300000000000002E-4</c:v>
                </c:pt>
                <c:pt idx="645">
                  <c:v>2.8499999999999999E-4</c:v>
                </c:pt>
                <c:pt idx="646">
                  <c:v>3.01E-4</c:v>
                </c:pt>
                <c:pt idx="647">
                  <c:v>2.8499999999999999E-4</c:v>
                </c:pt>
                <c:pt idx="648">
                  <c:v>2.5000000000000001E-4</c:v>
                </c:pt>
                <c:pt idx="649">
                  <c:v>2.4000000000000001E-4</c:v>
                </c:pt>
                <c:pt idx="650">
                  <c:v>2.4899999999999998E-4</c:v>
                </c:pt>
                <c:pt idx="651">
                  <c:v>2.5000000000000001E-4</c:v>
                </c:pt>
                <c:pt idx="652">
                  <c:v>2.4499999999999999E-4</c:v>
                </c:pt>
                <c:pt idx="653">
                  <c:v>2.4399999999999999E-4</c:v>
                </c:pt>
                <c:pt idx="654">
                  <c:v>2.43E-4</c:v>
                </c:pt>
                <c:pt idx="655">
                  <c:v>2.5500000000000002E-4</c:v>
                </c:pt>
                <c:pt idx="656">
                  <c:v>2.61E-4</c:v>
                </c:pt>
                <c:pt idx="657">
                  <c:v>2.6400000000000002E-4</c:v>
                </c:pt>
                <c:pt idx="658">
                  <c:v>2.6699999999999998E-4</c:v>
                </c:pt>
                <c:pt idx="659">
                  <c:v>2.5300000000000002E-4</c:v>
                </c:pt>
                <c:pt idx="660">
                  <c:v>2.6200000000000003E-4</c:v>
                </c:pt>
                <c:pt idx="661">
                  <c:v>2.63E-4</c:v>
                </c:pt>
                <c:pt idx="662">
                  <c:v>2.7099999999999997E-4</c:v>
                </c:pt>
                <c:pt idx="663">
                  <c:v>2.7300000000000002E-4</c:v>
                </c:pt>
                <c:pt idx="664">
                  <c:v>2.7E-4</c:v>
                </c:pt>
                <c:pt idx="665">
                  <c:v>2.72E-4</c:v>
                </c:pt>
                <c:pt idx="666">
                  <c:v>2.5599999999999999E-4</c:v>
                </c:pt>
                <c:pt idx="667">
                  <c:v>2.63E-4</c:v>
                </c:pt>
                <c:pt idx="668">
                  <c:v>2.7700000000000001E-4</c:v>
                </c:pt>
                <c:pt idx="669">
                  <c:v>2.81E-4</c:v>
                </c:pt>
                <c:pt idx="670">
                  <c:v>2.81E-4</c:v>
                </c:pt>
                <c:pt idx="671">
                  <c:v>2.9300000000000002E-4</c:v>
                </c:pt>
                <c:pt idx="672">
                  <c:v>2.9300000000000002E-4</c:v>
                </c:pt>
                <c:pt idx="673">
                  <c:v>2.6400000000000002E-4</c:v>
                </c:pt>
                <c:pt idx="674">
                  <c:v>3.0699999999999998E-4</c:v>
                </c:pt>
                <c:pt idx="675">
                  <c:v>2.7799999999999998E-4</c:v>
                </c:pt>
                <c:pt idx="676">
                  <c:v>3.1300000000000002E-4</c:v>
                </c:pt>
                <c:pt idx="677">
                  <c:v>2.2100000000000001E-4</c:v>
                </c:pt>
                <c:pt idx="678">
                  <c:v>2.24E-4</c:v>
                </c:pt>
                <c:pt idx="679">
                  <c:v>2.1699999999999999E-4</c:v>
                </c:pt>
                <c:pt idx="680">
                  <c:v>2.43E-4</c:v>
                </c:pt>
                <c:pt idx="681">
                  <c:v>2.3900000000000001E-4</c:v>
                </c:pt>
                <c:pt idx="682">
                  <c:v>2.43E-4</c:v>
                </c:pt>
                <c:pt idx="683">
                  <c:v>2.1800000000000001E-4</c:v>
                </c:pt>
                <c:pt idx="684">
                  <c:v>3.9199999999999999E-4</c:v>
                </c:pt>
                <c:pt idx="685">
                  <c:v>4.08E-4</c:v>
                </c:pt>
                <c:pt idx="686">
                  <c:v>4.0900000000000002E-4</c:v>
                </c:pt>
                <c:pt idx="687">
                  <c:v>4.0000000000000002E-4</c:v>
                </c:pt>
                <c:pt idx="688">
                  <c:v>4.5600000000000003E-4</c:v>
                </c:pt>
                <c:pt idx="689">
                  <c:v>4.6799999999999999E-4</c:v>
                </c:pt>
                <c:pt idx="690">
                  <c:v>4.6700000000000002E-4</c:v>
                </c:pt>
                <c:pt idx="691">
                  <c:v>4.5300000000000001E-4</c:v>
                </c:pt>
                <c:pt idx="692">
                  <c:v>4.5399999999999998E-4</c:v>
                </c:pt>
                <c:pt idx="693">
                  <c:v>4.5800000000000002E-4</c:v>
                </c:pt>
                <c:pt idx="694">
                  <c:v>4.4799999999999999E-4</c:v>
                </c:pt>
                <c:pt idx="695">
                  <c:v>4.6299999999999998E-4</c:v>
                </c:pt>
                <c:pt idx="696">
                  <c:v>4.8700000000000002E-4</c:v>
                </c:pt>
                <c:pt idx="697">
                  <c:v>5.0000000000000001E-4</c:v>
                </c:pt>
                <c:pt idx="698">
                  <c:v>4.44E-4</c:v>
                </c:pt>
                <c:pt idx="699">
                  <c:v>4.8099999999999998E-4</c:v>
                </c:pt>
                <c:pt idx="700">
                  <c:v>4.9700000000000005E-4</c:v>
                </c:pt>
                <c:pt idx="701">
                  <c:v>5.1599999999999997E-4</c:v>
                </c:pt>
                <c:pt idx="702">
                  <c:v>5.0100000000000003E-4</c:v>
                </c:pt>
                <c:pt idx="703">
                  <c:v>5.1800000000000001E-4</c:v>
                </c:pt>
                <c:pt idx="704">
                  <c:v>5.0900000000000001E-4</c:v>
                </c:pt>
                <c:pt idx="705">
                  <c:v>5.5599999999999996E-4</c:v>
                </c:pt>
                <c:pt idx="706">
                  <c:v>6.6799999999999997E-4</c:v>
                </c:pt>
                <c:pt idx="707">
                  <c:v>6.8599999999999998E-4</c:v>
                </c:pt>
                <c:pt idx="708">
                  <c:v>6.8499999999999995E-4</c:v>
                </c:pt>
                <c:pt idx="709">
                  <c:v>6.9700000000000003E-4</c:v>
                </c:pt>
                <c:pt idx="710">
                  <c:v>7.5500000000000003E-4</c:v>
                </c:pt>
                <c:pt idx="711">
                  <c:v>6.9399999999999996E-4</c:v>
                </c:pt>
                <c:pt idx="712">
                  <c:v>7.0200000000000004E-4</c:v>
                </c:pt>
                <c:pt idx="713">
                  <c:v>6.6299999999999996E-4</c:v>
                </c:pt>
                <c:pt idx="714">
                  <c:v>6.4099999999999997E-4</c:v>
                </c:pt>
                <c:pt idx="715">
                  <c:v>6.69E-4</c:v>
                </c:pt>
                <c:pt idx="716">
                  <c:v>6.7299999999999999E-4</c:v>
                </c:pt>
                <c:pt idx="717">
                  <c:v>7.1400000000000001E-4</c:v>
                </c:pt>
                <c:pt idx="718">
                  <c:v>6.2100000000000002E-4</c:v>
                </c:pt>
                <c:pt idx="719">
                  <c:v>5.9999999999999995E-4</c:v>
                </c:pt>
                <c:pt idx="720">
                  <c:v>5.7600000000000001E-4</c:v>
                </c:pt>
                <c:pt idx="721">
                  <c:v>6.0400000000000004E-4</c:v>
                </c:pt>
                <c:pt idx="722">
                  <c:v>5.1099999999999995E-4</c:v>
                </c:pt>
                <c:pt idx="723">
                  <c:v>5.13E-4</c:v>
                </c:pt>
                <c:pt idx="724">
                  <c:v>4.9700000000000005E-4</c:v>
                </c:pt>
                <c:pt idx="725">
                  <c:v>4.9200000000000003E-4</c:v>
                </c:pt>
                <c:pt idx="726">
                  <c:v>5.0299999999999997E-4</c:v>
                </c:pt>
                <c:pt idx="727">
                  <c:v>5.3399999999999997E-4</c:v>
                </c:pt>
                <c:pt idx="728">
                  <c:v>5.4299999999999997E-4</c:v>
                </c:pt>
                <c:pt idx="729">
                  <c:v>5.3600000000000002E-4</c:v>
                </c:pt>
                <c:pt idx="730">
                  <c:v>5.3799999999999996E-4</c:v>
                </c:pt>
                <c:pt idx="731">
                  <c:v>5.4199999999999995E-4</c:v>
                </c:pt>
                <c:pt idx="732">
                  <c:v>5.3899999999999998E-4</c:v>
                </c:pt>
                <c:pt idx="733">
                  <c:v>5.5999999999999995E-4</c:v>
                </c:pt>
                <c:pt idx="734">
                  <c:v>5.5900000000000004E-4</c:v>
                </c:pt>
                <c:pt idx="735">
                  <c:v>5.5599999999999996E-4</c:v>
                </c:pt>
                <c:pt idx="736">
                  <c:v>5.6499999999999996E-4</c:v>
                </c:pt>
                <c:pt idx="737">
                  <c:v>5.9599999999999996E-4</c:v>
                </c:pt>
                <c:pt idx="738">
                  <c:v>6.0899999999999995E-4</c:v>
                </c:pt>
                <c:pt idx="739">
                  <c:v>6.1300000000000005E-4</c:v>
                </c:pt>
                <c:pt idx="740">
                  <c:v>6.2200000000000005E-4</c:v>
                </c:pt>
                <c:pt idx="741">
                  <c:v>5.62E-4</c:v>
                </c:pt>
                <c:pt idx="742">
                  <c:v>5.62E-4</c:v>
                </c:pt>
                <c:pt idx="743">
                  <c:v>5.7600000000000001E-4</c:v>
                </c:pt>
                <c:pt idx="744">
                  <c:v>5.7300000000000005E-4</c:v>
                </c:pt>
                <c:pt idx="745">
                  <c:v>5.7499999999999999E-4</c:v>
                </c:pt>
                <c:pt idx="746">
                  <c:v>5.5500000000000005E-4</c:v>
                </c:pt>
                <c:pt idx="747">
                  <c:v>5.6899999999999995E-4</c:v>
                </c:pt>
                <c:pt idx="748">
                  <c:v>5.8E-4</c:v>
                </c:pt>
                <c:pt idx="749">
                  <c:v>5.7799999999999995E-4</c:v>
                </c:pt>
                <c:pt idx="750">
                  <c:v>5.8E-4</c:v>
                </c:pt>
                <c:pt idx="751">
                  <c:v>5.8900000000000001E-4</c:v>
                </c:pt>
                <c:pt idx="752">
                  <c:v>5.8900000000000001E-4</c:v>
                </c:pt>
                <c:pt idx="753">
                  <c:v>5.5099999999999995E-4</c:v>
                </c:pt>
                <c:pt idx="754">
                  <c:v>5.6599999999999999E-4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64-4F36-A73F-8509C6303C9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44215</c:v>
                </c:pt>
                <c:pt idx="371">
                  <c:v>44214</c:v>
                </c:pt>
                <c:pt idx="372">
                  <c:v>44213</c:v>
                </c:pt>
                <c:pt idx="373">
                  <c:v>44212</c:v>
                </c:pt>
                <c:pt idx="374">
                  <c:v>44211</c:v>
                </c:pt>
                <c:pt idx="375">
                  <c:v>44210</c:v>
                </c:pt>
                <c:pt idx="376">
                  <c:v>44209</c:v>
                </c:pt>
                <c:pt idx="377">
                  <c:v>44208</c:v>
                </c:pt>
                <c:pt idx="378">
                  <c:v>44207</c:v>
                </c:pt>
                <c:pt idx="379">
                  <c:v>44206</c:v>
                </c:pt>
                <c:pt idx="380">
                  <c:v>44205</c:v>
                </c:pt>
                <c:pt idx="381">
                  <c:v>44204</c:v>
                </c:pt>
                <c:pt idx="382">
                  <c:v>44203</c:v>
                </c:pt>
                <c:pt idx="383">
                  <c:v>44202</c:v>
                </c:pt>
                <c:pt idx="384">
                  <c:v>44201</c:v>
                </c:pt>
                <c:pt idx="385">
                  <c:v>44200</c:v>
                </c:pt>
                <c:pt idx="386">
                  <c:v>44199</c:v>
                </c:pt>
                <c:pt idx="387">
                  <c:v>44198</c:v>
                </c:pt>
                <c:pt idx="388">
                  <c:v>44197</c:v>
                </c:pt>
                <c:pt idx="389">
                  <c:v>44196</c:v>
                </c:pt>
                <c:pt idx="390">
                  <c:v>44195</c:v>
                </c:pt>
                <c:pt idx="391">
                  <c:v>44194</c:v>
                </c:pt>
                <c:pt idx="392">
                  <c:v>44193</c:v>
                </c:pt>
                <c:pt idx="393">
                  <c:v>44192</c:v>
                </c:pt>
                <c:pt idx="394">
                  <c:v>44191</c:v>
                </c:pt>
                <c:pt idx="395">
                  <c:v>44190</c:v>
                </c:pt>
                <c:pt idx="396">
                  <c:v>44189</c:v>
                </c:pt>
                <c:pt idx="397">
                  <c:v>44188</c:v>
                </c:pt>
                <c:pt idx="398">
                  <c:v>44187</c:v>
                </c:pt>
                <c:pt idx="399">
                  <c:v>44186</c:v>
                </c:pt>
                <c:pt idx="400">
                  <c:v>44185</c:v>
                </c:pt>
                <c:pt idx="401">
                  <c:v>44184</c:v>
                </c:pt>
                <c:pt idx="402">
                  <c:v>44183</c:v>
                </c:pt>
                <c:pt idx="403">
                  <c:v>44182</c:v>
                </c:pt>
                <c:pt idx="404">
                  <c:v>44181</c:v>
                </c:pt>
                <c:pt idx="405">
                  <c:v>44180</c:v>
                </c:pt>
                <c:pt idx="406">
                  <c:v>44179</c:v>
                </c:pt>
                <c:pt idx="407">
                  <c:v>44178</c:v>
                </c:pt>
                <c:pt idx="408">
                  <c:v>44177</c:v>
                </c:pt>
                <c:pt idx="409">
                  <c:v>44176</c:v>
                </c:pt>
                <c:pt idx="410">
                  <c:v>44175</c:v>
                </c:pt>
                <c:pt idx="411">
                  <c:v>44174</c:v>
                </c:pt>
                <c:pt idx="412">
                  <c:v>44173</c:v>
                </c:pt>
                <c:pt idx="413">
                  <c:v>44172</c:v>
                </c:pt>
                <c:pt idx="414">
                  <c:v>44171</c:v>
                </c:pt>
                <c:pt idx="415">
                  <c:v>44170</c:v>
                </c:pt>
                <c:pt idx="416">
                  <c:v>44169</c:v>
                </c:pt>
                <c:pt idx="417">
                  <c:v>44168</c:v>
                </c:pt>
                <c:pt idx="418">
                  <c:v>44167</c:v>
                </c:pt>
                <c:pt idx="419">
                  <c:v>44166</c:v>
                </c:pt>
                <c:pt idx="420">
                  <c:v>44165</c:v>
                </c:pt>
                <c:pt idx="421">
                  <c:v>44164</c:v>
                </c:pt>
                <c:pt idx="422">
                  <c:v>44163</c:v>
                </c:pt>
                <c:pt idx="423">
                  <c:v>44162</c:v>
                </c:pt>
                <c:pt idx="424">
                  <c:v>44161</c:v>
                </c:pt>
                <c:pt idx="425">
                  <c:v>44160</c:v>
                </c:pt>
                <c:pt idx="426">
                  <c:v>44159</c:v>
                </c:pt>
                <c:pt idx="427">
                  <c:v>44158</c:v>
                </c:pt>
                <c:pt idx="428">
                  <c:v>44157</c:v>
                </c:pt>
                <c:pt idx="429">
                  <c:v>44156</c:v>
                </c:pt>
                <c:pt idx="430">
                  <c:v>44155</c:v>
                </c:pt>
                <c:pt idx="431">
                  <c:v>44154</c:v>
                </c:pt>
                <c:pt idx="432">
                  <c:v>44153</c:v>
                </c:pt>
                <c:pt idx="433">
                  <c:v>44152</c:v>
                </c:pt>
                <c:pt idx="434">
                  <c:v>44151</c:v>
                </c:pt>
                <c:pt idx="435">
                  <c:v>44150</c:v>
                </c:pt>
                <c:pt idx="436">
                  <c:v>44149</c:v>
                </c:pt>
                <c:pt idx="437">
                  <c:v>44148</c:v>
                </c:pt>
                <c:pt idx="438">
                  <c:v>44147</c:v>
                </c:pt>
                <c:pt idx="439">
                  <c:v>44146</c:v>
                </c:pt>
                <c:pt idx="440">
                  <c:v>44145</c:v>
                </c:pt>
                <c:pt idx="441">
                  <c:v>44144</c:v>
                </c:pt>
                <c:pt idx="442">
                  <c:v>44143</c:v>
                </c:pt>
                <c:pt idx="443">
                  <c:v>44142</c:v>
                </c:pt>
                <c:pt idx="444">
                  <c:v>44141</c:v>
                </c:pt>
                <c:pt idx="445">
                  <c:v>44140</c:v>
                </c:pt>
                <c:pt idx="446">
                  <c:v>44139</c:v>
                </c:pt>
                <c:pt idx="447">
                  <c:v>44138</c:v>
                </c:pt>
                <c:pt idx="448">
                  <c:v>44137</c:v>
                </c:pt>
                <c:pt idx="449">
                  <c:v>44136</c:v>
                </c:pt>
                <c:pt idx="450">
                  <c:v>44135</c:v>
                </c:pt>
                <c:pt idx="451">
                  <c:v>44134</c:v>
                </c:pt>
                <c:pt idx="452">
                  <c:v>44133</c:v>
                </c:pt>
                <c:pt idx="453">
                  <c:v>44132</c:v>
                </c:pt>
                <c:pt idx="454">
                  <c:v>44131</c:v>
                </c:pt>
                <c:pt idx="455">
                  <c:v>44130</c:v>
                </c:pt>
                <c:pt idx="456">
                  <c:v>44129</c:v>
                </c:pt>
                <c:pt idx="457">
                  <c:v>44128</c:v>
                </c:pt>
                <c:pt idx="458">
                  <c:v>44127</c:v>
                </c:pt>
                <c:pt idx="459">
                  <c:v>44126</c:v>
                </c:pt>
                <c:pt idx="460">
                  <c:v>44125</c:v>
                </c:pt>
                <c:pt idx="461">
                  <c:v>44124</c:v>
                </c:pt>
                <c:pt idx="462">
                  <c:v>44123</c:v>
                </c:pt>
                <c:pt idx="463">
                  <c:v>44122</c:v>
                </c:pt>
                <c:pt idx="464">
                  <c:v>44121</c:v>
                </c:pt>
                <c:pt idx="465">
                  <c:v>44120</c:v>
                </c:pt>
                <c:pt idx="466">
                  <c:v>44119</c:v>
                </c:pt>
                <c:pt idx="467">
                  <c:v>44118</c:v>
                </c:pt>
                <c:pt idx="468">
                  <c:v>44117</c:v>
                </c:pt>
                <c:pt idx="469">
                  <c:v>44116</c:v>
                </c:pt>
                <c:pt idx="470">
                  <c:v>44115</c:v>
                </c:pt>
                <c:pt idx="471">
                  <c:v>44114</c:v>
                </c:pt>
                <c:pt idx="472">
                  <c:v>44113</c:v>
                </c:pt>
                <c:pt idx="473">
                  <c:v>44112</c:v>
                </c:pt>
                <c:pt idx="474">
                  <c:v>44111</c:v>
                </c:pt>
                <c:pt idx="475">
                  <c:v>44110</c:v>
                </c:pt>
                <c:pt idx="476">
                  <c:v>44109</c:v>
                </c:pt>
                <c:pt idx="477">
                  <c:v>44108</c:v>
                </c:pt>
                <c:pt idx="478">
                  <c:v>44107</c:v>
                </c:pt>
                <c:pt idx="479">
                  <c:v>44106</c:v>
                </c:pt>
                <c:pt idx="480">
                  <c:v>44105</c:v>
                </c:pt>
                <c:pt idx="481">
                  <c:v>44104</c:v>
                </c:pt>
                <c:pt idx="482">
                  <c:v>44103</c:v>
                </c:pt>
                <c:pt idx="483">
                  <c:v>44102</c:v>
                </c:pt>
                <c:pt idx="484">
                  <c:v>44101</c:v>
                </c:pt>
                <c:pt idx="485">
                  <c:v>44100</c:v>
                </c:pt>
                <c:pt idx="486">
                  <c:v>44099</c:v>
                </c:pt>
                <c:pt idx="487">
                  <c:v>44098</c:v>
                </c:pt>
                <c:pt idx="488">
                  <c:v>44097</c:v>
                </c:pt>
                <c:pt idx="489">
                  <c:v>44096</c:v>
                </c:pt>
                <c:pt idx="490">
                  <c:v>44095</c:v>
                </c:pt>
                <c:pt idx="491">
                  <c:v>44094</c:v>
                </c:pt>
                <c:pt idx="492">
                  <c:v>44093</c:v>
                </c:pt>
                <c:pt idx="493">
                  <c:v>44092</c:v>
                </c:pt>
                <c:pt idx="494">
                  <c:v>44091</c:v>
                </c:pt>
                <c:pt idx="495">
                  <c:v>44090</c:v>
                </c:pt>
                <c:pt idx="496">
                  <c:v>44089</c:v>
                </c:pt>
                <c:pt idx="497">
                  <c:v>44088</c:v>
                </c:pt>
                <c:pt idx="498">
                  <c:v>44087</c:v>
                </c:pt>
                <c:pt idx="499">
                  <c:v>44086</c:v>
                </c:pt>
                <c:pt idx="500">
                  <c:v>44085</c:v>
                </c:pt>
                <c:pt idx="501">
                  <c:v>44084</c:v>
                </c:pt>
                <c:pt idx="502">
                  <c:v>44083</c:v>
                </c:pt>
                <c:pt idx="503">
                  <c:v>44082</c:v>
                </c:pt>
                <c:pt idx="504">
                  <c:v>44081</c:v>
                </c:pt>
                <c:pt idx="505">
                  <c:v>44080</c:v>
                </c:pt>
                <c:pt idx="506">
                  <c:v>44079</c:v>
                </c:pt>
                <c:pt idx="507">
                  <c:v>44078</c:v>
                </c:pt>
                <c:pt idx="508">
                  <c:v>44077</c:v>
                </c:pt>
                <c:pt idx="509">
                  <c:v>44076</c:v>
                </c:pt>
                <c:pt idx="510">
                  <c:v>44075</c:v>
                </c:pt>
                <c:pt idx="511">
                  <c:v>44074</c:v>
                </c:pt>
                <c:pt idx="512">
                  <c:v>44073</c:v>
                </c:pt>
                <c:pt idx="513">
                  <c:v>44072</c:v>
                </c:pt>
                <c:pt idx="514">
                  <c:v>44071</c:v>
                </c:pt>
                <c:pt idx="515">
                  <c:v>44070</c:v>
                </c:pt>
                <c:pt idx="516">
                  <c:v>44069</c:v>
                </c:pt>
                <c:pt idx="517">
                  <c:v>44068</c:v>
                </c:pt>
                <c:pt idx="518">
                  <c:v>44067</c:v>
                </c:pt>
                <c:pt idx="519">
                  <c:v>44066</c:v>
                </c:pt>
                <c:pt idx="520">
                  <c:v>44065</c:v>
                </c:pt>
                <c:pt idx="521">
                  <c:v>44064</c:v>
                </c:pt>
                <c:pt idx="522">
                  <c:v>44063</c:v>
                </c:pt>
                <c:pt idx="523">
                  <c:v>44062</c:v>
                </c:pt>
                <c:pt idx="524">
                  <c:v>44061</c:v>
                </c:pt>
                <c:pt idx="525">
                  <c:v>44060</c:v>
                </c:pt>
                <c:pt idx="526">
                  <c:v>44059</c:v>
                </c:pt>
                <c:pt idx="527">
                  <c:v>44058</c:v>
                </c:pt>
                <c:pt idx="528">
                  <c:v>44057</c:v>
                </c:pt>
                <c:pt idx="529">
                  <c:v>44056</c:v>
                </c:pt>
                <c:pt idx="530">
                  <c:v>44055</c:v>
                </c:pt>
                <c:pt idx="531">
                  <c:v>44054</c:v>
                </c:pt>
                <c:pt idx="532">
                  <c:v>44053</c:v>
                </c:pt>
                <c:pt idx="533">
                  <c:v>44052</c:v>
                </c:pt>
                <c:pt idx="534">
                  <c:v>44051</c:v>
                </c:pt>
                <c:pt idx="535">
                  <c:v>44050</c:v>
                </c:pt>
                <c:pt idx="536">
                  <c:v>44049</c:v>
                </c:pt>
                <c:pt idx="537">
                  <c:v>44048</c:v>
                </c:pt>
                <c:pt idx="538">
                  <c:v>44047</c:v>
                </c:pt>
                <c:pt idx="539">
                  <c:v>44046</c:v>
                </c:pt>
                <c:pt idx="540">
                  <c:v>44045</c:v>
                </c:pt>
                <c:pt idx="541">
                  <c:v>44044</c:v>
                </c:pt>
                <c:pt idx="542">
                  <c:v>44043</c:v>
                </c:pt>
                <c:pt idx="543">
                  <c:v>44042</c:v>
                </c:pt>
                <c:pt idx="544">
                  <c:v>44041</c:v>
                </c:pt>
                <c:pt idx="545">
                  <c:v>44040</c:v>
                </c:pt>
                <c:pt idx="546">
                  <c:v>44039</c:v>
                </c:pt>
                <c:pt idx="547">
                  <c:v>44038</c:v>
                </c:pt>
                <c:pt idx="548">
                  <c:v>44037</c:v>
                </c:pt>
                <c:pt idx="549">
                  <c:v>44036</c:v>
                </c:pt>
                <c:pt idx="550">
                  <c:v>44035</c:v>
                </c:pt>
                <c:pt idx="551">
                  <c:v>44034</c:v>
                </c:pt>
                <c:pt idx="552">
                  <c:v>44033</c:v>
                </c:pt>
                <c:pt idx="553">
                  <c:v>44032</c:v>
                </c:pt>
                <c:pt idx="554">
                  <c:v>44031</c:v>
                </c:pt>
                <c:pt idx="555">
                  <c:v>44030</c:v>
                </c:pt>
                <c:pt idx="556">
                  <c:v>44029</c:v>
                </c:pt>
                <c:pt idx="557">
                  <c:v>44028</c:v>
                </c:pt>
                <c:pt idx="558">
                  <c:v>44027</c:v>
                </c:pt>
                <c:pt idx="559">
                  <c:v>44026</c:v>
                </c:pt>
                <c:pt idx="560">
                  <c:v>44025</c:v>
                </c:pt>
                <c:pt idx="561">
                  <c:v>44024</c:v>
                </c:pt>
                <c:pt idx="562">
                  <c:v>44023</c:v>
                </c:pt>
                <c:pt idx="563">
                  <c:v>44022</c:v>
                </c:pt>
                <c:pt idx="564">
                  <c:v>44021</c:v>
                </c:pt>
                <c:pt idx="565">
                  <c:v>44020</c:v>
                </c:pt>
                <c:pt idx="566">
                  <c:v>44019</c:v>
                </c:pt>
                <c:pt idx="567">
                  <c:v>44018</c:v>
                </c:pt>
                <c:pt idx="568">
                  <c:v>44017</c:v>
                </c:pt>
                <c:pt idx="569">
                  <c:v>44016</c:v>
                </c:pt>
                <c:pt idx="570">
                  <c:v>44015</c:v>
                </c:pt>
                <c:pt idx="571">
                  <c:v>44014</c:v>
                </c:pt>
                <c:pt idx="572">
                  <c:v>44013</c:v>
                </c:pt>
                <c:pt idx="573">
                  <c:v>44012</c:v>
                </c:pt>
                <c:pt idx="574">
                  <c:v>44011</c:v>
                </c:pt>
                <c:pt idx="575">
                  <c:v>44010</c:v>
                </c:pt>
                <c:pt idx="576">
                  <c:v>44009</c:v>
                </c:pt>
                <c:pt idx="577">
                  <c:v>44008</c:v>
                </c:pt>
                <c:pt idx="578">
                  <c:v>44007</c:v>
                </c:pt>
                <c:pt idx="579">
                  <c:v>44006</c:v>
                </c:pt>
                <c:pt idx="580">
                  <c:v>44005</c:v>
                </c:pt>
                <c:pt idx="581">
                  <c:v>44004</c:v>
                </c:pt>
                <c:pt idx="582">
                  <c:v>44003</c:v>
                </c:pt>
                <c:pt idx="583">
                  <c:v>44002</c:v>
                </c:pt>
                <c:pt idx="584">
                  <c:v>44001</c:v>
                </c:pt>
                <c:pt idx="585">
                  <c:v>44000</c:v>
                </c:pt>
                <c:pt idx="586">
                  <c:v>43999</c:v>
                </c:pt>
                <c:pt idx="587">
                  <c:v>43998</c:v>
                </c:pt>
                <c:pt idx="588">
                  <c:v>43997</c:v>
                </c:pt>
                <c:pt idx="589">
                  <c:v>43996</c:v>
                </c:pt>
                <c:pt idx="590">
                  <c:v>43995</c:v>
                </c:pt>
                <c:pt idx="591">
                  <c:v>43994</c:v>
                </c:pt>
                <c:pt idx="592">
                  <c:v>43993</c:v>
                </c:pt>
                <c:pt idx="593">
                  <c:v>43992</c:v>
                </c:pt>
                <c:pt idx="594">
                  <c:v>43991</c:v>
                </c:pt>
                <c:pt idx="595">
                  <c:v>43990</c:v>
                </c:pt>
                <c:pt idx="596">
                  <c:v>43989</c:v>
                </c:pt>
                <c:pt idx="597">
                  <c:v>43988</c:v>
                </c:pt>
                <c:pt idx="598">
                  <c:v>43987</c:v>
                </c:pt>
                <c:pt idx="599">
                  <c:v>43986</c:v>
                </c:pt>
                <c:pt idx="600">
                  <c:v>43985</c:v>
                </c:pt>
                <c:pt idx="601">
                  <c:v>43984</c:v>
                </c:pt>
                <c:pt idx="602">
                  <c:v>43983</c:v>
                </c:pt>
                <c:pt idx="603">
                  <c:v>43982</c:v>
                </c:pt>
                <c:pt idx="604">
                  <c:v>43981</c:v>
                </c:pt>
                <c:pt idx="605">
                  <c:v>43980</c:v>
                </c:pt>
                <c:pt idx="606">
                  <c:v>43979</c:v>
                </c:pt>
                <c:pt idx="607">
                  <c:v>43978</c:v>
                </c:pt>
                <c:pt idx="608">
                  <c:v>43977</c:v>
                </c:pt>
                <c:pt idx="609">
                  <c:v>43976</c:v>
                </c:pt>
                <c:pt idx="610">
                  <c:v>43975</c:v>
                </c:pt>
                <c:pt idx="611">
                  <c:v>43974</c:v>
                </c:pt>
                <c:pt idx="612">
                  <c:v>43973</c:v>
                </c:pt>
                <c:pt idx="613">
                  <c:v>43972</c:v>
                </c:pt>
                <c:pt idx="614">
                  <c:v>43971</c:v>
                </c:pt>
                <c:pt idx="615">
                  <c:v>43970</c:v>
                </c:pt>
                <c:pt idx="616">
                  <c:v>43969</c:v>
                </c:pt>
                <c:pt idx="617">
                  <c:v>43968</c:v>
                </c:pt>
                <c:pt idx="618">
                  <c:v>43967</c:v>
                </c:pt>
                <c:pt idx="619">
                  <c:v>43966</c:v>
                </c:pt>
                <c:pt idx="620">
                  <c:v>43965</c:v>
                </c:pt>
                <c:pt idx="621">
                  <c:v>43964</c:v>
                </c:pt>
                <c:pt idx="622">
                  <c:v>43963</c:v>
                </c:pt>
                <c:pt idx="623">
                  <c:v>43962</c:v>
                </c:pt>
                <c:pt idx="624">
                  <c:v>43961</c:v>
                </c:pt>
                <c:pt idx="625">
                  <c:v>43960</c:v>
                </c:pt>
                <c:pt idx="626">
                  <c:v>43959</c:v>
                </c:pt>
                <c:pt idx="627">
                  <c:v>43958</c:v>
                </c:pt>
                <c:pt idx="628">
                  <c:v>43957</c:v>
                </c:pt>
                <c:pt idx="629">
                  <c:v>43956</c:v>
                </c:pt>
                <c:pt idx="630">
                  <c:v>43955</c:v>
                </c:pt>
                <c:pt idx="631">
                  <c:v>43954</c:v>
                </c:pt>
                <c:pt idx="632">
                  <c:v>43953</c:v>
                </c:pt>
                <c:pt idx="633">
                  <c:v>43952</c:v>
                </c:pt>
                <c:pt idx="634">
                  <c:v>43951</c:v>
                </c:pt>
                <c:pt idx="635">
                  <c:v>43950</c:v>
                </c:pt>
                <c:pt idx="636">
                  <c:v>43949</c:v>
                </c:pt>
                <c:pt idx="637">
                  <c:v>43948</c:v>
                </c:pt>
                <c:pt idx="638">
                  <c:v>43947</c:v>
                </c:pt>
                <c:pt idx="639">
                  <c:v>43946</c:v>
                </c:pt>
                <c:pt idx="640">
                  <c:v>43945</c:v>
                </c:pt>
                <c:pt idx="641">
                  <c:v>43944</c:v>
                </c:pt>
                <c:pt idx="642">
                  <c:v>43943</c:v>
                </c:pt>
                <c:pt idx="643">
                  <c:v>43942</c:v>
                </c:pt>
                <c:pt idx="644">
                  <c:v>43941</c:v>
                </c:pt>
                <c:pt idx="645">
                  <c:v>43940</c:v>
                </c:pt>
                <c:pt idx="646">
                  <c:v>43939</c:v>
                </c:pt>
                <c:pt idx="647">
                  <c:v>43938</c:v>
                </c:pt>
                <c:pt idx="648">
                  <c:v>43937</c:v>
                </c:pt>
                <c:pt idx="649">
                  <c:v>43936</c:v>
                </c:pt>
                <c:pt idx="650">
                  <c:v>43935</c:v>
                </c:pt>
                <c:pt idx="651">
                  <c:v>43934</c:v>
                </c:pt>
                <c:pt idx="652">
                  <c:v>43933</c:v>
                </c:pt>
                <c:pt idx="653">
                  <c:v>43932</c:v>
                </c:pt>
                <c:pt idx="654">
                  <c:v>43931</c:v>
                </c:pt>
                <c:pt idx="655">
                  <c:v>43930</c:v>
                </c:pt>
                <c:pt idx="656">
                  <c:v>43929</c:v>
                </c:pt>
                <c:pt idx="657">
                  <c:v>43928</c:v>
                </c:pt>
                <c:pt idx="658">
                  <c:v>43927</c:v>
                </c:pt>
                <c:pt idx="659">
                  <c:v>43926</c:v>
                </c:pt>
                <c:pt idx="660">
                  <c:v>43925</c:v>
                </c:pt>
                <c:pt idx="661">
                  <c:v>43924</c:v>
                </c:pt>
                <c:pt idx="662">
                  <c:v>43923</c:v>
                </c:pt>
                <c:pt idx="663">
                  <c:v>43922</c:v>
                </c:pt>
                <c:pt idx="664">
                  <c:v>43921</c:v>
                </c:pt>
                <c:pt idx="665">
                  <c:v>43920</c:v>
                </c:pt>
                <c:pt idx="666">
                  <c:v>43919</c:v>
                </c:pt>
                <c:pt idx="667">
                  <c:v>43918</c:v>
                </c:pt>
                <c:pt idx="668">
                  <c:v>43917</c:v>
                </c:pt>
                <c:pt idx="669">
                  <c:v>43916</c:v>
                </c:pt>
                <c:pt idx="670">
                  <c:v>43915</c:v>
                </c:pt>
                <c:pt idx="671">
                  <c:v>43914</c:v>
                </c:pt>
                <c:pt idx="672">
                  <c:v>43913</c:v>
                </c:pt>
                <c:pt idx="673">
                  <c:v>43912</c:v>
                </c:pt>
                <c:pt idx="674">
                  <c:v>43911</c:v>
                </c:pt>
                <c:pt idx="675">
                  <c:v>43910</c:v>
                </c:pt>
                <c:pt idx="676">
                  <c:v>43909</c:v>
                </c:pt>
                <c:pt idx="677">
                  <c:v>43908</c:v>
                </c:pt>
                <c:pt idx="678">
                  <c:v>43907</c:v>
                </c:pt>
                <c:pt idx="679">
                  <c:v>43906</c:v>
                </c:pt>
                <c:pt idx="680">
                  <c:v>43905</c:v>
                </c:pt>
                <c:pt idx="681">
                  <c:v>43904</c:v>
                </c:pt>
                <c:pt idx="682">
                  <c:v>43903</c:v>
                </c:pt>
                <c:pt idx="683">
                  <c:v>43902</c:v>
                </c:pt>
                <c:pt idx="684">
                  <c:v>43901</c:v>
                </c:pt>
                <c:pt idx="685">
                  <c:v>43900</c:v>
                </c:pt>
                <c:pt idx="686">
                  <c:v>43899</c:v>
                </c:pt>
                <c:pt idx="687">
                  <c:v>43898</c:v>
                </c:pt>
                <c:pt idx="688">
                  <c:v>43897</c:v>
                </c:pt>
                <c:pt idx="689">
                  <c:v>43896</c:v>
                </c:pt>
                <c:pt idx="690">
                  <c:v>43895</c:v>
                </c:pt>
                <c:pt idx="691">
                  <c:v>43894</c:v>
                </c:pt>
                <c:pt idx="692">
                  <c:v>43893</c:v>
                </c:pt>
                <c:pt idx="693">
                  <c:v>43892</c:v>
                </c:pt>
                <c:pt idx="694">
                  <c:v>43891</c:v>
                </c:pt>
                <c:pt idx="695">
                  <c:v>43890</c:v>
                </c:pt>
                <c:pt idx="696">
                  <c:v>43889</c:v>
                </c:pt>
                <c:pt idx="697">
                  <c:v>43888</c:v>
                </c:pt>
                <c:pt idx="698">
                  <c:v>43887</c:v>
                </c:pt>
                <c:pt idx="699">
                  <c:v>43886</c:v>
                </c:pt>
                <c:pt idx="700">
                  <c:v>43885</c:v>
                </c:pt>
                <c:pt idx="701">
                  <c:v>43884</c:v>
                </c:pt>
                <c:pt idx="702">
                  <c:v>43883</c:v>
                </c:pt>
                <c:pt idx="703">
                  <c:v>43882</c:v>
                </c:pt>
                <c:pt idx="704">
                  <c:v>43881</c:v>
                </c:pt>
                <c:pt idx="705">
                  <c:v>43880</c:v>
                </c:pt>
                <c:pt idx="706">
                  <c:v>43879</c:v>
                </c:pt>
                <c:pt idx="707">
                  <c:v>43878</c:v>
                </c:pt>
                <c:pt idx="708">
                  <c:v>43877</c:v>
                </c:pt>
                <c:pt idx="709">
                  <c:v>43876</c:v>
                </c:pt>
                <c:pt idx="710">
                  <c:v>43875</c:v>
                </c:pt>
                <c:pt idx="711">
                  <c:v>43874</c:v>
                </c:pt>
                <c:pt idx="712">
                  <c:v>43873</c:v>
                </c:pt>
                <c:pt idx="713">
                  <c:v>43872</c:v>
                </c:pt>
                <c:pt idx="714">
                  <c:v>43871</c:v>
                </c:pt>
                <c:pt idx="715">
                  <c:v>43870</c:v>
                </c:pt>
                <c:pt idx="716">
                  <c:v>43869</c:v>
                </c:pt>
                <c:pt idx="717">
                  <c:v>43868</c:v>
                </c:pt>
                <c:pt idx="718">
                  <c:v>43867</c:v>
                </c:pt>
                <c:pt idx="719">
                  <c:v>43866</c:v>
                </c:pt>
                <c:pt idx="720">
                  <c:v>43865</c:v>
                </c:pt>
                <c:pt idx="721">
                  <c:v>43864</c:v>
                </c:pt>
                <c:pt idx="722">
                  <c:v>43863</c:v>
                </c:pt>
                <c:pt idx="723">
                  <c:v>43862</c:v>
                </c:pt>
                <c:pt idx="724">
                  <c:v>43861</c:v>
                </c:pt>
                <c:pt idx="725">
                  <c:v>43860</c:v>
                </c:pt>
                <c:pt idx="726">
                  <c:v>43859</c:v>
                </c:pt>
                <c:pt idx="727">
                  <c:v>43858</c:v>
                </c:pt>
                <c:pt idx="728">
                  <c:v>43857</c:v>
                </c:pt>
                <c:pt idx="729">
                  <c:v>43856</c:v>
                </c:pt>
                <c:pt idx="730">
                  <c:v>43855</c:v>
                </c:pt>
                <c:pt idx="731">
                  <c:v>43854</c:v>
                </c:pt>
                <c:pt idx="732">
                  <c:v>43853</c:v>
                </c:pt>
                <c:pt idx="733">
                  <c:v>43852</c:v>
                </c:pt>
                <c:pt idx="734">
                  <c:v>43851</c:v>
                </c:pt>
                <c:pt idx="735">
                  <c:v>43850</c:v>
                </c:pt>
                <c:pt idx="736">
                  <c:v>43849</c:v>
                </c:pt>
                <c:pt idx="737">
                  <c:v>43848</c:v>
                </c:pt>
                <c:pt idx="738">
                  <c:v>43847</c:v>
                </c:pt>
                <c:pt idx="739">
                  <c:v>43846</c:v>
                </c:pt>
                <c:pt idx="740">
                  <c:v>43845</c:v>
                </c:pt>
                <c:pt idx="741">
                  <c:v>43844</c:v>
                </c:pt>
                <c:pt idx="742">
                  <c:v>43843</c:v>
                </c:pt>
                <c:pt idx="743">
                  <c:v>43842</c:v>
                </c:pt>
                <c:pt idx="744">
                  <c:v>43841</c:v>
                </c:pt>
                <c:pt idx="745">
                  <c:v>43840</c:v>
                </c:pt>
                <c:pt idx="746">
                  <c:v>43839</c:v>
                </c:pt>
                <c:pt idx="747">
                  <c:v>43838</c:v>
                </c:pt>
                <c:pt idx="748">
                  <c:v>43837</c:v>
                </c:pt>
                <c:pt idx="749">
                  <c:v>43836</c:v>
                </c:pt>
                <c:pt idx="750">
                  <c:v>43835</c:v>
                </c:pt>
                <c:pt idx="751">
                  <c:v>43834</c:v>
                </c:pt>
                <c:pt idx="752">
                  <c:v>43833</c:v>
                </c:pt>
                <c:pt idx="753">
                  <c:v>43832</c:v>
                </c:pt>
                <c:pt idx="754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-59.248883763708207</c:v>
                </c:pt>
                <c:pt idx="1">
                  <c:v>-59.248206099817629</c:v>
                </c:pt>
                <c:pt idx="2">
                  <c:v>-59.211488978281039</c:v>
                </c:pt>
                <c:pt idx="3">
                  <c:v>-59.214458522263534</c:v>
                </c:pt>
                <c:pt idx="4">
                  <c:v>-59.212910548888239</c:v>
                </c:pt>
                <c:pt idx="5">
                  <c:v>-59.200583931057132</c:v>
                </c:pt>
                <c:pt idx="6">
                  <c:v>-59.176111567595925</c:v>
                </c:pt>
                <c:pt idx="7">
                  <c:v>-59.096076064442912</c:v>
                </c:pt>
                <c:pt idx="8">
                  <c:v>-58.983385291614567</c:v>
                </c:pt>
                <c:pt idx="9">
                  <c:v>-58.96318019560352</c:v>
                </c:pt>
                <c:pt idx="10">
                  <c:v>-58.966677241364302</c:v>
                </c:pt>
                <c:pt idx="11">
                  <c:v>-58.948394668548772</c:v>
                </c:pt>
                <c:pt idx="12">
                  <c:v>-58.942590493779043</c:v>
                </c:pt>
                <c:pt idx="13">
                  <c:v>-58.934368975008546</c:v>
                </c:pt>
                <c:pt idx="14">
                  <c:v>-58.931898254569361</c:v>
                </c:pt>
                <c:pt idx="15">
                  <c:v>-58.903503308680662</c:v>
                </c:pt>
                <c:pt idx="16">
                  <c:v>-58.902571782663962</c:v>
                </c:pt>
                <c:pt idx="17">
                  <c:v>-58.905152181263773</c:v>
                </c:pt>
                <c:pt idx="18">
                  <c:v>-58.886470648217269</c:v>
                </c:pt>
                <c:pt idx="19">
                  <c:v>-58.885436410222027</c:v>
                </c:pt>
                <c:pt idx="20">
                  <c:v>-58.88324421636483</c:v>
                </c:pt>
                <c:pt idx="21">
                  <c:v>-58.842000683795739</c:v>
                </c:pt>
                <c:pt idx="22">
                  <c:v>-58.839173029806908</c:v>
                </c:pt>
                <c:pt idx="23">
                  <c:v>-58.796788963447057</c:v>
                </c:pt>
                <c:pt idx="24">
                  <c:v>-58.674607513854141</c:v>
                </c:pt>
                <c:pt idx="25">
                  <c:v>-58.690824642968877</c:v>
                </c:pt>
                <c:pt idx="26">
                  <c:v>-58.681465710337299</c:v>
                </c:pt>
                <c:pt idx="27">
                  <c:v>-58.685757934549635</c:v>
                </c:pt>
                <c:pt idx="28">
                  <c:v>-58.666788936271452</c:v>
                </c:pt>
                <c:pt idx="29">
                  <c:v>-58.648046540504502</c:v>
                </c:pt>
                <c:pt idx="30">
                  <c:v>-58.619994675448879</c:v>
                </c:pt>
                <c:pt idx="31">
                  <c:v>-58.564165827390624</c:v>
                </c:pt>
                <c:pt idx="32">
                  <c:v>-58.554500353700156</c:v>
                </c:pt>
                <c:pt idx="33">
                  <c:v>-58.562984406824093</c:v>
                </c:pt>
                <c:pt idx="34">
                  <c:v>-58.525610155903507</c:v>
                </c:pt>
                <c:pt idx="35">
                  <c:v>-58.444351124725515</c:v>
                </c:pt>
                <c:pt idx="36">
                  <c:v>-58.518964333397207</c:v>
                </c:pt>
                <c:pt idx="37">
                  <c:v>-58.480562982110079</c:v>
                </c:pt>
                <c:pt idx="38">
                  <c:v>-58.438960612395796</c:v>
                </c:pt>
                <c:pt idx="39">
                  <c:v>-58.483325831803654</c:v>
                </c:pt>
                <c:pt idx="40">
                  <c:v>-58.402974023297439</c:v>
                </c:pt>
                <c:pt idx="41">
                  <c:v>-58.415383408550035</c:v>
                </c:pt>
                <c:pt idx="42">
                  <c:v>-58.168143872772681</c:v>
                </c:pt>
                <c:pt idx="43">
                  <c:v>-58.196759869279369</c:v>
                </c:pt>
                <c:pt idx="44">
                  <c:v>-58.246249147468923</c:v>
                </c:pt>
                <c:pt idx="45">
                  <c:v>-58.262152266480527</c:v>
                </c:pt>
                <c:pt idx="46">
                  <c:v>-58.202938025144462</c:v>
                </c:pt>
                <c:pt idx="47">
                  <c:v>-58.160638176016093</c:v>
                </c:pt>
                <c:pt idx="48">
                  <c:v>-58.162258592739633</c:v>
                </c:pt>
                <c:pt idx="49">
                  <c:v>-58.086011186543111</c:v>
                </c:pt>
                <c:pt idx="50">
                  <c:v>-57.965107633222736</c:v>
                </c:pt>
                <c:pt idx="51">
                  <c:v>-57.750212848941395</c:v>
                </c:pt>
                <c:pt idx="52">
                  <c:v>-57.921679405860949</c:v>
                </c:pt>
                <c:pt idx="53">
                  <c:v>-57.95755450805607</c:v>
                </c:pt>
                <c:pt idx="54">
                  <c:v>-57.905326911364099</c:v>
                </c:pt>
                <c:pt idx="55">
                  <c:v>-57.922080311048838</c:v>
                </c:pt>
                <c:pt idx="56">
                  <c:v>-57.805911379917148</c:v>
                </c:pt>
                <c:pt idx="57">
                  <c:v>-57.6463418986988</c:v>
                </c:pt>
                <c:pt idx="58">
                  <c:v>-57.574967786476584</c:v>
                </c:pt>
                <c:pt idx="59">
                  <c:v>-57.474930583023486</c:v>
                </c:pt>
                <c:pt idx="60">
                  <c:v>-57.368813207707873</c:v>
                </c:pt>
                <c:pt idx="61">
                  <c:v>-57.569663032521852</c:v>
                </c:pt>
                <c:pt idx="62">
                  <c:v>-57.516647101656325</c:v>
                </c:pt>
                <c:pt idx="63">
                  <c:v>-57.320576754896173</c:v>
                </c:pt>
                <c:pt idx="64">
                  <c:v>-56.905467060673352</c:v>
                </c:pt>
                <c:pt idx="65">
                  <c:v>-57.506753708807103</c:v>
                </c:pt>
                <c:pt idx="66">
                  <c:v>-57.413591722939763</c:v>
                </c:pt>
                <c:pt idx="67">
                  <c:v>-57.052769969266691</c:v>
                </c:pt>
                <c:pt idx="68">
                  <c:v>-55.725722074570477</c:v>
                </c:pt>
                <c:pt idx="69">
                  <c:v>-56.342866459419938</c:v>
                </c:pt>
                <c:pt idx="70">
                  <c:v>-57.080290225953995</c:v>
                </c:pt>
                <c:pt idx="71">
                  <c:v>-57.067202014497887</c:v>
                </c:pt>
                <c:pt idx="72">
                  <c:v>-57.103567483869043</c:v>
                </c:pt>
                <c:pt idx="73">
                  <c:v>-57.082075941519896</c:v>
                </c:pt>
                <c:pt idx="74">
                  <c:v>-57.053371032081699</c:v>
                </c:pt>
                <c:pt idx="75">
                  <c:v>-57.043831210399453</c:v>
                </c:pt>
                <c:pt idx="76">
                  <c:v>-57.073627977829631</c:v>
                </c:pt>
                <c:pt idx="77">
                  <c:v>-57.089349773526095</c:v>
                </c:pt>
                <c:pt idx="78">
                  <c:v>-57.021791603300713</c:v>
                </c:pt>
                <c:pt idx="79">
                  <c:v>-56.984946474354047</c:v>
                </c:pt>
                <c:pt idx="80">
                  <c:v>-56.96836159905714</c:v>
                </c:pt>
                <c:pt idx="81">
                  <c:v>-56.961311335503844</c:v>
                </c:pt>
                <c:pt idx="82">
                  <c:v>-56.982401049549651</c:v>
                </c:pt>
                <c:pt idx="83">
                  <c:v>-56.983763389549651</c:v>
                </c:pt>
                <c:pt idx="84">
                  <c:v>-56.964018245324112</c:v>
                </c:pt>
                <c:pt idx="85">
                  <c:v>-56.953844092899168</c:v>
                </c:pt>
                <c:pt idx="86">
                  <c:v>-56.952799934452571</c:v>
                </c:pt>
                <c:pt idx="87">
                  <c:v>-56.899972266591917</c:v>
                </c:pt>
                <c:pt idx="88">
                  <c:v>-56.885298191005326</c:v>
                </c:pt>
                <c:pt idx="89">
                  <c:v>-56.806857830448486</c:v>
                </c:pt>
                <c:pt idx="90">
                  <c:v>-56.833104048948016</c:v>
                </c:pt>
                <c:pt idx="91">
                  <c:v>-56.837070011655257</c:v>
                </c:pt>
                <c:pt idx="92">
                  <c:v>-56.83934190862594</c:v>
                </c:pt>
                <c:pt idx="93">
                  <c:v>-56.813100597717906</c:v>
                </c:pt>
                <c:pt idx="94">
                  <c:v>-56.794378404208288</c:v>
                </c:pt>
                <c:pt idx="95">
                  <c:v>-56.810890092502603</c:v>
                </c:pt>
                <c:pt idx="96">
                  <c:v>-56.764219925566181</c:v>
                </c:pt>
                <c:pt idx="97">
                  <c:v>-56.637853987038589</c:v>
                </c:pt>
                <c:pt idx="98">
                  <c:v>-56.516983171205922</c:v>
                </c:pt>
                <c:pt idx="99">
                  <c:v>-56.492366347631453</c:v>
                </c:pt>
                <c:pt idx="100">
                  <c:v>-56.505473292154065</c:v>
                </c:pt>
                <c:pt idx="101">
                  <c:v>-56.505644294954067</c:v>
                </c:pt>
                <c:pt idx="102">
                  <c:v>-56.492554592661577</c:v>
                </c:pt>
                <c:pt idx="103">
                  <c:v>-56.413870812738786</c:v>
                </c:pt>
                <c:pt idx="104">
                  <c:v>-56.410356726948386</c:v>
                </c:pt>
                <c:pt idx="105">
                  <c:v>-56.398216390205832</c:v>
                </c:pt>
                <c:pt idx="106">
                  <c:v>-56.392490676505524</c:v>
                </c:pt>
                <c:pt idx="107">
                  <c:v>-56.430849112792444</c:v>
                </c:pt>
                <c:pt idx="108">
                  <c:v>-56.447557594858864</c:v>
                </c:pt>
                <c:pt idx="109">
                  <c:v>-56.453057661070048</c:v>
                </c:pt>
                <c:pt idx="110">
                  <c:v>-56.382841821113075</c:v>
                </c:pt>
                <c:pt idx="111">
                  <c:v>-56.351590069230724</c:v>
                </c:pt>
                <c:pt idx="112">
                  <c:v>-56.333673881793089</c:v>
                </c:pt>
                <c:pt idx="113">
                  <c:v>-56.255940264112049</c:v>
                </c:pt>
                <c:pt idx="114">
                  <c:v>-56.378278386602666</c:v>
                </c:pt>
                <c:pt idx="115">
                  <c:v>-56.396153317052502</c:v>
                </c:pt>
                <c:pt idx="116">
                  <c:v>-56.391143538142551</c:v>
                </c:pt>
                <c:pt idx="117">
                  <c:v>-56.385366946996719</c:v>
                </c:pt>
                <c:pt idx="118">
                  <c:v>-56.36313178423319</c:v>
                </c:pt>
                <c:pt idx="119">
                  <c:v>-56.405468052726334</c:v>
                </c:pt>
                <c:pt idx="120">
                  <c:v>-56.421314953254964</c:v>
                </c:pt>
                <c:pt idx="121">
                  <c:v>-56.408667622330007</c:v>
                </c:pt>
                <c:pt idx="122">
                  <c:v>-56.397476378441894</c:v>
                </c:pt>
                <c:pt idx="123">
                  <c:v>-56.378355068055626</c:v>
                </c:pt>
                <c:pt idx="124">
                  <c:v>-56.379859275788768</c:v>
                </c:pt>
                <c:pt idx="125">
                  <c:v>-56.377066521484707</c:v>
                </c:pt>
                <c:pt idx="126">
                  <c:v>-56.375080915972028</c:v>
                </c:pt>
                <c:pt idx="127">
                  <c:v>-56.374413749258935</c:v>
                </c:pt>
                <c:pt idx="128">
                  <c:v>-56.397981535548411</c:v>
                </c:pt>
                <c:pt idx="129">
                  <c:v>-56.362494547506472</c:v>
                </c:pt>
                <c:pt idx="130">
                  <c:v>-56.357338320386575</c:v>
                </c:pt>
                <c:pt idx="131">
                  <c:v>-56.347284205893189</c:v>
                </c:pt>
                <c:pt idx="132">
                  <c:v>-56.349744215007107</c:v>
                </c:pt>
                <c:pt idx="133">
                  <c:v>-56.335564859324279</c:v>
                </c:pt>
                <c:pt idx="134">
                  <c:v>-56.330342798948998</c:v>
                </c:pt>
                <c:pt idx="135">
                  <c:v>-56.348012771549008</c:v>
                </c:pt>
                <c:pt idx="136">
                  <c:v>-56.349762773879227</c:v>
                </c:pt>
                <c:pt idx="137">
                  <c:v>-56.32198893037728</c:v>
                </c:pt>
                <c:pt idx="138">
                  <c:v>-56.318260192155066</c:v>
                </c:pt>
                <c:pt idx="139">
                  <c:v>-56.318573458379433</c:v>
                </c:pt>
                <c:pt idx="140">
                  <c:v>-56.308148989787007</c:v>
                </c:pt>
                <c:pt idx="141">
                  <c:v>-56.230211041329135</c:v>
                </c:pt>
                <c:pt idx="142">
                  <c:v>-56.299187902216936</c:v>
                </c:pt>
                <c:pt idx="143">
                  <c:v>-56.156743375071791</c:v>
                </c:pt>
                <c:pt idx="144">
                  <c:v>-56.173967001384739</c:v>
                </c:pt>
                <c:pt idx="145">
                  <c:v>-56.190891301838199</c:v>
                </c:pt>
                <c:pt idx="146">
                  <c:v>-56.16818375407243</c:v>
                </c:pt>
                <c:pt idx="147">
                  <c:v>-56.182260063243412</c:v>
                </c:pt>
                <c:pt idx="148">
                  <c:v>-56.158062535211918</c:v>
                </c:pt>
                <c:pt idx="149">
                  <c:v>-56.181400698677265</c:v>
                </c:pt>
                <c:pt idx="150">
                  <c:v>-56.185051378193393</c:v>
                </c:pt>
                <c:pt idx="151">
                  <c:v>-56.137940968507749</c:v>
                </c:pt>
                <c:pt idx="152">
                  <c:v>-56.14345191812685</c:v>
                </c:pt>
                <c:pt idx="153">
                  <c:v>-56.145050018126852</c:v>
                </c:pt>
                <c:pt idx="154">
                  <c:v>-56.165935848681038</c:v>
                </c:pt>
                <c:pt idx="155">
                  <c:v>-56.111521383887052</c:v>
                </c:pt>
                <c:pt idx="156">
                  <c:v>-56.146930098658572</c:v>
                </c:pt>
                <c:pt idx="157">
                  <c:v>-56.113170832430058</c:v>
                </c:pt>
                <c:pt idx="158">
                  <c:v>-56.128173320964578</c:v>
                </c:pt>
                <c:pt idx="159">
                  <c:v>-56.1216520450442</c:v>
                </c:pt>
                <c:pt idx="160">
                  <c:v>-56.156908905525356</c:v>
                </c:pt>
                <c:pt idx="161">
                  <c:v>-56.160077051471582</c:v>
                </c:pt>
                <c:pt idx="162">
                  <c:v>-56.215262638198595</c:v>
                </c:pt>
                <c:pt idx="163">
                  <c:v>-56.196435030811024</c:v>
                </c:pt>
                <c:pt idx="164">
                  <c:v>-56.133461103694898</c:v>
                </c:pt>
                <c:pt idx="165">
                  <c:v>-56.084546061723202</c:v>
                </c:pt>
                <c:pt idx="166">
                  <c:v>-56.090277726672831</c:v>
                </c:pt>
                <c:pt idx="167">
                  <c:v>-56.062671699794919</c:v>
                </c:pt>
                <c:pt idx="168">
                  <c:v>-56.109740041768788</c:v>
                </c:pt>
                <c:pt idx="169">
                  <c:v>-56.079996873241626</c:v>
                </c:pt>
                <c:pt idx="170">
                  <c:v>-55.989029403128072</c:v>
                </c:pt>
                <c:pt idx="171">
                  <c:v>-56.005013018949718</c:v>
                </c:pt>
                <c:pt idx="172">
                  <c:v>-55.948285780680166</c:v>
                </c:pt>
                <c:pt idx="173">
                  <c:v>-55.978228917241729</c:v>
                </c:pt>
                <c:pt idx="174">
                  <c:v>-55.96124790822757</c:v>
                </c:pt>
                <c:pt idx="175">
                  <c:v>-55.938191489447313</c:v>
                </c:pt>
                <c:pt idx="176">
                  <c:v>-55.950364933311882</c:v>
                </c:pt>
                <c:pt idx="177">
                  <c:v>-55.94386719560076</c:v>
                </c:pt>
                <c:pt idx="178">
                  <c:v>-55.930520409692335</c:v>
                </c:pt>
                <c:pt idx="179">
                  <c:v>-55.948797928365089</c:v>
                </c:pt>
                <c:pt idx="180">
                  <c:v>-55.913553362919231</c:v>
                </c:pt>
                <c:pt idx="181">
                  <c:v>-55.924210558392332</c:v>
                </c:pt>
                <c:pt idx="182">
                  <c:v>-55.948976188296392</c:v>
                </c:pt>
                <c:pt idx="183">
                  <c:v>-55.893907227599165</c:v>
                </c:pt>
                <c:pt idx="184">
                  <c:v>-55.791375459548938</c:v>
                </c:pt>
                <c:pt idx="185">
                  <c:v>-55.864159854825303</c:v>
                </c:pt>
                <c:pt idx="186">
                  <c:v>-55.779676898025301</c:v>
                </c:pt>
                <c:pt idx="187">
                  <c:v>-56.166155257761211</c:v>
                </c:pt>
                <c:pt idx="188">
                  <c:v>-56.552633617497122</c:v>
                </c:pt>
                <c:pt idx="189">
                  <c:v>-56.767473142021196</c:v>
                </c:pt>
                <c:pt idx="190">
                  <c:v>-56.631418371106925</c:v>
                </c:pt>
                <c:pt idx="191">
                  <c:v>-56.730479346664232</c:v>
                </c:pt>
                <c:pt idx="192">
                  <c:v>-56.704425639274078</c:v>
                </c:pt>
                <c:pt idx="193">
                  <c:v>-56.699304826155903</c:v>
                </c:pt>
                <c:pt idx="194">
                  <c:v>-56.633748827704679</c:v>
                </c:pt>
                <c:pt idx="195">
                  <c:v>-56.730331030017098</c:v>
                </c:pt>
                <c:pt idx="196">
                  <c:v>-56.650243667992008</c:v>
                </c:pt>
                <c:pt idx="197">
                  <c:v>-56.315653831902146</c:v>
                </c:pt>
                <c:pt idx="198">
                  <c:v>-56.320501670262438</c:v>
                </c:pt>
                <c:pt idx="199">
                  <c:v>-56.345945695442587</c:v>
                </c:pt>
                <c:pt idx="200">
                  <c:v>-56.317660169595797</c:v>
                </c:pt>
                <c:pt idx="201">
                  <c:v>-56.334114036638304</c:v>
                </c:pt>
                <c:pt idx="202">
                  <c:v>-56.307883604869353</c:v>
                </c:pt>
                <c:pt idx="203">
                  <c:v>-56.318429882600299</c:v>
                </c:pt>
                <c:pt idx="204">
                  <c:v>-56.282243855688904</c:v>
                </c:pt>
                <c:pt idx="205">
                  <c:v>-56.32257158188434</c:v>
                </c:pt>
                <c:pt idx="206">
                  <c:v>-56.31590593571876</c:v>
                </c:pt>
                <c:pt idx="207">
                  <c:v>-56.306223582109233</c:v>
                </c:pt>
                <c:pt idx="208">
                  <c:v>-56.296902944186485</c:v>
                </c:pt>
                <c:pt idx="209">
                  <c:v>-56.313719999048075</c:v>
                </c:pt>
                <c:pt idx="210">
                  <c:v>-56.311353332268069</c:v>
                </c:pt>
                <c:pt idx="211">
                  <c:v>-56.298641439295707</c:v>
                </c:pt>
                <c:pt idx="212">
                  <c:v>-56.298235028802544</c:v>
                </c:pt>
                <c:pt idx="213">
                  <c:v>-56.280578768558911</c:v>
                </c:pt>
                <c:pt idx="214">
                  <c:v>-56.262674693563945</c:v>
                </c:pt>
                <c:pt idx="215">
                  <c:v>-56.27562566255849</c:v>
                </c:pt>
                <c:pt idx="216">
                  <c:v>-56.270829643407147</c:v>
                </c:pt>
                <c:pt idx="217">
                  <c:v>-56.250201762379938</c:v>
                </c:pt>
                <c:pt idx="218">
                  <c:v>-56.2394356690438</c:v>
                </c:pt>
                <c:pt idx="219">
                  <c:v>-56.240420916125707</c:v>
                </c:pt>
                <c:pt idx="220">
                  <c:v>-56.241508907286807</c:v>
                </c:pt>
                <c:pt idx="221">
                  <c:v>-56.194011689625093</c:v>
                </c:pt>
                <c:pt idx="222">
                  <c:v>-56.217093072802683</c:v>
                </c:pt>
                <c:pt idx="223">
                  <c:v>-56.19431591967205</c:v>
                </c:pt>
                <c:pt idx="224">
                  <c:v>-56.150610869294368</c:v>
                </c:pt>
                <c:pt idx="225">
                  <c:v>-56.121979015496443</c:v>
                </c:pt>
                <c:pt idx="226">
                  <c:v>-56.087734458221014</c:v>
                </c:pt>
                <c:pt idx="227">
                  <c:v>-55.940180380232732</c:v>
                </c:pt>
                <c:pt idx="228">
                  <c:v>-56.078647148556342</c:v>
                </c:pt>
                <c:pt idx="229">
                  <c:v>-56.072839394539052</c:v>
                </c:pt>
                <c:pt idx="230">
                  <c:v>-55.952152276785903</c:v>
                </c:pt>
                <c:pt idx="231">
                  <c:v>-55.304516031008113</c:v>
                </c:pt>
                <c:pt idx="232">
                  <c:v>-55.264654440560349</c:v>
                </c:pt>
                <c:pt idx="233">
                  <c:v>-55.294039373036021</c:v>
                </c:pt>
                <c:pt idx="234">
                  <c:v>-55.303107614910019</c:v>
                </c:pt>
                <c:pt idx="235">
                  <c:v>-55.242677665221301</c:v>
                </c:pt>
                <c:pt idx="236">
                  <c:v>-55.248748525680988</c:v>
                </c:pt>
                <c:pt idx="237">
                  <c:v>-55.233940285536306</c:v>
                </c:pt>
                <c:pt idx="238">
                  <c:v>-55.218783454503679</c:v>
                </c:pt>
                <c:pt idx="239">
                  <c:v>-55.242195024833578</c:v>
                </c:pt>
                <c:pt idx="240">
                  <c:v>-55.232343641776552</c:v>
                </c:pt>
                <c:pt idx="241">
                  <c:v>-55.226225045372054</c:v>
                </c:pt>
                <c:pt idx="242">
                  <c:v>-55.259763908911218</c:v>
                </c:pt>
                <c:pt idx="243">
                  <c:v>-55.291349369536256</c:v>
                </c:pt>
                <c:pt idx="244">
                  <c:v>-55.276610625005432</c:v>
                </c:pt>
                <c:pt idx="245">
                  <c:v>-55.250744384421168</c:v>
                </c:pt>
                <c:pt idx="246">
                  <c:v>-55.271497731649092</c:v>
                </c:pt>
                <c:pt idx="247">
                  <c:v>-55.355533599533985</c:v>
                </c:pt>
                <c:pt idx="248">
                  <c:v>-55.398188079391744</c:v>
                </c:pt>
                <c:pt idx="249">
                  <c:v>-55.418433361596719</c:v>
                </c:pt>
                <c:pt idx="250">
                  <c:v>-55.404952039047423</c:v>
                </c:pt>
                <c:pt idx="251">
                  <c:v>-55.397980105268502</c:v>
                </c:pt>
                <c:pt idx="252">
                  <c:v>-55.377131006988336</c:v>
                </c:pt>
                <c:pt idx="253">
                  <c:v>-55.390261564224858</c:v>
                </c:pt>
                <c:pt idx="254">
                  <c:v>-55.350546945280556</c:v>
                </c:pt>
                <c:pt idx="255">
                  <c:v>-55.338642449313895</c:v>
                </c:pt>
                <c:pt idx="256">
                  <c:v>-55.345665070278919</c:v>
                </c:pt>
                <c:pt idx="257">
                  <c:v>-55.337411970725427</c:v>
                </c:pt>
                <c:pt idx="258">
                  <c:v>-55.318585003904992</c:v>
                </c:pt>
                <c:pt idx="259">
                  <c:v>-55.331595184505382</c:v>
                </c:pt>
                <c:pt idx="260">
                  <c:v>-55.339785768376537</c:v>
                </c:pt>
                <c:pt idx="261">
                  <c:v>-55.301502396845819</c:v>
                </c:pt>
                <c:pt idx="262">
                  <c:v>-55.321195621291125</c:v>
                </c:pt>
                <c:pt idx="263">
                  <c:v>-55.278946896612425</c:v>
                </c:pt>
                <c:pt idx="264">
                  <c:v>-55.277316882872739</c:v>
                </c:pt>
                <c:pt idx="265">
                  <c:v>-55.260181227213529</c:v>
                </c:pt>
                <c:pt idx="266">
                  <c:v>-55.248834859551344</c:v>
                </c:pt>
                <c:pt idx="267">
                  <c:v>-55.232001950632906</c:v>
                </c:pt>
                <c:pt idx="268">
                  <c:v>-55.24497198499629</c:v>
                </c:pt>
                <c:pt idx="269">
                  <c:v>-55.215942485083389</c:v>
                </c:pt>
                <c:pt idx="270">
                  <c:v>-55.171991208337268</c:v>
                </c:pt>
                <c:pt idx="271">
                  <c:v>-55.188110479878397</c:v>
                </c:pt>
                <c:pt idx="272">
                  <c:v>-55.162444819563966</c:v>
                </c:pt>
                <c:pt idx="273">
                  <c:v>-55.118771035216128</c:v>
                </c:pt>
                <c:pt idx="274">
                  <c:v>-55.143816621310862</c:v>
                </c:pt>
                <c:pt idx="275">
                  <c:v>-55.091869767361693</c:v>
                </c:pt>
                <c:pt idx="276">
                  <c:v>-55.111316144626763</c:v>
                </c:pt>
                <c:pt idx="277">
                  <c:v>-55.135587084044062</c:v>
                </c:pt>
                <c:pt idx="278">
                  <c:v>-55.123627665989098</c:v>
                </c:pt>
                <c:pt idx="279">
                  <c:v>-55.12088803213976</c:v>
                </c:pt>
                <c:pt idx="280">
                  <c:v>-55.117543530254324</c:v>
                </c:pt>
                <c:pt idx="281">
                  <c:v>-55.079695027755683</c:v>
                </c:pt>
                <c:pt idx="282">
                  <c:v>-55.054958603533393</c:v>
                </c:pt>
                <c:pt idx="283">
                  <c:v>-55.055540455905557</c:v>
                </c:pt>
                <c:pt idx="284">
                  <c:v>-55.056459930727051</c:v>
                </c:pt>
                <c:pt idx="285">
                  <c:v>-55.055133385478413</c:v>
                </c:pt>
                <c:pt idx="286">
                  <c:v>-55.043506065804301</c:v>
                </c:pt>
                <c:pt idx="287">
                  <c:v>-55.031083291764659</c:v>
                </c:pt>
                <c:pt idx="288">
                  <c:v>-55.037632055038287</c:v>
                </c:pt>
                <c:pt idx="289">
                  <c:v>-55.037677240100251</c:v>
                </c:pt>
                <c:pt idx="290">
                  <c:v>-55.033683150509795</c:v>
                </c:pt>
                <c:pt idx="291">
                  <c:v>-55.025958563020772</c:v>
                </c:pt>
                <c:pt idx="292">
                  <c:v>-55.033788645294905</c:v>
                </c:pt>
                <c:pt idx="293">
                  <c:v>-55.020121963432601</c:v>
                </c:pt>
                <c:pt idx="294">
                  <c:v>-55.047632645516892</c:v>
                </c:pt>
                <c:pt idx="295">
                  <c:v>-55.062389608572154</c:v>
                </c:pt>
                <c:pt idx="296">
                  <c:v>-55.039487899557386</c:v>
                </c:pt>
                <c:pt idx="297">
                  <c:v>-55.034661850284017</c:v>
                </c:pt>
                <c:pt idx="298">
                  <c:v>-55.017941834943059</c:v>
                </c:pt>
                <c:pt idx="299">
                  <c:v>-55.036869354115588</c:v>
                </c:pt>
                <c:pt idx="300">
                  <c:v>-55.007162264914477</c:v>
                </c:pt>
                <c:pt idx="301">
                  <c:v>-54.995112804514093</c:v>
                </c:pt>
                <c:pt idx="302">
                  <c:v>-54.967091816298904</c:v>
                </c:pt>
                <c:pt idx="303">
                  <c:v>-54.938757796088893</c:v>
                </c:pt>
                <c:pt idx="304">
                  <c:v>-54.877276972746387</c:v>
                </c:pt>
                <c:pt idx="305">
                  <c:v>-54.883257323454771</c:v>
                </c:pt>
                <c:pt idx="306">
                  <c:v>-54.96162502162624</c:v>
                </c:pt>
                <c:pt idx="307">
                  <c:v>-54.983250393474947</c:v>
                </c:pt>
                <c:pt idx="308">
                  <c:v>-55.003045010293711</c:v>
                </c:pt>
                <c:pt idx="309">
                  <c:v>-54.978479337275772</c:v>
                </c:pt>
                <c:pt idx="310">
                  <c:v>-54.945230161371846</c:v>
                </c:pt>
                <c:pt idx="311">
                  <c:v>-54.910550846131841</c:v>
                </c:pt>
                <c:pt idx="312">
                  <c:v>-54.856021175640272</c:v>
                </c:pt>
                <c:pt idx="313">
                  <c:v>-54.854351449380211</c:v>
                </c:pt>
                <c:pt idx="314">
                  <c:v>-54.852864001313272</c:v>
                </c:pt>
                <c:pt idx="315">
                  <c:v>-54.866762850098496</c:v>
                </c:pt>
                <c:pt idx="316">
                  <c:v>-54.821008892372177</c:v>
                </c:pt>
                <c:pt idx="317">
                  <c:v>-54.818773540092181</c:v>
                </c:pt>
                <c:pt idx="318">
                  <c:v>-54.801000411756043</c:v>
                </c:pt>
                <c:pt idx="319">
                  <c:v>-54.786918878337232</c:v>
                </c:pt>
                <c:pt idx="320">
                  <c:v>-54.741200113833607</c:v>
                </c:pt>
                <c:pt idx="321">
                  <c:v>-54.71767698996004</c:v>
                </c:pt>
                <c:pt idx="322">
                  <c:v>-54.655649541525754</c:v>
                </c:pt>
                <c:pt idx="323">
                  <c:v>-54.777669325845196</c:v>
                </c:pt>
                <c:pt idx="324">
                  <c:v>-54.705471813711739</c:v>
                </c:pt>
                <c:pt idx="325">
                  <c:v>-54.641314099430446</c:v>
                </c:pt>
                <c:pt idx="326">
                  <c:v>-54.733891646190422</c:v>
                </c:pt>
                <c:pt idx="327">
                  <c:v>-54.731194738824996</c:v>
                </c:pt>
                <c:pt idx="328">
                  <c:v>-54.733191415048289</c:v>
                </c:pt>
                <c:pt idx="329">
                  <c:v>-54.71837926187608</c:v>
                </c:pt>
                <c:pt idx="330">
                  <c:v>-54.799362398894985</c:v>
                </c:pt>
                <c:pt idx="331">
                  <c:v>-54.795668864834312</c:v>
                </c:pt>
                <c:pt idx="332">
                  <c:v>-54.77238494889491</c:v>
                </c:pt>
                <c:pt idx="333">
                  <c:v>-54.798326067951166</c:v>
                </c:pt>
                <c:pt idx="334">
                  <c:v>-54.792085683719421</c:v>
                </c:pt>
                <c:pt idx="335">
                  <c:v>-54.784205332708275</c:v>
                </c:pt>
                <c:pt idx="336">
                  <c:v>-54.7786708540836</c:v>
                </c:pt>
                <c:pt idx="337">
                  <c:v>-54.760073019050445</c:v>
                </c:pt>
                <c:pt idx="338">
                  <c:v>-54.764079880111495</c:v>
                </c:pt>
                <c:pt idx="339">
                  <c:v>-54.745773263358259</c:v>
                </c:pt>
                <c:pt idx="340">
                  <c:v>-54.737337110014529</c:v>
                </c:pt>
                <c:pt idx="341">
                  <c:v>-54.69259286702588</c:v>
                </c:pt>
                <c:pt idx="342">
                  <c:v>-54.646023374832765</c:v>
                </c:pt>
                <c:pt idx="343">
                  <c:v>-54.592868910756621</c:v>
                </c:pt>
                <c:pt idx="344">
                  <c:v>-54.549658862733665</c:v>
                </c:pt>
                <c:pt idx="345">
                  <c:v>-54.560625991470587</c:v>
                </c:pt>
                <c:pt idx="346">
                  <c:v>-54.348170035202848</c:v>
                </c:pt>
                <c:pt idx="347">
                  <c:v>-54.418763859061372</c:v>
                </c:pt>
                <c:pt idx="348">
                  <c:v>-54.376549088939576</c:v>
                </c:pt>
                <c:pt idx="349">
                  <c:v>-54.409798316283556</c:v>
                </c:pt>
                <c:pt idx="350">
                  <c:v>-54.406014473132537</c:v>
                </c:pt>
                <c:pt idx="351">
                  <c:v>-54.414633715781193</c:v>
                </c:pt>
                <c:pt idx="352">
                  <c:v>-54.447463320995183</c:v>
                </c:pt>
                <c:pt idx="353">
                  <c:v>-54.465908284738205</c:v>
                </c:pt>
                <c:pt idx="354">
                  <c:v>-54.484470926732875</c:v>
                </c:pt>
                <c:pt idx="355">
                  <c:v>-54.472061422615596</c:v>
                </c:pt>
                <c:pt idx="356">
                  <c:v>-54.456813559973803</c:v>
                </c:pt>
                <c:pt idx="357">
                  <c:v>-54.466540352196091</c:v>
                </c:pt>
                <c:pt idx="358">
                  <c:v>-54.447857655059174</c:v>
                </c:pt>
                <c:pt idx="359">
                  <c:v>-54.398786428150963</c:v>
                </c:pt>
                <c:pt idx="360">
                  <c:v>-54.444021735108592</c:v>
                </c:pt>
                <c:pt idx="361">
                  <c:v>-54.488601554259901</c:v>
                </c:pt>
                <c:pt idx="362">
                  <c:v>-54.458672247632556</c:v>
                </c:pt>
                <c:pt idx="363">
                  <c:v>-54.430872443784885</c:v>
                </c:pt>
                <c:pt idx="364">
                  <c:v>-54.398615491693612</c:v>
                </c:pt>
                <c:pt idx="365">
                  <c:v>-54.337690962393609</c:v>
                </c:pt>
                <c:pt idx="366">
                  <c:v>-54.307731492857037</c:v>
                </c:pt>
                <c:pt idx="367">
                  <c:v>-54.294618064318875</c:v>
                </c:pt>
                <c:pt idx="368">
                  <c:v>-54.218360474118867</c:v>
                </c:pt>
                <c:pt idx="369">
                  <c:v>-54.110285235996159</c:v>
                </c:pt>
                <c:pt idx="370">
                  <c:v>-54.142803307547616</c:v>
                </c:pt>
                <c:pt idx="371">
                  <c:v>-59.895884865021301</c:v>
                </c:pt>
                <c:pt idx="372">
                  <c:v>-66.465527555160861</c:v>
                </c:pt>
                <c:pt idx="373">
                  <c:v>-87.35709726516086</c:v>
                </c:pt>
                <c:pt idx="374">
                  <c:v>37.403193739941329</c:v>
                </c:pt>
                <c:pt idx="375">
                  <c:v>-172.23650415069071</c:v>
                </c:pt>
                <c:pt idx="376">
                  <c:v>-177.2919219517355</c:v>
                </c:pt>
                <c:pt idx="377">
                  <c:v>-179.14481738173549</c:v>
                </c:pt>
                <c:pt idx="378">
                  <c:v>-192.95956936173548</c:v>
                </c:pt>
                <c:pt idx="379">
                  <c:v>-208.34088283373549</c:v>
                </c:pt>
                <c:pt idx="380">
                  <c:v>-201.19970611049226</c:v>
                </c:pt>
                <c:pt idx="381">
                  <c:v>-200.12131430575542</c:v>
                </c:pt>
                <c:pt idx="382">
                  <c:v>-209.63849917956497</c:v>
                </c:pt>
                <c:pt idx="383">
                  <c:v>-211.49659483485914</c:v>
                </c:pt>
                <c:pt idx="384">
                  <c:v>-216.19662719985914</c:v>
                </c:pt>
                <c:pt idx="385">
                  <c:v>-220.27915265585909</c:v>
                </c:pt>
                <c:pt idx="386">
                  <c:v>-220.85526020419243</c:v>
                </c:pt>
                <c:pt idx="387">
                  <c:v>-223.62858869919239</c:v>
                </c:pt>
                <c:pt idx="388">
                  <c:v>-222.74032103119239</c:v>
                </c:pt>
                <c:pt idx="389">
                  <c:v>-220.03587429119239</c:v>
                </c:pt>
                <c:pt idx="390">
                  <c:v>-211.08803707354539</c:v>
                </c:pt>
                <c:pt idx="391">
                  <c:v>-214.11467104778779</c:v>
                </c:pt>
                <c:pt idx="392">
                  <c:v>-226.41327731687869</c:v>
                </c:pt>
                <c:pt idx="393">
                  <c:v>-215.29108492437871</c:v>
                </c:pt>
                <c:pt idx="394">
                  <c:v>-213.39595985849633</c:v>
                </c:pt>
                <c:pt idx="395">
                  <c:v>-215.64336358926556</c:v>
                </c:pt>
                <c:pt idx="396">
                  <c:v>-213.18636457108374</c:v>
                </c:pt>
                <c:pt idx="397">
                  <c:v>-221.45662315108376</c:v>
                </c:pt>
                <c:pt idx="398">
                  <c:v>-214.65209045908375</c:v>
                </c:pt>
                <c:pt idx="399">
                  <c:v>-217.24688581575035</c:v>
                </c:pt>
                <c:pt idx="400">
                  <c:v>-211.01556496075034</c:v>
                </c:pt>
                <c:pt idx="401">
                  <c:v>-212.72571967675037</c:v>
                </c:pt>
                <c:pt idx="402">
                  <c:v>-209.37203894982736</c:v>
                </c:pt>
                <c:pt idx="403">
                  <c:v>-212.93421278316072</c:v>
                </c:pt>
                <c:pt idx="404">
                  <c:v>-204.70090140382737</c:v>
                </c:pt>
                <c:pt idx="405">
                  <c:v>-205.89354301668445</c:v>
                </c:pt>
                <c:pt idx="406">
                  <c:v>-205.89354301668442</c:v>
                </c:pt>
                <c:pt idx="407">
                  <c:v>-201.76228264868442</c:v>
                </c:pt>
                <c:pt idx="408">
                  <c:v>-204.16980600201779</c:v>
                </c:pt>
                <c:pt idx="409">
                  <c:v>-208.41978327401779</c:v>
                </c:pt>
                <c:pt idx="410">
                  <c:v>-206.32651498822833</c:v>
                </c:pt>
                <c:pt idx="411">
                  <c:v>-192.6284469465617</c:v>
                </c:pt>
                <c:pt idx="412">
                  <c:v>-188.89295241881976</c:v>
                </c:pt>
                <c:pt idx="413">
                  <c:v>-196.53898386367689</c:v>
                </c:pt>
                <c:pt idx="414">
                  <c:v>-196.23291714767691</c:v>
                </c:pt>
                <c:pt idx="415">
                  <c:v>-195.38806404910548</c:v>
                </c:pt>
                <c:pt idx="416">
                  <c:v>-199.05348197028198</c:v>
                </c:pt>
                <c:pt idx="417">
                  <c:v>-194.22107067028196</c:v>
                </c:pt>
                <c:pt idx="418">
                  <c:v>-196.29953538028198</c:v>
                </c:pt>
                <c:pt idx="419">
                  <c:v>-198.56599069694866</c:v>
                </c:pt>
                <c:pt idx="420">
                  <c:v>-196.27638268394867</c:v>
                </c:pt>
                <c:pt idx="421">
                  <c:v>-200.05419018865456</c:v>
                </c:pt>
                <c:pt idx="422">
                  <c:v>-198.56656089265459</c:v>
                </c:pt>
                <c:pt idx="423">
                  <c:v>-202.29989411598791</c:v>
                </c:pt>
                <c:pt idx="424">
                  <c:v>-205.13252765313072</c:v>
                </c:pt>
                <c:pt idx="425">
                  <c:v>-200.84336580063072</c:v>
                </c:pt>
                <c:pt idx="426">
                  <c:v>-185.34266653826711</c:v>
                </c:pt>
                <c:pt idx="427">
                  <c:v>-194.66191403729934</c:v>
                </c:pt>
                <c:pt idx="428">
                  <c:v>-196.09754143952159</c:v>
                </c:pt>
                <c:pt idx="429">
                  <c:v>-196.09754143952159</c:v>
                </c:pt>
                <c:pt idx="430">
                  <c:v>-202.291111846929</c:v>
                </c:pt>
                <c:pt idx="431">
                  <c:v>-202.54150026865315</c:v>
                </c:pt>
                <c:pt idx="432">
                  <c:v>-200.6904956141077</c:v>
                </c:pt>
                <c:pt idx="433">
                  <c:v>-203.31650606949233</c:v>
                </c:pt>
                <c:pt idx="434">
                  <c:v>-202.40717172149232</c:v>
                </c:pt>
                <c:pt idx="435">
                  <c:v>-203.44417341649228</c:v>
                </c:pt>
                <c:pt idx="436">
                  <c:v>-201.43622763649225</c:v>
                </c:pt>
                <c:pt idx="437">
                  <c:v>-198.46837507538118</c:v>
                </c:pt>
                <c:pt idx="438">
                  <c:v>-201.03680731538117</c:v>
                </c:pt>
                <c:pt idx="439">
                  <c:v>-197.97840881083567</c:v>
                </c:pt>
                <c:pt idx="440">
                  <c:v>-192.80397400369282</c:v>
                </c:pt>
                <c:pt idx="441">
                  <c:v>-199.12033128702618</c:v>
                </c:pt>
                <c:pt idx="442">
                  <c:v>-191.62160066202617</c:v>
                </c:pt>
                <c:pt idx="443">
                  <c:v>-191.97835984535953</c:v>
                </c:pt>
                <c:pt idx="444">
                  <c:v>-190.99838730695953</c:v>
                </c:pt>
                <c:pt idx="445">
                  <c:v>-189.26417035157493</c:v>
                </c:pt>
                <c:pt idx="446">
                  <c:v>-189.93329024786067</c:v>
                </c:pt>
                <c:pt idx="447">
                  <c:v>-190.9259321747837</c:v>
                </c:pt>
                <c:pt idx="448">
                  <c:v>-189.8966838122837</c:v>
                </c:pt>
                <c:pt idx="449">
                  <c:v>-188.97790217628369</c:v>
                </c:pt>
                <c:pt idx="450">
                  <c:v>-188.77526678878368</c:v>
                </c:pt>
                <c:pt idx="451">
                  <c:v>-188.65825330449795</c:v>
                </c:pt>
                <c:pt idx="452">
                  <c:v>-188.49224876757486</c:v>
                </c:pt>
                <c:pt idx="453">
                  <c:v>-188.86843547186058</c:v>
                </c:pt>
                <c:pt idx="454">
                  <c:v>-188.52043191936059</c:v>
                </c:pt>
                <c:pt idx="455">
                  <c:v>-189.22997996551445</c:v>
                </c:pt>
                <c:pt idx="456">
                  <c:v>-193.15861045484775</c:v>
                </c:pt>
                <c:pt idx="457">
                  <c:v>-192.17621158595887</c:v>
                </c:pt>
                <c:pt idx="458">
                  <c:v>-190.35302422323159</c:v>
                </c:pt>
                <c:pt idx="459">
                  <c:v>-190.10416136000575</c:v>
                </c:pt>
                <c:pt idx="460">
                  <c:v>-186.6887595684268</c:v>
                </c:pt>
                <c:pt idx="461">
                  <c:v>-189.54363010842681</c:v>
                </c:pt>
                <c:pt idx="462">
                  <c:v>-188.17103702053205</c:v>
                </c:pt>
                <c:pt idx="463">
                  <c:v>-187.36455759196065</c:v>
                </c:pt>
                <c:pt idx="464">
                  <c:v>-188.32334430571063</c:v>
                </c:pt>
                <c:pt idx="465">
                  <c:v>-188.67709899321065</c:v>
                </c:pt>
                <c:pt idx="466">
                  <c:v>-186.69420124364547</c:v>
                </c:pt>
                <c:pt idx="467">
                  <c:v>-182.97827843287618</c:v>
                </c:pt>
                <c:pt idx="468">
                  <c:v>-180.71365699859047</c:v>
                </c:pt>
                <c:pt idx="469">
                  <c:v>-179.75588843741403</c:v>
                </c:pt>
                <c:pt idx="470">
                  <c:v>-182.85143072564929</c:v>
                </c:pt>
                <c:pt idx="471">
                  <c:v>-181.81327075564931</c:v>
                </c:pt>
                <c:pt idx="472">
                  <c:v>-180.39249043641854</c:v>
                </c:pt>
                <c:pt idx="473">
                  <c:v>-177.60169481808521</c:v>
                </c:pt>
                <c:pt idx="474">
                  <c:v>-179.32477079993706</c:v>
                </c:pt>
                <c:pt idx="475">
                  <c:v>-178.63185010279417</c:v>
                </c:pt>
                <c:pt idx="476">
                  <c:v>-176.71663359327039</c:v>
                </c:pt>
                <c:pt idx="477">
                  <c:v>-177.20172376604813</c:v>
                </c:pt>
                <c:pt idx="478">
                  <c:v>-174.20991039938144</c:v>
                </c:pt>
                <c:pt idx="479">
                  <c:v>-175.60321886366714</c:v>
                </c:pt>
                <c:pt idx="480">
                  <c:v>-174.68668698116716</c:v>
                </c:pt>
                <c:pt idx="481">
                  <c:v>-172.2634384656499</c:v>
                </c:pt>
                <c:pt idx="482">
                  <c:v>-170.54428095898322</c:v>
                </c:pt>
                <c:pt idx="483">
                  <c:v>-168.72834708898321</c:v>
                </c:pt>
                <c:pt idx="484">
                  <c:v>-166.46880107612608</c:v>
                </c:pt>
                <c:pt idx="485">
                  <c:v>-164.64097678012607</c:v>
                </c:pt>
                <c:pt idx="486">
                  <c:v>-161.81105049786802</c:v>
                </c:pt>
                <c:pt idx="487">
                  <c:v>-157.69787629316212</c:v>
                </c:pt>
                <c:pt idx="488">
                  <c:v>-165.91655030445622</c:v>
                </c:pt>
                <c:pt idx="489">
                  <c:v>-121.91754070445623</c:v>
                </c:pt>
                <c:pt idx="490">
                  <c:v>-128.78433907378209</c:v>
                </c:pt>
                <c:pt idx="491">
                  <c:v>-121.09711643963574</c:v>
                </c:pt>
                <c:pt idx="492">
                  <c:v>-120.21482634096907</c:v>
                </c:pt>
                <c:pt idx="493">
                  <c:v>-123.7076461317854</c:v>
                </c:pt>
                <c:pt idx="494">
                  <c:v>-121.69430158178538</c:v>
                </c:pt>
                <c:pt idx="495">
                  <c:v>-119.52307656024695</c:v>
                </c:pt>
                <c:pt idx="496">
                  <c:v>-121.06874992024692</c:v>
                </c:pt>
                <c:pt idx="497">
                  <c:v>-98.092463669421207</c:v>
                </c:pt>
                <c:pt idx="498">
                  <c:v>-101.65471152370694</c:v>
                </c:pt>
                <c:pt idx="499">
                  <c:v>-98.354420253706934</c:v>
                </c:pt>
                <c:pt idx="500">
                  <c:v>-104.82253995442122</c:v>
                </c:pt>
                <c:pt idx="501">
                  <c:v>-106.67953958336857</c:v>
                </c:pt>
                <c:pt idx="502">
                  <c:v>-102.95807511044174</c:v>
                </c:pt>
                <c:pt idx="503">
                  <c:v>-104.4146598449245</c:v>
                </c:pt>
                <c:pt idx="504">
                  <c:v>-104.95650243465053</c:v>
                </c:pt>
                <c:pt idx="505">
                  <c:v>-113.31003388220154</c:v>
                </c:pt>
                <c:pt idx="506">
                  <c:v>-117.88789395415277</c:v>
                </c:pt>
                <c:pt idx="507">
                  <c:v>-111.92842305542936</c:v>
                </c:pt>
                <c:pt idx="508">
                  <c:v>-111.92842305542938</c:v>
                </c:pt>
                <c:pt idx="509">
                  <c:v>-103.0233223847772</c:v>
                </c:pt>
                <c:pt idx="510">
                  <c:v>-102.87853318303809</c:v>
                </c:pt>
                <c:pt idx="511">
                  <c:v>-95.369855708844554</c:v>
                </c:pt>
                <c:pt idx="512">
                  <c:v>-94.52399248684452</c:v>
                </c:pt>
                <c:pt idx="513">
                  <c:v>-96.673913488568644</c:v>
                </c:pt>
                <c:pt idx="514">
                  <c:v>-99.306853357030164</c:v>
                </c:pt>
                <c:pt idx="515">
                  <c:v>-101.43432254439857</c:v>
                </c:pt>
                <c:pt idx="516">
                  <c:v>-93.550524979086063</c:v>
                </c:pt>
                <c:pt idx="517">
                  <c:v>-99.452941246493467</c:v>
                </c:pt>
                <c:pt idx="518">
                  <c:v>-90.438391863613475</c:v>
                </c:pt>
                <c:pt idx="519">
                  <c:v>-93.759134446738486</c:v>
                </c:pt>
                <c:pt idx="520">
                  <c:v>-90.477297106738476</c:v>
                </c:pt>
                <c:pt idx="521">
                  <c:v>-96.405568499595617</c:v>
                </c:pt>
                <c:pt idx="522">
                  <c:v>-84.643786306868307</c:v>
                </c:pt>
                <c:pt idx="523">
                  <c:v>-83.561003210789877</c:v>
                </c:pt>
                <c:pt idx="524">
                  <c:v>-83.077446443097585</c:v>
                </c:pt>
                <c:pt idx="525">
                  <c:v>-70.587472358269963</c:v>
                </c:pt>
                <c:pt idx="526">
                  <c:v>-75.524578379574308</c:v>
                </c:pt>
                <c:pt idx="527">
                  <c:v>-79.413742679574312</c:v>
                </c:pt>
                <c:pt idx="528">
                  <c:v>-76.155366031240973</c:v>
                </c:pt>
                <c:pt idx="529">
                  <c:v>-86.238369942592342</c:v>
                </c:pt>
                <c:pt idx="530">
                  <c:v>-86.238369942592342</c:v>
                </c:pt>
                <c:pt idx="531">
                  <c:v>-94.734573469651153</c:v>
                </c:pt>
                <c:pt idx="532">
                  <c:v>-82.762395238961474</c:v>
                </c:pt>
                <c:pt idx="533">
                  <c:v>-77.760835057328791</c:v>
                </c:pt>
                <c:pt idx="534">
                  <c:v>-74.899918893505287</c:v>
                </c:pt>
                <c:pt idx="535">
                  <c:v>-89.483932945043733</c:v>
                </c:pt>
                <c:pt idx="536">
                  <c:v>-75.03838969520767</c:v>
                </c:pt>
                <c:pt idx="537">
                  <c:v>-83.216191968541025</c:v>
                </c:pt>
                <c:pt idx="538">
                  <c:v>-85.787592332751558</c:v>
                </c:pt>
                <c:pt idx="539">
                  <c:v>-86.105109704001563</c:v>
                </c:pt>
                <c:pt idx="540">
                  <c:v>-84.616039604001557</c:v>
                </c:pt>
                <c:pt idx="541">
                  <c:v>-84.152160028325895</c:v>
                </c:pt>
                <c:pt idx="542">
                  <c:v>-86.207713887373515</c:v>
                </c:pt>
                <c:pt idx="543">
                  <c:v>-82.449022164949284</c:v>
                </c:pt>
                <c:pt idx="544">
                  <c:v>-83.139703314679025</c:v>
                </c:pt>
                <c:pt idx="545">
                  <c:v>-79.548492292679029</c:v>
                </c:pt>
                <c:pt idx="546">
                  <c:v>-81.600193263071191</c:v>
                </c:pt>
                <c:pt idx="547">
                  <c:v>-82.986957733071193</c:v>
                </c:pt>
                <c:pt idx="548">
                  <c:v>-78.257847733455819</c:v>
                </c:pt>
                <c:pt idx="549">
                  <c:v>-62.202000267248899</c:v>
                </c:pt>
                <c:pt idx="550">
                  <c:v>-71.595472417400401</c:v>
                </c:pt>
                <c:pt idx="551">
                  <c:v>-80.751368228337896</c:v>
                </c:pt>
                <c:pt idx="552">
                  <c:v>-78.236691293990063</c:v>
                </c:pt>
                <c:pt idx="553">
                  <c:v>-80.351394360656712</c:v>
                </c:pt>
                <c:pt idx="554">
                  <c:v>-78.207491599872398</c:v>
                </c:pt>
                <c:pt idx="555">
                  <c:v>-82.790058109872405</c:v>
                </c:pt>
                <c:pt idx="556">
                  <c:v>-84.290397291122403</c:v>
                </c:pt>
                <c:pt idx="557">
                  <c:v>-83.339069271122383</c:v>
                </c:pt>
                <c:pt idx="558">
                  <c:v>-82.165974673503342</c:v>
                </c:pt>
                <c:pt idx="559">
                  <c:v>-84.255668706503343</c:v>
                </c:pt>
                <c:pt idx="560">
                  <c:v>-83.915615878503345</c:v>
                </c:pt>
                <c:pt idx="561">
                  <c:v>-82.406450050856279</c:v>
                </c:pt>
                <c:pt idx="562">
                  <c:v>-80.318755023614898</c:v>
                </c:pt>
                <c:pt idx="563">
                  <c:v>-80.547465070571434</c:v>
                </c:pt>
                <c:pt idx="564">
                  <c:v>-86.137007554738091</c:v>
                </c:pt>
                <c:pt idx="565">
                  <c:v>-81.584115311148338</c:v>
                </c:pt>
                <c:pt idx="566">
                  <c:v>-85.994567571148337</c:v>
                </c:pt>
                <c:pt idx="567">
                  <c:v>-86.387589091148342</c:v>
                </c:pt>
                <c:pt idx="568">
                  <c:v>-87.992013541148339</c:v>
                </c:pt>
                <c:pt idx="569">
                  <c:v>-86.766196741148335</c:v>
                </c:pt>
                <c:pt idx="570">
                  <c:v>-88.51478668971977</c:v>
                </c:pt>
                <c:pt idx="571">
                  <c:v>-89.922447401319772</c:v>
                </c:pt>
                <c:pt idx="572">
                  <c:v>-90.20475068998644</c:v>
                </c:pt>
                <c:pt idx="573">
                  <c:v>-91.641319469986442</c:v>
                </c:pt>
                <c:pt idx="574">
                  <c:v>-91.838487446653119</c:v>
                </c:pt>
                <c:pt idx="575">
                  <c:v>-94.483933216653128</c:v>
                </c:pt>
                <c:pt idx="576">
                  <c:v>-92.66473950665312</c:v>
                </c:pt>
                <c:pt idx="577">
                  <c:v>-90.468078666489177</c:v>
                </c:pt>
                <c:pt idx="578">
                  <c:v>-88.764283035060615</c:v>
                </c:pt>
                <c:pt idx="579">
                  <c:v>-88.469669449797451</c:v>
                </c:pt>
                <c:pt idx="580">
                  <c:v>-87.196124411902744</c:v>
                </c:pt>
                <c:pt idx="581">
                  <c:v>-86.997202069175458</c:v>
                </c:pt>
                <c:pt idx="582">
                  <c:v>-87.730193997508792</c:v>
                </c:pt>
                <c:pt idx="583">
                  <c:v>-80.742824908223071</c:v>
                </c:pt>
                <c:pt idx="584">
                  <c:v>-82.042245361556397</c:v>
                </c:pt>
                <c:pt idx="585">
                  <c:v>-81.304533791556395</c:v>
                </c:pt>
                <c:pt idx="586">
                  <c:v>-83.693895862508796</c:v>
                </c:pt>
                <c:pt idx="587">
                  <c:v>-84.931943067802919</c:v>
                </c:pt>
                <c:pt idx="588">
                  <c:v>-85.100539539621096</c:v>
                </c:pt>
                <c:pt idx="589">
                  <c:v>-86.044747204326967</c:v>
                </c:pt>
                <c:pt idx="590">
                  <c:v>-83.844654214326965</c:v>
                </c:pt>
                <c:pt idx="591">
                  <c:v>-86.22315186766032</c:v>
                </c:pt>
                <c:pt idx="592">
                  <c:v>-87.137586590993649</c:v>
                </c:pt>
                <c:pt idx="593">
                  <c:v>-84.65024050527937</c:v>
                </c:pt>
                <c:pt idx="594">
                  <c:v>-83.749900118612715</c:v>
                </c:pt>
                <c:pt idx="595">
                  <c:v>-82.814322628612715</c:v>
                </c:pt>
                <c:pt idx="596">
                  <c:v>-82.466837953612725</c:v>
                </c:pt>
                <c:pt idx="597">
                  <c:v>-83.591870824381942</c:v>
                </c:pt>
                <c:pt idx="598">
                  <c:v>-82.810093412843472</c:v>
                </c:pt>
                <c:pt idx="599">
                  <c:v>-83.023524856547184</c:v>
                </c:pt>
                <c:pt idx="600">
                  <c:v>-84.348377683747188</c:v>
                </c:pt>
                <c:pt idx="601">
                  <c:v>-83.828765665747213</c:v>
                </c:pt>
                <c:pt idx="602">
                  <c:v>-82.333126638808437</c:v>
                </c:pt>
                <c:pt idx="603">
                  <c:v>-83.769529329717514</c:v>
                </c:pt>
                <c:pt idx="604">
                  <c:v>-75.993662892288924</c:v>
                </c:pt>
                <c:pt idx="605">
                  <c:v>-75.088519036904316</c:v>
                </c:pt>
                <c:pt idx="606">
                  <c:v>-82.025455534623603</c:v>
                </c:pt>
                <c:pt idx="607">
                  <c:v>-84.612197897956918</c:v>
                </c:pt>
                <c:pt idx="608">
                  <c:v>-81.929708893411458</c:v>
                </c:pt>
                <c:pt idx="609">
                  <c:v>-81.683068036352665</c:v>
                </c:pt>
                <c:pt idx="610">
                  <c:v>-89.773658081615807</c:v>
                </c:pt>
                <c:pt idx="611">
                  <c:v>-84.979929872385028</c:v>
                </c:pt>
                <c:pt idx="612">
                  <c:v>-85.832885795461948</c:v>
                </c:pt>
                <c:pt idx="613">
                  <c:v>-88.41660772012861</c:v>
                </c:pt>
                <c:pt idx="614">
                  <c:v>-81.942939973371878</c:v>
                </c:pt>
                <c:pt idx="615">
                  <c:v>-80.877267141371874</c:v>
                </c:pt>
                <c:pt idx="616">
                  <c:v>-75.186372584038537</c:v>
                </c:pt>
                <c:pt idx="617">
                  <c:v>-78.880660368324257</c:v>
                </c:pt>
                <c:pt idx="618">
                  <c:v>-80.043334098324252</c:v>
                </c:pt>
                <c:pt idx="619">
                  <c:v>-83.34093710387981</c:v>
                </c:pt>
                <c:pt idx="620">
                  <c:v>-77.619703994649029</c:v>
                </c:pt>
                <c:pt idx="621">
                  <c:v>-75.32659132464903</c:v>
                </c:pt>
                <c:pt idx="622">
                  <c:v>-79.079310229194448</c:v>
                </c:pt>
                <c:pt idx="623">
                  <c:v>-75.564923639194461</c:v>
                </c:pt>
                <c:pt idx="624">
                  <c:v>-67.406212878777794</c:v>
                </c:pt>
                <c:pt idx="625">
                  <c:v>-66.244113617079677</c:v>
                </c:pt>
                <c:pt idx="626">
                  <c:v>-66.729482573117409</c:v>
                </c:pt>
                <c:pt idx="627">
                  <c:v>-70.856800387823299</c:v>
                </c:pt>
                <c:pt idx="628">
                  <c:v>-77.250555596573392</c:v>
                </c:pt>
                <c:pt idx="629">
                  <c:v>-65.775450352660329</c:v>
                </c:pt>
                <c:pt idx="630">
                  <c:v>-74.766830741549228</c:v>
                </c:pt>
                <c:pt idx="631">
                  <c:v>-66.708070876549201</c:v>
                </c:pt>
                <c:pt idx="632">
                  <c:v>-52.011471794970305</c:v>
                </c:pt>
                <c:pt idx="633">
                  <c:v>-64.813235450970282</c:v>
                </c:pt>
                <c:pt idx="634">
                  <c:v>-69.706806517636849</c:v>
                </c:pt>
                <c:pt idx="635">
                  <c:v>-66.904312639989797</c:v>
                </c:pt>
                <c:pt idx="636">
                  <c:v>-63.758560655507068</c:v>
                </c:pt>
                <c:pt idx="637">
                  <c:v>-64.282684520507075</c:v>
                </c:pt>
                <c:pt idx="638">
                  <c:v>-61.775638825507052</c:v>
                </c:pt>
                <c:pt idx="639">
                  <c:v>-60.880332197507066</c:v>
                </c:pt>
                <c:pt idx="640">
                  <c:v>-57.269209227507069</c:v>
                </c:pt>
                <c:pt idx="641">
                  <c:v>-59.504074967507051</c:v>
                </c:pt>
                <c:pt idx="642">
                  <c:v>-56.717567683321029</c:v>
                </c:pt>
                <c:pt idx="643">
                  <c:v>-57.467002706654348</c:v>
                </c:pt>
                <c:pt idx="644">
                  <c:v>-57.051052603321018</c:v>
                </c:pt>
                <c:pt idx="645">
                  <c:v>-54.669355418321032</c:v>
                </c:pt>
                <c:pt idx="646">
                  <c:v>-52.202065905593749</c:v>
                </c:pt>
                <c:pt idx="647">
                  <c:v>-53.054159092080241</c:v>
                </c:pt>
                <c:pt idx="648">
                  <c:v>-50.45993977526205</c:v>
                </c:pt>
                <c:pt idx="649">
                  <c:v>-51.084894399262055</c:v>
                </c:pt>
                <c:pt idx="650">
                  <c:v>-49.648322489262057</c:v>
                </c:pt>
                <c:pt idx="651">
                  <c:v>-49.173104292203234</c:v>
                </c:pt>
                <c:pt idx="652">
                  <c:v>-50.460652572203244</c:v>
                </c:pt>
                <c:pt idx="653">
                  <c:v>-49.517697222203239</c:v>
                </c:pt>
                <c:pt idx="654">
                  <c:v>-48.87946132470325</c:v>
                </c:pt>
                <c:pt idx="655">
                  <c:v>-46.782376195291477</c:v>
                </c:pt>
                <c:pt idx="656">
                  <c:v>-45.54513955892785</c:v>
                </c:pt>
                <c:pt idx="657">
                  <c:v>-47.131238062677838</c:v>
                </c:pt>
                <c:pt idx="658">
                  <c:v>-45.278816919950565</c:v>
                </c:pt>
                <c:pt idx="659">
                  <c:v>-47.590079357597602</c:v>
                </c:pt>
                <c:pt idx="660">
                  <c:v>-45.986550082597617</c:v>
                </c:pt>
                <c:pt idx="661">
                  <c:v>-44.90929023567454</c:v>
                </c:pt>
                <c:pt idx="662">
                  <c:v>-47.186310164159394</c:v>
                </c:pt>
                <c:pt idx="663">
                  <c:v>-44.435349256467084</c:v>
                </c:pt>
                <c:pt idx="664">
                  <c:v>-45.548989130752801</c:v>
                </c:pt>
                <c:pt idx="665">
                  <c:v>-45.647112140086136</c:v>
                </c:pt>
                <c:pt idx="666">
                  <c:v>-46.778503805641691</c:v>
                </c:pt>
                <c:pt idx="667">
                  <c:v>-45.641964431096234</c:v>
                </c:pt>
                <c:pt idx="668">
                  <c:v>-45.299263688429562</c:v>
                </c:pt>
                <c:pt idx="669">
                  <c:v>-44.151792238429564</c:v>
                </c:pt>
                <c:pt idx="670">
                  <c:v>-45.489558282179566</c:v>
                </c:pt>
                <c:pt idx="671">
                  <c:v>-43.703191365082802</c:v>
                </c:pt>
                <c:pt idx="672">
                  <c:v>-42.872197856790116</c:v>
                </c:pt>
                <c:pt idx="673">
                  <c:v>-44.03672336079012</c:v>
                </c:pt>
                <c:pt idx="674">
                  <c:v>-40.693974503647269</c:v>
                </c:pt>
                <c:pt idx="675">
                  <c:v>-41.989891080919989</c:v>
                </c:pt>
                <c:pt idx="676">
                  <c:v>-35.464106678085344</c:v>
                </c:pt>
                <c:pt idx="677">
                  <c:v>-39.254812301685341</c:v>
                </c:pt>
                <c:pt idx="678">
                  <c:v>-38.869326052399629</c:v>
                </c:pt>
                <c:pt idx="679">
                  <c:v>-39.046851893452256</c:v>
                </c:pt>
                <c:pt idx="680">
                  <c:v>-38.968383848452255</c:v>
                </c:pt>
                <c:pt idx="681">
                  <c:v>-38.396966975118922</c:v>
                </c:pt>
                <c:pt idx="682">
                  <c:v>-36.693418946547496</c:v>
                </c:pt>
                <c:pt idx="683">
                  <c:v>-38.680017985009037</c:v>
                </c:pt>
                <c:pt idx="684">
                  <c:v>-29.279539473997804</c:v>
                </c:pt>
                <c:pt idx="685">
                  <c:v>-28.737388943694764</c:v>
                </c:pt>
                <c:pt idx="686">
                  <c:v>-28.125720749409048</c:v>
                </c:pt>
                <c:pt idx="687">
                  <c:v>-35.533310565009074</c:v>
                </c:pt>
                <c:pt idx="688">
                  <c:v>-31.324216115009069</c:v>
                </c:pt>
                <c:pt idx="689">
                  <c:v>-29.782178601675739</c:v>
                </c:pt>
                <c:pt idx="690">
                  <c:v>-28.152231463055045</c:v>
                </c:pt>
                <c:pt idx="691">
                  <c:v>-29.275652211388387</c:v>
                </c:pt>
                <c:pt idx="692">
                  <c:v>-30.263283011388395</c:v>
                </c:pt>
                <c:pt idx="693">
                  <c:v>-30.169456197388385</c:v>
                </c:pt>
                <c:pt idx="694">
                  <c:v>-31.711035222388393</c:v>
                </c:pt>
                <c:pt idx="695">
                  <c:v>-31.313065282065811</c:v>
                </c:pt>
                <c:pt idx="696">
                  <c:v>-30.403802448907914</c:v>
                </c:pt>
                <c:pt idx="697">
                  <c:v>-29.353286077745128</c:v>
                </c:pt>
                <c:pt idx="698">
                  <c:v>-31.879330143209049</c:v>
                </c:pt>
                <c:pt idx="699">
                  <c:v>-28.48992702194144</c:v>
                </c:pt>
                <c:pt idx="700">
                  <c:v>-27.581527434199497</c:v>
                </c:pt>
                <c:pt idx="701">
                  <c:v>-26.886689025866172</c:v>
                </c:pt>
                <c:pt idx="702">
                  <c:v>-31.492487274866161</c:v>
                </c:pt>
                <c:pt idx="703">
                  <c:v>-33.210075428712322</c:v>
                </c:pt>
                <c:pt idx="704">
                  <c:v>-32.056393322829969</c:v>
                </c:pt>
                <c:pt idx="705">
                  <c:v>-27.006051466163306</c:v>
                </c:pt>
                <c:pt idx="706">
                  <c:v>-12.296396871701763</c:v>
                </c:pt>
                <c:pt idx="707">
                  <c:v>-11.963465132357493</c:v>
                </c:pt>
                <c:pt idx="708">
                  <c:v>-16.826780003325229</c:v>
                </c:pt>
                <c:pt idx="709">
                  <c:v>-17.259901633865766</c:v>
                </c:pt>
                <c:pt idx="710">
                  <c:v>-13.664127021365772</c:v>
                </c:pt>
                <c:pt idx="711">
                  <c:v>-17.308180776295352</c:v>
                </c:pt>
                <c:pt idx="712">
                  <c:v>-15.826340563137453</c:v>
                </c:pt>
                <c:pt idx="713">
                  <c:v>-16.211755891137461</c:v>
                </c:pt>
                <c:pt idx="714">
                  <c:v>-17.348385641137451</c:v>
                </c:pt>
                <c:pt idx="715">
                  <c:v>-15.16336498613745</c:v>
                </c:pt>
                <c:pt idx="716">
                  <c:v>-12.184279529799424</c:v>
                </c:pt>
                <c:pt idx="717">
                  <c:v>-10.574921396585138</c:v>
                </c:pt>
                <c:pt idx="718">
                  <c:v>-13.194516668213044</c:v>
                </c:pt>
                <c:pt idx="719">
                  <c:v>-14.263881474576685</c:v>
                </c:pt>
                <c:pt idx="720">
                  <c:v>-13.399418273413886</c:v>
                </c:pt>
                <c:pt idx="721">
                  <c:v>-10.008130496686613</c:v>
                </c:pt>
                <c:pt idx="722">
                  <c:v>-13.490813856614675</c:v>
                </c:pt>
                <c:pt idx="723">
                  <c:v>-13.490813856614652</c:v>
                </c:pt>
                <c:pt idx="724">
                  <c:v>-13.925814368043222</c:v>
                </c:pt>
                <c:pt idx="725">
                  <c:v>-13.480631866376568</c:v>
                </c:pt>
                <c:pt idx="726">
                  <c:v>-10.967826919709907</c:v>
                </c:pt>
                <c:pt idx="727">
                  <c:v>-8.6118042947099109</c:v>
                </c:pt>
                <c:pt idx="728">
                  <c:v>-7.8475037747099119</c:v>
                </c:pt>
                <c:pt idx="729">
                  <c:v>-9.1025229089956223</c:v>
                </c:pt>
                <c:pt idx="730">
                  <c:v>-8.974034382328961</c:v>
                </c:pt>
                <c:pt idx="731">
                  <c:v>-9.20265417375753</c:v>
                </c:pt>
                <c:pt idx="732">
                  <c:v>-9.3926477037575271</c:v>
                </c:pt>
                <c:pt idx="733">
                  <c:v>-7.2160061300075267</c:v>
                </c:pt>
                <c:pt idx="734">
                  <c:v>-7.3325751852706755</c:v>
                </c:pt>
                <c:pt idx="735">
                  <c:v>-5.4973775052706806</c:v>
                </c:pt>
                <c:pt idx="736">
                  <c:v>-4.2058003186039956</c:v>
                </c:pt>
                <c:pt idx="737">
                  <c:v>-3.8687916046039912</c:v>
                </c:pt>
                <c:pt idx="738">
                  <c:v>-3.080465857622853</c:v>
                </c:pt>
                <c:pt idx="739">
                  <c:v>-2.9993489691613036</c:v>
                </c:pt>
                <c:pt idx="740">
                  <c:v>-3.4869506360034119</c:v>
                </c:pt>
                <c:pt idx="741">
                  <c:v>-5.1647462106700877</c:v>
                </c:pt>
                <c:pt idx="742">
                  <c:v>-5.4801950330700864</c:v>
                </c:pt>
                <c:pt idx="743">
                  <c:v>-4.3576231821609825</c:v>
                </c:pt>
                <c:pt idx="744">
                  <c:v>-6.0334102321609819</c:v>
                </c:pt>
                <c:pt idx="745">
                  <c:v>-5.8581064354943164</c:v>
                </c:pt>
                <c:pt idx="746">
                  <c:v>-8.1803628054943172</c:v>
                </c:pt>
                <c:pt idx="747">
                  <c:v>-6.9694045618579725</c:v>
                </c:pt>
                <c:pt idx="748">
                  <c:v>-4.5631562363740974</c:v>
                </c:pt>
                <c:pt idx="749">
                  <c:v>-1.6814623163741038</c:v>
                </c:pt>
                <c:pt idx="750">
                  <c:v>-0.32212928811322339</c:v>
                </c:pt>
                <c:pt idx="751">
                  <c:v>0.42738713650215959</c:v>
                </c:pt>
                <c:pt idx="752">
                  <c:v>1.0169590619567037</c:v>
                </c:pt>
                <c:pt idx="753">
                  <c:v>-1.7579024209523924</c:v>
                </c:pt>
                <c:pt idx="754">
                  <c:v>-0.48266450666666916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64-4F36-A73F-8509C6303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8391967"/>
        <c:axId val="1968392383"/>
      </c:lineChart>
      <c:dateAx>
        <c:axId val="196839196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392383"/>
        <c:crosses val="autoZero"/>
        <c:auto val="1"/>
        <c:lblOffset val="100"/>
        <c:baseTimeUnit val="days"/>
      </c:dateAx>
      <c:valAx>
        <c:axId val="196839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391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528054-F9BF-4753-9BB7-CF06D22A1B59}">
  <sheetPr/>
  <sheetViews>
    <sheetView zoomScale="8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8919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8DAB09-A046-47AE-B838-D14E0A3799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6.5</v>
      </c>
      <c r="D2" s="4">
        <f>MIN(D3:D1912)</f>
        <v>1.7100000000000001E-4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1.0657000000000001</v>
      </c>
      <c r="C5">
        <v>1.083</v>
      </c>
      <c r="D5">
        <v>1.0501</v>
      </c>
      <c r="E5">
        <v>1.0622</v>
      </c>
      <c r="F5">
        <v>256266</v>
      </c>
      <c r="G5">
        <v>1.0622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-0.26443768996960332</v>
      </c>
      <c r="Q5">
        <f t="shared" ref="Q5" si="1">F5*P5</f>
        <v>-67766.389057750363</v>
      </c>
      <c r="R5">
        <f t="shared" ref="R5" si="2">R6+Q5</f>
        <v>-5924888376.370821</v>
      </c>
      <c r="S5">
        <f t="shared" ref="S5" si="3">R5/100000</f>
        <v>-59248.883763708211</v>
      </c>
      <c r="T5">
        <f t="shared" ref="T5" si="4">S5/1000</f>
        <v>-59.248883763708207</v>
      </c>
    </row>
    <row r="6" spans="1:20" x14ac:dyDescent="0.25">
      <c r="A6" s="5">
        <v>44587</v>
      </c>
      <c r="B6">
        <v>1.0938000000000001</v>
      </c>
      <c r="C6">
        <v>1.2</v>
      </c>
      <c r="D6">
        <v>1.036</v>
      </c>
      <c r="E6">
        <v>1.0703</v>
      </c>
      <c r="F6">
        <v>6311958</v>
      </c>
      <c r="G6">
        <v>1.0703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-0.58170731707317058</v>
      </c>
      <c r="Q6">
        <f t="shared" ref="Q6" si="6">F6*P6</f>
        <v>-3671712.1536585358</v>
      </c>
      <c r="R6">
        <f t="shared" ref="R6" si="7">R7+Q6</f>
        <v>-5924820609.9817629</v>
      </c>
      <c r="S6">
        <f t="shared" ref="S6" si="8">R6/100000</f>
        <v>-59248.206099817631</v>
      </c>
      <c r="T6">
        <f t="shared" ref="T6" si="9">S6/1000</f>
        <v>-59.248206099817629</v>
      </c>
    </row>
    <row r="7" spans="1:20" x14ac:dyDescent="0.25">
      <c r="A7" s="5">
        <v>44586</v>
      </c>
      <c r="B7">
        <v>1.0912999999999999</v>
      </c>
      <c r="C7">
        <v>1.1358999999999999</v>
      </c>
      <c r="D7">
        <v>1.0445</v>
      </c>
      <c r="E7">
        <v>1.093</v>
      </c>
      <c r="F7">
        <v>4846720</v>
      </c>
      <c r="G7">
        <v>1.093</v>
      </c>
      <c r="L7" t="s">
        <v>8</v>
      </c>
      <c r="M7" t="s">
        <v>7</v>
      </c>
      <c r="N7" t="s">
        <v>7</v>
      </c>
      <c r="P7">
        <f t="shared" ref="P7" si="10">IF(C7=D7,0,((E7-D7)-(C7-E7))/(C7-D7))</f>
        <v>6.1269146608315686E-2</v>
      </c>
      <c r="Q7">
        <f t="shared" ref="Q7" si="11">F7*P7</f>
        <v>296954.39824945579</v>
      </c>
      <c r="R7">
        <f t="shared" ref="R7" si="12">R8+Q7</f>
        <v>-5921148897.828104</v>
      </c>
      <c r="S7">
        <f t="shared" ref="S7" si="13">R7/100000</f>
        <v>-59211.488978281042</v>
      </c>
      <c r="T7">
        <f t="shared" ref="T7" si="14">S7/1000</f>
        <v>-59.211488978281039</v>
      </c>
    </row>
    <row r="8" spans="1:20" x14ac:dyDescent="0.25">
      <c r="A8" s="5">
        <v>44585</v>
      </c>
      <c r="B8">
        <v>1.1995</v>
      </c>
      <c r="C8">
        <v>1.2000999999999999</v>
      </c>
      <c r="D8">
        <v>0.98560000000000003</v>
      </c>
      <c r="E8">
        <v>1.0905</v>
      </c>
      <c r="F8">
        <v>7064687</v>
      </c>
      <c r="G8">
        <v>1.0905</v>
      </c>
      <c r="L8" t="s">
        <v>7</v>
      </c>
      <c r="M8" t="s">
        <v>7</v>
      </c>
      <c r="N8" t="s">
        <v>7</v>
      </c>
      <c r="P8">
        <f t="shared" ref="P8" si="15">IF(C8=D8,0,((E8-D8)-(C8-E8))/(C8-D8))</f>
        <v>-2.1911421911421577E-2</v>
      </c>
      <c r="Q8">
        <f t="shared" ref="Q8" si="16">F8*P8</f>
        <v>-154797.33752913517</v>
      </c>
      <c r="R8">
        <f t="shared" ref="R8" si="17">R9+Q8</f>
        <v>-5921445852.2263536</v>
      </c>
      <c r="S8">
        <f t="shared" ref="S8" si="18">R8/100000</f>
        <v>-59214.458522263536</v>
      </c>
      <c r="T8">
        <f t="shared" ref="T8" si="19">S8/1000</f>
        <v>-59.214458522263534</v>
      </c>
    </row>
    <row r="9" spans="1:20" x14ac:dyDescent="0.25">
      <c r="A9" s="5">
        <v>44584</v>
      </c>
      <c r="B9">
        <v>1.1876</v>
      </c>
      <c r="C9">
        <v>1.3332999999999999</v>
      </c>
      <c r="D9">
        <v>1.1000000000000001</v>
      </c>
      <c r="E9">
        <v>1.1994</v>
      </c>
      <c r="F9">
        <v>8335652</v>
      </c>
      <c r="G9">
        <v>1.1994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-0.1478782683240463</v>
      </c>
      <c r="Q9">
        <f t="shared" ref="Q9" si="21">F9*P9</f>
        <v>-1232661.7831118731</v>
      </c>
      <c r="R9">
        <f t="shared" ref="R9" si="22">R10+Q9</f>
        <v>-5921291054.8888245</v>
      </c>
      <c r="S9">
        <f t="shared" ref="S9" si="23">R9/100000</f>
        <v>-59212.910548888241</v>
      </c>
      <c r="T9">
        <f t="shared" ref="T9" si="24">S9/1000</f>
        <v>-59.212910548888239</v>
      </c>
    </row>
    <row r="10" spans="1:20" x14ac:dyDescent="0.25">
      <c r="A10" s="5">
        <v>44583</v>
      </c>
      <c r="B10">
        <v>1.4186000000000001</v>
      </c>
      <c r="C10">
        <v>1.49</v>
      </c>
      <c r="D10">
        <v>1.026</v>
      </c>
      <c r="E10">
        <v>1.1851</v>
      </c>
      <c r="F10">
        <v>7788187</v>
      </c>
      <c r="G10">
        <v>1.1851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-0.31422413793103438</v>
      </c>
      <c r="Q10">
        <f t="shared" ref="Q10" si="26">F10*P10</f>
        <v>-2447236.3461206886</v>
      </c>
      <c r="R10">
        <f t="shared" ref="R10" si="27">R11+Q10</f>
        <v>-5920058393.1057129</v>
      </c>
      <c r="S10">
        <f t="shared" ref="S10" si="28">R10/100000</f>
        <v>-59200.583931057132</v>
      </c>
      <c r="T10">
        <f t="shared" ref="T10" si="29">S10/1000</f>
        <v>-59.200583931057132</v>
      </c>
    </row>
    <row r="11" spans="1:20" x14ac:dyDescent="0.25">
      <c r="A11" s="5">
        <v>44582</v>
      </c>
      <c r="B11">
        <v>1.6091</v>
      </c>
      <c r="C11">
        <v>1.6588000000000001</v>
      </c>
      <c r="D11">
        <v>1.4</v>
      </c>
      <c r="E11">
        <v>1.4180999999999999</v>
      </c>
      <c r="F11">
        <v>9305116</v>
      </c>
      <c r="G11">
        <v>1.4180999999999999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-0.86012364760432769</v>
      </c>
      <c r="Q11">
        <f t="shared" ref="Q11" si="31">F11*P11</f>
        <v>-8003550.3153013913</v>
      </c>
      <c r="R11">
        <f t="shared" ref="R11" si="32">R12+Q11</f>
        <v>-5917611156.7595921</v>
      </c>
      <c r="S11">
        <f t="shared" ref="S11" si="33">R11/100000</f>
        <v>-59176.111567595923</v>
      </c>
      <c r="T11">
        <f t="shared" ref="T11" si="34">S11/1000</f>
        <v>-59.176111567595925</v>
      </c>
    </row>
    <row r="12" spans="1:20" x14ac:dyDescent="0.25">
      <c r="A12" s="5">
        <v>44581</v>
      </c>
      <c r="B12">
        <v>1.5650999999999999</v>
      </c>
      <c r="C12">
        <v>1.8969</v>
      </c>
      <c r="D12">
        <v>1.52</v>
      </c>
      <c r="E12">
        <v>1.6091</v>
      </c>
      <c r="F12">
        <v>21375517</v>
      </c>
      <c r="G12">
        <v>1.6091</v>
      </c>
      <c r="L12" t="s">
        <v>8</v>
      </c>
      <c r="M12" t="s">
        <v>8</v>
      </c>
      <c r="N12" t="s">
        <v>7</v>
      </c>
      <c r="P12">
        <f t="shared" ref="P12" si="35">IF(C12=D12,0,((E12-D12)-(C12-E12))/(C12-D12))</f>
        <v>-0.52719554258424006</v>
      </c>
      <c r="Q12">
        <f t="shared" ref="Q12" si="36">F12*P12</f>
        <v>-11269077.282833647</v>
      </c>
      <c r="R12">
        <f t="shared" ref="R12" si="37">R13+Q12</f>
        <v>-5909607606.4442911</v>
      </c>
      <c r="S12">
        <f t="shared" ref="S12" si="38">R12/100000</f>
        <v>-59096.07606444291</v>
      </c>
      <c r="T12">
        <f t="shared" ref="T12" si="39">S12/1000</f>
        <v>-59.096076064442912</v>
      </c>
    </row>
    <row r="13" spans="1:20" x14ac:dyDescent="0.25">
      <c r="A13" s="5">
        <v>44580</v>
      </c>
      <c r="B13">
        <v>1.5194000000000001</v>
      </c>
      <c r="C13">
        <v>1.75</v>
      </c>
      <c r="D13">
        <v>1.4240999999999999</v>
      </c>
      <c r="E13">
        <v>1.5667</v>
      </c>
      <c r="F13">
        <v>16178970</v>
      </c>
      <c r="G13">
        <v>1.5667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-0.12488493402884304</v>
      </c>
      <c r="Q13">
        <f t="shared" ref="Q13" si="41">F13*P13</f>
        <v>-2020509.6011046306</v>
      </c>
      <c r="R13">
        <f t="shared" ref="R13" si="42">R14+Q13</f>
        <v>-5898338529.1614571</v>
      </c>
      <c r="S13">
        <f t="shared" ref="S13" si="43">R13/100000</f>
        <v>-58983.38529161457</v>
      </c>
      <c r="T13">
        <f t="shared" ref="T13" si="44">S13/1000</f>
        <v>-58.983385291614567</v>
      </c>
    </row>
    <row r="14" spans="1:20" x14ac:dyDescent="0.25">
      <c r="A14" s="5">
        <v>44579</v>
      </c>
      <c r="B14">
        <v>1.5613999999999999</v>
      </c>
      <c r="C14">
        <v>1.5729</v>
      </c>
      <c r="D14">
        <v>1.45</v>
      </c>
      <c r="E14">
        <v>1.5195000000000001</v>
      </c>
      <c r="F14">
        <v>2669484</v>
      </c>
      <c r="G14">
        <v>1.5195000000000001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0.13100081366965194</v>
      </c>
      <c r="Q14">
        <f t="shared" ref="Q14" si="46">F14*P14</f>
        <v>349704.57607811713</v>
      </c>
      <c r="R14">
        <f t="shared" ref="R14" si="47">R15+Q14</f>
        <v>-5896318019.5603523</v>
      </c>
      <c r="S14">
        <f t="shared" ref="S14" si="48">R14/100000</f>
        <v>-58963.18019560352</v>
      </c>
      <c r="T14">
        <f t="shared" ref="T14" si="49">S14/1000</f>
        <v>-58.96318019560352</v>
      </c>
    </row>
    <row r="15" spans="1:20" x14ac:dyDescent="0.25">
      <c r="A15" s="5">
        <v>44578</v>
      </c>
      <c r="B15">
        <v>1.6629</v>
      </c>
      <c r="C15">
        <v>1.6797</v>
      </c>
      <c r="D15">
        <v>1.5355000000000001</v>
      </c>
      <c r="E15">
        <v>1.5586</v>
      </c>
      <c r="F15">
        <v>2690150</v>
      </c>
      <c r="G15">
        <v>1.5586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-0.67961165048543803</v>
      </c>
      <c r="Q15">
        <f t="shared" ref="Q15" si="51">F15*P15</f>
        <v>-1828257.2815534011</v>
      </c>
      <c r="R15">
        <f t="shared" ref="R15" si="52">R16+Q15</f>
        <v>-5896667724.1364307</v>
      </c>
      <c r="S15">
        <f t="shared" ref="S15" si="53">R15/100000</f>
        <v>-58966.677241364305</v>
      </c>
      <c r="T15">
        <f t="shared" ref="T15" si="54">S15/1000</f>
        <v>-58.966677241364302</v>
      </c>
    </row>
    <row r="16" spans="1:20" x14ac:dyDescent="0.25">
      <c r="A16" s="5">
        <v>44577</v>
      </c>
      <c r="B16">
        <v>1.6600999999999999</v>
      </c>
      <c r="C16">
        <v>1.7</v>
      </c>
      <c r="D16">
        <v>1.6392</v>
      </c>
      <c r="E16">
        <v>1.6623000000000001</v>
      </c>
      <c r="F16">
        <v>2417081</v>
      </c>
      <c r="G16">
        <v>1.6623000000000001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-0.24013157894736403</v>
      </c>
      <c r="Q16">
        <f t="shared" ref="Q16" si="56">F16*P16</f>
        <v>-580417.47697367356</v>
      </c>
      <c r="R16">
        <f t="shared" ref="R16" si="57">R17+Q16</f>
        <v>-5894839466.8548775</v>
      </c>
      <c r="S16">
        <f t="shared" ref="S16" si="58">R16/100000</f>
        <v>-58948.394668548775</v>
      </c>
      <c r="T16">
        <f t="shared" ref="T16" si="59">S16/1000</f>
        <v>-58.948394668548772</v>
      </c>
    </row>
    <row r="17" spans="1:20" x14ac:dyDescent="0.25">
      <c r="A17" s="5">
        <v>44576</v>
      </c>
      <c r="B17">
        <v>1.6907000000000001</v>
      </c>
      <c r="C17">
        <v>1.708</v>
      </c>
      <c r="D17">
        <v>1.6348</v>
      </c>
      <c r="E17">
        <v>1.6600999999999999</v>
      </c>
      <c r="F17">
        <v>2662899</v>
      </c>
      <c r="G17">
        <v>1.6600999999999999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-0.30874316939890978</v>
      </c>
      <c r="Q17">
        <f t="shared" ref="Q17" si="61">F17*P17</f>
        <v>-822151.87704918743</v>
      </c>
      <c r="R17">
        <f t="shared" ref="R17" si="62">R18+Q17</f>
        <v>-5894259049.3779039</v>
      </c>
      <c r="S17">
        <f t="shared" ref="S17" si="63">R17/100000</f>
        <v>-58942.59049377904</v>
      </c>
      <c r="T17">
        <f t="shared" ref="T17" si="64">S17/1000</f>
        <v>-58.942590493779043</v>
      </c>
    </row>
    <row r="18" spans="1:20" x14ac:dyDescent="0.25">
      <c r="A18" s="5">
        <v>44575</v>
      </c>
      <c r="B18">
        <v>1.7154</v>
      </c>
      <c r="C18">
        <v>1.7544</v>
      </c>
      <c r="D18">
        <v>1.6359999999999999</v>
      </c>
      <c r="E18">
        <v>1.6907000000000001</v>
      </c>
      <c r="F18">
        <v>3250370</v>
      </c>
      <c r="G18">
        <v>1.6907000000000001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-7.6013513513510725E-2</v>
      </c>
      <c r="Q18">
        <f t="shared" ref="Q18" si="66">F18*P18</f>
        <v>-247072.04391890985</v>
      </c>
      <c r="R18">
        <f t="shared" ref="R18" si="67">R19+Q18</f>
        <v>-5893436897.5008545</v>
      </c>
      <c r="S18">
        <f t="shared" ref="S18" si="68">R18/100000</f>
        <v>-58934.368975008547</v>
      </c>
      <c r="T18">
        <f t="shared" ref="T18" si="69">S18/1000</f>
        <v>-58.934368975008546</v>
      </c>
    </row>
    <row r="19" spans="1:20" x14ac:dyDescent="0.25">
      <c r="A19" s="5">
        <v>44574</v>
      </c>
      <c r="B19">
        <v>1.7848999999999999</v>
      </c>
      <c r="C19">
        <v>1.8113999999999999</v>
      </c>
      <c r="D19">
        <v>1.7</v>
      </c>
      <c r="E19">
        <v>1.7154</v>
      </c>
      <c r="F19">
        <v>3924562</v>
      </c>
      <c r="G19">
        <v>1.7154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-0.72351885098743107</v>
      </c>
      <c r="Q19">
        <f t="shared" ref="Q19" si="71">F19*P19</f>
        <v>-2839494.5888689347</v>
      </c>
      <c r="R19">
        <f t="shared" ref="R19" si="72">R20+Q19</f>
        <v>-5893189825.4569359</v>
      </c>
      <c r="S19">
        <f t="shared" ref="S19" si="73">R19/100000</f>
        <v>-58931.898254569358</v>
      </c>
      <c r="T19">
        <f t="shared" ref="T19" si="74">S19/1000</f>
        <v>-58.931898254569361</v>
      </c>
    </row>
    <row r="20" spans="1:20" x14ac:dyDescent="0.25">
      <c r="A20" s="5">
        <v>44573</v>
      </c>
      <c r="B20">
        <v>1.7004999999999999</v>
      </c>
      <c r="C20">
        <v>1.895</v>
      </c>
      <c r="D20">
        <v>1.6796</v>
      </c>
      <c r="E20">
        <v>1.7848999999999999</v>
      </c>
      <c r="F20">
        <v>4180223</v>
      </c>
      <c r="G20">
        <v>1.7848999999999999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-2.228412256267473E-2</v>
      </c>
      <c r="Q20">
        <f t="shared" ref="Q20" si="76">F20*P20</f>
        <v>-93152.601671311844</v>
      </c>
      <c r="R20">
        <f t="shared" ref="R20" si="77">R21+Q20</f>
        <v>-5890350330.8680668</v>
      </c>
      <c r="S20">
        <f t="shared" ref="S20" si="78">R20/100000</f>
        <v>-58903.503308680665</v>
      </c>
      <c r="T20">
        <f t="shared" ref="T20" si="79">S20/1000</f>
        <v>-58.903503308680662</v>
      </c>
    </row>
    <row r="21" spans="1:20" x14ac:dyDescent="0.25">
      <c r="A21" s="5">
        <v>44572</v>
      </c>
      <c r="B21">
        <v>1.6532</v>
      </c>
      <c r="C21">
        <v>1.7457</v>
      </c>
      <c r="D21">
        <v>1.64</v>
      </c>
      <c r="E21">
        <v>1.6972</v>
      </c>
      <c r="F21">
        <v>3135036</v>
      </c>
      <c r="G21">
        <v>1.6972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8.2308420056765766E-2</v>
      </c>
      <c r="Q21">
        <f t="shared" ref="Q21" si="81">F21*P21</f>
        <v>258039.85998108273</v>
      </c>
      <c r="R21">
        <f t="shared" ref="R21" si="82">R22+Q21</f>
        <v>-5890257178.2663956</v>
      </c>
      <c r="S21">
        <f t="shared" ref="S21" si="83">R21/100000</f>
        <v>-58902.571782663959</v>
      </c>
      <c r="T21">
        <f t="shared" ref="T21" si="84">S21/1000</f>
        <v>-58.902571782663962</v>
      </c>
    </row>
    <row r="22" spans="1:20" x14ac:dyDescent="0.25">
      <c r="A22" s="5">
        <v>44571</v>
      </c>
      <c r="B22">
        <v>1.7437</v>
      </c>
      <c r="C22">
        <v>1.7914000000000001</v>
      </c>
      <c r="D22">
        <v>1.6043000000000001</v>
      </c>
      <c r="E22">
        <v>1.6547000000000001</v>
      </c>
      <c r="F22">
        <v>4050191</v>
      </c>
      <c r="G22">
        <v>1.6547000000000001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-0.46125066809192955</v>
      </c>
      <c r="Q22">
        <f t="shared" ref="Q22" si="86">F22*P22</f>
        <v>-1868153.3046499202</v>
      </c>
      <c r="R22">
        <f t="shared" ref="R22" si="87">R23+Q22</f>
        <v>-5890515218.1263771</v>
      </c>
      <c r="S22">
        <f t="shared" ref="S22" si="88">R22/100000</f>
        <v>-58905.152181263773</v>
      </c>
      <c r="T22">
        <f t="shared" ref="T22" si="89">S22/1000</f>
        <v>-58.905152181263773</v>
      </c>
    </row>
    <row r="23" spans="1:20" x14ac:dyDescent="0.25">
      <c r="A23" s="5">
        <v>44570</v>
      </c>
      <c r="B23">
        <v>1.7088000000000001</v>
      </c>
      <c r="C23">
        <v>1.83</v>
      </c>
      <c r="D23">
        <v>1.6618999999999999</v>
      </c>
      <c r="E23">
        <v>1.7438</v>
      </c>
      <c r="F23">
        <v>4043149</v>
      </c>
      <c r="G23">
        <v>1.7438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-2.5580011897679757E-2</v>
      </c>
      <c r="Q23">
        <f t="shared" ref="Q23" si="91">F23*P23</f>
        <v>-103423.79952409201</v>
      </c>
      <c r="R23">
        <f t="shared" ref="R23" si="92">R24+Q23</f>
        <v>-5888647064.8217268</v>
      </c>
      <c r="S23">
        <f t="shared" ref="S23" si="93">R23/100000</f>
        <v>-58886.47064821727</v>
      </c>
      <c r="T23">
        <f t="shared" ref="T23" si="94">S23/1000</f>
        <v>-58.886470648217269</v>
      </c>
    </row>
    <row r="24" spans="1:20" x14ac:dyDescent="0.25">
      <c r="A24" s="5">
        <v>44569</v>
      </c>
      <c r="B24">
        <v>1.7529999999999999</v>
      </c>
      <c r="C24">
        <v>1.8667</v>
      </c>
      <c r="D24">
        <v>1.56</v>
      </c>
      <c r="E24">
        <v>1.7088000000000001</v>
      </c>
      <c r="F24">
        <v>7388416</v>
      </c>
      <c r="G24">
        <v>1.7088000000000001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-2.9670687968698685E-2</v>
      </c>
      <c r="Q24">
        <f t="shared" ref="Q24" si="96">F24*P24</f>
        <v>-219219.38571894087</v>
      </c>
      <c r="R24">
        <f t="shared" ref="R24" si="97">R25+Q24</f>
        <v>-5888543641.0222025</v>
      </c>
      <c r="S24">
        <f t="shared" ref="S24" si="98">R24/100000</f>
        <v>-58885.436410222028</v>
      </c>
      <c r="T24">
        <f t="shared" ref="T24" si="99">S24/1000</f>
        <v>-58.885436410222027</v>
      </c>
    </row>
    <row r="25" spans="1:20" x14ac:dyDescent="0.25">
      <c r="A25" s="5">
        <v>44568</v>
      </c>
      <c r="B25">
        <v>1.9032</v>
      </c>
      <c r="C25">
        <v>1.9254</v>
      </c>
      <c r="D25">
        <v>1.73</v>
      </c>
      <c r="E25">
        <v>1.7519</v>
      </c>
      <c r="F25">
        <v>5315954</v>
      </c>
      <c r="G25">
        <v>1.7519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-0.77584442169907852</v>
      </c>
      <c r="Q25">
        <f t="shared" ref="Q25" si="101">F25*P25</f>
        <v>-4124353.2569089034</v>
      </c>
      <c r="R25">
        <f t="shared" ref="R25" si="102">R26+Q25</f>
        <v>-5888324421.6364832</v>
      </c>
      <c r="S25">
        <f t="shared" ref="S25" si="103">R25/100000</f>
        <v>-58883.24421636483</v>
      </c>
      <c r="T25">
        <f t="shared" ref="T25" si="104">S25/1000</f>
        <v>-58.88324421636483</v>
      </c>
    </row>
    <row r="26" spans="1:20" x14ac:dyDescent="0.25">
      <c r="A26" s="5">
        <v>44567</v>
      </c>
      <c r="B26">
        <v>1.9452</v>
      </c>
      <c r="C26">
        <v>1.9990000000000001</v>
      </c>
      <c r="D26">
        <v>1.82</v>
      </c>
      <c r="E26">
        <v>1.9053</v>
      </c>
      <c r="F26">
        <v>6025596</v>
      </c>
      <c r="G26">
        <v>1.9053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-4.6927374301676997E-2</v>
      </c>
      <c r="Q26">
        <f t="shared" ref="Q26" si="106">F26*P26</f>
        <v>-282765.39888268773</v>
      </c>
      <c r="R26">
        <f t="shared" ref="R26" si="107">R27+Q26</f>
        <v>-5884200068.3795738</v>
      </c>
      <c r="S26">
        <f t="shared" ref="S26" si="108">R26/100000</f>
        <v>-58842.000683795741</v>
      </c>
      <c r="T26">
        <f t="shared" ref="T26" si="109">S26/1000</f>
        <v>-58.842000683795739</v>
      </c>
    </row>
    <row r="27" spans="1:20" x14ac:dyDescent="0.25">
      <c r="A27" s="5">
        <v>44566</v>
      </c>
      <c r="B27">
        <v>2.1511999999999998</v>
      </c>
      <c r="C27">
        <v>2.2115999999999998</v>
      </c>
      <c r="D27">
        <v>1.8748</v>
      </c>
      <c r="E27">
        <v>1.9457</v>
      </c>
      <c r="F27">
        <v>7320489</v>
      </c>
      <c r="G27">
        <v>1.9457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-0.57897862232779085</v>
      </c>
      <c r="Q27">
        <f t="shared" ref="Q27" si="111">F27*P27</f>
        <v>-4238406.635985747</v>
      </c>
      <c r="R27">
        <f t="shared" ref="R27" si="112">R28+Q27</f>
        <v>-5883917302.980691</v>
      </c>
      <c r="S27">
        <f t="shared" ref="S27" si="113">R27/100000</f>
        <v>-58839.173029806909</v>
      </c>
      <c r="T27">
        <f t="shared" ref="T27" si="114">S27/1000</f>
        <v>-58.839173029806908</v>
      </c>
    </row>
    <row r="28" spans="1:20" x14ac:dyDescent="0.25">
      <c r="A28" s="5">
        <v>44565</v>
      </c>
      <c r="B28">
        <v>2.1821000000000002</v>
      </c>
      <c r="C28">
        <v>2.4</v>
      </c>
      <c r="D28">
        <v>2.1347</v>
      </c>
      <c r="E28">
        <v>2.1484000000000001</v>
      </c>
      <c r="F28">
        <v>13625363</v>
      </c>
      <c r="G28">
        <v>2.1484000000000001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-0.89672069355446626</v>
      </c>
      <c r="Q28">
        <f t="shared" ref="Q28" si="116">F28*P28</f>
        <v>-12218144.959291363</v>
      </c>
      <c r="R28">
        <f t="shared" ref="R28" si="117">R29+Q28</f>
        <v>-5879678896.3447056</v>
      </c>
      <c r="S28">
        <f t="shared" ref="S28" si="118">R28/100000</f>
        <v>-58796.788963447056</v>
      </c>
      <c r="T28">
        <f t="shared" ref="T28" si="119">S28/1000</f>
        <v>-58.796788963447057</v>
      </c>
    </row>
    <row r="29" spans="1:20" x14ac:dyDescent="0.25">
      <c r="A29" s="5">
        <v>44564</v>
      </c>
      <c r="B29">
        <v>2.0727000000000002</v>
      </c>
      <c r="C29">
        <v>2.3069999999999999</v>
      </c>
      <c r="D29">
        <v>2.0133000000000001</v>
      </c>
      <c r="E29">
        <v>2.1808000000000001</v>
      </c>
      <c r="F29">
        <v>11532617</v>
      </c>
      <c r="G29">
        <v>2.1808000000000001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0.1406196799455231</v>
      </c>
      <c r="Q29">
        <f t="shared" ref="Q29" si="121">F29*P29</f>
        <v>1621712.9114742987</v>
      </c>
      <c r="R29">
        <f t="shared" ref="R29" si="122">R30+Q29</f>
        <v>-5867460751.3854141</v>
      </c>
      <c r="S29">
        <f t="shared" ref="S29" si="123">R29/100000</f>
        <v>-58674.607513854142</v>
      </c>
      <c r="T29">
        <f t="shared" ref="T29" si="124">S29/1000</f>
        <v>-58.674607513854141</v>
      </c>
    </row>
    <row r="30" spans="1:20" x14ac:dyDescent="0.25">
      <c r="A30" s="5">
        <v>44563</v>
      </c>
      <c r="B30">
        <v>2.0884</v>
      </c>
      <c r="C30">
        <v>2.1240999999999999</v>
      </c>
      <c r="D30">
        <v>2.0499999999999998</v>
      </c>
      <c r="E30">
        <v>2.0731000000000002</v>
      </c>
      <c r="F30">
        <v>2485652</v>
      </c>
      <c r="G30">
        <v>2.0731000000000002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-0.37651821862347301</v>
      </c>
      <c r="Q30">
        <f t="shared" ref="Q30" si="126">F30*P30</f>
        <v>-935893.26315787295</v>
      </c>
      <c r="R30">
        <f t="shared" ref="R30" si="127">R31+Q30</f>
        <v>-5869082464.2968884</v>
      </c>
      <c r="S30">
        <f t="shared" ref="S30" si="128">R30/100000</f>
        <v>-58690.824642968881</v>
      </c>
      <c r="T30">
        <f t="shared" ref="T30" si="129">S30/1000</f>
        <v>-58.690824642968877</v>
      </c>
    </row>
    <row r="31" spans="1:20" x14ac:dyDescent="0.25">
      <c r="A31" s="5">
        <v>44562</v>
      </c>
      <c r="B31">
        <v>2.0383</v>
      </c>
      <c r="C31">
        <v>2.14</v>
      </c>
      <c r="D31">
        <v>2.0232000000000001</v>
      </c>
      <c r="E31">
        <v>2.0895000000000001</v>
      </c>
      <c r="F31">
        <v>3172986</v>
      </c>
      <c r="G31">
        <v>2.0895000000000001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0.13527397260274002</v>
      </c>
      <c r="Q31">
        <f t="shared" ref="Q31" si="131">F31*P31</f>
        <v>429222.42123287765</v>
      </c>
      <c r="R31">
        <f t="shared" ref="R31" si="132">R32+Q31</f>
        <v>-5868146571.0337305</v>
      </c>
      <c r="S31">
        <f t="shared" ref="S31" si="133">R31/100000</f>
        <v>-58681.465710337303</v>
      </c>
      <c r="T31">
        <f t="shared" ref="T31" si="134">S31/1000</f>
        <v>-58.681465710337299</v>
      </c>
    </row>
    <row r="32" spans="1:20" x14ac:dyDescent="0.25">
      <c r="A32" s="5">
        <v>44561</v>
      </c>
      <c r="B32">
        <v>2.0545</v>
      </c>
      <c r="C32">
        <v>2.1480999999999999</v>
      </c>
      <c r="D32">
        <v>2</v>
      </c>
      <c r="E32">
        <v>2.0383</v>
      </c>
      <c r="F32">
        <v>3929103</v>
      </c>
      <c r="G32">
        <v>2.0383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-0.48278190411883826</v>
      </c>
      <c r="Q32">
        <f t="shared" ref="Q32" si="136">F32*P32</f>
        <v>-1896899.8278190398</v>
      </c>
      <c r="R32">
        <f t="shared" ref="R32" si="137">R33+Q32</f>
        <v>-5868575793.4549637</v>
      </c>
      <c r="S32">
        <f t="shared" ref="S32" si="138">R32/100000</f>
        <v>-58685.757934549634</v>
      </c>
      <c r="T32">
        <f t="shared" ref="T32" si="139">S32/1000</f>
        <v>-58.685757934549635</v>
      </c>
    </row>
    <row r="33" spans="1:20" x14ac:dyDescent="0.25">
      <c r="A33" s="5">
        <v>44560</v>
      </c>
      <c r="B33">
        <v>2.0750000000000002</v>
      </c>
      <c r="C33">
        <v>2.1682000000000001</v>
      </c>
      <c r="D33">
        <v>2</v>
      </c>
      <c r="E33">
        <v>2.0514000000000001</v>
      </c>
      <c r="F33">
        <v>4820292</v>
      </c>
      <c r="G33">
        <v>2.0514000000000001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-0.38882282996432732</v>
      </c>
      <c r="Q33">
        <f t="shared" ref="Q33" si="141">F33*P33</f>
        <v>-1874239.5766944073</v>
      </c>
      <c r="R33">
        <f t="shared" ref="R33" si="142">R34+Q33</f>
        <v>-5866678893.6271448</v>
      </c>
      <c r="S33">
        <f t="shared" ref="S33" si="143">R33/100000</f>
        <v>-58666.788936271449</v>
      </c>
      <c r="T33">
        <f t="shared" ref="T33" si="144">S33/1000</f>
        <v>-58.666788936271452</v>
      </c>
    </row>
    <row r="34" spans="1:20" x14ac:dyDescent="0.25">
      <c r="A34" s="5">
        <v>44559</v>
      </c>
      <c r="B34">
        <v>2.1114000000000002</v>
      </c>
      <c r="C34">
        <v>2.1918000000000002</v>
      </c>
      <c r="D34">
        <v>2.0299999999999998</v>
      </c>
      <c r="E34">
        <v>2.0750000000000002</v>
      </c>
      <c r="F34">
        <v>6321437</v>
      </c>
      <c r="G34">
        <v>2.0750000000000002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-0.44375772558714133</v>
      </c>
      <c r="Q34">
        <f t="shared" ref="Q34" si="146">F34*P34</f>
        <v>-2805186.5055624018</v>
      </c>
      <c r="R34">
        <f t="shared" ref="R34" si="147">R35+Q34</f>
        <v>-5864804654.0504503</v>
      </c>
      <c r="S34">
        <f t="shared" ref="S34" si="148">R34/100000</f>
        <v>-58648.046540504503</v>
      </c>
      <c r="T34">
        <f t="shared" ref="T34" si="149">S34/1000</f>
        <v>-58.648046540504502</v>
      </c>
    </row>
    <row r="35" spans="1:20" x14ac:dyDescent="0.25">
      <c r="A35" s="5">
        <v>44558</v>
      </c>
      <c r="B35">
        <v>2.3910999999999998</v>
      </c>
      <c r="C35">
        <v>2.3957000000000002</v>
      </c>
      <c r="D35">
        <v>2.097</v>
      </c>
      <c r="E35">
        <v>2.1114999999999999</v>
      </c>
      <c r="F35">
        <v>6183195</v>
      </c>
      <c r="G35">
        <v>2.1114999999999999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-0.90291262135922368</v>
      </c>
      <c r="Q35">
        <f t="shared" ref="Q35" si="151">F35*P35</f>
        <v>-5582884.8058252446</v>
      </c>
      <c r="R35">
        <f t="shared" ref="R35" si="152">R36+Q35</f>
        <v>-5861999467.5448875</v>
      </c>
      <c r="S35">
        <f t="shared" ref="S35" si="153">R35/100000</f>
        <v>-58619.994675448877</v>
      </c>
      <c r="T35">
        <f t="shared" ref="T35" si="154">S35/1000</f>
        <v>-58.619994675448879</v>
      </c>
    </row>
    <row r="36" spans="1:20" x14ac:dyDescent="0.25">
      <c r="A36" s="5">
        <v>44557</v>
      </c>
      <c r="B36">
        <v>2.3713000000000002</v>
      </c>
      <c r="C36">
        <v>2.488</v>
      </c>
      <c r="D36">
        <v>2.3199999999999998</v>
      </c>
      <c r="E36">
        <v>2.391</v>
      </c>
      <c r="F36">
        <v>6245383</v>
      </c>
      <c r="G36">
        <v>2.391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-0.15476190476190343</v>
      </c>
      <c r="Q36">
        <f t="shared" ref="Q36" si="156">F36*P36</f>
        <v>-966547.36904761079</v>
      </c>
      <c r="R36">
        <f t="shared" ref="R36" si="157">R37+Q36</f>
        <v>-5856416582.7390623</v>
      </c>
      <c r="S36">
        <f t="shared" ref="S36" si="158">R36/100000</f>
        <v>-58564.165827390621</v>
      </c>
      <c r="T36">
        <f t="shared" ref="T36" si="159">S36/1000</f>
        <v>-58.564165827390624</v>
      </c>
    </row>
    <row r="37" spans="1:20" x14ac:dyDescent="0.25">
      <c r="A37" s="5">
        <v>44556</v>
      </c>
      <c r="B37">
        <v>2.3311000000000002</v>
      </c>
      <c r="C37">
        <v>2.4449999999999998</v>
      </c>
      <c r="D37">
        <v>2.2683</v>
      </c>
      <c r="E37">
        <v>2.3712</v>
      </c>
      <c r="F37">
        <v>5151657</v>
      </c>
      <c r="G37">
        <v>2.3712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0.16468590831918589</v>
      </c>
      <c r="Q37">
        <f t="shared" ref="Q37" si="161">F37*P37</f>
        <v>848405.31239389221</v>
      </c>
      <c r="R37">
        <f t="shared" ref="R37" si="162">R38+Q37</f>
        <v>-5855450035.3700151</v>
      </c>
      <c r="S37">
        <f t="shared" ref="S37" si="163">R37/100000</f>
        <v>-58554.500353700154</v>
      </c>
      <c r="T37">
        <f t="shared" ref="T37" si="164">S37/1000</f>
        <v>-58.554500353700156</v>
      </c>
    </row>
    <row r="38" spans="1:20" x14ac:dyDescent="0.25">
      <c r="A38" s="5">
        <v>44555</v>
      </c>
      <c r="B38">
        <v>2.4148999999999998</v>
      </c>
      <c r="C38">
        <v>2.5499999999999998</v>
      </c>
      <c r="D38">
        <v>2.2414999999999998</v>
      </c>
      <c r="E38">
        <v>2.3311000000000002</v>
      </c>
      <c r="F38">
        <v>8917213</v>
      </c>
      <c r="G38">
        <v>2.3311000000000002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-0.41912479740680486</v>
      </c>
      <c r="Q38">
        <f t="shared" ref="Q38" si="166">F38*P38</f>
        <v>-3737425.0920583266</v>
      </c>
      <c r="R38">
        <f t="shared" ref="R38" si="167">R39+Q38</f>
        <v>-5856298440.6824093</v>
      </c>
      <c r="S38">
        <f t="shared" ref="S38" si="168">R38/100000</f>
        <v>-58562.984406824093</v>
      </c>
      <c r="T38">
        <f t="shared" ref="T38" si="169">S38/1000</f>
        <v>-58.562984406824093</v>
      </c>
    </row>
    <row r="39" spans="1:20" x14ac:dyDescent="0.25">
      <c r="A39" s="5">
        <v>44554</v>
      </c>
      <c r="B39">
        <v>2.5657999999999999</v>
      </c>
      <c r="C39">
        <v>2.6947000000000001</v>
      </c>
      <c r="D39">
        <v>2.3856999999999999</v>
      </c>
      <c r="E39">
        <v>2.4104999999999999</v>
      </c>
      <c r="F39">
        <v>9679661</v>
      </c>
      <c r="G39">
        <v>2.4104999999999999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-0.83948220064724965</v>
      </c>
      <c r="Q39">
        <f t="shared" ref="Q39" si="171">F39*P39</f>
        <v>-8125903.1177993575</v>
      </c>
      <c r="R39">
        <f t="shared" ref="R39" si="172">R40+Q39</f>
        <v>-5852561015.5903511</v>
      </c>
      <c r="S39">
        <f t="shared" ref="S39" si="173">R39/100000</f>
        <v>-58525.610155903509</v>
      </c>
      <c r="T39">
        <f t="shared" ref="T39" si="174">S39/1000</f>
        <v>-58.525610155903507</v>
      </c>
    </row>
    <row r="40" spans="1:20" x14ac:dyDescent="0.25">
      <c r="A40" s="5">
        <v>44553</v>
      </c>
      <c r="B40">
        <v>2.375</v>
      </c>
      <c r="C40">
        <v>2.59</v>
      </c>
      <c r="D40">
        <v>2.2850999999999999</v>
      </c>
      <c r="E40">
        <v>2.5657000000000001</v>
      </c>
      <c r="F40">
        <v>8876148</v>
      </c>
      <c r="G40">
        <v>2.5657000000000001</v>
      </c>
      <c r="L40" t="s">
        <v>7</v>
      </c>
      <c r="M40" t="s">
        <v>7</v>
      </c>
      <c r="N40" t="s">
        <v>8</v>
      </c>
      <c r="P40">
        <f t="shared" ref="P40" si="175">IF(C40=D40,0,((E40-D40)-(C40-E40))/(C40-D40))</f>
        <v>0.84060347654968992</v>
      </c>
      <c r="Q40">
        <f t="shared" ref="Q40" si="176">F40*P40</f>
        <v>7461320.8671695767</v>
      </c>
      <c r="R40">
        <f t="shared" ref="R40" si="177">R41+Q40</f>
        <v>-5844435112.4725513</v>
      </c>
      <c r="S40">
        <f t="shared" ref="S40" si="178">R40/100000</f>
        <v>-58444.351124725516</v>
      </c>
      <c r="T40">
        <f t="shared" ref="T40" si="179">S40/1000</f>
        <v>-58.444351124725515</v>
      </c>
    </row>
    <row r="41" spans="1:20" x14ac:dyDescent="0.25">
      <c r="A41" s="5">
        <v>44552</v>
      </c>
      <c r="B41">
        <v>2.4081000000000001</v>
      </c>
      <c r="C41">
        <v>2.5301</v>
      </c>
      <c r="D41">
        <v>2.3382000000000001</v>
      </c>
      <c r="E41">
        <v>2.375</v>
      </c>
      <c r="F41">
        <v>6229264</v>
      </c>
      <c r="G41">
        <v>2.375</v>
      </c>
      <c r="L41" t="s">
        <v>7</v>
      </c>
      <c r="M41" t="s">
        <v>7</v>
      </c>
      <c r="N41" t="s">
        <v>8</v>
      </c>
      <c r="P41">
        <f t="shared" ref="P41" si="180">IF(C41=D41,0,((E41-D41)-(C41-E41))/(C41-D41))</f>
        <v>-0.61646690984888008</v>
      </c>
      <c r="Q41">
        <f t="shared" ref="Q41" si="181">F41*P41</f>
        <v>-3840135.1287128744</v>
      </c>
      <c r="R41">
        <f t="shared" ref="R41" si="182">R42+Q41</f>
        <v>-5851896433.3397207</v>
      </c>
      <c r="S41">
        <f t="shared" ref="S41" si="183">R41/100000</f>
        <v>-58518.964333397205</v>
      </c>
      <c r="T41">
        <f t="shared" ref="T41" si="184">S41/1000</f>
        <v>-58.518964333397207</v>
      </c>
    </row>
    <row r="42" spans="1:20" x14ac:dyDescent="0.25">
      <c r="A42" s="5">
        <v>44551</v>
      </c>
      <c r="B42">
        <v>2.3601000000000001</v>
      </c>
      <c r="C42">
        <v>2.56</v>
      </c>
      <c r="D42">
        <v>2.35</v>
      </c>
      <c r="E42">
        <v>2.4081999999999999</v>
      </c>
      <c r="F42">
        <v>9333865</v>
      </c>
      <c r="G42">
        <v>2.4081999999999999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-0.44571428571428745</v>
      </c>
      <c r="Q42">
        <f t="shared" ref="Q42" si="186">F42*P42</f>
        <v>-4160236.9714285876</v>
      </c>
      <c r="R42">
        <f t="shared" ref="R42" si="187">R43+Q42</f>
        <v>-5848056298.2110081</v>
      </c>
      <c r="S42">
        <f t="shared" ref="S42" si="188">R42/100000</f>
        <v>-58480.562982110081</v>
      </c>
      <c r="T42">
        <f t="shared" ref="T42" si="189">S42/1000</f>
        <v>-58.480562982110079</v>
      </c>
    </row>
    <row r="43" spans="1:20" x14ac:dyDescent="0.25">
      <c r="A43" s="5">
        <v>44550</v>
      </c>
      <c r="B43">
        <v>2.3580000000000001</v>
      </c>
      <c r="C43">
        <v>2.4068000000000001</v>
      </c>
      <c r="D43">
        <v>2.2109000000000001</v>
      </c>
      <c r="E43">
        <v>2.3603999999999998</v>
      </c>
      <c r="F43">
        <v>8429822</v>
      </c>
      <c r="G43">
        <v>2.3603999999999998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0.52628892291985474</v>
      </c>
      <c r="Q43">
        <f t="shared" ref="Q43" si="191">F43*P43</f>
        <v>4436521.9407860953</v>
      </c>
      <c r="R43">
        <f t="shared" ref="R43" si="192">R44+Q43</f>
        <v>-5843896061.2395792</v>
      </c>
      <c r="S43">
        <f t="shared" ref="S43" si="193">R43/100000</f>
        <v>-58438.960612395793</v>
      </c>
      <c r="T43">
        <f t="shared" ref="T43" si="194">S43/1000</f>
        <v>-58.438960612395796</v>
      </c>
    </row>
    <row r="44" spans="1:20" x14ac:dyDescent="0.25">
      <c r="A44" s="5">
        <v>44549</v>
      </c>
      <c r="B44">
        <v>2.4249999999999998</v>
      </c>
      <c r="C44">
        <v>2.6269</v>
      </c>
      <c r="D44">
        <v>2.3376999999999999</v>
      </c>
      <c r="E44">
        <v>2.3593000000000002</v>
      </c>
      <c r="F44">
        <v>9446237</v>
      </c>
      <c r="G44">
        <v>2.3593000000000002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-0.85062240663900224</v>
      </c>
      <c r="Q44">
        <f t="shared" ref="Q44" si="196">F44*P44</f>
        <v>-8035180.8506223885</v>
      </c>
      <c r="R44">
        <f t="shared" ref="R44" si="197">R45+Q44</f>
        <v>-5848332583.1803656</v>
      </c>
      <c r="S44">
        <f t="shared" ref="S44" si="198">R44/100000</f>
        <v>-58483.325831803653</v>
      </c>
      <c r="T44">
        <f t="shared" ref="T44" si="199">S44/1000</f>
        <v>-58.483325831803654</v>
      </c>
    </row>
    <row r="45" spans="1:20" x14ac:dyDescent="0.25">
      <c r="A45" s="5">
        <v>44548</v>
      </c>
      <c r="B45">
        <v>2.1804000000000001</v>
      </c>
      <c r="C45">
        <v>2.6949999999999998</v>
      </c>
      <c r="D45">
        <v>2.1269</v>
      </c>
      <c r="E45">
        <v>2.4268999999999998</v>
      </c>
      <c r="F45">
        <v>22099598</v>
      </c>
      <c r="G45">
        <v>2.4268999999999998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5.6152085900369346E-2</v>
      </c>
      <c r="Q45">
        <f t="shared" ref="Q45" si="201">F45*P45</f>
        <v>1240938.5252596305</v>
      </c>
      <c r="R45">
        <f t="shared" ref="R45" si="202">R46+Q45</f>
        <v>-5840297402.3297434</v>
      </c>
      <c r="S45">
        <f t="shared" ref="S45" si="203">R45/100000</f>
        <v>-58402.974023297436</v>
      </c>
      <c r="T45">
        <f t="shared" ref="T45" si="204">S45/1000</f>
        <v>-58.402974023297439</v>
      </c>
    </row>
    <row r="46" spans="1:20" x14ac:dyDescent="0.25">
      <c r="A46" s="5">
        <v>44547</v>
      </c>
      <c r="B46">
        <v>2.3477999999999999</v>
      </c>
      <c r="C46">
        <v>2.7359</v>
      </c>
      <c r="D46">
        <v>2.1017000000000001</v>
      </c>
      <c r="E46">
        <v>2.1793</v>
      </c>
      <c r="F46">
        <v>32734721</v>
      </c>
      <c r="G46">
        <v>2.1793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-0.75528224534847077</v>
      </c>
      <c r="Q46">
        <f t="shared" ref="Q46" si="206">F46*P46</f>
        <v>-24723953.577735737</v>
      </c>
      <c r="R46">
        <f t="shared" ref="R46" si="207">R47+Q46</f>
        <v>-5841538340.8550034</v>
      </c>
      <c r="S46">
        <f t="shared" ref="S46" si="208">R46/100000</f>
        <v>-58415.383408550035</v>
      </c>
      <c r="T46">
        <f t="shared" ref="T46" si="209">S46/1000</f>
        <v>-58.415383408550035</v>
      </c>
    </row>
    <row r="47" spans="1:20" x14ac:dyDescent="0.25">
      <c r="A47" s="5">
        <v>44546</v>
      </c>
      <c r="B47">
        <v>1.99</v>
      </c>
      <c r="C47">
        <v>2.7</v>
      </c>
      <c r="D47">
        <v>1.9457</v>
      </c>
      <c r="E47">
        <v>2.3485999999999998</v>
      </c>
      <c r="F47">
        <v>41912711</v>
      </c>
      <c r="G47">
        <v>2.3485999999999998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6.827522206018749E-2</v>
      </c>
      <c r="Q47">
        <f t="shared" ref="Q47" si="211">F47*P47</f>
        <v>2861599.650669463</v>
      </c>
      <c r="R47">
        <f t="shared" ref="R47" si="212">R48+Q47</f>
        <v>-5816814387.2772675</v>
      </c>
      <c r="S47">
        <f t="shared" ref="S47" si="213">R47/100000</f>
        <v>-58168.143872772678</v>
      </c>
      <c r="T47">
        <f t="shared" ref="T47" si="214">S47/1000</f>
        <v>-58.168143872772681</v>
      </c>
    </row>
    <row r="48" spans="1:20" x14ac:dyDescent="0.25">
      <c r="A48" s="5">
        <v>44545</v>
      </c>
      <c r="B48">
        <v>1.9782</v>
      </c>
      <c r="C48">
        <v>2.0499999999999998</v>
      </c>
      <c r="D48">
        <v>1.8030999999999999</v>
      </c>
      <c r="E48">
        <v>1.99</v>
      </c>
      <c r="F48">
        <v>9628765</v>
      </c>
      <c r="G48">
        <v>1.99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0.51397326852977032</v>
      </c>
      <c r="Q48">
        <f t="shared" ref="Q48" si="216">F48*P48</f>
        <v>4948927.8189550536</v>
      </c>
      <c r="R48">
        <f t="shared" ref="R48" si="217">R49+Q48</f>
        <v>-5819675986.9279366</v>
      </c>
      <c r="S48">
        <f t="shared" ref="S48" si="218">R48/100000</f>
        <v>-58196.759869279369</v>
      </c>
      <c r="T48">
        <f t="shared" ref="T48" si="219">S48/1000</f>
        <v>-58.196759869279369</v>
      </c>
    </row>
    <row r="49" spans="1:20" x14ac:dyDescent="0.25">
      <c r="A49" s="5">
        <v>44544</v>
      </c>
      <c r="B49">
        <v>1.9757</v>
      </c>
      <c r="C49">
        <v>2.0874000000000001</v>
      </c>
      <c r="D49">
        <v>1.8203</v>
      </c>
      <c r="E49">
        <v>1.9782</v>
      </c>
      <c r="F49">
        <v>8722224</v>
      </c>
      <c r="G49">
        <v>1.9782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0.18232871583676422</v>
      </c>
      <c r="Q49">
        <f t="shared" ref="Q49" si="221">F49*P49</f>
        <v>1590311.901160605</v>
      </c>
      <c r="R49">
        <f t="shared" ref="R49" si="222">R50+Q49</f>
        <v>-5824624914.746892</v>
      </c>
      <c r="S49">
        <f t="shared" ref="S49" si="223">R49/100000</f>
        <v>-58246.249147468923</v>
      </c>
      <c r="T49">
        <f t="shared" ref="T49" si="224">S49/1000</f>
        <v>-58.246249147468923</v>
      </c>
    </row>
    <row r="50" spans="1:20" x14ac:dyDescent="0.25">
      <c r="A50" s="5">
        <v>44543</v>
      </c>
      <c r="B50">
        <v>2.33</v>
      </c>
      <c r="C50">
        <v>2.3658000000000001</v>
      </c>
      <c r="D50">
        <v>1.9257</v>
      </c>
      <c r="E50">
        <v>1.9756</v>
      </c>
      <c r="F50">
        <v>7658004</v>
      </c>
      <c r="G50">
        <v>1.9756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-0.77323335605544175</v>
      </c>
      <c r="Q50">
        <f t="shared" ref="Q50" si="226">F50*P50</f>
        <v>-5921424.1336059971</v>
      </c>
      <c r="R50">
        <f t="shared" ref="R50" si="227">R51+Q50</f>
        <v>-5826215226.6480522</v>
      </c>
      <c r="S50">
        <f t="shared" ref="S50" si="228">R50/100000</f>
        <v>-58262.152266480523</v>
      </c>
      <c r="T50">
        <f t="shared" ref="T50" si="229">S50/1000</f>
        <v>-58.262152266480527</v>
      </c>
    </row>
    <row r="51" spans="1:20" x14ac:dyDescent="0.25">
      <c r="A51" s="5">
        <v>44542</v>
      </c>
      <c r="B51">
        <v>2.294</v>
      </c>
      <c r="C51">
        <v>2.512</v>
      </c>
      <c r="D51">
        <v>2.2595999999999998</v>
      </c>
      <c r="E51">
        <v>2.3338000000000001</v>
      </c>
      <c r="F51">
        <v>10265848</v>
      </c>
      <c r="G51">
        <v>2.3338000000000001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-0.41204437400950705</v>
      </c>
      <c r="Q51">
        <f t="shared" ref="Q51" si="231">F51*P51</f>
        <v>-4229984.91283675</v>
      </c>
      <c r="R51">
        <f t="shared" ref="R51" si="232">R52+Q51</f>
        <v>-5820293802.5144463</v>
      </c>
      <c r="S51">
        <f t="shared" ref="S51" si="233">R51/100000</f>
        <v>-58202.93802514446</v>
      </c>
      <c r="T51">
        <f t="shared" ref="T51" si="234">S51/1000</f>
        <v>-58.202938025144462</v>
      </c>
    </row>
    <row r="52" spans="1:20" x14ac:dyDescent="0.25">
      <c r="A52" s="5">
        <v>44541</v>
      </c>
      <c r="B52">
        <v>2.1429999999999998</v>
      </c>
      <c r="C52">
        <v>2.1585999999999999</v>
      </c>
      <c r="D52">
        <v>2.1</v>
      </c>
      <c r="E52">
        <v>2.1427</v>
      </c>
      <c r="F52">
        <v>354315</v>
      </c>
      <c r="G52">
        <v>2.1427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0.4573378839590489</v>
      </c>
      <c r="Q52">
        <f t="shared" ref="Q52" si="236">F52*P52</f>
        <v>162041.67235495042</v>
      </c>
      <c r="R52">
        <f t="shared" ref="R52" si="237">R53+Q52</f>
        <v>-5816063817.6016092</v>
      </c>
      <c r="S52">
        <f t="shared" ref="S52" si="238">R52/100000</f>
        <v>-58160.638176016095</v>
      </c>
      <c r="T52">
        <f t="shared" ref="T52" si="239">S52/1000</f>
        <v>-58.160638176016093</v>
      </c>
    </row>
    <row r="53" spans="1:20" x14ac:dyDescent="0.25">
      <c r="A53" s="5">
        <v>44540</v>
      </c>
      <c r="B53">
        <v>2.3149999999999999</v>
      </c>
      <c r="C53">
        <v>2.4243999999999999</v>
      </c>
      <c r="D53">
        <v>2.1252</v>
      </c>
      <c r="E53">
        <v>2.1455000000000002</v>
      </c>
      <c r="F53">
        <v>8821819</v>
      </c>
      <c r="G53">
        <v>2.1455000000000002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-0.86430481283422322</v>
      </c>
      <c r="Q53">
        <f t="shared" ref="Q53" si="241">F53*P53</f>
        <v>-7624740.6196523942</v>
      </c>
      <c r="R53">
        <f t="shared" ref="R53" si="242">R54+Q53</f>
        <v>-5816225859.2739639</v>
      </c>
      <c r="S53">
        <f t="shared" ref="S53" si="243">R53/100000</f>
        <v>-58162.258592739636</v>
      </c>
      <c r="T53">
        <f t="shared" ref="T53" si="244">S53/1000</f>
        <v>-58.162258592739633</v>
      </c>
    </row>
    <row r="54" spans="1:20" x14ac:dyDescent="0.25">
      <c r="A54" s="5">
        <v>44539</v>
      </c>
      <c r="B54">
        <v>2.6549</v>
      </c>
      <c r="C54">
        <v>2.7054</v>
      </c>
      <c r="D54">
        <v>2.294</v>
      </c>
      <c r="E54">
        <v>2.3106</v>
      </c>
      <c r="F54">
        <v>13151698</v>
      </c>
      <c r="G54">
        <v>2.3106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-0.91929995138551313</v>
      </c>
      <c r="Q54">
        <f t="shared" ref="Q54" si="246">F54*P54</f>
        <v>-12090355.33203695</v>
      </c>
      <c r="R54">
        <f t="shared" ref="R54" si="247">R55+Q54</f>
        <v>-5808601118.6543112</v>
      </c>
      <c r="S54">
        <f t="shared" ref="S54" si="248">R54/100000</f>
        <v>-58086.01118654311</v>
      </c>
      <c r="T54">
        <f t="shared" ref="T54" si="249">S54/1000</f>
        <v>-58.086011186543111</v>
      </c>
    </row>
    <row r="55" spans="1:20" x14ac:dyDescent="0.25">
      <c r="A55" s="5">
        <v>44538</v>
      </c>
      <c r="B55">
        <v>2.8565</v>
      </c>
      <c r="C55">
        <v>3.14</v>
      </c>
      <c r="D55">
        <v>2.5186999999999999</v>
      </c>
      <c r="E55">
        <v>2.6516999999999999</v>
      </c>
      <c r="F55">
        <v>37577858</v>
      </c>
      <c r="G55">
        <v>2.6516999999999999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-0.5718654434250765</v>
      </c>
      <c r="Q55">
        <f t="shared" ref="Q55" si="251">F55*P55</f>
        <v>-21489478.428134557</v>
      </c>
      <c r="R55">
        <f t="shared" ref="R55" si="252">R56+Q55</f>
        <v>-5796510763.3222742</v>
      </c>
      <c r="S55">
        <f t="shared" ref="S55" si="253">R55/100000</f>
        <v>-57965.107633222739</v>
      </c>
      <c r="T55">
        <f t="shared" ref="T55" si="254">S55/1000</f>
        <v>-57.965107633222736</v>
      </c>
    </row>
    <row r="56" spans="1:20" x14ac:dyDescent="0.25">
      <c r="A56" s="5">
        <v>44537</v>
      </c>
      <c r="B56">
        <v>2.1821999999999999</v>
      </c>
      <c r="C56">
        <v>3.25</v>
      </c>
      <c r="D56">
        <v>2.1349</v>
      </c>
      <c r="E56">
        <v>2.8553000000000002</v>
      </c>
      <c r="F56">
        <v>58705053</v>
      </c>
      <c r="G56">
        <v>2.8553000000000002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0.29208142767464829</v>
      </c>
      <c r="Q56">
        <f t="shared" ref="Q56" si="256">F56*P56</f>
        <v>17146655.691955894</v>
      </c>
      <c r="R56">
        <f t="shared" ref="R56" si="257">R57+Q56</f>
        <v>-5775021284.8941393</v>
      </c>
      <c r="S56">
        <f t="shared" ref="S56" si="258">R56/100000</f>
        <v>-57750.212848941395</v>
      </c>
      <c r="T56">
        <f t="shared" ref="T56" si="259">S56/1000</f>
        <v>-57.750212848941395</v>
      </c>
    </row>
    <row r="57" spans="1:20" x14ac:dyDescent="0.25">
      <c r="A57" s="5">
        <v>44536</v>
      </c>
      <c r="B57">
        <v>2.1728000000000001</v>
      </c>
      <c r="C57">
        <v>2.4209999999999998</v>
      </c>
      <c r="D57">
        <v>1.7855000000000001</v>
      </c>
      <c r="E57">
        <v>2.1842999999999999</v>
      </c>
      <c r="F57">
        <v>14064545</v>
      </c>
      <c r="G57">
        <v>2.1842999999999999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0.25507474429583005</v>
      </c>
      <c r="Q57">
        <f t="shared" ref="Q57" si="261">F57*P57</f>
        <v>3587510.2195121949</v>
      </c>
      <c r="R57">
        <f t="shared" ref="R57" si="262">R58+Q57</f>
        <v>-5792167940.5860949</v>
      </c>
      <c r="S57">
        <f t="shared" ref="S57" si="263">R57/100000</f>
        <v>-57921.679405860952</v>
      </c>
      <c r="T57">
        <f t="shared" ref="T57" si="264">S57/1000</f>
        <v>-57.921679405860949</v>
      </c>
    </row>
    <row r="58" spans="1:20" x14ac:dyDescent="0.25">
      <c r="A58" s="5">
        <v>44535</v>
      </c>
      <c r="B58">
        <v>2.4003999999999999</v>
      </c>
      <c r="C58">
        <v>2.5659000000000001</v>
      </c>
      <c r="D58">
        <v>2.0653000000000001</v>
      </c>
      <c r="E58">
        <v>2.1728000000000001</v>
      </c>
      <c r="F58">
        <v>9154459</v>
      </c>
      <c r="G58">
        <v>2.1728000000000001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-0.57051538154214965</v>
      </c>
      <c r="Q58">
        <f t="shared" ref="Q58" si="266">F58*P58</f>
        <v>-5222759.6691969661</v>
      </c>
      <c r="R58">
        <f t="shared" ref="R58" si="267">R59+Q58</f>
        <v>-5795755450.8056068</v>
      </c>
      <c r="S58">
        <f t="shared" ref="S58" si="268">R58/100000</f>
        <v>-57957.55450805607</v>
      </c>
      <c r="T58">
        <f t="shared" ref="T58" si="269">S58/1000</f>
        <v>-57.95755450805607</v>
      </c>
    </row>
    <row r="59" spans="1:20" x14ac:dyDescent="0.25">
      <c r="A59" s="5">
        <v>44534</v>
      </c>
      <c r="B59">
        <v>2.7757000000000001</v>
      </c>
      <c r="C59">
        <v>2.8054999999999999</v>
      </c>
      <c r="D59">
        <v>1.8888</v>
      </c>
      <c r="E59">
        <v>2.3996</v>
      </c>
      <c r="F59">
        <v>14640459</v>
      </c>
      <c r="G59">
        <v>2.3996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0.11443220246536491</v>
      </c>
      <c r="Q59">
        <f t="shared" ref="Q59" si="271">F59*P59</f>
        <v>1675339.9684738738</v>
      </c>
      <c r="R59">
        <f t="shared" ref="R59" si="272">R60+Q59</f>
        <v>-5790532691.1364098</v>
      </c>
      <c r="S59">
        <f t="shared" ref="S59" si="273">R59/100000</f>
        <v>-57905.3269113641</v>
      </c>
      <c r="T59">
        <f t="shared" ref="T59" si="274">S59/1000</f>
        <v>-57.905326911364099</v>
      </c>
    </row>
    <row r="60" spans="1:20" x14ac:dyDescent="0.25">
      <c r="A60" s="5">
        <v>44533</v>
      </c>
      <c r="B60">
        <v>3.1991000000000001</v>
      </c>
      <c r="C60">
        <v>3.3231999999999999</v>
      </c>
      <c r="D60">
        <v>2.74</v>
      </c>
      <c r="E60">
        <v>2.7801999999999998</v>
      </c>
      <c r="F60">
        <v>13474487</v>
      </c>
      <c r="G60">
        <v>2.7801999999999998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-0.86213991769547471</v>
      </c>
      <c r="Q60">
        <f t="shared" ref="Q60" si="276">F60*P60</f>
        <v>-11616893.113168744</v>
      </c>
      <c r="R60">
        <f t="shared" ref="R60" si="277">R61+Q60</f>
        <v>-5792208031.1048832</v>
      </c>
      <c r="S60">
        <f t="shared" ref="S60" si="278">R60/100000</f>
        <v>-57922.080311048834</v>
      </c>
      <c r="T60">
        <f t="shared" ref="T60" si="279">S60/1000</f>
        <v>-57.922080311048838</v>
      </c>
    </row>
    <row r="61" spans="1:20" x14ac:dyDescent="0.25">
      <c r="A61" s="5">
        <v>44532</v>
      </c>
      <c r="B61">
        <v>3.2549999999999999</v>
      </c>
      <c r="C61">
        <v>3.87</v>
      </c>
      <c r="D61">
        <v>3.0369000000000002</v>
      </c>
      <c r="E61">
        <v>3.2052999999999998</v>
      </c>
      <c r="F61">
        <v>26785681</v>
      </c>
      <c r="G61">
        <v>3.2052999999999998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-0.59572680350498219</v>
      </c>
      <c r="Q61">
        <f t="shared" ref="Q61" si="281">F61*P61</f>
        <v>-15956948.121834135</v>
      </c>
      <c r="R61">
        <f t="shared" ref="R61" si="282">R62+Q61</f>
        <v>-5780591137.9917145</v>
      </c>
      <c r="S61">
        <f t="shared" ref="S61" si="283">R61/100000</f>
        <v>-57805.911379917146</v>
      </c>
      <c r="T61">
        <f t="shared" ref="T61" si="284">S61/1000</f>
        <v>-57.805911379917148</v>
      </c>
    </row>
    <row r="62" spans="1:20" x14ac:dyDescent="0.25">
      <c r="A62" s="5">
        <v>44531</v>
      </c>
      <c r="B62">
        <v>3.3643000000000001</v>
      </c>
      <c r="C62">
        <v>3.55</v>
      </c>
      <c r="D62">
        <v>3.2035</v>
      </c>
      <c r="E62">
        <v>3.2504</v>
      </c>
      <c r="F62">
        <v>9786755</v>
      </c>
      <c r="G62">
        <v>3.2504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-0.72929292929292944</v>
      </c>
      <c r="Q62">
        <f t="shared" ref="Q62" si="286">F62*P62</f>
        <v>-7137411.2222222239</v>
      </c>
      <c r="R62">
        <f t="shared" ref="R62" si="287">R63+Q62</f>
        <v>-5764634189.8698807</v>
      </c>
      <c r="S62">
        <f t="shared" ref="S62" si="288">R62/100000</f>
        <v>-57646.341898698804</v>
      </c>
      <c r="T62">
        <f t="shared" ref="T62" si="289">S62/1000</f>
        <v>-57.6463418986988</v>
      </c>
    </row>
    <row r="63" spans="1:20" x14ac:dyDescent="0.25">
      <c r="A63" s="5">
        <v>44530</v>
      </c>
      <c r="B63">
        <v>3.7103999999999999</v>
      </c>
      <c r="C63">
        <v>3.74</v>
      </c>
      <c r="D63">
        <v>3.3531</v>
      </c>
      <c r="E63">
        <v>3.3675999999999999</v>
      </c>
      <c r="F63">
        <v>10814304</v>
      </c>
      <c r="G63">
        <v>3.3675999999999999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-0.92504523132592431</v>
      </c>
      <c r="Q63">
        <f t="shared" ref="Q63" si="291">F63*P63</f>
        <v>-10003720.345308868</v>
      </c>
      <c r="R63">
        <f t="shared" ref="R63" si="292">R64+Q63</f>
        <v>-5757496778.6476583</v>
      </c>
      <c r="S63">
        <f t="shared" ref="S63" si="293">R63/100000</f>
        <v>-57574.967786476584</v>
      </c>
      <c r="T63">
        <f t="shared" ref="T63" si="294">S63/1000</f>
        <v>-57.574967786476584</v>
      </c>
    </row>
    <row r="64" spans="1:20" x14ac:dyDescent="0.25">
      <c r="A64" s="5">
        <v>44529</v>
      </c>
      <c r="B64">
        <v>4.0259</v>
      </c>
      <c r="C64">
        <v>4.0990000000000002</v>
      </c>
      <c r="D64">
        <v>3.6475</v>
      </c>
      <c r="E64">
        <v>3.7164999999999999</v>
      </c>
      <c r="F64">
        <v>15282933</v>
      </c>
      <c r="G64">
        <v>3.7164999999999999</v>
      </c>
      <c r="L64" t="s">
        <v>7</v>
      </c>
      <c r="M64" t="s">
        <v>7</v>
      </c>
      <c r="N64" t="s">
        <v>8</v>
      </c>
      <c r="P64">
        <f t="shared" ref="P64" si="295">IF(C64=D64,0,((E64-D64)-(C64-E64))/(C64-D64))</f>
        <v>-0.69435215946843887</v>
      </c>
      <c r="Q64">
        <f t="shared" ref="Q64" si="296">F64*P64</f>
        <v>-10611737.531561466</v>
      </c>
      <c r="R64">
        <f t="shared" ref="R64" si="297">R65+Q64</f>
        <v>-5747493058.3023491</v>
      </c>
      <c r="S64">
        <f t="shared" ref="S64" si="298">R64/100000</f>
        <v>-57474.930583023488</v>
      </c>
      <c r="T64">
        <f t="shared" ref="T64" si="299">S64/1000</f>
        <v>-57.474930583023486</v>
      </c>
    </row>
    <row r="65" spans="1:20" x14ac:dyDescent="0.25">
      <c r="A65" s="5">
        <v>44528</v>
      </c>
      <c r="B65">
        <v>3.407</v>
      </c>
      <c r="C65">
        <v>4.3600000000000003</v>
      </c>
      <c r="D65">
        <v>3.2955999999999999</v>
      </c>
      <c r="E65">
        <v>4.0290999999999997</v>
      </c>
      <c r="F65">
        <v>53100982</v>
      </c>
      <c r="G65">
        <v>4.0290999999999997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0.37824126268320085</v>
      </c>
      <c r="Q65">
        <f t="shared" ref="Q65" si="301">F65*P65</f>
        <v>20084982.481397919</v>
      </c>
      <c r="R65">
        <f t="shared" ref="R65" si="302">R66+Q65</f>
        <v>-5736881320.7707872</v>
      </c>
      <c r="S65">
        <f t="shared" ref="S65" si="303">R65/100000</f>
        <v>-57368.81320770787</v>
      </c>
      <c r="T65">
        <f t="shared" ref="T65" si="304">S65/1000</f>
        <v>-57.368813207707873</v>
      </c>
    </row>
    <row r="66" spans="1:20" x14ac:dyDescent="0.25">
      <c r="A66" s="5">
        <v>44527</v>
      </c>
      <c r="B66">
        <v>3.5065</v>
      </c>
      <c r="C66">
        <v>3.9388000000000001</v>
      </c>
      <c r="D66">
        <v>3.1</v>
      </c>
      <c r="E66">
        <v>3.4060999999999999</v>
      </c>
      <c r="F66">
        <v>19624785</v>
      </c>
      <c r="G66">
        <v>3.4060999999999999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-0.27014783023366756</v>
      </c>
      <c r="Q66">
        <f t="shared" ref="Q66" si="306">F66*P66</f>
        <v>-5301593.086552226</v>
      </c>
      <c r="R66">
        <f t="shared" ref="R66" si="307">R67+Q66</f>
        <v>-5756966303.2521849</v>
      </c>
      <c r="S66">
        <f t="shared" ref="S66" si="308">R66/100000</f>
        <v>-57569.66303252185</v>
      </c>
      <c r="T66">
        <f t="shared" ref="T66" si="309">S66/1000</f>
        <v>-57.569663032521852</v>
      </c>
    </row>
    <row r="67" spans="1:20" x14ac:dyDescent="0.25">
      <c r="A67" s="5">
        <v>44526</v>
      </c>
      <c r="B67">
        <v>4.1420000000000003</v>
      </c>
      <c r="C67">
        <v>4.4989999999999997</v>
      </c>
      <c r="D67">
        <v>3.415</v>
      </c>
      <c r="E67">
        <v>3.5066000000000002</v>
      </c>
      <c r="F67">
        <v>23594611</v>
      </c>
      <c r="G67">
        <v>3.5066000000000002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-0.83099630996309937</v>
      </c>
      <c r="Q67">
        <f t="shared" ref="Q67" si="311">F67*P67</f>
        <v>-19607034.676014755</v>
      </c>
      <c r="R67">
        <f t="shared" ref="R67" si="312">R68+Q67</f>
        <v>-5751664710.1656322</v>
      </c>
      <c r="S67">
        <f t="shared" ref="S67" si="313">R67/100000</f>
        <v>-57516.647101656323</v>
      </c>
      <c r="T67">
        <f t="shared" ref="T67" si="314">S67/1000</f>
        <v>-57.516647101656325</v>
      </c>
    </row>
    <row r="68" spans="1:20" x14ac:dyDescent="0.25">
      <c r="A68" s="5">
        <v>44525</v>
      </c>
      <c r="B68">
        <v>5.3554000000000004</v>
      </c>
      <c r="C68">
        <v>5.3696000000000002</v>
      </c>
      <c r="D68">
        <v>4.0088999999999997</v>
      </c>
      <c r="E68">
        <v>4.1422999999999996</v>
      </c>
      <c r="F68">
        <v>51635411</v>
      </c>
      <c r="G68">
        <v>4.1422999999999996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-0.80392445065040063</v>
      </c>
      <c r="Q68">
        <f t="shared" ref="Q68" si="316">F68*P68</f>
        <v>-41510969.422282651</v>
      </c>
      <c r="R68">
        <f t="shared" ref="R68" si="317">R69+Q68</f>
        <v>-5732057675.4896173</v>
      </c>
      <c r="S68">
        <f t="shared" ref="S68" si="318">R68/100000</f>
        <v>-57320.576754896174</v>
      </c>
      <c r="T68">
        <f t="shared" ref="T68" si="319">S68/1000</f>
        <v>-57.320576754896173</v>
      </c>
    </row>
    <row r="69" spans="1:20" x14ac:dyDescent="0.25">
      <c r="A69" s="5">
        <v>44524</v>
      </c>
      <c r="B69">
        <v>3.0766</v>
      </c>
      <c r="C69">
        <v>5.1767000000000003</v>
      </c>
      <c r="D69">
        <v>2.9996</v>
      </c>
      <c r="E69">
        <v>5.0309999999999997</v>
      </c>
      <c r="F69">
        <v>69420436</v>
      </c>
      <c r="G69">
        <v>5.0309999999999997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0.86615222084424182</v>
      </c>
      <c r="Q69">
        <f t="shared" ref="Q69" si="321">F69*P69</f>
        <v>60128664.813375555</v>
      </c>
      <c r="R69">
        <f t="shared" ref="R69" si="322">R70+Q69</f>
        <v>-5690546706.0673351</v>
      </c>
      <c r="S69">
        <f t="shared" ref="S69" si="323">R69/100000</f>
        <v>-56905.467060673349</v>
      </c>
      <c r="T69">
        <f t="shared" ref="T69" si="324">S69/1000</f>
        <v>-56.905467060673352</v>
      </c>
    </row>
    <row r="70" spans="1:20" x14ac:dyDescent="0.25">
      <c r="A70" s="5">
        <v>44523</v>
      </c>
      <c r="B70">
        <v>2.7784</v>
      </c>
      <c r="C70">
        <v>3.6652</v>
      </c>
      <c r="D70">
        <v>2.6535000000000002</v>
      </c>
      <c r="E70">
        <v>3.0739999999999998</v>
      </c>
      <c r="F70">
        <v>55214986</v>
      </c>
      <c r="G70">
        <v>3.0739999999999998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-0.16872590688939462</v>
      </c>
      <c r="Q70">
        <f t="shared" ref="Q70" si="326">F70*P70</f>
        <v>-9316198.5867352281</v>
      </c>
      <c r="R70">
        <f t="shared" ref="R70" si="327">R71+Q70</f>
        <v>-5750675370.8807106</v>
      </c>
      <c r="S70">
        <f t="shared" ref="S70" si="328">R70/100000</f>
        <v>-57506.753708807104</v>
      </c>
      <c r="T70">
        <f t="shared" ref="T70" si="329">S70/1000</f>
        <v>-57.506753708807103</v>
      </c>
    </row>
    <row r="71" spans="1:20" x14ac:dyDescent="0.25">
      <c r="A71" s="5">
        <v>44522</v>
      </c>
      <c r="B71">
        <v>3.1850999999999998</v>
      </c>
      <c r="C71">
        <v>3.7254999999999998</v>
      </c>
      <c r="D71">
        <v>2.6109</v>
      </c>
      <c r="E71">
        <v>2.782</v>
      </c>
      <c r="F71">
        <v>52067831</v>
      </c>
      <c r="G71">
        <v>2.782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-0.69298403014534349</v>
      </c>
      <c r="Q71">
        <f t="shared" ref="Q71" si="331">F71*P71</f>
        <v>-36082175.36730665</v>
      </c>
      <c r="R71">
        <f t="shared" ref="R71" si="332">R72+Q71</f>
        <v>-5741359172.2939758</v>
      </c>
      <c r="S71">
        <f t="shared" ref="S71" si="333">R71/100000</f>
        <v>-57413.59172293976</v>
      </c>
      <c r="T71">
        <f t="shared" ref="T71" si="334">S71/1000</f>
        <v>-57.413591722939763</v>
      </c>
    </row>
    <row r="72" spans="1:20" x14ac:dyDescent="0.25">
      <c r="A72" s="5">
        <v>44521</v>
      </c>
      <c r="B72">
        <v>4.2648999999999999</v>
      </c>
      <c r="C72">
        <v>5.5724999999999998</v>
      </c>
      <c r="D72">
        <v>3.0657999999999999</v>
      </c>
      <c r="E72">
        <v>3.1861000000000002</v>
      </c>
      <c r="F72">
        <v>146794535</v>
      </c>
      <c r="G72">
        <v>3.1861000000000002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-0.90401723381337995</v>
      </c>
      <c r="Q72">
        <f t="shared" ref="Q72" si="336">F72*P72</f>
        <v>-132704789.46962139</v>
      </c>
      <c r="R72">
        <f t="shared" ref="R72" si="337">R73+Q72</f>
        <v>-5705276996.9266691</v>
      </c>
      <c r="S72">
        <f t="shared" ref="S72" si="338">R72/100000</f>
        <v>-57052.769969266694</v>
      </c>
      <c r="T72">
        <f t="shared" ref="T72" si="339">S72/1000</f>
        <v>-57.052769969266691</v>
      </c>
    </row>
    <row r="73" spans="1:20" x14ac:dyDescent="0.25">
      <c r="A73" s="5">
        <v>44520</v>
      </c>
      <c r="B73">
        <v>1.5662</v>
      </c>
      <c r="C73">
        <v>6.5</v>
      </c>
      <c r="D73">
        <v>1.3804000000000001</v>
      </c>
      <c r="E73">
        <v>4.2699999999999996</v>
      </c>
      <c r="F73">
        <v>479007336.67000002</v>
      </c>
      <c r="G73">
        <v>4.2699999999999996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0.1288381904836314</v>
      </c>
      <c r="Q73">
        <f t="shared" ref="Q73" si="341">F73*P73</f>
        <v>61714438.484946422</v>
      </c>
      <c r="R73">
        <f t="shared" ref="R73" si="342">R74+Q73</f>
        <v>-5572572207.4570475</v>
      </c>
      <c r="S73">
        <f t="shared" ref="S73" si="343">R73/100000</f>
        <v>-55725.722074570476</v>
      </c>
      <c r="T73">
        <f t="shared" ref="T73" si="344">S73/1000</f>
        <v>-55.725722074570477</v>
      </c>
    </row>
    <row r="74" spans="1:20" x14ac:dyDescent="0.25">
      <c r="A74" s="5">
        <v>44519</v>
      </c>
      <c r="B74">
        <v>0.69599999999999995</v>
      </c>
      <c r="C74">
        <v>1.95</v>
      </c>
      <c r="D74">
        <v>0.67500000000000004</v>
      </c>
      <c r="E74">
        <v>1.5693999999999999</v>
      </c>
      <c r="F74">
        <v>182992468.34</v>
      </c>
      <c r="G74">
        <v>1.5693999999999999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0.4029803921568626</v>
      </c>
      <c r="Q74">
        <f t="shared" ref="Q74" si="346">F74*P74</f>
        <v>73742376.653405458</v>
      </c>
      <c r="R74">
        <f t="shared" ref="R74" si="347">R75+Q74</f>
        <v>-5634286645.9419937</v>
      </c>
      <c r="S74">
        <f t="shared" ref="S74" si="348">R74/100000</f>
        <v>-56342.866459419936</v>
      </c>
      <c r="T74">
        <f t="shared" ref="T74" si="349">S74/1000</f>
        <v>-56.342866459419938</v>
      </c>
    </row>
    <row r="75" spans="1:20" x14ac:dyDescent="0.25">
      <c r="A75" s="5">
        <v>44518</v>
      </c>
      <c r="B75">
        <v>0.754</v>
      </c>
      <c r="C75">
        <v>0.76329999999999998</v>
      </c>
      <c r="D75">
        <v>0.66990000000000005</v>
      </c>
      <c r="E75">
        <v>0.69530000000000003</v>
      </c>
      <c r="F75">
        <v>2869575</v>
      </c>
      <c r="G75">
        <v>0.69530000000000003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-0.45610278372591012</v>
      </c>
      <c r="Q75">
        <f t="shared" ref="Q75" si="351">F75*P75</f>
        <v>-1308821.1456102785</v>
      </c>
      <c r="R75">
        <f t="shared" ref="R75" si="352">R76+Q75</f>
        <v>-5708029022.5953989</v>
      </c>
      <c r="S75">
        <f t="shared" ref="S75" si="353">R75/100000</f>
        <v>-57080.290225953991</v>
      </c>
      <c r="T75">
        <f t="shared" ref="T75" si="354">S75/1000</f>
        <v>-57.080290225953995</v>
      </c>
    </row>
    <row r="76" spans="1:20" x14ac:dyDescent="0.25">
      <c r="A76" s="5">
        <v>44517</v>
      </c>
      <c r="B76">
        <v>0.71340000000000003</v>
      </c>
      <c r="C76">
        <v>0.77</v>
      </c>
      <c r="D76">
        <v>0.68889999999999996</v>
      </c>
      <c r="E76">
        <v>0.755</v>
      </c>
      <c r="F76">
        <v>5771506</v>
      </c>
      <c r="G76">
        <v>0.755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0.6300863131935881</v>
      </c>
      <c r="Q76">
        <f t="shared" ref="Q76" si="356">F76*P76</f>
        <v>3636546.9371146727</v>
      </c>
      <c r="R76">
        <f t="shared" ref="R76" si="357">R77+Q76</f>
        <v>-5706720201.449789</v>
      </c>
      <c r="S76">
        <f t="shared" ref="S76" si="358">R76/100000</f>
        <v>-57067.202014497889</v>
      </c>
      <c r="T76">
        <f t="shared" ref="T76" si="359">S76/1000</f>
        <v>-57.067202014497887</v>
      </c>
    </row>
    <row r="77" spans="1:20" x14ac:dyDescent="0.25">
      <c r="A77" s="5">
        <v>44516</v>
      </c>
      <c r="B77">
        <v>0.78210000000000002</v>
      </c>
      <c r="C77">
        <v>0.79330000000000001</v>
      </c>
      <c r="D77">
        <v>0.70050000000000001</v>
      </c>
      <c r="E77">
        <v>0.71340000000000003</v>
      </c>
      <c r="F77">
        <v>2976739</v>
      </c>
      <c r="G77">
        <v>0.71340000000000003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-0.72198275862068917</v>
      </c>
      <c r="Q77">
        <f t="shared" ref="Q77" si="361">F77*P77</f>
        <v>-2149154.2349137915</v>
      </c>
      <c r="R77">
        <f t="shared" ref="R77" si="362">R78+Q77</f>
        <v>-5710356748.3869038</v>
      </c>
      <c r="S77">
        <f t="shared" ref="S77" si="363">R77/100000</f>
        <v>-57103.567483869039</v>
      </c>
      <c r="T77">
        <f t="shared" ref="T77" si="364">S77/1000</f>
        <v>-57.103567483869043</v>
      </c>
    </row>
    <row r="78" spans="1:20" x14ac:dyDescent="0.25">
      <c r="A78" s="5">
        <v>44515</v>
      </c>
      <c r="B78">
        <v>0.81279999999999997</v>
      </c>
      <c r="C78">
        <v>0.83530000000000004</v>
      </c>
      <c r="D78">
        <v>0.77300000000000002</v>
      </c>
      <c r="E78">
        <v>0.78210000000000002</v>
      </c>
      <c r="F78">
        <v>4055138</v>
      </c>
      <c r="G78">
        <v>0.78210000000000002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-0.70786516853932602</v>
      </c>
      <c r="Q78">
        <f t="shared" ref="Q78" si="366">F78*P78</f>
        <v>-2870490.9438202255</v>
      </c>
      <c r="R78">
        <f t="shared" ref="R78" si="367">R79+Q78</f>
        <v>-5708207594.1519899</v>
      </c>
      <c r="S78">
        <f t="shared" ref="S78" si="368">R78/100000</f>
        <v>-57082.075941519899</v>
      </c>
      <c r="T78">
        <f t="shared" ref="T78" si="369">S78/1000</f>
        <v>-57.082075941519896</v>
      </c>
    </row>
    <row r="79" spans="1:20" x14ac:dyDescent="0.25">
      <c r="A79" s="5">
        <v>44514</v>
      </c>
      <c r="B79">
        <v>0.83320000000000005</v>
      </c>
      <c r="C79">
        <v>0.84609999999999996</v>
      </c>
      <c r="D79">
        <v>0.79259999999999997</v>
      </c>
      <c r="E79">
        <v>0.81259999999999999</v>
      </c>
      <c r="F79">
        <v>3780596</v>
      </c>
      <c r="G79">
        <v>0.81259999999999999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-0.25233644859813009</v>
      </c>
      <c r="Q79">
        <f t="shared" ref="Q79" si="371">F79*P79</f>
        <v>-953982.16822429618</v>
      </c>
      <c r="R79">
        <f t="shared" ref="R79" si="372">R80+Q79</f>
        <v>-5705337103.2081699</v>
      </c>
      <c r="S79">
        <f t="shared" ref="S79" si="373">R79/100000</f>
        <v>-57053.371032081697</v>
      </c>
      <c r="T79">
        <f t="shared" ref="T79" si="374">S79/1000</f>
        <v>-57.053371032081699</v>
      </c>
    </row>
    <row r="80" spans="1:20" x14ac:dyDescent="0.25">
      <c r="A80" s="5">
        <v>44513</v>
      </c>
      <c r="B80">
        <v>0.78969999999999996</v>
      </c>
      <c r="C80">
        <v>0.85</v>
      </c>
      <c r="D80">
        <v>0.77839999999999998</v>
      </c>
      <c r="E80">
        <v>0.83199999999999996</v>
      </c>
      <c r="F80">
        <v>5992833</v>
      </c>
      <c r="G80">
        <v>0.83199999999999996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0.49720670391061406</v>
      </c>
      <c r="Q80">
        <f t="shared" ref="Q80" si="376">F80*P80</f>
        <v>2979676.7430167571</v>
      </c>
      <c r="R80">
        <f t="shared" ref="R80" si="377">R81+Q80</f>
        <v>-5704383121.0399456</v>
      </c>
      <c r="S80">
        <f t="shared" ref="S80" si="378">R80/100000</f>
        <v>-57043.831210399454</v>
      </c>
      <c r="T80">
        <f t="shared" ref="T80" si="379">S80/1000</f>
        <v>-57.043831210399453</v>
      </c>
    </row>
    <row r="81" spans="1:20" x14ac:dyDescent="0.25">
      <c r="A81" s="5">
        <v>44512</v>
      </c>
      <c r="B81">
        <v>0.80230000000000001</v>
      </c>
      <c r="C81">
        <v>0.80310000000000004</v>
      </c>
      <c r="D81">
        <v>0.755</v>
      </c>
      <c r="E81">
        <v>0.78969999999999996</v>
      </c>
      <c r="F81">
        <v>3550321</v>
      </c>
      <c r="G81">
        <v>0.78969999999999996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0.44282744282743991</v>
      </c>
      <c r="Q81">
        <f t="shared" ref="Q81" si="381">F81*P81</f>
        <v>1572179.5696465592</v>
      </c>
      <c r="R81">
        <f t="shared" ref="R81" si="382">R82+Q81</f>
        <v>-5707362797.7829628</v>
      </c>
      <c r="S81">
        <f t="shared" ref="S81" si="383">R81/100000</f>
        <v>-57073.62797782963</v>
      </c>
      <c r="T81">
        <f t="shared" ref="T81" si="384">S81/1000</f>
        <v>-57.073627977829631</v>
      </c>
    </row>
    <row r="82" spans="1:20" x14ac:dyDescent="0.25">
      <c r="A82" s="5">
        <v>44511</v>
      </c>
      <c r="B82">
        <v>0.79630000000000001</v>
      </c>
      <c r="C82">
        <v>0.88</v>
      </c>
      <c r="D82">
        <v>0.79569999999999996</v>
      </c>
      <c r="E82">
        <v>0.80210000000000004</v>
      </c>
      <c r="F82">
        <v>7965250</v>
      </c>
      <c r="G82">
        <v>0.80210000000000004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-0.84816132858837323</v>
      </c>
      <c r="Q82">
        <f t="shared" ref="Q82" si="386">F82*P82</f>
        <v>-6755817.02253854</v>
      </c>
      <c r="R82">
        <f t="shared" ref="R82" si="387">R83+Q82</f>
        <v>-5708934977.3526096</v>
      </c>
      <c r="S82">
        <f t="shared" ref="S82" si="388">R82/100000</f>
        <v>-57089.349773526097</v>
      </c>
      <c r="T82">
        <f t="shared" ref="T82" si="389">S82/1000</f>
        <v>-57.089349773526095</v>
      </c>
    </row>
    <row r="83" spans="1:20" x14ac:dyDescent="0.25">
      <c r="A83" s="5">
        <v>44510</v>
      </c>
      <c r="B83">
        <v>0.76160000000000005</v>
      </c>
      <c r="C83">
        <v>0.9</v>
      </c>
      <c r="D83">
        <v>0.75</v>
      </c>
      <c r="E83">
        <v>0.79569999999999996</v>
      </c>
      <c r="F83">
        <v>9431347</v>
      </c>
      <c r="G83">
        <v>0.79569999999999996</v>
      </c>
      <c r="L83" t="s">
        <v>8</v>
      </c>
      <c r="M83" t="s">
        <v>8</v>
      </c>
      <c r="N83" t="s">
        <v>7</v>
      </c>
      <c r="P83">
        <f t="shared" ref="P83" si="390">IF(C83=D83,0,((E83-D83)-(C83-E83))/(C83-D83))</f>
        <v>-0.39066666666666727</v>
      </c>
      <c r="Q83">
        <f t="shared" ref="Q83" si="391">F83*P83</f>
        <v>-3684512.8946666722</v>
      </c>
      <c r="R83">
        <f t="shared" ref="R83" si="392">R84+Q83</f>
        <v>-5702179160.3300714</v>
      </c>
      <c r="S83">
        <f t="shared" ref="S83" si="393">R83/100000</f>
        <v>-57021.791603300713</v>
      </c>
      <c r="T83">
        <f t="shared" ref="T83" si="394">S83/1000</f>
        <v>-57.021791603300713</v>
      </c>
    </row>
    <row r="84" spans="1:20" x14ac:dyDescent="0.25">
      <c r="A84" s="5">
        <v>44509</v>
      </c>
      <c r="B84">
        <v>0.78180000000000005</v>
      </c>
      <c r="C84">
        <v>0.7923</v>
      </c>
      <c r="D84">
        <v>0.75019999999999998</v>
      </c>
      <c r="E84">
        <v>0.76049999999999995</v>
      </c>
      <c r="F84">
        <v>3247550</v>
      </c>
      <c r="G84">
        <v>0.76049999999999995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-0.51068883610451454</v>
      </c>
      <c r="Q84">
        <f t="shared" ref="Q84" si="396">F84*P84</f>
        <v>-1658487.5296912163</v>
      </c>
      <c r="R84">
        <f t="shared" ref="R84" si="397">R85+Q84</f>
        <v>-5698494647.4354048</v>
      </c>
      <c r="S84">
        <f t="shared" ref="S84" si="398">R84/100000</f>
        <v>-56984.946474354045</v>
      </c>
      <c r="T84">
        <f t="shared" ref="T84" si="399">S84/1000</f>
        <v>-56.984946474354047</v>
      </c>
    </row>
    <row r="85" spans="1:20" x14ac:dyDescent="0.25">
      <c r="A85" s="5">
        <v>44508</v>
      </c>
      <c r="B85">
        <v>0.80640000000000001</v>
      </c>
      <c r="C85">
        <v>0.80700000000000005</v>
      </c>
      <c r="D85">
        <v>0.76759999999999995</v>
      </c>
      <c r="E85">
        <v>0.78169999999999995</v>
      </c>
      <c r="F85">
        <v>2480182</v>
      </c>
      <c r="G85">
        <v>0.78169999999999995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-0.28426395939086474</v>
      </c>
      <c r="Q85">
        <f t="shared" ref="Q85" si="401">F85*P85</f>
        <v>-705026.35532995372</v>
      </c>
      <c r="R85">
        <f t="shared" ref="R85" si="402">R86+Q85</f>
        <v>-5696836159.905714</v>
      </c>
      <c r="S85">
        <f t="shared" ref="S85" si="403">R85/100000</f>
        <v>-56968.361599057142</v>
      </c>
      <c r="T85">
        <f t="shared" ref="T85" si="404">S85/1000</f>
        <v>-56.96836159905714</v>
      </c>
    </row>
    <row r="86" spans="1:20" x14ac:dyDescent="0.25">
      <c r="A86" s="5">
        <v>44507</v>
      </c>
      <c r="B86">
        <v>0.7681</v>
      </c>
      <c r="C86">
        <v>0.81</v>
      </c>
      <c r="D86">
        <v>0.75760000000000005</v>
      </c>
      <c r="E86">
        <v>0.80310000000000004</v>
      </c>
      <c r="F86">
        <v>2862956</v>
      </c>
      <c r="G86">
        <v>0.80310000000000004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0.7366412213740452</v>
      </c>
      <c r="Q86">
        <f t="shared" ref="Q86" si="406">F86*P86</f>
        <v>2108971.4045801507</v>
      </c>
      <c r="R86">
        <f t="shared" ref="R86" si="407">R87+Q86</f>
        <v>-5696131133.5503845</v>
      </c>
      <c r="S86">
        <f t="shared" ref="S86" si="408">R86/100000</f>
        <v>-56961.311335503844</v>
      </c>
      <c r="T86">
        <f t="shared" ref="T86" si="409">S86/1000</f>
        <v>-56.961311335503844</v>
      </c>
    </row>
    <row r="87" spans="1:20" x14ac:dyDescent="0.25">
      <c r="A87" s="5">
        <v>44506</v>
      </c>
      <c r="B87">
        <v>0.77890000000000004</v>
      </c>
      <c r="C87">
        <v>0.79400000000000004</v>
      </c>
      <c r="D87">
        <v>0.74180000000000001</v>
      </c>
      <c r="E87">
        <v>0.77</v>
      </c>
      <c r="F87">
        <v>1693194</v>
      </c>
      <c r="G87">
        <v>0.77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8.0459770114942139E-2</v>
      </c>
      <c r="Q87">
        <f t="shared" ref="Q87" si="411">F87*P87</f>
        <v>136233.99999999933</v>
      </c>
      <c r="R87">
        <f t="shared" ref="R87" si="412">R88+Q87</f>
        <v>-5698240104.9549646</v>
      </c>
      <c r="S87">
        <f t="shared" ref="S87" si="413">R87/100000</f>
        <v>-56982.401049549648</v>
      </c>
      <c r="T87">
        <f t="shared" ref="T87" si="414">S87/1000</f>
        <v>-56.982401049549651</v>
      </c>
    </row>
    <row r="88" spans="1:20" x14ac:dyDescent="0.25">
      <c r="A88" s="5">
        <v>44505</v>
      </c>
      <c r="B88">
        <v>0.7712</v>
      </c>
      <c r="C88">
        <v>0.8367</v>
      </c>
      <c r="D88">
        <v>0.75600000000000001</v>
      </c>
      <c r="E88">
        <v>0.77890000000000004</v>
      </c>
      <c r="F88">
        <v>4565711</v>
      </c>
      <c r="G88">
        <v>0.77890000000000004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-0.43246592317224203</v>
      </c>
      <c r="Q88">
        <f t="shared" ref="Q88" si="416">F88*P88</f>
        <v>-1974514.4225526603</v>
      </c>
      <c r="R88">
        <f t="shared" ref="R88" si="417">R89+Q88</f>
        <v>-5698376338.9549646</v>
      </c>
      <c r="S88">
        <f t="shared" ref="S88" si="418">R88/100000</f>
        <v>-56983.763389549647</v>
      </c>
      <c r="T88">
        <f t="shared" ref="T88" si="419">S88/1000</f>
        <v>-56.983763389549651</v>
      </c>
    </row>
    <row r="89" spans="1:20" x14ac:dyDescent="0.25">
      <c r="A89" s="5">
        <v>44504</v>
      </c>
      <c r="B89">
        <v>0.78239999999999998</v>
      </c>
      <c r="C89">
        <v>0.82699999999999996</v>
      </c>
      <c r="D89">
        <v>0.74039999999999995</v>
      </c>
      <c r="E89">
        <v>0.77370000000000005</v>
      </c>
      <c r="F89">
        <v>4405408</v>
      </c>
      <c r="G89">
        <v>0.77370000000000005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-0.23094688221708767</v>
      </c>
      <c r="Q89">
        <f t="shared" ref="Q89" si="421">F89*P89</f>
        <v>-1017415.2424942157</v>
      </c>
      <c r="R89">
        <f t="shared" ref="R89" si="422">R90+Q89</f>
        <v>-5696401824.5324116</v>
      </c>
      <c r="S89">
        <f t="shared" ref="S89" si="423">R89/100000</f>
        <v>-56964.018245324114</v>
      </c>
      <c r="T89">
        <f t="shared" ref="T89" si="424">S89/1000</f>
        <v>-56.964018245324112</v>
      </c>
    </row>
    <row r="90" spans="1:20" x14ac:dyDescent="0.25">
      <c r="A90" s="5">
        <v>44503</v>
      </c>
      <c r="B90">
        <v>0.77839999999999998</v>
      </c>
      <c r="C90">
        <v>0.81889999999999996</v>
      </c>
      <c r="D90">
        <v>0.74680000000000002</v>
      </c>
      <c r="E90">
        <v>0.7823</v>
      </c>
      <c r="F90">
        <v>6843984</v>
      </c>
      <c r="G90">
        <v>0.7823</v>
      </c>
      <c r="L90" t="s">
        <v>8</v>
      </c>
      <c r="M90" t="s">
        <v>7</v>
      </c>
      <c r="N90" t="s">
        <v>7</v>
      </c>
      <c r="P90">
        <f t="shared" ref="P90" si="425">IF(C90=D90,0,((E90-D90)-(C90-E90))/(C90-D90))</f>
        <v>-1.5256588072121924E-2</v>
      </c>
      <c r="Q90">
        <f t="shared" ref="Q90" si="426">F90*P90</f>
        <v>-104415.8446601933</v>
      </c>
      <c r="R90">
        <f t="shared" ref="R90" si="427">R91+Q90</f>
        <v>-5695384409.289917</v>
      </c>
      <c r="S90">
        <f t="shared" ref="S90" si="428">R90/100000</f>
        <v>-56953.844092899169</v>
      </c>
      <c r="T90">
        <f t="shared" ref="T90" si="429">S90/1000</f>
        <v>-56.953844092899168</v>
      </c>
    </row>
    <row r="91" spans="1:20" x14ac:dyDescent="0.25">
      <c r="A91" s="5">
        <v>44502</v>
      </c>
      <c r="B91">
        <v>0.78969999999999996</v>
      </c>
      <c r="C91">
        <v>0.85940000000000005</v>
      </c>
      <c r="D91">
        <v>0.75749999999999995</v>
      </c>
      <c r="E91">
        <v>0.7782</v>
      </c>
      <c r="F91">
        <v>8897751</v>
      </c>
      <c r="G91">
        <v>0.7782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-0.59371933267909649</v>
      </c>
      <c r="Q91">
        <f t="shared" ref="Q91" si="431">F91*P91</f>
        <v>-5282766.7860647636</v>
      </c>
      <c r="R91">
        <f t="shared" ref="R91" si="432">R92+Q91</f>
        <v>-5695279993.4452572</v>
      </c>
      <c r="S91">
        <f t="shared" ref="S91" si="433">R91/100000</f>
        <v>-56952.799934452574</v>
      </c>
      <c r="T91">
        <f t="shared" ref="T91" si="434">S91/1000</f>
        <v>-56.952799934452571</v>
      </c>
    </row>
    <row r="92" spans="1:20" x14ac:dyDescent="0.25">
      <c r="A92" s="5">
        <v>44501</v>
      </c>
      <c r="B92">
        <v>0.81710000000000005</v>
      </c>
      <c r="C92">
        <v>0.83530000000000004</v>
      </c>
      <c r="D92">
        <v>0.76370000000000005</v>
      </c>
      <c r="E92">
        <v>0.78939999999999999</v>
      </c>
      <c r="F92">
        <v>5201306</v>
      </c>
      <c r="G92">
        <v>0.78939999999999999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-0.28212290502793447</v>
      </c>
      <c r="Q92">
        <f t="shared" ref="Q92" si="436">F92*P92</f>
        <v>-1467407.5586592257</v>
      </c>
      <c r="R92">
        <f t="shared" ref="R92" si="437">R93+Q92</f>
        <v>-5689997226.6591921</v>
      </c>
      <c r="S92">
        <f t="shared" ref="S92" si="438">R92/100000</f>
        <v>-56899.972266591918</v>
      </c>
      <c r="T92">
        <f t="shared" ref="T92" si="439">S92/1000</f>
        <v>-56.899972266591917</v>
      </c>
    </row>
    <row r="93" spans="1:20" x14ac:dyDescent="0.25">
      <c r="A93" s="5">
        <v>44500</v>
      </c>
      <c r="B93">
        <v>0.95320000000000005</v>
      </c>
      <c r="C93">
        <v>0.96199999999999997</v>
      </c>
      <c r="D93">
        <v>0.78959999999999997</v>
      </c>
      <c r="E93">
        <v>0.81710000000000005</v>
      </c>
      <c r="F93">
        <v>11518840</v>
      </c>
      <c r="G93">
        <v>0.81710000000000005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-0.68097447795823574</v>
      </c>
      <c r="Q93">
        <f t="shared" ref="Q93" si="441">F93*P93</f>
        <v>-7844036.0556844445</v>
      </c>
      <c r="R93">
        <f t="shared" ref="R93" si="442">R94+Q93</f>
        <v>-5688529819.1005325</v>
      </c>
      <c r="S93">
        <f t="shared" ref="S93" si="443">R93/100000</f>
        <v>-56885.298191005328</v>
      </c>
      <c r="T93">
        <f t="shared" ref="T93" si="444">S93/1000</f>
        <v>-56.885298191005326</v>
      </c>
    </row>
    <row r="94" spans="1:20" x14ac:dyDescent="0.25">
      <c r="A94" s="5">
        <v>44499</v>
      </c>
      <c r="B94">
        <v>0.73560000000000003</v>
      </c>
      <c r="C94">
        <v>1.1399999999999999</v>
      </c>
      <c r="D94">
        <v>0.72</v>
      </c>
      <c r="E94">
        <v>0.95299999999999996</v>
      </c>
      <c r="F94">
        <v>23963938.629999999</v>
      </c>
      <c r="G94">
        <v>0.95299999999999996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0.10952380952380963</v>
      </c>
      <c r="Q94">
        <f t="shared" ref="Q94" si="446">F94*P94</f>
        <v>2624621.8499523834</v>
      </c>
      <c r="R94">
        <f t="shared" ref="R94" si="447">R95+Q94</f>
        <v>-5680685783.0448484</v>
      </c>
      <c r="S94">
        <f t="shared" ref="S94" si="448">R94/100000</f>
        <v>-56806.857830448484</v>
      </c>
      <c r="T94">
        <f t="shared" ref="T94" si="449">S94/1000</f>
        <v>-56.806857830448486</v>
      </c>
    </row>
    <row r="95" spans="1:20" x14ac:dyDescent="0.25">
      <c r="A95" s="5">
        <v>44498</v>
      </c>
      <c r="B95">
        <v>0.68659999999999999</v>
      </c>
      <c r="C95">
        <v>0.77900000000000003</v>
      </c>
      <c r="D95">
        <v>0.68369999999999997</v>
      </c>
      <c r="E95">
        <v>0.73470000000000002</v>
      </c>
      <c r="F95">
        <v>5641138</v>
      </c>
      <c r="G95">
        <v>0.73470000000000002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7.030430220356805E-2</v>
      </c>
      <c r="Q95">
        <f t="shared" ref="Q95" si="451">F95*P95</f>
        <v>396596.27072403149</v>
      </c>
      <c r="R95">
        <f t="shared" ref="R95" si="452">R96+Q95</f>
        <v>-5683310404.8948011</v>
      </c>
      <c r="S95">
        <f t="shared" ref="S95" si="453">R95/100000</f>
        <v>-56833.104048948015</v>
      </c>
      <c r="T95">
        <f t="shared" ref="T95" si="454">S95/1000</f>
        <v>-56.833104048948016</v>
      </c>
    </row>
    <row r="96" spans="1:20" x14ac:dyDescent="0.25">
      <c r="A96" s="5">
        <v>44497</v>
      </c>
      <c r="B96">
        <v>0.67330000000000001</v>
      </c>
      <c r="C96">
        <v>0.70069999999999999</v>
      </c>
      <c r="D96">
        <v>0.67</v>
      </c>
      <c r="E96">
        <v>0.68669999999999998</v>
      </c>
      <c r="F96">
        <v>2583231</v>
      </c>
      <c r="G96">
        <v>0.68669999999999998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8.7947882736154046E-2</v>
      </c>
      <c r="Q96">
        <f t="shared" ref="Q96" si="456">F96*P96</f>
        <v>227189.69706839795</v>
      </c>
      <c r="R96">
        <f t="shared" ref="R96" si="457">R97+Q96</f>
        <v>-5683707001.1655254</v>
      </c>
      <c r="S96">
        <f t="shared" ref="S96" si="458">R96/100000</f>
        <v>-56837.070011655254</v>
      </c>
      <c r="T96">
        <f t="shared" ref="T96" si="459">S96/1000</f>
        <v>-56.837070011655257</v>
      </c>
    </row>
    <row r="97" spans="1:20" x14ac:dyDescent="0.25">
      <c r="A97" s="5">
        <v>44496</v>
      </c>
      <c r="B97">
        <v>0.70340000000000003</v>
      </c>
      <c r="C97">
        <v>0.74139999999999995</v>
      </c>
      <c r="D97">
        <v>0.65549999999999997</v>
      </c>
      <c r="E97">
        <v>0.67330000000000001</v>
      </c>
      <c r="F97">
        <v>4481369</v>
      </c>
      <c r="G97">
        <v>0.67330000000000001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-0.5855646100116404</v>
      </c>
      <c r="Q97">
        <f t="shared" ref="Q97" si="461">F97*P97</f>
        <v>-2624131.0908032549</v>
      </c>
      <c r="R97">
        <f t="shared" ref="R97" si="462">R98+Q97</f>
        <v>-5683934190.8625937</v>
      </c>
      <c r="S97">
        <f t="shared" ref="S97" si="463">R97/100000</f>
        <v>-56839.341908625938</v>
      </c>
      <c r="T97">
        <f t="shared" ref="T97" si="464">S97/1000</f>
        <v>-56.83934190862594</v>
      </c>
    </row>
    <row r="98" spans="1:20" x14ac:dyDescent="0.25">
      <c r="A98" s="5">
        <v>44495</v>
      </c>
      <c r="B98">
        <v>0.71099999999999997</v>
      </c>
      <c r="C98">
        <v>0.73499999999999999</v>
      </c>
      <c r="D98">
        <v>0.69340000000000002</v>
      </c>
      <c r="E98">
        <v>0.70269999999999999</v>
      </c>
      <c r="F98">
        <v>3386275</v>
      </c>
      <c r="G98">
        <v>0.70269999999999999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-0.55288461538461631</v>
      </c>
      <c r="Q98">
        <f t="shared" ref="Q98" si="466">F98*P98</f>
        <v>-1872219.3509615415</v>
      </c>
      <c r="R98">
        <f t="shared" ref="R98" si="467">R99+Q98</f>
        <v>-5681310059.7717905</v>
      </c>
      <c r="S98">
        <f t="shared" ref="S98" si="468">R98/100000</f>
        <v>-56813.100597717908</v>
      </c>
      <c r="T98">
        <f t="shared" ref="T98" si="469">S98/1000</f>
        <v>-56.813100597717906</v>
      </c>
    </row>
    <row r="99" spans="1:20" x14ac:dyDescent="0.25">
      <c r="A99" s="5">
        <v>44494</v>
      </c>
      <c r="B99">
        <v>0.6946</v>
      </c>
      <c r="C99">
        <v>0.71799999999999997</v>
      </c>
      <c r="D99">
        <v>0.68810000000000004</v>
      </c>
      <c r="E99">
        <v>0.71030000000000004</v>
      </c>
      <c r="F99">
        <v>3404824</v>
      </c>
      <c r="G99">
        <v>0.71030000000000004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0.48494983277592318</v>
      </c>
      <c r="Q99">
        <f t="shared" ref="Q99" si="471">F99*P99</f>
        <v>1651168.82943145</v>
      </c>
      <c r="R99">
        <f t="shared" ref="R99" si="472">R100+Q99</f>
        <v>-5679437840.4208288</v>
      </c>
      <c r="S99">
        <f t="shared" ref="S99" si="473">R99/100000</f>
        <v>-56794.378404208292</v>
      </c>
      <c r="T99">
        <f t="shared" ref="T99" si="474">S99/1000</f>
        <v>-56.794378404208288</v>
      </c>
    </row>
    <row r="100" spans="1:20" x14ac:dyDescent="0.25">
      <c r="A100" s="5">
        <v>44493</v>
      </c>
      <c r="B100">
        <v>0.75019999999999998</v>
      </c>
      <c r="C100">
        <v>0.75529999999999997</v>
      </c>
      <c r="D100">
        <v>0.68610000000000004</v>
      </c>
      <c r="E100">
        <v>0.69550000000000001</v>
      </c>
      <c r="F100">
        <v>6407888</v>
      </c>
      <c r="G100">
        <v>0.69550000000000001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-0.72832369942196606</v>
      </c>
      <c r="Q100">
        <f t="shared" ref="Q100" si="476">F100*P100</f>
        <v>-4667016.6936416235</v>
      </c>
      <c r="R100">
        <f t="shared" ref="R100" si="477">R101+Q100</f>
        <v>-5681089009.2502604</v>
      </c>
      <c r="S100">
        <f t="shared" ref="S100" si="478">R100/100000</f>
        <v>-56810.890092502603</v>
      </c>
      <c r="T100">
        <f t="shared" ref="T100" si="479">S100/1000</f>
        <v>-56.810890092502603</v>
      </c>
    </row>
    <row r="101" spans="1:20" x14ac:dyDescent="0.25">
      <c r="A101" s="5">
        <v>44492</v>
      </c>
      <c r="B101">
        <v>0.70340000000000003</v>
      </c>
      <c r="C101">
        <v>0.87450000000000006</v>
      </c>
      <c r="D101">
        <v>0.67889999999999995</v>
      </c>
      <c r="E101">
        <v>0.749</v>
      </c>
      <c r="F101">
        <v>44615844</v>
      </c>
      <c r="G101">
        <v>0.749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-0.28323108384458062</v>
      </c>
      <c r="Q101">
        <f t="shared" ref="Q101" si="481">F101*P101</f>
        <v>-12636593.852760728</v>
      </c>
      <c r="R101">
        <f t="shared" ref="R101" si="482">R102+Q101</f>
        <v>-5676421992.5566187</v>
      </c>
      <c r="S101">
        <f t="shared" ref="S101" si="483">R101/100000</f>
        <v>-56764.219925566184</v>
      </c>
      <c r="T101">
        <f t="shared" ref="T101" si="484">S101/1000</f>
        <v>-56.764219925566181</v>
      </c>
    </row>
    <row r="102" spans="1:20" x14ac:dyDescent="0.25">
      <c r="A102" s="5">
        <v>44491</v>
      </c>
      <c r="B102">
        <v>0.62019999999999997</v>
      </c>
      <c r="C102">
        <v>0.8669</v>
      </c>
      <c r="D102">
        <v>0.61829999999999996</v>
      </c>
      <c r="E102">
        <v>0.70340000000000003</v>
      </c>
      <c r="F102">
        <v>38327149</v>
      </c>
      <c r="G102">
        <v>0.70340000000000003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-0.31536604987932382</v>
      </c>
      <c r="Q102">
        <f t="shared" ref="Q102" si="486">F102*P102</f>
        <v>-12087081.583266277</v>
      </c>
      <c r="R102">
        <f t="shared" ref="R102" si="487">R103+Q102</f>
        <v>-5663785398.7038584</v>
      </c>
      <c r="S102">
        <f t="shared" ref="S102" si="488">R102/100000</f>
        <v>-56637.853987038587</v>
      </c>
      <c r="T102">
        <f t="shared" ref="T102" si="489">S102/1000</f>
        <v>-56.637853987038589</v>
      </c>
    </row>
    <row r="103" spans="1:20" x14ac:dyDescent="0.25">
      <c r="A103" s="5">
        <v>44490</v>
      </c>
      <c r="B103">
        <v>0.64100000000000001</v>
      </c>
      <c r="C103">
        <v>0.65720000000000001</v>
      </c>
      <c r="D103">
        <v>0.61019999999999996</v>
      </c>
      <c r="E103">
        <v>0.6179</v>
      </c>
      <c r="F103">
        <v>3661363</v>
      </c>
      <c r="G103">
        <v>0.6179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-0.67234042553191342</v>
      </c>
      <c r="Q103">
        <f t="shared" ref="Q103" si="491">F103*P103</f>
        <v>-2461682.3574468032</v>
      </c>
      <c r="R103">
        <f t="shared" ref="R103" si="492">R104+Q103</f>
        <v>-5651698317.1205921</v>
      </c>
      <c r="S103">
        <f t="shared" ref="S103" si="493">R103/100000</f>
        <v>-56516.983171205924</v>
      </c>
      <c r="T103">
        <f t="shared" ref="T103" si="494">S103/1000</f>
        <v>-56.516983171205922</v>
      </c>
    </row>
    <row r="104" spans="1:20" x14ac:dyDescent="0.25">
      <c r="A104" s="5">
        <v>44489</v>
      </c>
      <c r="B104">
        <v>0.61870000000000003</v>
      </c>
      <c r="C104">
        <v>0.64800000000000002</v>
      </c>
      <c r="D104">
        <v>0.60819999999999996</v>
      </c>
      <c r="E104">
        <v>0.64100000000000001</v>
      </c>
      <c r="F104">
        <v>2021924</v>
      </c>
      <c r="G104">
        <v>0.64100000000000001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0.6482412060301509</v>
      </c>
      <c r="Q104">
        <f t="shared" ref="Q104" si="496">F104*P104</f>
        <v>1310694.4522613068</v>
      </c>
      <c r="R104">
        <f t="shared" ref="R104" si="497">R105+Q104</f>
        <v>-5649236634.7631454</v>
      </c>
      <c r="S104">
        <f t="shared" ref="S104" si="498">R104/100000</f>
        <v>-56492.366347631454</v>
      </c>
      <c r="T104">
        <f t="shared" ref="T104" si="499">S104/1000</f>
        <v>-56.492366347631453</v>
      </c>
    </row>
    <row r="105" spans="1:20" x14ac:dyDescent="0.25">
      <c r="A105" s="5">
        <v>44488</v>
      </c>
      <c r="B105">
        <v>0.63180000000000003</v>
      </c>
      <c r="C105">
        <v>0.63859999999999995</v>
      </c>
      <c r="D105">
        <v>0.59860000000000002</v>
      </c>
      <c r="E105">
        <v>0.61880000000000002</v>
      </c>
      <c r="F105">
        <v>1710028</v>
      </c>
      <c r="G105">
        <v>0.61880000000000002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1.0000000000001693E-2</v>
      </c>
      <c r="Q105">
        <f t="shared" ref="Q105" si="501">F105*P105</f>
        <v>17100.280000002895</v>
      </c>
      <c r="R105">
        <f t="shared" ref="R105" si="502">R106+Q105</f>
        <v>-5650547329.2154064</v>
      </c>
      <c r="S105">
        <f t="shared" ref="S105" si="503">R105/100000</f>
        <v>-56505.473292154064</v>
      </c>
      <c r="T105">
        <f t="shared" ref="T105" si="504">S105/1000</f>
        <v>-56.505473292154065</v>
      </c>
    </row>
    <row r="106" spans="1:20" x14ac:dyDescent="0.25">
      <c r="A106" s="5">
        <v>44487</v>
      </c>
      <c r="B106">
        <v>0.65480000000000005</v>
      </c>
      <c r="C106">
        <v>0.67259999999999998</v>
      </c>
      <c r="D106">
        <v>0.622</v>
      </c>
      <c r="E106">
        <v>0.63400000000000001</v>
      </c>
      <c r="F106">
        <v>2489996</v>
      </c>
      <c r="G106">
        <v>0.63400000000000001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-0.52569169960474249</v>
      </c>
      <c r="Q106">
        <f t="shared" ref="Q106" si="506">F106*P106</f>
        <v>-1308970.2292490103</v>
      </c>
      <c r="R106">
        <f t="shared" ref="R106" si="507">R107+Q106</f>
        <v>-5650564429.4954062</v>
      </c>
      <c r="S106">
        <f t="shared" ref="S106" si="508">R106/100000</f>
        <v>-56505.644294954065</v>
      </c>
      <c r="T106">
        <f t="shared" ref="T106" si="509">S106/1000</f>
        <v>-56.505644294954067</v>
      </c>
    </row>
    <row r="107" spans="1:20" x14ac:dyDescent="0.25">
      <c r="A107" s="5">
        <v>44486</v>
      </c>
      <c r="B107">
        <v>0.64949999999999997</v>
      </c>
      <c r="C107">
        <v>0.79100000000000004</v>
      </c>
      <c r="D107">
        <v>0.63560000000000005</v>
      </c>
      <c r="E107">
        <v>0.65480000000000005</v>
      </c>
      <c r="F107">
        <v>10450820</v>
      </c>
      <c r="G107">
        <v>0.65480000000000005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-0.75289575289575295</v>
      </c>
      <c r="Q107">
        <f t="shared" ref="Q107" si="511">F107*P107</f>
        <v>-7868377.9922779929</v>
      </c>
      <c r="R107">
        <f t="shared" ref="R107" si="512">R108+Q107</f>
        <v>-5649255459.2661572</v>
      </c>
      <c r="S107">
        <f t="shared" ref="S107" si="513">R107/100000</f>
        <v>-56492.554592661574</v>
      </c>
      <c r="T107">
        <f t="shared" ref="T107" si="514">S107/1000</f>
        <v>-56.492554592661577</v>
      </c>
    </row>
    <row r="108" spans="1:20" x14ac:dyDescent="0.25">
      <c r="A108" s="5">
        <v>44485</v>
      </c>
      <c r="B108">
        <v>0.62860000000000005</v>
      </c>
      <c r="C108">
        <v>0.68030000000000002</v>
      </c>
      <c r="D108">
        <v>0.624</v>
      </c>
      <c r="E108">
        <v>0.64829999999999999</v>
      </c>
      <c r="F108">
        <v>2569390</v>
      </c>
      <c r="G108">
        <v>0.64829999999999999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-0.13676731793960992</v>
      </c>
      <c r="Q108">
        <f t="shared" ref="Q108" si="516">F108*P108</f>
        <v>-351408.5790408543</v>
      </c>
      <c r="R108">
        <f t="shared" ref="R108" si="517">R109+Q108</f>
        <v>-5641387081.2738791</v>
      </c>
      <c r="S108">
        <f t="shared" ref="S108" si="518">R108/100000</f>
        <v>-56413.870812738787</v>
      </c>
      <c r="T108">
        <f t="shared" ref="T108" si="519">S108/1000</f>
        <v>-56.413870812738786</v>
      </c>
    </row>
    <row r="109" spans="1:20" x14ac:dyDescent="0.25">
      <c r="A109" s="5">
        <v>44484</v>
      </c>
      <c r="B109">
        <v>0.64070000000000005</v>
      </c>
      <c r="C109">
        <v>0.67</v>
      </c>
      <c r="D109">
        <v>0.6129</v>
      </c>
      <c r="E109">
        <v>0.63</v>
      </c>
      <c r="F109">
        <v>3027132</v>
      </c>
      <c r="G109">
        <v>0.63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-0.40105078809106859</v>
      </c>
      <c r="Q109">
        <f t="shared" ref="Q109" si="521">F109*P109</f>
        <v>-1214033.6742556926</v>
      </c>
      <c r="R109">
        <f t="shared" ref="R109" si="522">R110+Q109</f>
        <v>-5641035672.6948385</v>
      </c>
      <c r="S109">
        <f t="shared" ref="S109" si="523">R109/100000</f>
        <v>-56410.356726948383</v>
      </c>
      <c r="T109">
        <f t="shared" ref="T109" si="524">S109/1000</f>
        <v>-56.410356726948386</v>
      </c>
    </row>
    <row r="110" spans="1:20" x14ac:dyDescent="0.25">
      <c r="A110" s="5">
        <v>44483</v>
      </c>
      <c r="B110">
        <v>0.64659999999999995</v>
      </c>
      <c r="C110">
        <v>0.66</v>
      </c>
      <c r="D110">
        <v>0.62729999999999997</v>
      </c>
      <c r="E110">
        <v>0.64059999999999995</v>
      </c>
      <c r="F110">
        <v>3069358</v>
      </c>
      <c r="G110">
        <v>0.64059999999999995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-0.18654434250764812</v>
      </c>
      <c r="Q110">
        <f t="shared" ref="Q110" si="526">F110*P110</f>
        <v>-572571.37003058987</v>
      </c>
      <c r="R110">
        <f t="shared" ref="R110" si="527">R111+Q110</f>
        <v>-5639821639.0205832</v>
      </c>
      <c r="S110">
        <f t="shared" ref="S110" si="528">R110/100000</f>
        <v>-56398.216390205831</v>
      </c>
      <c r="T110">
        <f t="shared" ref="T110" si="529">S110/1000</f>
        <v>-56.398216390205832</v>
      </c>
    </row>
    <row r="111" spans="1:20" x14ac:dyDescent="0.25">
      <c r="A111" s="5">
        <v>44482</v>
      </c>
      <c r="B111">
        <v>0.62190000000000001</v>
      </c>
      <c r="C111">
        <v>0.65839999999999999</v>
      </c>
      <c r="D111">
        <v>0.58730000000000004</v>
      </c>
      <c r="E111">
        <v>0.6482</v>
      </c>
      <c r="F111">
        <v>5379260</v>
      </c>
      <c r="G111">
        <v>0.6482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0.71308016877637148</v>
      </c>
      <c r="Q111">
        <f t="shared" ref="Q111" si="531">F111*P111</f>
        <v>3835843.6286919839</v>
      </c>
      <c r="R111">
        <f t="shared" ref="R111" si="532">R112+Q111</f>
        <v>-5639249067.6505527</v>
      </c>
      <c r="S111">
        <f t="shared" ref="S111" si="533">R111/100000</f>
        <v>-56392.490676505528</v>
      </c>
      <c r="T111">
        <f t="shared" ref="T111" si="534">S111/1000</f>
        <v>-56.392490676505524</v>
      </c>
    </row>
    <row r="112" spans="1:20" x14ac:dyDescent="0.25">
      <c r="A112" s="5">
        <v>44481</v>
      </c>
      <c r="B112">
        <v>0.62239999999999995</v>
      </c>
      <c r="C112">
        <v>0.62909999999999999</v>
      </c>
      <c r="D112">
        <v>0.57489999999999997</v>
      </c>
      <c r="E112">
        <v>0.62180000000000002</v>
      </c>
      <c r="F112">
        <v>2286868</v>
      </c>
      <c r="G112">
        <v>0.62180000000000002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0.73062730627306383</v>
      </c>
      <c r="Q112">
        <f t="shared" ref="Q112" si="536">F112*P112</f>
        <v>1670848.2066420689</v>
      </c>
      <c r="R112">
        <f t="shared" ref="R112" si="537">R113+Q112</f>
        <v>-5643084911.2792444</v>
      </c>
      <c r="S112">
        <f t="shared" ref="S112" si="538">R112/100000</f>
        <v>-56430.849112792443</v>
      </c>
      <c r="T112">
        <f t="shared" ref="T112" si="539">S112/1000</f>
        <v>-56.430849112792444</v>
      </c>
    </row>
    <row r="113" spans="1:20" x14ac:dyDescent="0.25">
      <c r="A113" s="5">
        <v>44480</v>
      </c>
      <c r="B113">
        <v>0.61299999999999999</v>
      </c>
      <c r="C113">
        <v>0.64</v>
      </c>
      <c r="D113">
        <v>0.5917</v>
      </c>
      <c r="E113">
        <v>0.62050000000000005</v>
      </c>
      <c r="F113">
        <v>2856486</v>
      </c>
      <c r="G113">
        <v>0.62050000000000005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0.19254658385093343</v>
      </c>
      <c r="Q113">
        <f t="shared" ref="Q113" si="541">F113*P113</f>
        <v>550006.62111801747</v>
      </c>
      <c r="R113">
        <f t="shared" ref="R113" si="542">R114+Q113</f>
        <v>-5644755759.4858866</v>
      </c>
      <c r="S113">
        <f t="shared" ref="S113" si="543">R113/100000</f>
        <v>-56447.557594858867</v>
      </c>
      <c r="T113">
        <f t="shared" ref="T113" si="544">S113/1000</f>
        <v>-56.447557594858864</v>
      </c>
    </row>
    <row r="114" spans="1:20" x14ac:dyDescent="0.25">
      <c r="A114" s="5">
        <v>44479</v>
      </c>
      <c r="B114">
        <v>0.66669999999999996</v>
      </c>
      <c r="C114">
        <v>0.67810000000000004</v>
      </c>
      <c r="D114">
        <v>0.60840000000000005</v>
      </c>
      <c r="E114">
        <v>0.61299999999999999</v>
      </c>
      <c r="F114">
        <v>8089329</v>
      </c>
      <c r="G114">
        <v>0.61299999999999999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-0.86800573888092003</v>
      </c>
      <c r="Q114">
        <f t="shared" ref="Q114" si="546">F114*P114</f>
        <v>-7021583.9956958536</v>
      </c>
      <c r="R114">
        <f t="shared" ref="R114" si="547">R115+Q114</f>
        <v>-5645305766.1070042</v>
      </c>
      <c r="S114">
        <f t="shared" ref="S114" si="548">R114/100000</f>
        <v>-56453.057661070045</v>
      </c>
      <c r="T114">
        <f t="shared" ref="T114" si="549">S114/1000</f>
        <v>-56.453057661070048</v>
      </c>
    </row>
    <row r="115" spans="1:20" x14ac:dyDescent="0.25">
      <c r="A115" s="5">
        <v>44478</v>
      </c>
      <c r="B115">
        <v>0.65720000000000001</v>
      </c>
      <c r="C115">
        <v>0.71</v>
      </c>
      <c r="D115">
        <v>0.65049999999999997</v>
      </c>
      <c r="E115">
        <v>0.66669999999999996</v>
      </c>
      <c r="F115">
        <v>6861547</v>
      </c>
      <c r="G115">
        <v>0.66669999999999996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-0.45546218487394979</v>
      </c>
      <c r="Q115">
        <f t="shared" ref="Q115" si="551">F115*P115</f>
        <v>-3125175.1882352955</v>
      </c>
      <c r="R115">
        <f t="shared" ref="R115" si="552">R116+Q115</f>
        <v>-5638284182.1113081</v>
      </c>
      <c r="S115">
        <f t="shared" ref="S115" si="553">R115/100000</f>
        <v>-56382.841821113077</v>
      </c>
      <c r="T115">
        <f t="shared" ref="T115" si="554">S115/1000</f>
        <v>-56.382841821113075</v>
      </c>
    </row>
    <row r="116" spans="1:20" x14ac:dyDescent="0.25">
      <c r="A116" s="5">
        <v>44477</v>
      </c>
      <c r="B116">
        <v>0.67110000000000003</v>
      </c>
      <c r="C116">
        <v>0.69499999999999995</v>
      </c>
      <c r="D116">
        <v>0.65090000000000003</v>
      </c>
      <c r="E116">
        <v>0.65680000000000005</v>
      </c>
      <c r="F116">
        <v>2446142</v>
      </c>
      <c r="G116">
        <v>0.65680000000000005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-0.73242630385487406</v>
      </c>
      <c r="Q116">
        <f t="shared" ref="Q116" si="556">F116*P116</f>
        <v>-1791618.7437641693</v>
      </c>
      <c r="R116">
        <f t="shared" ref="R116" si="557">R117+Q116</f>
        <v>-5635159006.9230728</v>
      </c>
      <c r="S116">
        <f t="shared" ref="S116" si="558">R116/100000</f>
        <v>-56351.590069230726</v>
      </c>
      <c r="T116">
        <f t="shared" ref="T116" si="559">S116/1000</f>
        <v>-56.351590069230724</v>
      </c>
    </row>
    <row r="117" spans="1:20" x14ac:dyDescent="0.25">
      <c r="A117" s="5">
        <v>44476</v>
      </c>
      <c r="B117">
        <v>0.77849999999999997</v>
      </c>
      <c r="C117">
        <v>0.78</v>
      </c>
      <c r="D117">
        <v>0.65710000000000002</v>
      </c>
      <c r="E117">
        <v>0.67210000000000003</v>
      </c>
      <c r="F117">
        <v>10283597</v>
      </c>
      <c r="G117">
        <v>0.67210000000000003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-0.75589910496338464</v>
      </c>
      <c r="Q117">
        <f t="shared" ref="Q117" si="561">F117*P117</f>
        <v>-7773361.7681041472</v>
      </c>
      <c r="R117">
        <f t="shared" ref="R117" si="562">R118+Q117</f>
        <v>-5633367388.1793089</v>
      </c>
      <c r="S117">
        <f t="shared" ref="S117" si="563">R117/100000</f>
        <v>-56333.673881793089</v>
      </c>
      <c r="T117">
        <f t="shared" ref="T117" si="564">S117/1000</f>
        <v>-56.333673881793089</v>
      </c>
    </row>
    <row r="118" spans="1:20" x14ac:dyDescent="0.25">
      <c r="A118" s="5">
        <v>44475</v>
      </c>
      <c r="B118">
        <v>0.60860000000000003</v>
      </c>
      <c r="C118">
        <v>0.8357</v>
      </c>
      <c r="D118">
        <v>0.56910000000000005</v>
      </c>
      <c r="E118">
        <v>0.77859999999999996</v>
      </c>
      <c r="F118">
        <v>21401144</v>
      </c>
      <c r="G118">
        <v>0.77859999999999996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0.57164291072768159</v>
      </c>
      <c r="Q118">
        <f t="shared" ref="Q118" si="566">F118*P118</f>
        <v>12233812.249062259</v>
      </c>
      <c r="R118">
        <f t="shared" ref="R118" si="567">R119+Q118</f>
        <v>-5625594026.4112043</v>
      </c>
      <c r="S118">
        <f t="shared" ref="S118" si="568">R118/100000</f>
        <v>-56255.940264112047</v>
      </c>
      <c r="T118">
        <f t="shared" ref="T118" si="569">S118/1000</f>
        <v>-56.255940264112049</v>
      </c>
    </row>
    <row r="119" spans="1:20" x14ac:dyDescent="0.25">
      <c r="A119" s="5">
        <v>44474</v>
      </c>
      <c r="B119">
        <v>0.59260000000000002</v>
      </c>
      <c r="C119">
        <v>0.61309999999999998</v>
      </c>
      <c r="D119">
        <v>0.58420000000000005</v>
      </c>
      <c r="E119">
        <v>0.6079</v>
      </c>
      <c r="F119">
        <v>2792354</v>
      </c>
      <c r="G119">
        <v>0.6079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0.64013840830449853</v>
      </c>
      <c r="Q119">
        <f t="shared" ref="Q119" si="571">F119*P119</f>
        <v>1787493.0449826997</v>
      </c>
      <c r="R119">
        <f t="shared" ref="R119" si="572">R120+Q119</f>
        <v>-5637827838.6602669</v>
      </c>
      <c r="S119">
        <f t="shared" ref="S119" si="573">R119/100000</f>
        <v>-56378.278386602666</v>
      </c>
      <c r="T119">
        <f t="shared" ref="T119" si="574">S119/1000</f>
        <v>-56.378278386602666</v>
      </c>
    </row>
    <row r="120" spans="1:20" x14ac:dyDescent="0.25">
      <c r="A120" s="5">
        <v>44473</v>
      </c>
      <c r="B120">
        <v>0.59860000000000002</v>
      </c>
      <c r="C120">
        <v>0.61329999999999996</v>
      </c>
      <c r="D120">
        <v>0.57110000000000005</v>
      </c>
      <c r="E120">
        <v>0.5887</v>
      </c>
      <c r="F120">
        <v>3020181</v>
      </c>
      <c r="G120">
        <v>0.5887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-0.16587677725118535</v>
      </c>
      <c r="Q120">
        <f t="shared" ref="Q120" si="576">F120*P120</f>
        <v>-500977.89099526225</v>
      </c>
      <c r="R120">
        <f t="shared" ref="R120" si="577">R121+Q120</f>
        <v>-5639615331.7052498</v>
      </c>
      <c r="S120">
        <f t="shared" ref="S120" si="578">R120/100000</f>
        <v>-56396.1533170525</v>
      </c>
      <c r="T120">
        <f t="shared" ref="T120" si="579">S120/1000</f>
        <v>-56.396153317052502</v>
      </c>
    </row>
    <row r="121" spans="1:20" x14ac:dyDescent="0.25">
      <c r="A121" s="5">
        <v>44472</v>
      </c>
      <c r="B121">
        <v>0.59179999999999999</v>
      </c>
      <c r="C121">
        <v>0.62090000000000001</v>
      </c>
      <c r="D121">
        <v>0.58250000000000002</v>
      </c>
      <c r="E121">
        <v>0.59830000000000005</v>
      </c>
      <c r="F121">
        <v>3262075</v>
      </c>
      <c r="G121">
        <v>0.59830000000000005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-0.17708333333333123</v>
      </c>
      <c r="Q121">
        <f t="shared" ref="Q121" si="581">F121*P121</f>
        <v>-577659.1145833265</v>
      </c>
      <c r="R121">
        <f t="shared" ref="R121" si="582">R122+Q121</f>
        <v>-5639114353.8142548</v>
      </c>
      <c r="S121">
        <f t="shared" ref="S121" si="583">R121/100000</f>
        <v>-56391.143538142547</v>
      </c>
      <c r="T121">
        <f t="shared" ref="T121" si="584">S121/1000</f>
        <v>-56.391143538142551</v>
      </c>
    </row>
    <row r="122" spans="1:20" x14ac:dyDescent="0.25">
      <c r="A122" s="5">
        <v>44471</v>
      </c>
      <c r="B122">
        <v>0.61719999999999997</v>
      </c>
      <c r="C122">
        <v>0.62090000000000001</v>
      </c>
      <c r="D122">
        <v>0.58579999999999999</v>
      </c>
      <c r="E122">
        <v>0.59189999999999998</v>
      </c>
      <c r="F122">
        <v>3408097</v>
      </c>
      <c r="G122">
        <v>0.59189999999999998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-0.65242165242165295</v>
      </c>
      <c r="Q122">
        <f t="shared" ref="Q122" si="586">F122*P122</f>
        <v>-2223516.2763532782</v>
      </c>
      <c r="R122">
        <f t="shared" ref="R122" si="587">R123+Q122</f>
        <v>-5638536694.6996717</v>
      </c>
      <c r="S122">
        <f t="shared" ref="S122" si="588">R122/100000</f>
        <v>-56385.366946996721</v>
      </c>
      <c r="T122">
        <f t="shared" ref="T122" si="589">S122/1000</f>
        <v>-56.385366946996719</v>
      </c>
    </row>
    <row r="123" spans="1:20" x14ac:dyDescent="0.25">
      <c r="A123" s="5">
        <v>44470</v>
      </c>
      <c r="B123">
        <v>0.5504</v>
      </c>
      <c r="C123">
        <v>0.62090000000000001</v>
      </c>
      <c r="D123">
        <v>0.5333</v>
      </c>
      <c r="E123">
        <v>0.61699999999999999</v>
      </c>
      <c r="F123">
        <v>4647440</v>
      </c>
      <c r="G123">
        <v>0.61699999999999999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0.91095890410958869</v>
      </c>
      <c r="Q123">
        <f t="shared" ref="Q123" si="591">F123*P123</f>
        <v>4233626.8493150668</v>
      </c>
      <c r="R123">
        <f t="shared" ref="R123" si="592">R124+Q123</f>
        <v>-5636313178.4233189</v>
      </c>
      <c r="S123">
        <f t="shared" ref="S123" si="593">R123/100000</f>
        <v>-56363.131784233192</v>
      </c>
      <c r="T123">
        <f t="shared" ref="T123" si="594">S123/1000</f>
        <v>-56.36313178423319</v>
      </c>
    </row>
    <row r="124" spans="1:20" x14ac:dyDescent="0.25">
      <c r="A124" s="5">
        <v>44469</v>
      </c>
      <c r="B124">
        <v>0.51249999999999996</v>
      </c>
      <c r="C124">
        <v>0.55549999999999999</v>
      </c>
      <c r="D124">
        <v>0.5101</v>
      </c>
      <c r="E124">
        <v>0.55020000000000002</v>
      </c>
      <c r="F124">
        <v>2067383</v>
      </c>
      <c r="G124">
        <v>0.55020000000000002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0.76651982378854755</v>
      </c>
      <c r="Q124">
        <f t="shared" ref="Q124" si="596">F124*P124</f>
        <v>1584690.0528634388</v>
      </c>
      <c r="R124">
        <f t="shared" ref="R124" si="597">R125+Q124</f>
        <v>-5640546805.2726336</v>
      </c>
      <c r="S124">
        <f t="shared" ref="S124" si="598">R124/100000</f>
        <v>-56405.468052726334</v>
      </c>
      <c r="T124">
        <f t="shared" ref="T124" si="599">S124/1000</f>
        <v>-56.405468052726334</v>
      </c>
    </row>
    <row r="125" spans="1:20" x14ac:dyDescent="0.25">
      <c r="A125" s="5">
        <v>44468</v>
      </c>
      <c r="B125">
        <v>0.51280000000000003</v>
      </c>
      <c r="C125">
        <v>0.55769999999999997</v>
      </c>
      <c r="D125">
        <v>0.50039999999999996</v>
      </c>
      <c r="E125">
        <v>0.51249999999999996</v>
      </c>
      <c r="F125">
        <v>2189402</v>
      </c>
      <c r="G125">
        <v>0.51249999999999996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-0.57766143106457257</v>
      </c>
      <c r="Q125">
        <f t="shared" ref="Q125" si="601">F125*P125</f>
        <v>-1264733.0924956372</v>
      </c>
      <c r="R125">
        <f t="shared" ref="R125" si="602">R126+Q125</f>
        <v>-5642131495.3254967</v>
      </c>
      <c r="S125">
        <f t="shared" ref="S125" si="603">R125/100000</f>
        <v>-56421.314953254965</v>
      </c>
      <c r="T125">
        <f t="shared" ref="T125" si="604">S125/1000</f>
        <v>-56.421314953254964</v>
      </c>
    </row>
    <row r="126" spans="1:20" x14ac:dyDescent="0.25">
      <c r="A126" s="5">
        <v>44467</v>
      </c>
      <c r="B126">
        <v>0.52339999999999998</v>
      </c>
      <c r="C126">
        <v>0.56599999999999995</v>
      </c>
      <c r="D126">
        <v>0.4945</v>
      </c>
      <c r="E126">
        <v>0.51280000000000003</v>
      </c>
      <c r="F126">
        <v>2292762</v>
      </c>
      <c r="G126">
        <v>0.51280000000000003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-0.48811188811188672</v>
      </c>
      <c r="Q126">
        <f t="shared" ref="Q126" si="606">F126*P126</f>
        <v>-1119124.3888111857</v>
      </c>
      <c r="R126">
        <f t="shared" ref="R126" si="607">R127+Q126</f>
        <v>-5640866762.2330008</v>
      </c>
      <c r="S126">
        <f t="shared" ref="S126" si="608">R126/100000</f>
        <v>-56408.667622330009</v>
      </c>
      <c r="T126">
        <f t="shared" ref="T126" si="609">S126/1000</f>
        <v>-56.408667622330007</v>
      </c>
    </row>
    <row r="127" spans="1:20" x14ac:dyDescent="0.25">
      <c r="A127" s="5">
        <v>44466</v>
      </c>
      <c r="B127">
        <v>0.53580000000000005</v>
      </c>
      <c r="C127">
        <v>0.56659999999999999</v>
      </c>
      <c r="D127">
        <v>0.52</v>
      </c>
      <c r="E127">
        <v>0.52349999999999997</v>
      </c>
      <c r="F127">
        <v>2250134</v>
      </c>
      <c r="G127">
        <v>0.52349999999999997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-0.84978540772532407</v>
      </c>
      <c r="Q127">
        <f t="shared" ref="Q127" si="611">F127*P127</f>
        <v>-1912131.0386266143</v>
      </c>
      <c r="R127">
        <f t="shared" ref="R127" si="612">R128+Q127</f>
        <v>-5639747637.8441896</v>
      </c>
      <c r="S127">
        <f t="shared" ref="S127" si="613">R127/100000</f>
        <v>-56397.476378441897</v>
      </c>
      <c r="T127">
        <f t="shared" ref="T127" si="614">S127/1000</f>
        <v>-56.397476378441894</v>
      </c>
    </row>
    <row r="128" spans="1:20" x14ac:dyDescent="0.25">
      <c r="A128" s="5">
        <v>44465</v>
      </c>
      <c r="B128">
        <v>0.56569999999999998</v>
      </c>
      <c r="C128">
        <v>0.56610000000000005</v>
      </c>
      <c r="D128">
        <v>0.5</v>
      </c>
      <c r="E128">
        <v>0.53520000000000001</v>
      </c>
      <c r="F128">
        <v>2312282.12</v>
      </c>
      <c r="G128">
        <v>0.53520000000000001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6.5052950075642477E-2</v>
      </c>
      <c r="Q128">
        <f t="shared" ref="Q128" si="616">F128*P128</f>
        <v>150420.77331316075</v>
      </c>
      <c r="R128">
        <f t="shared" ref="R128" si="617">R129+Q128</f>
        <v>-5637835506.805563</v>
      </c>
      <c r="S128">
        <f t="shared" ref="S128" si="618">R128/100000</f>
        <v>-56378.355068055629</v>
      </c>
      <c r="T128">
        <f t="shared" ref="T128" si="619">S128/1000</f>
        <v>-56.378355068055626</v>
      </c>
    </row>
    <row r="129" spans="1:20" x14ac:dyDescent="0.25">
      <c r="A129" s="5">
        <v>44464</v>
      </c>
      <c r="B129">
        <v>0.58660000000000001</v>
      </c>
      <c r="C129">
        <v>0.59650000000000003</v>
      </c>
      <c r="D129">
        <v>0.5373</v>
      </c>
      <c r="E129">
        <v>0.56420000000000003</v>
      </c>
      <c r="F129">
        <v>3061686.2</v>
      </c>
      <c r="G129">
        <v>0.56420000000000003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-9.1216216216215507E-2</v>
      </c>
      <c r="Q129">
        <f t="shared" ref="Q129" si="621">F129*P129</f>
        <v>-279275.43040540325</v>
      </c>
      <c r="R129">
        <f t="shared" ref="R129" si="622">R130+Q129</f>
        <v>-5637985927.5788765</v>
      </c>
      <c r="S129">
        <f t="shared" ref="S129" si="623">R129/100000</f>
        <v>-56379.859275788767</v>
      </c>
      <c r="T129">
        <f t="shared" ref="T129" si="624">S129/1000</f>
        <v>-56.379859275788768</v>
      </c>
    </row>
    <row r="130" spans="1:20" x14ac:dyDescent="0.25">
      <c r="A130" s="5">
        <v>44463</v>
      </c>
      <c r="B130">
        <v>0.63290000000000002</v>
      </c>
      <c r="C130">
        <v>0.63470000000000004</v>
      </c>
      <c r="D130">
        <v>0.54400000000000004</v>
      </c>
      <c r="E130">
        <v>0.58660000000000001</v>
      </c>
      <c r="F130">
        <v>3274444</v>
      </c>
      <c r="G130">
        <v>0.58660000000000001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-6.0639470782801103E-2</v>
      </c>
      <c r="Q130">
        <f t="shared" ref="Q130" si="626">F130*P130</f>
        <v>-198560.55126791837</v>
      </c>
      <c r="R130">
        <f t="shared" ref="R130" si="627">R131+Q130</f>
        <v>-5637706652.1484709</v>
      </c>
      <c r="S130">
        <f t="shared" ref="S130" si="628">R130/100000</f>
        <v>-56377.06652148471</v>
      </c>
      <c r="T130">
        <f t="shared" ref="T130" si="629">S130/1000</f>
        <v>-56.377066521484707</v>
      </c>
    </row>
    <row r="131" spans="1:20" x14ac:dyDescent="0.25">
      <c r="A131" s="5">
        <v>44462</v>
      </c>
      <c r="B131">
        <v>0.61180000000000001</v>
      </c>
      <c r="C131">
        <v>0.67110000000000003</v>
      </c>
      <c r="D131">
        <v>0.59930000000000005</v>
      </c>
      <c r="E131">
        <v>0.63470000000000004</v>
      </c>
      <c r="F131">
        <v>4790257</v>
      </c>
      <c r="G131">
        <v>0.63470000000000004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-1.3927576601671326E-2</v>
      </c>
      <c r="Q131">
        <f t="shared" ref="Q131" si="631">F131*P131</f>
        <v>-66716.671309192287</v>
      </c>
      <c r="R131">
        <f t="shared" ref="R131" si="632">R132+Q131</f>
        <v>-5637508091.5972033</v>
      </c>
      <c r="S131">
        <f t="shared" ref="S131" si="633">R131/100000</f>
        <v>-56375.08091597203</v>
      </c>
      <c r="T131">
        <f t="shared" ref="T131" si="634">S131/1000</f>
        <v>-56.375080915972028</v>
      </c>
    </row>
    <row r="132" spans="1:20" x14ac:dyDescent="0.25">
      <c r="A132" s="5">
        <v>44461</v>
      </c>
      <c r="B132">
        <v>0.55500000000000005</v>
      </c>
      <c r="C132">
        <v>0.62</v>
      </c>
      <c r="D132">
        <v>0.54400000000000004</v>
      </c>
      <c r="E132">
        <v>0.61170000000000002</v>
      </c>
      <c r="F132">
        <v>3015407</v>
      </c>
      <c r="G132">
        <v>0.61170000000000002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0.78157894736842159</v>
      </c>
      <c r="Q132">
        <f t="shared" ref="Q132" si="636">F132*P132</f>
        <v>2356778.6289473702</v>
      </c>
      <c r="R132">
        <f t="shared" ref="R132" si="637">R133+Q132</f>
        <v>-5637441374.9258938</v>
      </c>
      <c r="S132">
        <f t="shared" ref="S132" si="638">R132/100000</f>
        <v>-56374.413749258936</v>
      </c>
      <c r="T132">
        <f t="shared" ref="T132" si="639">S132/1000</f>
        <v>-56.374413749258935</v>
      </c>
    </row>
    <row r="133" spans="1:20" x14ac:dyDescent="0.25">
      <c r="A133" s="5">
        <v>44460</v>
      </c>
      <c r="B133">
        <v>0.6038</v>
      </c>
      <c r="C133">
        <v>0.64249999999999996</v>
      </c>
      <c r="D133">
        <v>0.5464</v>
      </c>
      <c r="E133">
        <v>0.55459999999999998</v>
      </c>
      <c r="F133">
        <v>4278920.3899999997</v>
      </c>
      <c r="G133">
        <v>0.55459999999999998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-0.82934443288241444</v>
      </c>
      <c r="Q133">
        <f t="shared" ref="Q133" si="641">F133*P133</f>
        <v>-3548698.8041935493</v>
      </c>
      <c r="R133">
        <f t="shared" ref="R133" si="642">R134+Q133</f>
        <v>-5639798153.554841</v>
      </c>
      <c r="S133">
        <f t="shared" ref="S133" si="643">R133/100000</f>
        <v>-56397.98153554841</v>
      </c>
      <c r="T133">
        <f t="shared" ref="T133" si="644">S133/1000</f>
        <v>-56.397981535548411</v>
      </c>
    </row>
    <row r="134" spans="1:20" x14ac:dyDescent="0.25">
      <c r="A134" s="5">
        <v>44459</v>
      </c>
      <c r="B134">
        <v>0.69289999999999996</v>
      </c>
      <c r="C134">
        <v>0.69289999999999996</v>
      </c>
      <c r="D134">
        <v>0.61199999999999999</v>
      </c>
      <c r="E134">
        <v>0.64180000000000004</v>
      </c>
      <c r="F134">
        <v>1958398</v>
      </c>
      <c r="G134">
        <v>0.64180000000000004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-0.26328800988875006</v>
      </c>
      <c r="Q134">
        <f t="shared" ref="Q134" si="646">F134*P134</f>
        <v>-515622.71199010836</v>
      </c>
      <c r="R134">
        <f t="shared" ref="R134" si="647">R135+Q134</f>
        <v>-5636249454.7506475</v>
      </c>
      <c r="S134">
        <f t="shared" ref="S134" si="648">R134/100000</f>
        <v>-56362.494547506474</v>
      </c>
      <c r="T134">
        <f t="shared" ref="T134" si="649">S134/1000</f>
        <v>-56.362494547506472</v>
      </c>
    </row>
    <row r="135" spans="1:20" x14ac:dyDescent="0.25">
      <c r="A135" s="5">
        <v>44458</v>
      </c>
      <c r="B135">
        <v>0.72199999999999998</v>
      </c>
      <c r="C135">
        <v>0.72899999999999998</v>
      </c>
      <c r="D135">
        <v>0.68359999999999999</v>
      </c>
      <c r="E135">
        <v>0.69299999999999995</v>
      </c>
      <c r="F135">
        <v>1716003</v>
      </c>
      <c r="G135">
        <v>0.69299999999999995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-0.58590308370044208</v>
      </c>
      <c r="Q135">
        <f t="shared" ref="Q135" si="651">F135*P135</f>
        <v>-1005411.4493392097</v>
      </c>
      <c r="R135">
        <f t="shared" ref="R135" si="652">R136+Q135</f>
        <v>-5635733832.0386572</v>
      </c>
      <c r="S135">
        <f t="shared" ref="S135" si="653">R135/100000</f>
        <v>-56357.338320386574</v>
      </c>
      <c r="T135">
        <f t="shared" ref="T135" si="654">S135/1000</f>
        <v>-56.357338320386575</v>
      </c>
    </row>
    <row r="136" spans="1:20" x14ac:dyDescent="0.25">
      <c r="A136" s="5">
        <v>44457</v>
      </c>
      <c r="B136">
        <v>0.70379999999999998</v>
      </c>
      <c r="C136">
        <v>0.74</v>
      </c>
      <c r="D136">
        <v>0.70050000000000001</v>
      </c>
      <c r="E136">
        <v>0.72199999999999998</v>
      </c>
      <c r="F136">
        <v>2776296</v>
      </c>
      <c r="G136">
        <v>0.72199999999999998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8.8607594936707584E-2</v>
      </c>
      <c r="Q136">
        <f t="shared" ref="Q136" si="656">F136*P136</f>
        <v>246000.91139240153</v>
      </c>
      <c r="R136">
        <f t="shared" ref="R136" si="657">R137+Q136</f>
        <v>-5634728420.5893183</v>
      </c>
      <c r="S136">
        <f t="shared" ref="S136" si="658">R136/100000</f>
        <v>-56347.284205893186</v>
      </c>
      <c r="T136">
        <f t="shared" ref="T136" si="659">S136/1000</f>
        <v>-56.347284205893189</v>
      </c>
    </row>
    <row r="137" spans="1:20" x14ac:dyDescent="0.25">
      <c r="A137" s="5">
        <v>44456</v>
      </c>
      <c r="B137">
        <v>0.73260000000000003</v>
      </c>
      <c r="C137">
        <v>0.73540000000000005</v>
      </c>
      <c r="D137">
        <v>0.69</v>
      </c>
      <c r="E137">
        <v>0.7006</v>
      </c>
      <c r="F137">
        <v>2660094</v>
      </c>
      <c r="G137">
        <v>0.7006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-0.53303964757709121</v>
      </c>
      <c r="Q137">
        <f t="shared" ref="Q137" si="661">F137*P137</f>
        <v>-1417935.5682819348</v>
      </c>
      <c r="R137">
        <f t="shared" ref="R137" si="662">R138+Q137</f>
        <v>-5634974421.5007105</v>
      </c>
      <c r="S137">
        <f t="shared" ref="S137" si="663">R137/100000</f>
        <v>-56349.744215007107</v>
      </c>
      <c r="T137">
        <f t="shared" ref="T137" si="664">S137/1000</f>
        <v>-56.349744215007107</v>
      </c>
    </row>
    <row r="138" spans="1:20" x14ac:dyDescent="0.25">
      <c r="A138" s="5">
        <v>44455</v>
      </c>
      <c r="B138">
        <v>0.75800000000000001</v>
      </c>
      <c r="C138">
        <v>0.76029999999999998</v>
      </c>
      <c r="D138">
        <v>0.71499999999999997</v>
      </c>
      <c r="E138">
        <v>0.73340000000000005</v>
      </c>
      <c r="F138">
        <v>2783051</v>
      </c>
      <c r="G138">
        <v>0.73340000000000005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-0.1876379690949192</v>
      </c>
      <c r="Q138">
        <f t="shared" ref="Q138" si="666">F138*P138</f>
        <v>-522206.03752758395</v>
      </c>
      <c r="R138">
        <f t="shared" ref="R138" si="667">R139+Q138</f>
        <v>-5633556485.9324284</v>
      </c>
      <c r="S138">
        <f t="shared" ref="S138" si="668">R138/100000</f>
        <v>-56335.56485932428</v>
      </c>
      <c r="T138">
        <f t="shared" ref="T138" si="669">S138/1000</f>
        <v>-56.335564859324279</v>
      </c>
    </row>
    <row r="139" spans="1:20" x14ac:dyDescent="0.25">
      <c r="A139" s="5">
        <v>44454</v>
      </c>
      <c r="B139">
        <v>0.75360000000000005</v>
      </c>
      <c r="C139">
        <v>0.76639999999999997</v>
      </c>
      <c r="D139">
        <v>0.72640000000000005</v>
      </c>
      <c r="E139">
        <v>0.75800000000000001</v>
      </c>
      <c r="F139">
        <v>3046547</v>
      </c>
      <c r="G139">
        <v>0.75800000000000001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0.58000000000000107</v>
      </c>
      <c r="Q139">
        <f t="shared" ref="Q139" si="671">F139*P139</f>
        <v>1766997.2600000033</v>
      </c>
      <c r="R139">
        <f t="shared" ref="R139" si="672">R140+Q139</f>
        <v>-5633034279.8949003</v>
      </c>
      <c r="S139">
        <f t="shared" ref="S139" si="673">R139/100000</f>
        <v>-56330.342798949001</v>
      </c>
      <c r="T139">
        <f t="shared" ref="T139" si="674">S139/1000</f>
        <v>-56.330342798948998</v>
      </c>
    </row>
    <row r="140" spans="1:20" x14ac:dyDescent="0.25">
      <c r="A140" s="5">
        <v>44453</v>
      </c>
      <c r="B140">
        <v>0.72099999999999997</v>
      </c>
      <c r="C140">
        <v>0.78810000000000002</v>
      </c>
      <c r="D140">
        <v>0.71299999999999997</v>
      </c>
      <c r="E140">
        <v>0.75229999999999997</v>
      </c>
      <c r="F140">
        <v>3755005</v>
      </c>
      <c r="G140">
        <v>0.75229999999999997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4.6604527296936683E-2</v>
      </c>
      <c r="Q140">
        <f t="shared" ref="Q140" si="676">F140*P140</f>
        <v>175000.23302263374</v>
      </c>
      <c r="R140">
        <f t="shared" ref="R140" si="677">R141+Q140</f>
        <v>-5634801277.1549006</v>
      </c>
      <c r="S140">
        <f t="shared" ref="S140" si="678">R140/100000</f>
        <v>-56348.012771549009</v>
      </c>
      <c r="T140">
        <f t="shared" ref="T140" si="679">S140/1000</f>
        <v>-56.348012771549008</v>
      </c>
    </row>
    <row r="141" spans="1:20" x14ac:dyDescent="0.25">
      <c r="A141" s="5">
        <v>44452</v>
      </c>
      <c r="B141">
        <v>0.78500000000000003</v>
      </c>
      <c r="C141">
        <v>0.78590000000000004</v>
      </c>
      <c r="D141">
        <v>0.70879999999999999</v>
      </c>
      <c r="E141">
        <v>0.72150000000000003</v>
      </c>
      <c r="F141">
        <v>4141902</v>
      </c>
      <c r="G141">
        <v>0.72150000000000003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-0.67055771725032332</v>
      </c>
      <c r="Q141">
        <f t="shared" ref="Q141" si="681">F141*P141</f>
        <v>-2777384.3501945487</v>
      </c>
      <c r="R141">
        <f t="shared" ref="R141" si="682">R142+Q141</f>
        <v>-5634976277.3879232</v>
      </c>
      <c r="S141">
        <f t="shared" ref="S141" si="683">R141/100000</f>
        <v>-56349.762773879229</v>
      </c>
      <c r="T141">
        <f t="shared" ref="T141" si="684">S141/1000</f>
        <v>-56.349762773879227</v>
      </c>
    </row>
    <row r="142" spans="1:20" x14ac:dyDescent="0.25">
      <c r="A142" s="5">
        <v>44451</v>
      </c>
      <c r="B142">
        <v>0.79869999999999997</v>
      </c>
      <c r="C142">
        <v>0.81479999999999997</v>
      </c>
      <c r="D142">
        <v>0.76080000000000003</v>
      </c>
      <c r="E142">
        <v>0.78500000000000003</v>
      </c>
      <c r="F142">
        <v>3595569</v>
      </c>
      <c r="G142">
        <v>0.78500000000000003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-0.10370370370370269</v>
      </c>
      <c r="Q142">
        <f t="shared" ref="Q142" si="686">F142*P142</f>
        <v>-372873.82222221856</v>
      </c>
      <c r="R142">
        <f t="shared" ref="R142" si="687">R143+Q142</f>
        <v>-5632198893.0377283</v>
      </c>
      <c r="S142">
        <f t="shared" ref="S142" si="688">R142/100000</f>
        <v>-56321.98893037728</v>
      </c>
      <c r="T142">
        <f t="shared" ref="T142" si="689">S142/1000</f>
        <v>-56.32198893037728</v>
      </c>
    </row>
    <row r="143" spans="1:20" x14ac:dyDescent="0.25">
      <c r="A143" s="5">
        <v>44450</v>
      </c>
      <c r="B143">
        <v>0.78059999999999996</v>
      </c>
      <c r="C143">
        <v>0.84</v>
      </c>
      <c r="D143">
        <v>0.7571</v>
      </c>
      <c r="E143">
        <v>0.79879999999999995</v>
      </c>
      <c r="F143">
        <v>5193954</v>
      </c>
      <c r="G143">
        <v>0.79879999999999995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6.0313630880572391E-3</v>
      </c>
      <c r="Q143">
        <f t="shared" ref="Q143" si="691">F143*P143</f>
        <v>31326.62243666725</v>
      </c>
      <c r="R143">
        <f t="shared" ref="R143" si="692">R144+Q143</f>
        <v>-5631826019.2155066</v>
      </c>
      <c r="S143">
        <f t="shared" ref="S143" si="693">R143/100000</f>
        <v>-56318.260192155067</v>
      </c>
      <c r="T143">
        <f t="shared" ref="T143" si="694">S143/1000</f>
        <v>-56.318260192155066</v>
      </c>
    </row>
    <row r="144" spans="1:20" x14ac:dyDescent="0.25">
      <c r="A144" s="5">
        <v>44449</v>
      </c>
      <c r="B144">
        <v>0.81120000000000003</v>
      </c>
      <c r="C144">
        <v>0.85550000000000004</v>
      </c>
      <c r="D144">
        <v>0.72619999999999996</v>
      </c>
      <c r="E144">
        <v>0.78280000000000005</v>
      </c>
      <c r="F144">
        <v>8371949</v>
      </c>
      <c r="G144">
        <v>0.78280000000000005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-0.12451662799690551</v>
      </c>
      <c r="Q144">
        <f t="shared" ref="Q144" si="696">F144*P144</f>
        <v>-1042446.8592420651</v>
      </c>
      <c r="R144">
        <f t="shared" ref="R144" si="697">R145+Q144</f>
        <v>-5631857345.8379431</v>
      </c>
      <c r="S144">
        <f t="shared" ref="S144" si="698">R144/100000</f>
        <v>-56318.573458379433</v>
      </c>
      <c r="T144">
        <f t="shared" ref="T144" si="699">S144/1000</f>
        <v>-56.318573458379433</v>
      </c>
    </row>
    <row r="145" spans="1:20" x14ac:dyDescent="0.25">
      <c r="A145" s="5">
        <v>44448</v>
      </c>
      <c r="B145">
        <v>0.83079999999999998</v>
      </c>
      <c r="C145">
        <v>0.92900000000000005</v>
      </c>
      <c r="D145">
        <v>0.80320000000000003</v>
      </c>
      <c r="E145">
        <v>0.81320000000000003</v>
      </c>
      <c r="F145">
        <v>9267102</v>
      </c>
      <c r="G145">
        <v>0.81320000000000003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-0.84101748807631149</v>
      </c>
      <c r="Q145">
        <f t="shared" ref="Q145" si="701">F145*P145</f>
        <v>-7793794.8457869627</v>
      </c>
      <c r="R145">
        <f t="shared" ref="R145" si="702">R146+Q145</f>
        <v>-5630814898.9787006</v>
      </c>
      <c r="S145">
        <f t="shared" ref="S145" si="703">R145/100000</f>
        <v>-56308.148989787005</v>
      </c>
      <c r="T145">
        <f t="shared" ref="T145" si="704">S145/1000</f>
        <v>-56.308148989787007</v>
      </c>
    </row>
    <row r="146" spans="1:20" x14ac:dyDescent="0.25">
      <c r="A146" s="5">
        <v>44447</v>
      </c>
      <c r="B146">
        <v>0.73180000000000001</v>
      </c>
      <c r="C146">
        <v>0.88619999999999999</v>
      </c>
      <c r="D146">
        <v>0.68120000000000003</v>
      </c>
      <c r="E146">
        <v>0.83099999999999996</v>
      </c>
      <c r="F146">
        <v>14947417</v>
      </c>
      <c r="G146">
        <v>0.83099999999999996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0.46146341463414597</v>
      </c>
      <c r="Q146">
        <f t="shared" ref="Q146" si="706">F146*P146</f>
        <v>6897686.0887804823</v>
      </c>
      <c r="R146">
        <f t="shared" ref="R146" si="707">R147+Q146</f>
        <v>-5623021104.1329136</v>
      </c>
      <c r="S146">
        <f t="shared" ref="S146" si="708">R146/100000</f>
        <v>-56230.211041329138</v>
      </c>
      <c r="T146">
        <f t="shared" ref="T146" si="709">S146/1000</f>
        <v>-56.230211041329135</v>
      </c>
    </row>
    <row r="147" spans="1:20" x14ac:dyDescent="0.25">
      <c r="A147" s="5">
        <v>44446</v>
      </c>
      <c r="B147">
        <v>0.87270000000000003</v>
      </c>
      <c r="C147">
        <v>1.0495000000000001</v>
      </c>
      <c r="D147">
        <v>0.62</v>
      </c>
      <c r="E147">
        <v>0.73170000000000002</v>
      </c>
      <c r="F147">
        <v>29684582.440000001</v>
      </c>
      <c r="G147">
        <v>0.73170000000000002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-0.47986030267753205</v>
      </c>
      <c r="Q147">
        <f t="shared" ref="Q147" si="711">F147*P147</f>
        <v>-14244452.714514554</v>
      </c>
      <c r="R147">
        <f t="shared" ref="R147" si="712">R148+Q147</f>
        <v>-5629918790.221694</v>
      </c>
      <c r="S147">
        <f t="shared" ref="S147" si="713">R147/100000</f>
        <v>-56299.187902216938</v>
      </c>
      <c r="T147">
        <f t="shared" ref="T147" si="714">S147/1000</f>
        <v>-56.299187902216936</v>
      </c>
    </row>
    <row r="148" spans="1:20" x14ac:dyDescent="0.25">
      <c r="A148" s="5">
        <v>44445</v>
      </c>
      <c r="B148">
        <v>0.77329999999999999</v>
      </c>
      <c r="C148">
        <v>0.96399999999999997</v>
      </c>
      <c r="D148">
        <v>0.76</v>
      </c>
      <c r="E148">
        <v>0.87039999999999995</v>
      </c>
      <c r="F148">
        <v>20914403.379999999</v>
      </c>
      <c r="G148">
        <v>0.87039999999999995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8.235294117647024E-2</v>
      </c>
      <c r="Q148">
        <f t="shared" ref="Q148" si="716">F148*P148</f>
        <v>1722362.6312941103</v>
      </c>
      <c r="R148">
        <f t="shared" ref="R148" si="717">R149+Q148</f>
        <v>-5615674337.5071793</v>
      </c>
      <c r="S148">
        <f t="shared" ref="S148" si="718">R148/100000</f>
        <v>-56156.74337507179</v>
      </c>
      <c r="T148">
        <f t="shared" ref="T148" si="719">S148/1000</f>
        <v>-56.156743375071791</v>
      </c>
    </row>
    <row r="149" spans="1:20" x14ac:dyDescent="0.25">
      <c r="A149" s="5">
        <v>44444</v>
      </c>
      <c r="B149">
        <v>0.74980000000000002</v>
      </c>
      <c r="C149">
        <v>0.78400000000000003</v>
      </c>
      <c r="D149">
        <v>0.74209999999999998</v>
      </c>
      <c r="E149">
        <v>0.77249999999999996</v>
      </c>
      <c r="F149">
        <v>3752001</v>
      </c>
      <c r="G149">
        <v>0.77249999999999996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0.45107398568018842</v>
      </c>
      <c r="Q149">
        <f t="shared" ref="Q149" si="721">F149*P149</f>
        <v>1692430.0453460526</v>
      </c>
      <c r="R149">
        <f t="shared" ref="R149" si="722">R150+Q149</f>
        <v>-5617396700.1384735</v>
      </c>
      <c r="S149">
        <f t="shared" ref="S149" si="723">R149/100000</f>
        <v>-56173.967001384735</v>
      </c>
      <c r="T149">
        <f t="shared" ref="T149" si="724">S149/1000</f>
        <v>-56.173967001384739</v>
      </c>
    </row>
    <row r="150" spans="1:20" x14ac:dyDescent="0.25">
      <c r="A150" s="5">
        <v>44443</v>
      </c>
      <c r="B150">
        <v>0.76070000000000004</v>
      </c>
      <c r="C150">
        <v>0.79169999999999996</v>
      </c>
      <c r="D150">
        <v>0.73619999999999997</v>
      </c>
      <c r="E150">
        <v>0.74980000000000002</v>
      </c>
      <c r="F150">
        <v>4453247</v>
      </c>
      <c r="G150">
        <v>0.74980000000000002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-0.50990990990990781</v>
      </c>
      <c r="Q150">
        <f t="shared" ref="Q150" si="726">F150*P150</f>
        <v>-2270754.7765765674</v>
      </c>
      <c r="R150">
        <f t="shared" ref="R150" si="727">R151+Q150</f>
        <v>-5619089130.1838198</v>
      </c>
      <c r="S150">
        <f t="shared" ref="S150" si="728">R150/100000</f>
        <v>-56190.891301838201</v>
      </c>
      <c r="T150">
        <f t="shared" ref="T150" si="729">S150/1000</f>
        <v>-56.190891301838199</v>
      </c>
    </row>
    <row r="151" spans="1:20" x14ac:dyDescent="0.25">
      <c r="A151" s="5">
        <v>44442</v>
      </c>
      <c r="B151">
        <v>0.73380000000000001</v>
      </c>
      <c r="C151">
        <v>0.77890000000000004</v>
      </c>
      <c r="D151">
        <v>0.72099999999999997</v>
      </c>
      <c r="E151">
        <v>0.76060000000000005</v>
      </c>
      <c r="F151">
        <v>3826377</v>
      </c>
      <c r="G151">
        <v>0.76060000000000005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0.36787564766839503</v>
      </c>
      <c r="Q151">
        <f t="shared" ref="Q151" si="731">F151*P151</f>
        <v>1407630.9170984505</v>
      </c>
      <c r="R151">
        <f t="shared" ref="R151" si="732">R152+Q151</f>
        <v>-5616818375.4072428</v>
      </c>
      <c r="S151">
        <f t="shared" ref="S151" si="733">R151/100000</f>
        <v>-56168.18375407243</v>
      </c>
      <c r="T151">
        <f t="shared" ref="T151" si="734">S151/1000</f>
        <v>-56.16818375407243</v>
      </c>
    </row>
    <row r="152" spans="1:20" x14ac:dyDescent="0.25">
      <c r="A152" s="5">
        <v>44441</v>
      </c>
      <c r="B152">
        <v>0.74809999999999999</v>
      </c>
      <c r="C152">
        <v>0.76939999999999997</v>
      </c>
      <c r="D152">
        <v>0.73129999999999995</v>
      </c>
      <c r="E152">
        <v>0.73370000000000002</v>
      </c>
      <c r="F152">
        <v>2768546</v>
      </c>
      <c r="G152">
        <v>0.73370000000000002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-0.87401574803149251</v>
      </c>
      <c r="Q152">
        <f t="shared" ref="Q152" si="736">F152*P152</f>
        <v>-2419752.8031495963</v>
      </c>
      <c r="R152">
        <f t="shared" ref="R152" si="737">R153+Q152</f>
        <v>-5618226006.3243408</v>
      </c>
      <c r="S152">
        <f t="shared" ref="S152" si="738">R152/100000</f>
        <v>-56182.260063243411</v>
      </c>
      <c r="T152">
        <f t="shared" ref="T152" si="739">S152/1000</f>
        <v>-56.182260063243412</v>
      </c>
    </row>
    <row r="153" spans="1:20" x14ac:dyDescent="0.25">
      <c r="A153" s="5">
        <v>44440</v>
      </c>
      <c r="B153">
        <v>0.7389</v>
      </c>
      <c r="C153">
        <v>0.75009999999999999</v>
      </c>
      <c r="D153">
        <v>0.7097</v>
      </c>
      <c r="E153">
        <v>0.74729999999999996</v>
      </c>
      <c r="F153">
        <v>2709373</v>
      </c>
      <c r="G153">
        <v>0.74729999999999996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0.86138613861386015</v>
      </c>
      <c r="Q153">
        <f t="shared" ref="Q153" si="741">F153*P153</f>
        <v>2333816.3465346503</v>
      </c>
      <c r="R153">
        <f t="shared" ref="R153" si="742">R154+Q153</f>
        <v>-5615806253.5211916</v>
      </c>
      <c r="S153">
        <f t="shared" ref="S153" si="743">R153/100000</f>
        <v>-56158.062535211917</v>
      </c>
      <c r="T153">
        <f t="shared" ref="T153" si="744">S153/1000</f>
        <v>-56.158062535211918</v>
      </c>
    </row>
    <row r="154" spans="1:20" x14ac:dyDescent="0.25">
      <c r="A154" s="5">
        <v>44439</v>
      </c>
      <c r="B154">
        <v>0.72019999999999995</v>
      </c>
      <c r="C154">
        <v>0.76090000000000002</v>
      </c>
      <c r="D154">
        <v>0.71130000000000004</v>
      </c>
      <c r="E154">
        <v>0.7389</v>
      </c>
      <c r="F154">
        <v>3233459</v>
      </c>
      <c r="G154">
        <v>0.7389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0.11290322580645042</v>
      </c>
      <c r="Q154">
        <f t="shared" ref="Q154" si="746">F154*P154</f>
        <v>365067.95161289937</v>
      </c>
      <c r="R154">
        <f t="shared" ref="R154" si="747">R155+Q154</f>
        <v>-5618140069.8677263</v>
      </c>
      <c r="S154">
        <f t="shared" ref="S154" si="748">R154/100000</f>
        <v>-56181.400698677266</v>
      </c>
      <c r="T154">
        <f t="shared" ref="T154" si="749">S154/1000</f>
        <v>-56.181400698677265</v>
      </c>
    </row>
    <row r="155" spans="1:20" x14ac:dyDescent="0.25">
      <c r="A155" s="5">
        <v>44438</v>
      </c>
      <c r="B155">
        <v>0.73740000000000006</v>
      </c>
      <c r="C155">
        <v>0.79879999999999995</v>
      </c>
      <c r="D155">
        <v>0.71660000000000001</v>
      </c>
      <c r="E155">
        <v>0.71850000000000003</v>
      </c>
      <c r="F155">
        <v>4939382.24</v>
      </c>
      <c r="G155">
        <v>0.71850000000000003</v>
      </c>
      <c r="L155" t="s">
        <v>8</v>
      </c>
      <c r="M155" t="s">
        <v>7</v>
      </c>
      <c r="N155" t="s">
        <v>8</v>
      </c>
      <c r="P155">
        <f t="shared" ref="P155" si="750">IF(C155=D155,0,((E155-D155)-(C155-E155))/(C155-D155))</f>
        <v>-0.95377128953771251</v>
      </c>
      <c r="Q155">
        <f t="shared" ref="Q155" si="751">F155*P155</f>
        <v>-4711040.968564475</v>
      </c>
      <c r="R155">
        <f t="shared" ref="R155" si="752">R156+Q155</f>
        <v>-5618505137.8193388</v>
      </c>
      <c r="S155">
        <f t="shared" ref="S155" si="753">R155/100000</f>
        <v>-56185.051378193391</v>
      </c>
      <c r="T155">
        <f t="shared" ref="T155" si="754">S155/1000</f>
        <v>-56.185051378193393</v>
      </c>
    </row>
    <row r="156" spans="1:20" x14ac:dyDescent="0.25">
      <c r="A156" s="5">
        <v>44437</v>
      </c>
      <c r="B156">
        <v>0.73680000000000001</v>
      </c>
      <c r="C156">
        <v>0.76700000000000002</v>
      </c>
      <c r="D156">
        <v>0.7</v>
      </c>
      <c r="E156">
        <v>0.73909999999999998</v>
      </c>
      <c r="F156">
        <v>3296728.79</v>
      </c>
      <c r="G156">
        <v>0.73909999999999998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0.16716417910447728</v>
      </c>
      <c r="Q156">
        <f t="shared" ref="Q156" si="756">F156*P156</f>
        <v>551094.96191044664</v>
      </c>
      <c r="R156">
        <f t="shared" ref="R156" si="757">R157+Q156</f>
        <v>-5613794096.8507748</v>
      </c>
      <c r="S156">
        <f t="shared" ref="S156" si="758">R156/100000</f>
        <v>-56137.940968507748</v>
      </c>
      <c r="T156">
        <f t="shared" ref="T156" si="759">S156/1000</f>
        <v>-56.137940968507749</v>
      </c>
    </row>
    <row r="157" spans="1:20" x14ac:dyDescent="0.25">
      <c r="A157" s="5">
        <v>44436</v>
      </c>
      <c r="B157">
        <v>0.74809999999999999</v>
      </c>
      <c r="C157">
        <v>0.75360000000000005</v>
      </c>
      <c r="D157">
        <v>0.71699999999999997</v>
      </c>
      <c r="E157">
        <v>0.73680000000000001</v>
      </c>
      <c r="F157">
        <v>1949682</v>
      </c>
      <c r="G157">
        <v>0.73680000000000001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8.1967213114753995E-2</v>
      </c>
      <c r="Q157">
        <f t="shared" ref="Q157" si="761">F157*P157</f>
        <v>159809.9999999998</v>
      </c>
      <c r="R157">
        <f t="shared" ref="R157" si="762">R158+Q157</f>
        <v>-5614345191.812685</v>
      </c>
      <c r="S157">
        <f t="shared" ref="S157" si="763">R157/100000</f>
        <v>-56143.451918126848</v>
      </c>
      <c r="T157">
        <f t="shared" ref="T157" si="764">S157/1000</f>
        <v>-56.14345191812685</v>
      </c>
    </row>
    <row r="158" spans="1:20" x14ac:dyDescent="0.25">
      <c r="A158" s="5">
        <v>44435</v>
      </c>
      <c r="B158">
        <v>0.71889999999999998</v>
      </c>
      <c r="C158">
        <v>0.75529999999999997</v>
      </c>
      <c r="D158">
        <v>0.68720000000000003</v>
      </c>
      <c r="E158">
        <v>0.74809999999999999</v>
      </c>
      <c r="F158">
        <v>2648650.02</v>
      </c>
      <c r="G158">
        <v>0.74809999999999999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0.78854625550660817</v>
      </c>
      <c r="Q158">
        <f t="shared" ref="Q158" si="766">F158*P158</f>
        <v>2088583.0554185028</v>
      </c>
      <c r="R158">
        <f t="shared" ref="R158" si="767">R159+Q158</f>
        <v>-5614505001.812685</v>
      </c>
      <c r="S158">
        <f t="shared" ref="S158" si="768">R158/100000</f>
        <v>-56145.050018126851</v>
      </c>
      <c r="T158">
        <f t="shared" ref="T158" si="769">S158/1000</f>
        <v>-56.145050018126852</v>
      </c>
    </row>
    <row r="159" spans="1:20" x14ac:dyDescent="0.25">
      <c r="A159" s="5">
        <v>44434</v>
      </c>
      <c r="B159">
        <v>0.76319999999999999</v>
      </c>
      <c r="C159">
        <v>0.82950000000000002</v>
      </c>
      <c r="D159">
        <v>0.70309999999999995</v>
      </c>
      <c r="E159">
        <v>0.71689999999999998</v>
      </c>
      <c r="F159">
        <v>6961526.6699999999</v>
      </c>
      <c r="G159">
        <v>0.71689999999999998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-0.78164556962025278</v>
      </c>
      <c r="Q159">
        <f t="shared" ref="Q159" si="771">F159*P159</f>
        <v>-5441446.4793987311</v>
      </c>
      <c r="R159">
        <f t="shared" ref="R159" si="772">R160+Q159</f>
        <v>-5616593584.868104</v>
      </c>
      <c r="S159">
        <f t="shared" ref="S159" si="773">R159/100000</f>
        <v>-56165.935848681038</v>
      </c>
      <c r="T159">
        <f t="shared" ref="T159" si="774">S159/1000</f>
        <v>-56.165935848681038</v>
      </c>
    </row>
    <row r="160" spans="1:20" x14ac:dyDescent="0.25">
      <c r="A160" s="5">
        <v>44433</v>
      </c>
      <c r="B160">
        <v>0.74629999999999996</v>
      </c>
      <c r="C160">
        <v>0.78</v>
      </c>
      <c r="D160">
        <v>0.68589999999999995</v>
      </c>
      <c r="E160">
        <v>0.76319999999999999</v>
      </c>
      <c r="F160">
        <v>5507372</v>
      </c>
      <c r="G160">
        <v>0.76319999999999999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0.64293304994686451</v>
      </c>
      <c r="Q160">
        <f t="shared" ref="Q160" si="776">F160*P160</f>
        <v>3540871.4771519629</v>
      </c>
      <c r="R160">
        <f t="shared" ref="R160" si="777">R161+Q160</f>
        <v>-5611152138.3887053</v>
      </c>
      <c r="S160">
        <f t="shared" ref="S160" si="778">R160/100000</f>
        <v>-56111.521383887055</v>
      </c>
      <c r="T160">
        <f t="shared" ref="T160" si="779">S160/1000</f>
        <v>-56.111521383887052</v>
      </c>
    </row>
    <row r="161" spans="1:20" x14ac:dyDescent="0.25">
      <c r="A161" s="5">
        <v>44432</v>
      </c>
      <c r="B161">
        <v>0.82220000000000004</v>
      </c>
      <c r="C161">
        <v>0.8296</v>
      </c>
      <c r="D161">
        <v>0.73629999999999995</v>
      </c>
      <c r="E161">
        <v>0.74660000000000004</v>
      </c>
      <c r="F161">
        <v>4332516.5599999996</v>
      </c>
      <c r="G161">
        <v>0.74660000000000004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-0.77920685959270997</v>
      </c>
      <c r="Q161">
        <f t="shared" ref="Q161" si="781">F161*P161</f>
        <v>-3375926.6228510104</v>
      </c>
      <c r="R161">
        <f t="shared" ref="R161" si="782">R162+Q161</f>
        <v>-5614693009.8658571</v>
      </c>
      <c r="S161">
        <f t="shared" ref="S161" si="783">R161/100000</f>
        <v>-56146.930098658573</v>
      </c>
      <c r="T161">
        <f t="shared" ref="T161" si="784">S161/1000</f>
        <v>-56.146930098658572</v>
      </c>
    </row>
    <row r="162" spans="1:20" x14ac:dyDescent="0.25">
      <c r="A162" s="5">
        <v>44431</v>
      </c>
      <c r="B162">
        <v>0.79159999999999997</v>
      </c>
      <c r="C162">
        <v>0.84309999999999996</v>
      </c>
      <c r="D162">
        <v>0.78659999999999997</v>
      </c>
      <c r="E162">
        <v>0.82220000000000004</v>
      </c>
      <c r="F162">
        <v>5766262.5999999996</v>
      </c>
      <c r="G162">
        <v>0.82220000000000004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0.26017699115044529</v>
      </c>
      <c r="Q162">
        <f t="shared" ref="Q162" si="786">F162*P162</f>
        <v>1500248.8534513435</v>
      </c>
      <c r="R162">
        <f t="shared" ref="R162" si="787">R163+Q162</f>
        <v>-5611317083.2430058</v>
      </c>
      <c r="S162">
        <f t="shared" ref="S162" si="788">R162/100000</f>
        <v>-56113.170832430056</v>
      </c>
      <c r="T162">
        <f t="shared" ref="T162" si="789">S162/1000</f>
        <v>-56.113170832430058</v>
      </c>
    </row>
    <row r="163" spans="1:20" x14ac:dyDescent="0.25">
      <c r="A163" s="5">
        <v>44430</v>
      </c>
      <c r="B163">
        <v>0.82299999999999995</v>
      </c>
      <c r="C163">
        <v>0.84399999999999997</v>
      </c>
      <c r="D163">
        <v>0.79590000000000005</v>
      </c>
      <c r="E163">
        <v>0.80379999999999996</v>
      </c>
      <c r="F163">
        <v>971124.99</v>
      </c>
      <c r="G163">
        <v>0.80379999999999996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-0.67151767151767483</v>
      </c>
      <c r="Q163">
        <f t="shared" ref="Q163" si="791">F163*P163</f>
        <v>-652127.59203742526</v>
      </c>
      <c r="R163">
        <f t="shared" ref="R163" si="792">R164+Q163</f>
        <v>-5612817332.0964575</v>
      </c>
      <c r="S163">
        <f t="shared" ref="S163" si="793">R163/100000</f>
        <v>-56128.173320964575</v>
      </c>
      <c r="T163">
        <f t="shared" ref="T163" si="794">S163/1000</f>
        <v>-56.128173320964578</v>
      </c>
    </row>
    <row r="164" spans="1:20" x14ac:dyDescent="0.25">
      <c r="A164" s="5">
        <v>44429</v>
      </c>
      <c r="B164">
        <v>0.77910000000000001</v>
      </c>
      <c r="C164">
        <v>0.84140000000000004</v>
      </c>
      <c r="D164">
        <v>0.7671</v>
      </c>
      <c r="E164">
        <v>0.82299999999999995</v>
      </c>
      <c r="F164">
        <v>6985559.29</v>
      </c>
      <c r="G164">
        <v>0.82299999999999995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0.50471063257065751</v>
      </c>
      <c r="Q164">
        <f t="shared" ref="Q164" si="796">F164*P164</f>
        <v>3525686.0481157331</v>
      </c>
      <c r="R164">
        <f t="shared" ref="R164" si="797">R165+Q164</f>
        <v>-5612165204.5044203</v>
      </c>
      <c r="S164">
        <f t="shared" ref="S164" si="798">R164/100000</f>
        <v>-56121.652045044204</v>
      </c>
      <c r="T164">
        <f t="shared" ref="T164" si="799">S164/1000</f>
        <v>-56.1216520450442</v>
      </c>
    </row>
    <row r="165" spans="1:20" x14ac:dyDescent="0.25">
      <c r="A165" s="5">
        <v>44428</v>
      </c>
      <c r="B165">
        <v>0.77339999999999998</v>
      </c>
      <c r="C165">
        <v>0.79900000000000004</v>
      </c>
      <c r="D165">
        <v>0.75529999999999997</v>
      </c>
      <c r="E165">
        <v>0.77910000000000001</v>
      </c>
      <c r="F165">
        <v>3549948.15</v>
      </c>
      <c r="G165">
        <v>0.77910000000000001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8.924485125858142E-2</v>
      </c>
      <c r="Q165">
        <f t="shared" ref="Q165" si="801">F165*P165</f>
        <v>316814.59462242626</v>
      </c>
      <c r="R165">
        <f t="shared" ref="R165" si="802">R166+Q165</f>
        <v>-5615690890.552536</v>
      </c>
      <c r="S165">
        <f t="shared" ref="S165" si="803">R165/100000</f>
        <v>-56156.908905525357</v>
      </c>
      <c r="T165">
        <f t="shared" ref="T165" si="804">S165/1000</f>
        <v>-56.156908905525356</v>
      </c>
    </row>
    <row r="166" spans="1:20" x14ac:dyDescent="0.25">
      <c r="A166" s="5">
        <v>44427</v>
      </c>
      <c r="B166">
        <v>0.76849999999999996</v>
      </c>
      <c r="C166">
        <v>0.77339999999999998</v>
      </c>
      <c r="D166">
        <v>0.70379999999999998</v>
      </c>
      <c r="E166">
        <v>0.77329999999999999</v>
      </c>
      <c r="F166">
        <v>5534462.2999999998</v>
      </c>
      <c r="G166">
        <v>0.77329999999999999</v>
      </c>
      <c r="L166" t="s">
        <v>7</v>
      </c>
      <c r="M166" t="s">
        <v>7</v>
      </c>
      <c r="N166" t="s">
        <v>8</v>
      </c>
      <c r="P166">
        <f t="shared" ref="P166" si="805">IF(C166=D166,0,((E166-D166)-(C166-E166))/(C166-D166))</f>
        <v>0.9971264367816095</v>
      </c>
      <c r="Q166">
        <f t="shared" ref="Q166" si="806">F166*P166</f>
        <v>5518558.6727011511</v>
      </c>
      <c r="R166">
        <f t="shared" ref="R166" si="807">R167+Q166</f>
        <v>-5616007705.1471586</v>
      </c>
      <c r="S166">
        <f t="shared" ref="S166" si="808">R166/100000</f>
        <v>-56160.077051471584</v>
      </c>
      <c r="T166">
        <f t="shared" ref="T166" si="809">S166/1000</f>
        <v>-56.160077051471582</v>
      </c>
    </row>
    <row r="167" spans="1:20" x14ac:dyDescent="0.25">
      <c r="A167" s="5">
        <v>44426</v>
      </c>
      <c r="B167">
        <v>0.77549999999999997</v>
      </c>
      <c r="C167">
        <v>0.80500000000000005</v>
      </c>
      <c r="D167">
        <v>0.75109999999999999</v>
      </c>
      <c r="E167">
        <v>0.76849999999999996</v>
      </c>
      <c r="F167">
        <v>5313131.09</v>
      </c>
      <c r="G167">
        <v>0.76849999999999996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-0.35435992578849901</v>
      </c>
      <c r="Q167">
        <f t="shared" ref="Q167" si="811">F167*P167</f>
        <v>-1882760.7387569668</v>
      </c>
      <c r="R167">
        <f t="shared" ref="R167" si="812">R168+Q167</f>
        <v>-5621526263.8198595</v>
      </c>
      <c r="S167">
        <f t="shared" ref="S167" si="813">R167/100000</f>
        <v>-56215.262638198597</v>
      </c>
      <c r="T167">
        <f t="shared" ref="T167" si="814">S167/1000</f>
        <v>-56.215262638198595</v>
      </c>
    </row>
    <row r="168" spans="1:20" x14ac:dyDescent="0.25">
      <c r="A168" s="5">
        <v>44425</v>
      </c>
      <c r="B168">
        <v>0.78710000000000002</v>
      </c>
      <c r="C168">
        <v>0.83620000000000005</v>
      </c>
      <c r="D168">
        <v>0.77110000000000001</v>
      </c>
      <c r="E168">
        <v>0.77529999999999999</v>
      </c>
      <c r="F168">
        <v>7230339.7800000003</v>
      </c>
      <c r="G168">
        <v>0.77529999999999999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-0.87096774193548454</v>
      </c>
      <c r="Q168">
        <f t="shared" ref="Q168" si="816">F168*P168</f>
        <v>-6297392.7116129082</v>
      </c>
      <c r="R168">
        <f t="shared" ref="R168" si="817">R169+Q168</f>
        <v>-5619643503.0811024</v>
      </c>
      <c r="S168">
        <f t="shared" ref="S168" si="818">R168/100000</f>
        <v>-56196.435030811022</v>
      </c>
      <c r="T168">
        <f t="shared" ref="T168" si="819">S168/1000</f>
        <v>-56.196435030811024</v>
      </c>
    </row>
    <row r="169" spans="1:20" x14ac:dyDescent="0.25">
      <c r="A169" s="5">
        <v>44424</v>
      </c>
      <c r="B169">
        <v>0.83709999999999996</v>
      </c>
      <c r="C169">
        <v>0.84850000000000003</v>
      </c>
      <c r="D169">
        <v>0.78349999999999997</v>
      </c>
      <c r="E169">
        <v>0.78790000000000004</v>
      </c>
      <c r="F169">
        <v>5657433.6799999997</v>
      </c>
      <c r="G169">
        <v>0.78790000000000004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-0.86461538461538257</v>
      </c>
      <c r="Q169">
        <f t="shared" ref="Q169" si="821">F169*P169</f>
        <v>-4891504.1971692191</v>
      </c>
      <c r="R169">
        <f t="shared" ref="R169" si="822">R170+Q169</f>
        <v>-5613346110.3694897</v>
      </c>
      <c r="S169">
        <f t="shared" ref="S169" si="823">R169/100000</f>
        <v>-56133.461103694899</v>
      </c>
      <c r="T169">
        <f t="shared" ref="T169" si="824">S169/1000</f>
        <v>-56.133461103694898</v>
      </c>
    </row>
    <row r="170" spans="1:20" x14ac:dyDescent="0.25">
      <c r="A170" s="5">
        <v>44423</v>
      </c>
      <c r="B170">
        <v>0.84450000000000003</v>
      </c>
      <c r="C170">
        <v>0.86029999999999995</v>
      </c>
      <c r="D170">
        <v>0.80630000000000002</v>
      </c>
      <c r="E170">
        <v>0.83709999999999996</v>
      </c>
      <c r="F170">
        <v>4072498.78</v>
      </c>
      <c r="G170">
        <v>0.83709999999999996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0.14074074074073981</v>
      </c>
      <c r="Q170">
        <f t="shared" ref="Q170" si="826">F170*P170</f>
        <v>573166.49496295908</v>
      </c>
      <c r="R170">
        <f t="shared" ref="R170" si="827">R171+Q170</f>
        <v>-5608454606.1723204</v>
      </c>
      <c r="S170">
        <f t="shared" ref="S170" si="828">R170/100000</f>
        <v>-56084.546061723202</v>
      </c>
      <c r="T170">
        <f t="shared" ref="T170" si="829">S170/1000</f>
        <v>-56.084546061723202</v>
      </c>
    </row>
    <row r="171" spans="1:20" x14ac:dyDescent="0.25">
      <c r="A171" s="5">
        <v>44422</v>
      </c>
      <c r="B171">
        <v>0.85270000000000001</v>
      </c>
      <c r="C171">
        <v>0.91210000000000002</v>
      </c>
      <c r="D171">
        <v>0.80979999999999996</v>
      </c>
      <c r="E171">
        <v>0.84450000000000003</v>
      </c>
      <c r="F171">
        <v>8583880.0899999999</v>
      </c>
      <c r="G171">
        <v>0.84450000000000003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-0.32160312805474006</v>
      </c>
      <c r="Q171">
        <f t="shared" ref="Q171" si="831">F171*P171</f>
        <v>-2760602.6877908036</v>
      </c>
      <c r="R171">
        <f t="shared" ref="R171" si="832">R172+Q171</f>
        <v>-5609027772.6672831</v>
      </c>
      <c r="S171">
        <f t="shared" ref="S171" si="833">R171/100000</f>
        <v>-56090.27772667283</v>
      </c>
      <c r="T171">
        <f t="shared" ref="T171" si="834">S171/1000</f>
        <v>-56.090277726672831</v>
      </c>
    </row>
    <row r="172" spans="1:20" x14ac:dyDescent="0.25">
      <c r="A172" s="5">
        <v>44421</v>
      </c>
      <c r="B172">
        <v>0.77529999999999999</v>
      </c>
      <c r="C172">
        <v>0.86550000000000005</v>
      </c>
      <c r="D172">
        <v>0.76600000000000001</v>
      </c>
      <c r="E172">
        <v>0.85160000000000002</v>
      </c>
      <c r="F172">
        <v>6531799.2000000002</v>
      </c>
      <c r="G172">
        <v>0.85160000000000002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0.7206030150753765</v>
      </c>
      <c r="Q172">
        <f t="shared" ref="Q172" si="836">F172*P172</f>
        <v>4706834.1973869326</v>
      </c>
      <c r="R172">
        <f t="shared" ref="R172" si="837">R173+Q172</f>
        <v>-5606267169.9794922</v>
      </c>
      <c r="S172">
        <f t="shared" ref="S172" si="838">R172/100000</f>
        <v>-56062.671699794919</v>
      </c>
      <c r="T172">
        <f t="shared" ref="T172" si="839">S172/1000</f>
        <v>-56.062671699794919</v>
      </c>
    </row>
    <row r="173" spans="1:20" x14ac:dyDescent="0.25">
      <c r="A173" s="5">
        <v>44420</v>
      </c>
      <c r="B173">
        <v>0.82140000000000002</v>
      </c>
      <c r="C173">
        <v>0.83689999999999998</v>
      </c>
      <c r="D173">
        <v>0.75039999999999996</v>
      </c>
      <c r="E173">
        <v>0.77329999999999999</v>
      </c>
      <c r="F173">
        <v>6321336.7999999998</v>
      </c>
      <c r="G173">
        <v>0.77329999999999999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-0.47052023121387221</v>
      </c>
      <c r="Q173">
        <f t="shared" ref="Q173" si="841">F173*P173</f>
        <v>-2974316.8527167588</v>
      </c>
      <c r="R173">
        <f t="shared" ref="R173" si="842">R174+Q173</f>
        <v>-5610974004.1768789</v>
      </c>
      <c r="S173">
        <f t="shared" ref="S173" si="843">R173/100000</f>
        <v>-56109.74004176879</v>
      </c>
      <c r="T173">
        <f t="shared" ref="T173" si="844">S173/1000</f>
        <v>-56.109740041768788</v>
      </c>
    </row>
    <row r="174" spans="1:20" x14ac:dyDescent="0.25">
      <c r="A174" s="5">
        <v>44419</v>
      </c>
      <c r="B174">
        <v>0.81930000000000003</v>
      </c>
      <c r="C174">
        <v>0.89990000000000003</v>
      </c>
      <c r="D174">
        <v>0.81430000000000002</v>
      </c>
      <c r="E174">
        <v>0.82140000000000002</v>
      </c>
      <c r="F174">
        <v>10905903.98</v>
      </c>
      <c r="G174">
        <v>0.82140000000000002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-0.8341121495327104</v>
      </c>
      <c r="Q174">
        <f t="shared" ref="Q174" si="846">F174*P174</f>
        <v>-9096747.0113551412</v>
      </c>
      <c r="R174">
        <f t="shared" ref="R174" si="847">R175+Q174</f>
        <v>-5607999687.3241625</v>
      </c>
      <c r="S174">
        <f t="shared" ref="S174" si="848">R174/100000</f>
        <v>-56079.996873241624</v>
      </c>
      <c r="T174">
        <f t="shared" ref="T174" si="849">S174/1000</f>
        <v>-56.079996873241626</v>
      </c>
    </row>
    <row r="175" spans="1:20" x14ac:dyDescent="0.25">
      <c r="A175" s="5">
        <v>44418</v>
      </c>
      <c r="B175">
        <v>0.83379999999999999</v>
      </c>
      <c r="C175">
        <v>0.84470000000000001</v>
      </c>
      <c r="D175">
        <v>0.78280000000000005</v>
      </c>
      <c r="E175">
        <v>0.81930000000000003</v>
      </c>
      <c r="F175">
        <v>8913385.7599999998</v>
      </c>
      <c r="G175">
        <v>0.81930000000000003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0.1793214862681746</v>
      </c>
      <c r="Q175">
        <f t="shared" ref="Q175" si="851">F175*P175</f>
        <v>1598361.582164783</v>
      </c>
      <c r="R175">
        <f t="shared" ref="R175" si="852">R176+Q175</f>
        <v>-5598902940.3128071</v>
      </c>
      <c r="S175">
        <f t="shared" ref="S175" si="853">R175/100000</f>
        <v>-55989.029403128072</v>
      </c>
      <c r="T175">
        <f t="shared" ref="T175" si="854">S175/1000</f>
        <v>-55.989029403128072</v>
      </c>
    </row>
    <row r="176" spans="1:20" x14ac:dyDescent="0.25">
      <c r="A176" s="5">
        <v>44417</v>
      </c>
      <c r="B176">
        <v>0.7843</v>
      </c>
      <c r="C176">
        <v>0.94899999999999995</v>
      </c>
      <c r="D176">
        <v>0.7671</v>
      </c>
      <c r="E176">
        <v>0.83560000000000001</v>
      </c>
      <c r="F176">
        <v>22981480.27</v>
      </c>
      <c r="G176">
        <v>0.83560000000000001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-0.24683892248488154</v>
      </c>
      <c r="Q176">
        <f t="shared" ref="Q176" si="856">F176*P176</f>
        <v>-5672723.8269543648</v>
      </c>
      <c r="R176">
        <f t="shared" ref="R176" si="857">R177+Q176</f>
        <v>-5600501301.8949718</v>
      </c>
      <c r="S176">
        <f t="shared" ref="S176" si="858">R176/100000</f>
        <v>-56005.013018949721</v>
      </c>
      <c r="T176">
        <f t="shared" ref="T176" si="859">S176/1000</f>
        <v>-56.005013018949718</v>
      </c>
    </row>
    <row r="177" spans="1:20" x14ac:dyDescent="0.25">
      <c r="A177" s="5">
        <v>44416</v>
      </c>
      <c r="B177">
        <v>0.73140000000000005</v>
      </c>
      <c r="C177">
        <v>0.83</v>
      </c>
      <c r="D177">
        <v>0.71789999999999998</v>
      </c>
      <c r="E177">
        <v>0.7843</v>
      </c>
      <c r="F177">
        <v>16215582.65</v>
      </c>
      <c r="G177">
        <v>0.7843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0.18465655664585243</v>
      </c>
      <c r="Q177">
        <f t="shared" ref="Q177" si="861">F177*P177</f>
        <v>2994313.6561552268</v>
      </c>
      <c r="R177">
        <f t="shared" ref="R177" si="862">R178+Q177</f>
        <v>-5594828578.068017</v>
      </c>
      <c r="S177">
        <f t="shared" ref="S177" si="863">R177/100000</f>
        <v>-55948.285780680169</v>
      </c>
      <c r="T177">
        <f t="shared" ref="T177" si="864">S177/1000</f>
        <v>-55.948285780680166</v>
      </c>
    </row>
    <row r="178" spans="1:20" x14ac:dyDescent="0.25">
      <c r="A178" s="5">
        <v>44415</v>
      </c>
      <c r="B178">
        <v>0.72260000000000002</v>
      </c>
      <c r="C178">
        <v>0.76</v>
      </c>
      <c r="D178">
        <v>0.71409999999999996</v>
      </c>
      <c r="E178">
        <v>0.73080000000000001</v>
      </c>
      <c r="F178">
        <v>6235426.5099999998</v>
      </c>
      <c r="G178">
        <v>0.73080000000000001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-0.27233115468409458</v>
      </c>
      <c r="Q178">
        <f t="shared" ref="Q178" si="866">F178*P178</f>
        <v>-1698100.9014161138</v>
      </c>
      <c r="R178">
        <f t="shared" ref="R178" si="867">R179+Q178</f>
        <v>-5597822891.7241726</v>
      </c>
      <c r="S178">
        <f t="shared" ref="S178" si="868">R178/100000</f>
        <v>-55978.22891724173</v>
      </c>
      <c r="T178">
        <f t="shared" ref="T178" si="869">S178/1000</f>
        <v>-55.978228917241729</v>
      </c>
    </row>
    <row r="179" spans="1:20" x14ac:dyDescent="0.25">
      <c r="A179" s="5">
        <v>44414</v>
      </c>
      <c r="B179">
        <v>0.72170000000000001</v>
      </c>
      <c r="C179">
        <v>0.75649999999999995</v>
      </c>
      <c r="D179">
        <v>0.70940000000000003</v>
      </c>
      <c r="E179">
        <v>0.72260000000000002</v>
      </c>
      <c r="F179">
        <v>5246170.6500000004</v>
      </c>
      <c r="G179">
        <v>0.72260000000000002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-0.43949044585987213</v>
      </c>
      <c r="Q179">
        <f t="shared" ref="Q179" si="871">F179*P179</f>
        <v>-2305641.8780254754</v>
      </c>
      <c r="R179">
        <f t="shared" ref="R179" si="872">R180+Q179</f>
        <v>-5596124790.8227568</v>
      </c>
      <c r="S179">
        <f t="shared" ref="S179" si="873">R179/100000</f>
        <v>-55961.247908227568</v>
      </c>
      <c r="T179">
        <f t="shared" ref="T179" si="874">S179/1000</f>
        <v>-55.96124790822757</v>
      </c>
    </row>
    <row r="180" spans="1:20" x14ac:dyDescent="0.25">
      <c r="A180" s="5">
        <v>44413</v>
      </c>
      <c r="B180">
        <v>0.72370000000000001</v>
      </c>
      <c r="C180">
        <v>0.73980000000000001</v>
      </c>
      <c r="D180">
        <v>0.69069999999999998</v>
      </c>
      <c r="E180">
        <v>0.72150000000000003</v>
      </c>
      <c r="F180">
        <v>4781728.75</v>
      </c>
      <c r="G180">
        <v>0.72150000000000003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0.25458248472505213</v>
      </c>
      <c r="Q180">
        <f t="shared" ref="Q180" si="876">F180*P180</f>
        <v>1217344.3864562176</v>
      </c>
      <c r="R180">
        <f t="shared" ref="R180" si="877">R181+Q180</f>
        <v>-5593819148.9447317</v>
      </c>
      <c r="S180">
        <f t="shared" ref="S180" si="878">R180/100000</f>
        <v>-55938.191489447316</v>
      </c>
      <c r="T180">
        <f t="shared" ref="T180" si="879">S180/1000</f>
        <v>-55.938191489447313</v>
      </c>
    </row>
    <row r="181" spans="1:20" x14ac:dyDescent="0.25">
      <c r="A181" s="5">
        <v>44412</v>
      </c>
      <c r="B181">
        <v>0.69869999999999999</v>
      </c>
      <c r="C181">
        <v>0.77370000000000005</v>
      </c>
      <c r="D181">
        <v>0.68379999999999996</v>
      </c>
      <c r="E181">
        <v>0.72360000000000002</v>
      </c>
      <c r="F181">
        <v>5671326.4100000001</v>
      </c>
      <c r="G181">
        <v>0.72360000000000002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-0.11457174638487169</v>
      </c>
      <c r="Q181">
        <f t="shared" ref="Q181" si="881">F181*P181</f>
        <v>-649773.77111234493</v>
      </c>
      <c r="R181">
        <f t="shared" ref="R181" si="882">R182+Q181</f>
        <v>-5595036493.3311882</v>
      </c>
      <c r="S181">
        <f t="shared" ref="S181" si="883">R181/100000</f>
        <v>-55950.364933311881</v>
      </c>
      <c r="T181">
        <f t="shared" ref="T181" si="884">S181/1000</f>
        <v>-55.950364933311882</v>
      </c>
    </row>
    <row r="182" spans="1:20" x14ac:dyDescent="0.25">
      <c r="A182" s="5">
        <v>44411</v>
      </c>
      <c r="B182">
        <v>0.7349</v>
      </c>
      <c r="C182">
        <v>0.7359</v>
      </c>
      <c r="D182">
        <v>0.67889999999999995</v>
      </c>
      <c r="E182">
        <v>0.69869999999999999</v>
      </c>
      <c r="F182">
        <v>4372222.97</v>
      </c>
      <c r="G182">
        <v>0.69869999999999999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-0.30526315789473607</v>
      </c>
      <c r="Q182">
        <f t="shared" ref="Q182" si="886">F182*P182</f>
        <v>-1334678.5908421017</v>
      </c>
      <c r="R182">
        <f t="shared" ref="R182" si="887">R183+Q182</f>
        <v>-5594386719.5600758</v>
      </c>
      <c r="S182">
        <f t="shared" ref="S182" si="888">R182/100000</f>
        <v>-55943.86719560076</v>
      </c>
      <c r="T182">
        <f t="shared" ref="T182" si="889">S182/1000</f>
        <v>-55.94386719560076</v>
      </c>
    </row>
    <row r="183" spans="1:20" x14ac:dyDescent="0.25">
      <c r="A183" s="5">
        <v>44410</v>
      </c>
      <c r="B183">
        <v>0.67710000000000004</v>
      </c>
      <c r="C183">
        <v>0.76</v>
      </c>
      <c r="D183">
        <v>0.6734</v>
      </c>
      <c r="E183">
        <v>0.73299999999999998</v>
      </c>
      <c r="F183">
        <v>4855316.3099999996</v>
      </c>
      <c r="G183">
        <v>0.73299999999999998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0.37644341801385633</v>
      </c>
      <c r="Q183">
        <f t="shared" ref="Q183" si="891">F183*P183</f>
        <v>1827751.8672748243</v>
      </c>
      <c r="R183">
        <f t="shared" ref="R183" si="892">R184+Q183</f>
        <v>-5593052040.9692335</v>
      </c>
      <c r="S183">
        <f t="shared" ref="S183" si="893">R183/100000</f>
        <v>-55930.520409692333</v>
      </c>
      <c r="T183">
        <f t="shared" ref="T183" si="894">S183/1000</f>
        <v>-55.930520409692335</v>
      </c>
    </row>
    <row r="184" spans="1:20" x14ac:dyDescent="0.25">
      <c r="A184" s="5">
        <v>44409</v>
      </c>
      <c r="B184">
        <v>0.748</v>
      </c>
      <c r="C184">
        <v>0.748</v>
      </c>
      <c r="D184">
        <v>0.67430000000000001</v>
      </c>
      <c r="E184">
        <v>0.67959999999999998</v>
      </c>
      <c r="F184">
        <v>4116520.56</v>
      </c>
      <c r="G184">
        <v>0.67959999999999998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-0.85617367706920022</v>
      </c>
      <c r="Q184">
        <f t="shared" ref="Q184" si="896">F184*P184</f>
        <v>-3524456.5445861635</v>
      </c>
      <c r="R184">
        <f t="shared" ref="R184" si="897">R185+Q184</f>
        <v>-5594879792.8365088</v>
      </c>
      <c r="S184">
        <f t="shared" ref="S184" si="898">R184/100000</f>
        <v>-55948.797928365086</v>
      </c>
      <c r="T184">
        <f t="shared" ref="T184" si="899">S184/1000</f>
        <v>-55.948797928365089</v>
      </c>
    </row>
    <row r="185" spans="1:20" x14ac:dyDescent="0.25">
      <c r="A185" s="5">
        <v>44408</v>
      </c>
      <c r="B185">
        <v>0.75449999999999995</v>
      </c>
      <c r="C185">
        <v>0.77949999999999997</v>
      </c>
      <c r="D185">
        <v>0.70399999999999996</v>
      </c>
      <c r="E185">
        <v>0.74839999999999995</v>
      </c>
      <c r="F185">
        <v>6049761.3399999999</v>
      </c>
      <c r="G185">
        <v>0.74839999999999995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0.17615894039735069</v>
      </c>
      <c r="Q185">
        <f t="shared" ref="Q185" si="901">F185*P185</f>
        <v>1065719.5473112564</v>
      </c>
      <c r="R185">
        <f t="shared" ref="R185" si="902">R186+Q185</f>
        <v>-5591355336.2919226</v>
      </c>
      <c r="S185">
        <f t="shared" ref="S185" si="903">R185/100000</f>
        <v>-55913.553362919229</v>
      </c>
      <c r="T185">
        <f t="shared" ref="T185" si="904">S185/1000</f>
        <v>-55.913553362919231</v>
      </c>
    </row>
    <row r="186" spans="1:20" x14ac:dyDescent="0.25">
      <c r="A186" s="5">
        <v>44407</v>
      </c>
      <c r="B186">
        <v>0.75760000000000005</v>
      </c>
      <c r="C186">
        <v>0.77880000000000005</v>
      </c>
      <c r="D186">
        <v>0.69020000000000004</v>
      </c>
      <c r="E186">
        <v>0.753</v>
      </c>
      <c r="F186">
        <v>5930364.3499999996</v>
      </c>
      <c r="G186">
        <v>0.753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0.41760722347629703</v>
      </c>
      <c r="Q186">
        <f t="shared" ref="Q186" si="906">F186*P186</f>
        <v>2476562.9904063148</v>
      </c>
      <c r="R186">
        <f t="shared" ref="R186" si="907">R187+Q186</f>
        <v>-5592421055.8392334</v>
      </c>
      <c r="S186">
        <f t="shared" ref="S186" si="908">R186/100000</f>
        <v>-55924.210558392333</v>
      </c>
      <c r="T186">
        <f t="shared" ref="T186" si="909">S186/1000</f>
        <v>-55.924210558392332</v>
      </c>
    </row>
    <row r="187" spans="1:20" x14ac:dyDescent="0.25">
      <c r="A187" s="5">
        <v>44406</v>
      </c>
      <c r="B187">
        <v>0.76700000000000002</v>
      </c>
      <c r="C187">
        <v>0.84709999999999996</v>
      </c>
      <c r="D187">
        <v>0.73880000000000001</v>
      </c>
      <c r="E187">
        <v>0.75760000000000005</v>
      </c>
      <c r="F187">
        <v>8435598.9299999997</v>
      </c>
      <c r="G187">
        <v>0.75760000000000005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-0.65281625115420039</v>
      </c>
      <c r="Q187">
        <f t="shared" ref="Q187" si="911">F187*P187</f>
        <v>-5506896.069722984</v>
      </c>
      <c r="R187">
        <f t="shared" ref="R187" si="912">R188+Q187</f>
        <v>-5594897618.8296394</v>
      </c>
      <c r="S187">
        <f t="shared" ref="S187" si="913">R187/100000</f>
        <v>-55948.976188296394</v>
      </c>
      <c r="T187">
        <f t="shared" ref="T187" si="914">S187/1000</f>
        <v>-55.948976188296392</v>
      </c>
    </row>
    <row r="188" spans="1:20" x14ac:dyDescent="0.25">
      <c r="A188" s="5">
        <v>44405</v>
      </c>
      <c r="B188">
        <v>0.78659999999999997</v>
      </c>
      <c r="C188">
        <v>0.879</v>
      </c>
      <c r="D188">
        <v>0.74280000000000002</v>
      </c>
      <c r="E188">
        <v>0.76659999999999995</v>
      </c>
      <c r="F188">
        <v>15761655.539999999</v>
      </c>
      <c r="G188">
        <v>0.76659999999999995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-0.65051395007342239</v>
      </c>
      <c r="Q188">
        <f t="shared" ref="Q188" si="916">F188*P188</f>
        <v>-10253176.80502204</v>
      </c>
      <c r="R188">
        <f t="shared" ref="R188" si="917">R189+Q188</f>
        <v>-5589390722.7599163</v>
      </c>
      <c r="S188">
        <f t="shared" ref="S188" si="918">R188/100000</f>
        <v>-55893.907227599164</v>
      </c>
      <c r="T188">
        <f t="shared" ref="T188" si="919">S188/1000</f>
        <v>-55.893907227599165</v>
      </c>
    </row>
    <row r="189" spans="1:20" x14ac:dyDescent="0.25">
      <c r="A189" s="5">
        <v>44404</v>
      </c>
      <c r="B189">
        <v>0.65400000000000003</v>
      </c>
      <c r="C189">
        <v>0.87</v>
      </c>
      <c r="D189">
        <v>0.59919999999999995</v>
      </c>
      <c r="E189">
        <v>0.78569999999999995</v>
      </c>
      <c r="F189">
        <v>19285728.219999999</v>
      </c>
      <c r="G189">
        <v>0.78569999999999995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0.3774002954209747</v>
      </c>
      <c r="Q189">
        <f t="shared" ref="Q189" si="921">F189*P189</f>
        <v>7278439.5276366277</v>
      </c>
      <c r="R189">
        <f t="shared" ref="R189" si="922">R190+Q189</f>
        <v>-5579137545.9548941</v>
      </c>
      <c r="S189">
        <f t="shared" ref="S189" si="923">R189/100000</f>
        <v>-55791.375459548937</v>
      </c>
      <c r="T189">
        <f t="shared" ref="T189" si="924">S189/1000</f>
        <v>-55.791375459548938</v>
      </c>
    </row>
    <row r="190" spans="1:20" x14ac:dyDescent="0.25">
      <c r="A190" s="5">
        <v>44403</v>
      </c>
      <c r="B190">
        <v>0.75929999999999997</v>
      </c>
      <c r="C190">
        <v>0.76910000000000001</v>
      </c>
      <c r="D190">
        <v>0.63280000000000003</v>
      </c>
      <c r="E190">
        <v>0.65400000000000003</v>
      </c>
      <c r="F190">
        <v>12263074.560000001</v>
      </c>
      <c r="G190">
        <v>0.65400000000000003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-0.68892149669845926</v>
      </c>
      <c r="Q190">
        <f t="shared" ref="Q190" si="926">F190*P190</f>
        <v>-8448295.6799999997</v>
      </c>
      <c r="R190">
        <f t="shared" ref="R190" si="927">R191+Q190</f>
        <v>-5586415985.4825306</v>
      </c>
      <c r="S190">
        <f t="shared" ref="S190" si="928">R190/100000</f>
        <v>-55864.159854825302</v>
      </c>
      <c r="T190">
        <f t="shared" ref="T190" si="929">S190/1000</f>
        <v>-55.864159854825303</v>
      </c>
    </row>
    <row r="191" spans="1:20" x14ac:dyDescent="0.25">
      <c r="A191" s="5">
        <v>44402</v>
      </c>
      <c r="B191">
        <v>0.6089</v>
      </c>
      <c r="C191">
        <v>0.69330000000000003</v>
      </c>
      <c r="D191">
        <v>0.5897</v>
      </c>
      <c r="E191">
        <v>0.67390000000000005</v>
      </c>
      <c r="F191">
        <v>61788824.18</v>
      </c>
      <c r="G191">
        <v>0.67390000000000005</v>
      </c>
      <c r="L191" t="s">
        <v>7</v>
      </c>
      <c r="M191" t="s">
        <v>8</v>
      </c>
      <c r="N191" t="s">
        <v>8</v>
      </c>
      <c r="P191">
        <f t="shared" ref="P191" si="930">IF(C191=D191,0,((E191-D191)-(C191-E191))/(C191-D191))</f>
        <v>0.62548262548262612</v>
      </c>
      <c r="Q191">
        <f t="shared" ref="Q191" si="931">F191*P191</f>
        <v>38647835.973590776</v>
      </c>
      <c r="R191">
        <f t="shared" ref="R191" si="932">R192+Q191</f>
        <v>-5577967689.8025303</v>
      </c>
      <c r="S191">
        <f t="shared" ref="S191" si="933">R191/100000</f>
        <v>-55779.676898025304</v>
      </c>
      <c r="T191">
        <f t="shared" ref="T191:T197" si="934">S191/1000</f>
        <v>-55.779676898025301</v>
      </c>
    </row>
    <row r="192" spans="1:20" x14ac:dyDescent="0.25">
      <c r="A192" s="5">
        <v>44401</v>
      </c>
      <c r="B192">
        <v>0.6089</v>
      </c>
      <c r="C192">
        <v>0.69330000000000003</v>
      </c>
      <c r="D192">
        <v>0.5897</v>
      </c>
      <c r="E192">
        <v>0.67390000000000005</v>
      </c>
      <c r="F192">
        <v>61788824.18</v>
      </c>
      <c r="G192">
        <v>0.67390000000000005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0.62548262548262612</v>
      </c>
      <c r="Q192">
        <f t="shared" ref="Q192" si="936">F192*P192</f>
        <v>38647835.973590776</v>
      </c>
      <c r="R192">
        <f t="shared" ref="R192" si="937">R193+Q192</f>
        <v>-5616615525.7761211</v>
      </c>
      <c r="S192">
        <f t="shared" ref="S192" si="938">R192/100000</f>
        <v>-56166.155257761209</v>
      </c>
      <c r="T192">
        <f t="shared" si="934"/>
        <v>-56.166155257761211</v>
      </c>
    </row>
    <row r="193" spans="1:20" x14ac:dyDescent="0.25">
      <c r="A193" s="5">
        <v>44400</v>
      </c>
      <c r="B193">
        <v>0.53759999999999997</v>
      </c>
      <c r="C193">
        <v>0.63060000000000005</v>
      </c>
      <c r="D193">
        <v>0.51390000000000002</v>
      </c>
      <c r="E193">
        <v>0.6089</v>
      </c>
      <c r="F193">
        <v>34204328.119999997</v>
      </c>
      <c r="G193">
        <v>0.6089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0.62810625535561182</v>
      </c>
      <c r="Q193">
        <f t="shared" ref="Q193" si="940">F193*P193</f>
        <v>21483952.452407852</v>
      </c>
      <c r="R193">
        <f t="shared" ref="R193" si="941">R194+Q193</f>
        <v>-5655263361.749712</v>
      </c>
      <c r="S193">
        <f t="shared" ref="S193" si="942">R193/100000</f>
        <v>-56552.633617497122</v>
      </c>
      <c r="T193">
        <f t="shared" si="934"/>
        <v>-56.552633617497122</v>
      </c>
    </row>
    <row r="194" spans="1:20" x14ac:dyDescent="0.25">
      <c r="A194" s="5">
        <v>44399</v>
      </c>
      <c r="B194">
        <v>0.52669999999999995</v>
      </c>
      <c r="C194">
        <v>0.6099</v>
      </c>
      <c r="D194">
        <v>0.51600000000000001</v>
      </c>
      <c r="E194">
        <v>0.53720000000000001</v>
      </c>
      <c r="F194">
        <v>24806879.59</v>
      </c>
      <c r="G194">
        <v>0.53720000000000001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-0.54845580404685834</v>
      </c>
      <c r="Q194">
        <f t="shared" ref="Q194" si="944">F194*P194</f>
        <v>-13605477.091427049</v>
      </c>
      <c r="R194">
        <f t="shared" ref="R194" si="945">R195+Q194</f>
        <v>-5676747314.2021198</v>
      </c>
      <c r="S194">
        <f t="shared" ref="S194" si="946">R194/100000</f>
        <v>-56767.473142021197</v>
      </c>
      <c r="T194">
        <f t="shared" si="934"/>
        <v>-56.767473142021196</v>
      </c>
    </row>
    <row r="195" spans="1:20" x14ac:dyDescent="0.25">
      <c r="A195" s="5">
        <v>44398</v>
      </c>
      <c r="B195">
        <v>0.46949999999999997</v>
      </c>
      <c r="C195">
        <v>0.54949999999999999</v>
      </c>
      <c r="D195">
        <v>0.45700000000000002</v>
      </c>
      <c r="E195">
        <v>0.52669999999999995</v>
      </c>
      <c r="F195">
        <v>19537612.449999999</v>
      </c>
      <c r="G195">
        <v>0.52669999999999995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0.50702702702702596</v>
      </c>
      <c r="Q195">
        <f t="shared" ref="Q195" si="948">F195*P195</f>
        <v>9906097.5557297077</v>
      </c>
      <c r="R195">
        <f t="shared" ref="R195" si="949">R196+Q195</f>
        <v>-5663141837.110693</v>
      </c>
      <c r="S195">
        <f t="shared" ref="S195" si="950">R195/100000</f>
        <v>-56631.418371106927</v>
      </c>
      <c r="T195">
        <f t="shared" si="934"/>
        <v>-56.631418371106925</v>
      </c>
    </row>
    <row r="196" spans="1:20" x14ac:dyDescent="0.25">
      <c r="A196" s="5">
        <v>44397</v>
      </c>
      <c r="B196">
        <v>0.54800000000000004</v>
      </c>
      <c r="C196">
        <v>0.55000000000000004</v>
      </c>
      <c r="D196">
        <v>0.44850000000000001</v>
      </c>
      <c r="E196">
        <v>0.46960000000000002</v>
      </c>
      <c r="F196">
        <v>4459445.7</v>
      </c>
      <c r="G196">
        <v>0.46960000000000002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-0.58423645320197048</v>
      </c>
      <c r="Q196">
        <f t="shared" ref="Q196" si="952">F196*P196</f>
        <v>-2605370.7390147788</v>
      </c>
      <c r="R196">
        <f t="shared" ref="R196" si="953">R197+Q196</f>
        <v>-5673047934.6664228</v>
      </c>
      <c r="S196">
        <f t="shared" ref="S196" si="954">R196/100000</f>
        <v>-56730.47934666423</v>
      </c>
      <c r="T196">
        <f t="shared" si="934"/>
        <v>-56.730479346664232</v>
      </c>
    </row>
    <row r="197" spans="1:20" x14ac:dyDescent="0.25">
      <c r="A197" s="5">
        <v>44396</v>
      </c>
      <c r="B197">
        <v>0.59250000000000003</v>
      </c>
      <c r="C197">
        <v>0.59360000000000002</v>
      </c>
      <c r="D197">
        <v>0.51</v>
      </c>
      <c r="E197">
        <v>0.54800000000000004</v>
      </c>
      <c r="F197">
        <v>5632894.4299999997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-9.090909090909019E-2</v>
      </c>
      <c r="Q197">
        <f t="shared" ref="Q197" si="956">F197*P197</f>
        <v>-512081.31181817775</v>
      </c>
      <c r="R197">
        <f t="shared" ref="R197" si="957">R198+Q197</f>
        <v>-5670442563.9274082</v>
      </c>
      <c r="S197">
        <f t="shared" ref="S197" si="958">R197/100000</f>
        <v>-56704.425639274079</v>
      </c>
      <c r="T197">
        <f t="shared" si="934"/>
        <v>-56.704425639274078</v>
      </c>
    </row>
    <row r="198" spans="1:20" x14ac:dyDescent="0.25">
      <c r="A198" s="5">
        <v>44395</v>
      </c>
      <c r="B198">
        <v>0.65210000000000001</v>
      </c>
      <c r="C198">
        <v>0.68700000000000006</v>
      </c>
      <c r="D198">
        <v>0.57630000000000003</v>
      </c>
      <c r="E198">
        <v>0.59250000000000003</v>
      </c>
      <c r="F198">
        <v>9268261.8499999996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-0.70731707317073189</v>
      </c>
      <c r="Q198">
        <f t="shared" ref="Q198:Q261" si="960">F198*P198</f>
        <v>-6555599.8451219527</v>
      </c>
      <c r="R198">
        <f t="shared" ref="R198:R261" si="961">R199+Q198</f>
        <v>-5669930482.6155901</v>
      </c>
      <c r="S198">
        <f t="shared" ref="S198:S261" si="962">R198/100000</f>
        <v>-56699.304826155902</v>
      </c>
      <c r="T198">
        <f t="shared" ref="T198:T261" si="963">S198/1000</f>
        <v>-56.699304826155903</v>
      </c>
    </row>
    <row r="199" spans="1:20" x14ac:dyDescent="0.25">
      <c r="A199" s="5">
        <v>44394</v>
      </c>
      <c r="B199">
        <v>0.56720000000000004</v>
      </c>
      <c r="C199">
        <v>0.69469999999999998</v>
      </c>
      <c r="D199">
        <v>0.54010000000000002</v>
      </c>
      <c r="E199">
        <v>0.64990000000000003</v>
      </c>
      <c r="F199">
        <v>22971705.350000001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0.4204398447606732</v>
      </c>
      <c r="Q199">
        <f t="shared" si="960"/>
        <v>9658220.2312419266</v>
      </c>
      <c r="R199">
        <f t="shared" si="961"/>
        <v>-5663374882.7704678</v>
      </c>
      <c r="S199">
        <f t="shared" si="962"/>
        <v>-56633.74882770468</v>
      </c>
      <c r="T199">
        <f t="shared" si="963"/>
        <v>-56.633748827704679</v>
      </c>
    </row>
    <row r="200" spans="1:20" x14ac:dyDescent="0.25">
      <c r="A200" s="5">
        <v>44393</v>
      </c>
      <c r="B200">
        <v>0.64439999999999997</v>
      </c>
      <c r="C200">
        <v>0.68589999999999995</v>
      </c>
      <c r="D200">
        <v>0.54600000000000004</v>
      </c>
      <c r="E200">
        <v>0.56730000000000003</v>
      </c>
      <c r="F200">
        <v>11515130.470000001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-0.69549678341672627</v>
      </c>
      <c r="Q200">
        <f t="shared" si="960"/>
        <v>-8008736.2025089357</v>
      </c>
      <c r="R200">
        <f t="shared" si="961"/>
        <v>-5673033103.0017099</v>
      </c>
      <c r="S200">
        <f t="shared" si="962"/>
        <v>-56730.3310300171</v>
      </c>
      <c r="T200">
        <f t="shared" si="963"/>
        <v>-56.730331030017098</v>
      </c>
    </row>
    <row r="201" spans="1:20" x14ac:dyDescent="0.25">
      <c r="A201" s="5">
        <v>44392</v>
      </c>
      <c r="B201">
        <v>0.72189999999999999</v>
      </c>
      <c r="C201">
        <v>0.86880000000000002</v>
      </c>
      <c r="D201">
        <v>0.63009999999999999</v>
      </c>
      <c r="E201">
        <v>0.64439999999999997</v>
      </c>
      <c r="F201">
        <v>38013609.649999999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-0.88018433179723521</v>
      </c>
      <c r="Q201">
        <f t="shared" si="960"/>
        <v>-33458983.60898618</v>
      </c>
      <c r="R201">
        <f t="shared" si="961"/>
        <v>-5665024366.799201</v>
      </c>
      <c r="S201">
        <f t="shared" si="962"/>
        <v>-56650.243667992007</v>
      </c>
      <c r="T201">
        <f t="shared" si="963"/>
        <v>-56.650243667992008</v>
      </c>
    </row>
    <row r="202" spans="1:20" x14ac:dyDescent="0.25">
      <c r="A202" s="5">
        <v>44391</v>
      </c>
      <c r="B202">
        <v>0.51139999999999997</v>
      </c>
      <c r="C202">
        <v>0.95</v>
      </c>
      <c r="D202">
        <v>0.49030000000000001</v>
      </c>
      <c r="E202">
        <v>0.72199999999999998</v>
      </c>
      <c r="F202">
        <v>60231116.060000002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8.0487274309331766E-3</v>
      </c>
      <c r="Q202">
        <f t="shared" si="960"/>
        <v>484783.83602784184</v>
      </c>
      <c r="R202">
        <f t="shared" si="961"/>
        <v>-5631565383.1902151</v>
      </c>
      <c r="S202">
        <f t="shared" si="962"/>
        <v>-56315.653831902149</v>
      </c>
      <c r="T202">
        <f t="shared" si="963"/>
        <v>-56.315653831902146</v>
      </c>
    </row>
    <row r="203" spans="1:20" x14ac:dyDescent="0.25">
      <c r="A203" s="5">
        <v>44390</v>
      </c>
      <c r="B203">
        <v>0.48180000000000001</v>
      </c>
      <c r="C203">
        <v>0.52300000000000002</v>
      </c>
      <c r="D203">
        <v>0.46860000000000002</v>
      </c>
      <c r="E203">
        <v>0.50919999999999999</v>
      </c>
      <c r="F203">
        <v>5164757.3499999996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0.49264705882352816</v>
      </c>
      <c r="Q203">
        <f t="shared" si="960"/>
        <v>2544402.5180146992</v>
      </c>
      <c r="R203">
        <f t="shared" si="961"/>
        <v>-5632050167.0262432</v>
      </c>
      <c r="S203">
        <f t="shared" si="962"/>
        <v>-56320.501670262434</v>
      </c>
      <c r="T203">
        <f t="shared" si="963"/>
        <v>-56.320501670262438</v>
      </c>
    </row>
    <row r="204" spans="1:20" x14ac:dyDescent="0.25">
      <c r="A204" s="5">
        <v>44389</v>
      </c>
      <c r="B204">
        <v>0.49990000000000001</v>
      </c>
      <c r="C204">
        <v>0.53</v>
      </c>
      <c r="D204">
        <v>0.46929999999999999</v>
      </c>
      <c r="E204">
        <v>0.47989999999999999</v>
      </c>
      <c r="F204">
        <v>4346661.82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-0.65074135090609575</v>
      </c>
      <c r="Q204">
        <f t="shared" si="960"/>
        <v>-2828552.5846787491</v>
      </c>
      <c r="R204">
        <f t="shared" si="961"/>
        <v>-5634594569.5442581</v>
      </c>
      <c r="S204">
        <f t="shared" si="962"/>
        <v>-56345.945695442584</v>
      </c>
      <c r="T204">
        <f t="shared" si="963"/>
        <v>-56.345945695442587</v>
      </c>
    </row>
    <row r="205" spans="1:20" x14ac:dyDescent="0.25">
      <c r="A205" s="5">
        <v>44388</v>
      </c>
      <c r="B205">
        <v>0.47099999999999997</v>
      </c>
      <c r="C205">
        <v>0.50849999999999995</v>
      </c>
      <c r="D205">
        <v>0.46710000000000002</v>
      </c>
      <c r="E205">
        <v>0.49959999999999999</v>
      </c>
      <c r="F205">
        <v>2886398.71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0.57004830917874505</v>
      </c>
      <c r="Q205">
        <f t="shared" si="960"/>
        <v>1645386.7042512109</v>
      </c>
      <c r="R205">
        <f t="shared" si="961"/>
        <v>-5631766016.9595795</v>
      </c>
      <c r="S205">
        <f t="shared" si="962"/>
        <v>-56317.660169595794</v>
      </c>
      <c r="T205">
        <f t="shared" si="963"/>
        <v>-56.317660169595797</v>
      </c>
    </row>
    <row r="206" spans="1:20" x14ac:dyDescent="0.25">
      <c r="A206" s="5">
        <v>44387</v>
      </c>
      <c r="B206">
        <v>0.47439999999999999</v>
      </c>
      <c r="C206">
        <v>0.50549999999999995</v>
      </c>
      <c r="D206">
        <v>0.46460000000000001</v>
      </c>
      <c r="E206">
        <v>0.47099999999999997</v>
      </c>
      <c r="F206">
        <v>3817881.35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-0.68704156479217748</v>
      </c>
      <c r="Q206">
        <f t="shared" si="960"/>
        <v>-2623043.1768948711</v>
      </c>
      <c r="R206">
        <f t="shared" si="961"/>
        <v>-5633411403.6638308</v>
      </c>
      <c r="S206">
        <f t="shared" si="962"/>
        <v>-56334.114036638304</v>
      </c>
      <c r="T206">
        <f t="shared" si="963"/>
        <v>-56.334114036638304</v>
      </c>
    </row>
    <row r="207" spans="1:20" x14ac:dyDescent="0.25">
      <c r="A207" s="5">
        <v>44386</v>
      </c>
      <c r="B207">
        <v>0.45910000000000001</v>
      </c>
      <c r="C207">
        <v>0.49</v>
      </c>
      <c r="D207">
        <v>0.43569999999999998</v>
      </c>
      <c r="E207">
        <v>0.47439999999999999</v>
      </c>
      <c r="F207">
        <v>2479060.09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0.42541436464088406</v>
      </c>
      <c r="Q207">
        <f t="shared" si="960"/>
        <v>1054627.7730939228</v>
      </c>
      <c r="R207">
        <f t="shared" si="961"/>
        <v>-5630788360.4869356</v>
      </c>
      <c r="S207">
        <f t="shared" si="962"/>
        <v>-56307.883604869356</v>
      </c>
      <c r="T207">
        <f t="shared" si="963"/>
        <v>-56.307883604869353</v>
      </c>
    </row>
    <row r="208" spans="1:20" x14ac:dyDescent="0.25">
      <c r="A208" s="5">
        <v>44385</v>
      </c>
      <c r="B208">
        <v>0.5131</v>
      </c>
      <c r="C208">
        <v>0.52880000000000005</v>
      </c>
      <c r="D208">
        <v>0.44979999999999998</v>
      </c>
      <c r="E208">
        <v>0.4607</v>
      </c>
      <c r="F208">
        <v>4997720.5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-0.72405063291139216</v>
      </c>
      <c r="Q208">
        <f t="shared" si="960"/>
        <v>-3618602.6911392394</v>
      </c>
      <c r="R208">
        <f t="shared" si="961"/>
        <v>-5631842988.2600298</v>
      </c>
      <c r="S208">
        <f t="shared" si="962"/>
        <v>-56318.4298826003</v>
      </c>
      <c r="T208">
        <f t="shared" si="963"/>
        <v>-56.318429882600299</v>
      </c>
    </row>
    <row r="209" spans="1:20" x14ac:dyDescent="0.25">
      <c r="A209" s="5">
        <v>44384</v>
      </c>
      <c r="B209">
        <v>0.44579999999999997</v>
      </c>
      <c r="C209">
        <v>0.54220000000000002</v>
      </c>
      <c r="D209">
        <v>0.44369999999999998</v>
      </c>
      <c r="E209">
        <v>0.5131</v>
      </c>
      <c r="F209">
        <v>9856776.75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0.40913705583756332</v>
      </c>
      <c r="Q209">
        <f t="shared" si="960"/>
        <v>4032772.6195431459</v>
      </c>
      <c r="R209">
        <f t="shared" si="961"/>
        <v>-5628224385.5688906</v>
      </c>
      <c r="S209">
        <f t="shared" si="962"/>
        <v>-56282.243855688903</v>
      </c>
      <c r="T209">
        <f t="shared" si="963"/>
        <v>-56.282243855688904</v>
      </c>
    </row>
    <row r="210" spans="1:20" x14ac:dyDescent="0.25">
      <c r="A210" s="5">
        <v>44383</v>
      </c>
      <c r="B210">
        <v>0.42970000000000003</v>
      </c>
      <c r="C210">
        <v>0.47099999999999997</v>
      </c>
      <c r="D210">
        <v>0.42799999999999999</v>
      </c>
      <c r="E210">
        <v>0.44579999999999997</v>
      </c>
      <c r="F210">
        <v>3873280.88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-0.17209302325581444</v>
      </c>
      <c r="Q210">
        <f t="shared" si="960"/>
        <v>-666564.61655814142</v>
      </c>
      <c r="R210">
        <f t="shared" si="961"/>
        <v>-5632257158.1884336</v>
      </c>
      <c r="S210">
        <f t="shared" si="962"/>
        <v>-56322.571581884338</v>
      </c>
      <c r="T210">
        <f t="shared" si="963"/>
        <v>-56.32257158188434</v>
      </c>
    </row>
    <row r="211" spans="1:20" x14ac:dyDescent="0.25">
      <c r="A211" s="5">
        <v>44382</v>
      </c>
      <c r="B211">
        <v>0.45550000000000002</v>
      </c>
      <c r="C211">
        <v>0.45660000000000001</v>
      </c>
      <c r="D211">
        <v>0.41880000000000001</v>
      </c>
      <c r="E211">
        <v>0.42980000000000002</v>
      </c>
      <c r="F211">
        <v>2316411.1800000002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-0.41798941798941747</v>
      </c>
      <c r="Q211">
        <f t="shared" si="960"/>
        <v>-968235.36095237976</v>
      </c>
      <c r="R211">
        <f t="shared" si="961"/>
        <v>-5631590593.5718756</v>
      </c>
      <c r="S211">
        <f t="shared" si="962"/>
        <v>-56315.905935718758</v>
      </c>
      <c r="T211">
        <f t="shared" si="963"/>
        <v>-56.31590593571876</v>
      </c>
    </row>
    <row r="212" spans="1:20" x14ac:dyDescent="0.25">
      <c r="A212" s="5">
        <v>44381</v>
      </c>
      <c r="B212">
        <v>0.46</v>
      </c>
      <c r="C212">
        <v>0.47839999999999999</v>
      </c>
      <c r="D212">
        <v>0.44409999999999999</v>
      </c>
      <c r="E212">
        <v>0.45650000000000002</v>
      </c>
      <c r="F212">
        <v>3365240.85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-0.27696793002915315</v>
      </c>
      <c r="Q212">
        <f t="shared" si="960"/>
        <v>-932063.79227404785</v>
      </c>
      <c r="R212">
        <f t="shared" si="961"/>
        <v>-5630622358.2109232</v>
      </c>
      <c r="S212">
        <f t="shared" si="962"/>
        <v>-56306.223582109233</v>
      </c>
      <c r="T212">
        <f t="shared" si="963"/>
        <v>-56.306223582109233</v>
      </c>
    </row>
    <row r="213" spans="1:20" x14ac:dyDescent="0.25">
      <c r="A213" s="5">
        <v>44380</v>
      </c>
      <c r="B213">
        <v>0.41389999999999999</v>
      </c>
      <c r="C213">
        <v>0.49099999999999999</v>
      </c>
      <c r="D213">
        <v>0.4103</v>
      </c>
      <c r="E213">
        <v>0.46050000000000002</v>
      </c>
      <c r="F213">
        <v>6889016.8899999997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0.24411400247831538</v>
      </c>
      <c r="Q213">
        <f t="shared" si="960"/>
        <v>1681705.4861586164</v>
      </c>
      <c r="R213">
        <f t="shared" si="961"/>
        <v>-5629690294.4186487</v>
      </c>
      <c r="S213">
        <f t="shared" si="962"/>
        <v>-56296.902944186484</v>
      </c>
      <c r="T213">
        <f t="shared" si="963"/>
        <v>-56.296902944186485</v>
      </c>
    </row>
    <row r="214" spans="1:20" x14ac:dyDescent="0.25">
      <c r="A214" s="5">
        <v>44379</v>
      </c>
      <c r="B214">
        <v>0.42259999999999998</v>
      </c>
      <c r="C214">
        <v>0.43519999999999998</v>
      </c>
      <c r="D214">
        <v>0.3967</v>
      </c>
      <c r="E214">
        <v>0.41389999999999999</v>
      </c>
      <c r="F214">
        <v>2222357.83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-0.10649350649350636</v>
      </c>
      <c r="Q214">
        <f t="shared" si="960"/>
        <v>-236666.67799999972</v>
      </c>
      <c r="R214">
        <f t="shared" si="961"/>
        <v>-5631371999.9048071</v>
      </c>
      <c r="S214">
        <f t="shared" si="962"/>
        <v>-56313.719999048073</v>
      </c>
      <c r="T214">
        <f t="shared" si="963"/>
        <v>-56.313719999048075</v>
      </c>
    </row>
    <row r="215" spans="1:20" x14ac:dyDescent="0.25">
      <c r="A215" s="5">
        <v>44378</v>
      </c>
      <c r="B215">
        <v>0.4541</v>
      </c>
      <c r="C215">
        <v>0.46579999999999999</v>
      </c>
      <c r="D215">
        <v>0.41010000000000002</v>
      </c>
      <c r="E215">
        <v>0.42249999999999999</v>
      </c>
      <c r="F215">
        <v>2291431.84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-0.55475763016158086</v>
      </c>
      <c r="Q215">
        <f t="shared" si="960"/>
        <v>-1271189.2972351906</v>
      </c>
      <c r="R215">
        <f t="shared" si="961"/>
        <v>-5631135333.2268066</v>
      </c>
      <c r="S215">
        <f t="shared" si="962"/>
        <v>-56311.353332268067</v>
      </c>
      <c r="T215">
        <f t="shared" si="963"/>
        <v>-56.311353332268069</v>
      </c>
    </row>
    <row r="216" spans="1:20" x14ac:dyDescent="0.25">
      <c r="A216" s="5">
        <v>44377</v>
      </c>
      <c r="B216">
        <v>0.46579999999999999</v>
      </c>
      <c r="C216">
        <v>0.48130000000000001</v>
      </c>
      <c r="D216">
        <v>0.43149999999999999</v>
      </c>
      <c r="E216">
        <v>0.45600000000000002</v>
      </c>
      <c r="F216">
        <v>2529905.3199999998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-1.6064257028111793E-2</v>
      </c>
      <c r="Q216">
        <f t="shared" si="960"/>
        <v>-40641.049317267411</v>
      </c>
      <c r="R216">
        <f t="shared" si="961"/>
        <v>-5629864143.9295712</v>
      </c>
      <c r="S216">
        <f t="shared" si="962"/>
        <v>-56298.641439295709</v>
      </c>
      <c r="T216">
        <f t="shared" si="963"/>
        <v>-56.298641439295707</v>
      </c>
    </row>
    <row r="217" spans="1:20" x14ac:dyDescent="0.25">
      <c r="A217" s="5">
        <v>44376</v>
      </c>
      <c r="B217">
        <v>0.45329999999999998</v>
      </c>
      <c r="C217">
        <v>0.498</v>
      </c>
      <c r="D217">
        <v>0.45169999999999999</v>
      </c>
      <c r="E217">
        <v>0.46579999999999999</v>
      </c>
      <c r="F217">
        <v>4516490.88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-0.39092872570194387</v>
      </c>
      <c r="Q217">
        <f t="shared" si="960"/>
        <v>-1765626.0243628509</v>
      </c>
      <c r="R217">
        <f t="shared" si="961"/>
        <v>-5629823502.8802538</v>
      </c>
      <c r="S217">
        <f t="shared" si="962"/>
        <v>-56298.235028802541</v>
      </c>
      <c r="T217">
        <f t="shared" si="963"/>
        <v>-56.298235028802544</v>
      </c>
    </row>
    <row r="218" spans="1:20" x14ac:dyDescent="0.25">
      <c r="A218" s="5">
        <v>44375</v>
      </c>
      <c r="B218">
        <v>0.47560000000000002</v>
      </c>
      <c r="C218">
        <v>0.4768</v>
      </c>
      <c r="D218">
        <v>0.44500000000000001</v>
      </c>
      <c r="E218">
        <v>0.45269999999999999</v>
      </c>
      <c r="F218">
        <v>3471643.81</v>
      </c>
      <c r="G218">
        <v>0</v>
      </c>
      <c r="L218" t="s">
        <v>7</v>
      </c>
      <c r="M218" t="s">
        <v>7</v>
      </c>
      <c r="N218" t="s">
        <v>8</v>
      </c>
      <c r="P218">
        <f t="shared" si="959"/>
        <v>-0.51572327044025246</v>
      </c>
      <c r="Q218">
        <f t="shared" si="960"/>
        <v>-1790407.4994968583</v>
      </c>
      <c r="R218">
        <f t="shared" si="961"/>
        <v>-5628057876.8558912</v>
      </c>
      <c r="S218">
        <f t="shared" si="962"/>
        <v>-56280.578768558909</v>
      </c>
      <c r="T218">
        <f t="shared" si="963"/>
        <v>-56.280578768558911</v>
      </c>
    </row>
    <row r="219" spans="1:20" x14ac:dyDescent="0.25">
      <c r="A219" s="5">
        <v>44374</v>
      </c>
      <c r="B219">
        <v>0.40039999999999998</v>
      </c>
      <c r="C219">
        <v>0.55000000000000004</v>
      </c>
      <c r="D219">
        <v>0.39240000000000003</v>
      </c>
      <c r="E219">
        <v>0.47689999999999999</v>
      </c>
      <c r="F219">
        <v>17904146.609999999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7.2335025380710086E-2</v>
      </c>
      <c r="Q219">
        <f t="shared" si="960"/>
        <v>1295096.8994543045</v>
      </c>
      <c r="R219">
        <f t="shared" si="961"/>
        <v>-5626267469.3563948</v>
      </c>
      <c r="S219">
        <f t="shared" si="962"/>
        <v>-56262.674693563946</v>
      </c>
      <c r="T219">
        <f t="shared" si="963"/>
        <v>-56.262674693563945</v>
      </c>
    </row>
    <row r="220" spans="1:20" x14ac:dyDescent="0.25">
      <c r="A220" s="5">
        <v>44373</v>
      </c>
      <c r="B220">
        <v>0.41510000000000002</v>
      </c>
      <c r="C220">
        <v>0.43259999999999998</v>
      </c>
      <c r="D220">
        <v>0.37690000000000001</v>
      </c>
      <c r="E220">
        <v>0.40039999999999998</v>
      </c>
      <c r="F220">
        <v>3070554.79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-0.1561938958707369</v>
      </c>
      <c r="Q220">
        <f t="shared" si="960"/>
        <v>-479601.9151346524</v>
      </c>
      <c r="R220">
        <f t="shared" si="961"/>
        <v>-5627562566.2558489</v>
      </c>
      <c r="S220">
        <f t="shared" si="962"/>
        <v>-56275.625662558487</v>
      </c>
      <c r="T220">
        <f t="shared" si="963"/>
        <v>-56.27562566255849</v>
      </c>
    </row>
    <row r="221" spans="1:20" x14ac:dyDescent="0.25">
      <c r="A221" s="5">
        <v>44372</v>
      </c>
      <c r="B221">
        <v>0.46610000000000001</v>
      </c>
      <c r="C221">
        <v>0.48499999999999999</v>
      </c>
      <c r="D221">
        <v>0.41</v>
      </c>
      <c r="E221">
        <v>0.41570000000000001</v>
      </c>
      <c r="F221">
        <v>2432533.14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-0.84799999999999898</v>
      </c>
      <c r="Q221">
        <f t="shared" si="960"/>
        <v>-2062788.1027199975</v>
      </c>
      <c r="R221">
        <f t="shared" si="961"/>
        <v>-5627082964.3407145</v>
      </c>
      <c r="S221">
        <f t="shared" si="962"/>
        <v>-56270.829643407145</v>
      </c>
      <c r="T221">
        <f t="shared" si="963"/>
        <v>-56.270829643407147</v>
      </c>
    </row>
    <row r="222" spans="1:20" x14ac:dyDescent="0.25">
      <c r="A222" s="5">
        <v>44371</v>
      </c>
      <c r="B222">
        <v>0.48159999999999997</v>
      </c>
      <c r="C222">
        <v>0.49890000000000001</v>
      </c>
      <c r="D222">
        <v>0.45019999999999999</v>
      </c>
      <c r="E222">
        <v>0.46589999999999998</v>
      </c>
      <c r="F222">
        <v>3030686.39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-0.35523613963039075</v>
      </c>
      <c r="Q222">
        <f t="shared" si="960"/>
        <v>-1076609.333613965</v>
      </c>
      <c r="R222">
        <f t="shared" si="961"/>
        <v>-5625020176.2379942</v>
      </c>
      <c r="S222">
        <f t="shared" si="962"/>
        <v>-56250.20176237994</v>
      </c>
      <c r="T222">
        <f t="shared" si="963"/>
        <v>-56.250201762379938</v>
      </c>
    </row>
    <row r="223" spans="1:20" x14ac:dyDescent="0.25">
      <c r="A223" s="5">
        <v>44370</v>
      </c>
      <c r="B223">
        <v>0.46460000000000001</v>
      </c>
      <c r="C223">
        <v>0.52439999999999998</v>
      </c>
      <c r="D223">
        <v>0.44040000000000001</v>
      </c>
      <c r="E223">
        <v>0.48320000000000002</v>
      </c>
      <c r="F223">
        <v>5172547.18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1.9047619047619601E-2</v>
      </c>
      <c r="Q223">
        <f t="shared" si="960"/>
        <v>98524.708190479054</v>
      </c>
      <c r="R223">
        <f t="shared" si="961"/>
        <v>-5623943566.9043798</v>
      </c>
      <c r="S223">
        <f t="shared" si="962"/>
        <v>-56239.4356690438</v>
      </c>
      <c r="T223">
        <f t="shared" si="963"/>
        <v>-56.2394356690438</v>
      </c>
    </row>
    <row r="224" spans="1:20" x14ac:dyDescent="0.25">
      <c r="A224" s="5">
        <v>44369</v>
      </c>
      <c r="B224">
        <v>0.45129999999999998</v>
      </c>
      <c r="C224">
        <v>0.55569999999999997</v>
      </c>
      <c r="D224">
        <v>0.37009999999999998</v>
      </c>
      <c r="E224">
        <v>0.46439999999999998</v>
      </c>
      <c r="F224">
        <v>6731038.6500000004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1.6163793103448291E-2</v>
      </c>
      <c r="Q224">
        <f t="shared" si="960"/>
        <v>108799.1161099139</v>
      </c>
      <c r="R224">
        <f t="shared" si="961"/>
        <v>-5624042091.6125708</v>
      </c>
      <c r="S224">
        <f t="shared" si="962"/>
        <v>-56240.420916125709</v>
      </c>
      <c r="T224">
        <f t="shared" si="963"/>
        <v>-56.240420916125707</v>
      </c>
    </row>
    <row r="225" spans="1:20" x14ac:dyDescent="0.25">
      <c r="A225" s="5">
        <v>44368</v>
      </c>
      <c r="B225">
        <v>0.59599999999999997</v>
      </c>
      <c r="C225">
        <v>0.60199999999999998</v>
      </c>
      <c r="D225">
        <v>0.45</v>
      </c>
      <c r="E225">
        <v>0.45029999999999998</v>
      </c>
      <c r="F225">
        <v>4768544.97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-0.99605263157894786</v>
      </c>
      <c r="Q225">
        <f t="shared" si="960"/>
        <v>-4749721.7661710549</v>
      </c>
      <c r="R225">
        <f t="shared" si="961"/>
        <v>-5624150890.7286806</v>
      </c>
      <c r="S225">
        <f t="shared" si="962"/>
        <v>-56241.508907286807</v>
      </c>
      <c r="T225">
        <f t="shared" si="963"/>
        <v>-56.241508907286807</v>
      </c>
    </row>
    <row r="226" spans="1:20" x14ac:dyDescent="0.25">
      <c r="A226" s="5">
        <v>44367</v>
      </c>
      <c r="B226">
        <v>0.5917</v>
      </c>
      <c r="C226">
        <v>0.63</v>
      </c>
      <c r="D226">
        <v>0.51090000000000002</v>
      </c>
      <c r="E226">
        <v>0.59550000000000003</v>
      </c>
      <c r="F226">
        <v>5487011.4500000002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0.42065491183879128</v>
      </c>
      <c r="Q226">
        <f t="shared" si="960"/>
        <v>2308138.3177581886</v>
      </c>
      <c r="R226">
        <f t="shared" si="961"/>
        <v>-5619401168.9625092</v>
      </c>
      <c r="S226">
        <f t="shared" si="962"/>
        <v>-56194.011689625091</v>
      </c>
      <c r="T226">
        <f t="shared" si="963"/>
        <v>-56.194011689625093</v>
      </c>
    </row>
    <row r="227" spans="1:20" x14ac:dyDescent="0.25">
      <c r="A227" s="5">
        <v>44366</v>
      </c>
      <c r="B227">
        <v>0.60299999999999998</v>
      </c>
      <c r="C227">
        <v>0.64249999999999996</v>
      </c>
      <c r="D227">
        <v>0.58699999999999997</v>
      </c>
      <c r="E227">
        <v>0.59230000000000005</v>
      </c>
      <c r="F227">
        <v>2815438.75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-0.80900900900900596</v>
      </c>
      <c r="Q227">
        <f t="shared" si="960"/>
        <v>-2277715.3130630543</v>
      </c>
      <c r="R227">
        <f t="shared" si="961"/>
        <v>-5621709307.2802677</v>
      </c>
      <c r="S227">
        <f t="shared" si="962"/>
        <v>-56217.09307280268</v>
      </c>
      <c r="T227">
        <f t="shared" si="963"/>
        <v>-56.217093072802683</v>
      </c>
    </row>
    <row r="228" spans="1:20" x14ac:dyDescent="0.25">
      <c r="A228" s="5">
        <v>44365</v>
      </c>
      <c r="B228">
        <v>0.68330000000000002</v>
      </c>
      <c r="C228">
        <v>0.7198</v>
      </c>
      <c r="D228">
        <v>0.57999999999999996</v>
      </c>
      <c r="E228">
        <v>0.60340000000000005</v>
      </c>
      <c r="F228">
        <v>6569855.96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-0.66523605150214471</v>
      </c>
      <c r="Q228">
        <f t="shared" si="960"/>
        <v>-4370505.0377682326</v>
      </c>
      <c r="R228">
        <f t="shared" si="961"/>
        <v>-5619431591.967205</v>
      </c>
      <c r="S228">
        <f t="shared" si="962"/>
        <v>-56194.315919672052</v>
      </c>
      <c r="T228">
        <f t="shared" si="963"/>
        <v>-56.19431591967205</v>
      </c>
    </row>
    <row r="229" spans="1:20" x14ac:dyDescent="0.25">
      <c r="A229" s="5">
        <v>44364</v>
      </c>
      <c r="B229">
        <v>0.66790000000000005</v>
      </c>
      <c r="C229">
        <v>0.73919999999999997</v>
      </c>
      <c r="D229">
        <v>0.66220000000000001</v>
      </c>
      <c r="E229">
        <v>0.68330000000000002</v>
      </c>
      <c r="F229">
        <v>6335209.0300000003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-0.45194805194805143</v>
      </c>
      <c r="Q229">
        <f t="shared" si="960"/>
        <v>-2863185.3797922046</v>
      </c>
      <c r="R229">
        <f t="shared" si="961"/>
        <v>-5615061086.9294367</v>
      </c>
      <c r="S229">
        <f t="shared" si="962"/>
        <v>-56150.610869294367</v>
      </c>
      <c r="T229">
        <f t="shared" si="963"/>
        <v>-56.150610869294368</v>
      </c>
    </row>
    <row r="230" spans="1:20" x14ac:dyDescent="0.25">
      <c r="A230" s="5">
        <v>44363</v>
      </c>
      <c r="B230">
        <v>0.68930000000000002</v>
      </c>
      <c r="C230">
        <v>0.7278</v>
      </c>
      <c r="D230">
        <v>0.65129999999999999</v>
      </c>
      <c r="E230">
        <v>0.66759999999999997</v>
      </c>
      <c r="F230">
        <v>5967445.6299999999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-0.57385620915032731</v>
      </c>
      <c r="Q230">
        <f t="shared" si="960"/>
        <v>-3424455.7275424865</v>
      </c>
      <c r="R230">
        <f t="shared" si="961"/>
        <v>-5612197901.5496445</v>
      </c>
      <c r="S230">
        <f t="shared" si="962"/>
        <v>-56121.979015496443</v>
      </c>
      <c r="T230">
        <f t="shared" si="963"/>
        <v>-56.121979015496443</v>
      </c>
    </row>
    <row r="231" spans="1:20" x14ac:dyDescent="0.25">
      <c r="A231" s="5">
        <v>44362</v>
      </c>
      <c r="B231">
        <v>0.75370000000000004</v>
      </c>
      <c r="C231">
        <v>0.81</v>
      </c>
      <c r="D231">
        <v>0.68200000000000005</v>
      </c>
      <c r="E231">
        <v>0.6895</v>
      </c>
      <c r="F231">
        <v>16714090.25</v>
      </c>
      <c r="G231">
        <v>0</v>
      </c>
      <c r="L231" t="s">
        <v>7</v>
      </c>
      <c r="M231" t="s">
        <v>8</v>
      </c>
      <c r="N231" t="s">
        <v>8</v>
      </c>
      <c r="P231">
        <f t="shared" si="959"/>
        <v>-0.88281250000000078</v>
      </c>
      <c r="Q231">
        <f t="shared" si="960"/>
        <v>-14755407.798828138</v>
      </c>
      <c r="R231">
        <f t="shared" si="961"/>
        <v>-5608773445.8221016</v>
      </c>
      <c r="S231">
        <f t="shared" si="962"/>
        <v>-56087.734458221013</v>
      </c>
      <c r="T231">
        <f t="shared" si="963"/>
        <v>-56.087734458221014</v>
      </c>
    </row>
    <row r="232" spans="1:20" x14ac:dyDescent="0.25">
      <c r="A232" s="5">
        <v>44361</v>
      </c>
      <c r="B232">
        <v>0.60299999999999998</v>
      </c>
      <c r="C232">
        <v>0.82</v>
      </c>
      <c r="D232">
        <v>0.58069999999999999</v>
      </c>
      <c r="E232">
        <v>0.75700000000000001</v>
      </c>
      <c r="F232">
        <v>29245452.48</v>
      </c>
      <c r="G232">
        <v>0</v>
      </c>
      <c r="L232" t="s">
        <v>8</v>
      </c>
      <c r="M232" t="s">
        <v>8</v>
      </c>
      <c r="N232" t="s">
        <v>8</v>
      </c>
      <c r="P232">
        <f t="shared" si="959"/>
        <v>0.47346427078980396</v>
      </c>
      <c r="Q232">
        <f t="shared" si="960"/>
        <v>13846676.832361065</v>
      </c>
      <c r="R232">
        <f t="shared" si="961"/>
        <v>-5594018038.0232735</v>
      </c>
      <c r="S232">
        <f t="shared" si="962"/>
        <v>-55940.180380232734</v>
      </c>
      <c r="T232">
        <f t="shared" si="963"/>
        <v>-55.940180380232732</v>
      </c>
    </row>
    <row r="233" spans="1:20" x14ac:dyDescent="0.25">
      <c r="A233" s="5">
        <v>44360</v>
      </c>
      <c r="B233">
        <v>0.53949999999999998</v>
      </c>
      <c r="C233">
        <v>0.67490000000000006</v>
      </c>
      <c r="D233">
        <v>0.53439999999999999</v>
      </c>
      <c r="E233">
        <v>0.60299999999999998</v>
      </c>
      <c r="F233">
        <v>24726952.710000001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-2.3487544483986329E-2</v>
      </c>
      <c r="Q233">
        <f t="shared" si="960"/>
        <v>-580775.40172955138</v>
      </c>
      <c r="R233">
        <f t="shared" si="961"/>
        <v>-5607864714.8556347</v>
      </c>
      <c r="S233">
        <f t="shared" si="962"/>
        <v>-56078.647148556345</v>
      </c>
      <c r="T233">
        <f t="shared" si="963"/>
        <v>-56.078647148556342</v>
      </c>
    </row>
    <row r="234" spans="1:20" x14ac:dyDescent="0.25">
      <c r="A234" s="5">
        <v>44359</v>
      </c>
      <c r="B234">
        <v>0.60050000000000003</v>
      </c>
      <c r="C234">
        <v>0.69220000000000004</v>
      </c>
      <c r="D234">
        <v>0.4773</v>
      </c>
      <c r="E234">
        <v>0.54020000000000001</v>
      </c>
      <c r="F234">
        <v>29108486.649999999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-0.41461144718473708</v>
      </c>
      <c r="Q234">
        <f t="shared" si="960"/>
        <v>-12068711.775314098</v>
      </c>
      <c r="R234">
        <f t="shared" si="961"/>
        <v>-5607283939.4539051</v>
      </c>
      <c r="S234">
        <f t="shared" si="962"/>
        <v>-56072.839394539049</v>
      </c>
      <c r="T234">
        <f t="shared" si="963"/>
        <v>-56.072839394539052</v>
      </c>
    </row>
    <row r="235" spans="1:20" x14ac:dyDescent="0.25">
      <c r="A235" s="5">
        <v>44358</v>
      </c>
      <c r="B235">
        <v>0.6169</v>
      </c>
      <c r="C235">
        <v>0.83940000000000003</v>
      </c>
      <c r="D235">
        <v>0.57999999999999996</v>
      </c>
      <c r="E235">
        <v>0.60229999999999995</v>
      </c>
      <c r="F235">
        <v>78210820.370000005</v>
      </c>
      <c r="G235">
        <v>0</v>
      </c>
      <c r="L235" t="s">
        <v>8</v>
      </c>
      <c r="M235" t="s">
        <v>7</v>
      </c>
      <c r="N235" t="s">
        <v>7</v>
      </c>
      <c r="P235">
        <f t="shared" si="959"/>
        <v>-0.82806476484194314</v>
      </c>
      <c r="Q235">
        <f t="shared" si="960"/>
        <v>-64763624.577779509</v>
      </c>
      <c r="R235">
        <f t="shared" si="961"/>
        <v>-5595215227.6785908</v>
      </c>
      <c r="S235">
        <f t="shared" si="962"/>
        <v>-55952.152276785906</v>
      </c>
      <c r="T235">
        <f t="shared" si="963"/>
        <v>-55.952152276785903</v>
      </c>
    </row>
    <row r="236" spans="1:20" x14ac:dyDescent="0.25">
      <c r="A236" s="5">
        <v>44357</v>
      </c>
      <c r="B236">
        <v>0.4577</v>
      </c>
      <c r="C236">
        <v>0.83169999999999999</v>
      </c>
      <c r="D236">
        <v>0.43259999999999998</v>
      </c>
      <c r="E236">
        <v>0.61450000000000005</v>
      </c>
      <c r="F236">
        <v>45067310.899999999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-8.844901027311422E-2</v>
      </c>
      <c r="Q236">
        <f t="shared" si="960"/>
        <v>-3986159.0447757323</v>
      </c>
      <c r="R236">
        <f t="shared" si="961"/>
        <v>-5530451603.100811</v>
      </c>
      <c r="S236">
        <f t="shared" si="962"/>
        <v>-55304.516031008112</v>
      </c>
      <c r="T236">
        <f t="shared" si="963"/>
        <v>-55.304516031008113</v>
      </c>
    </row>
    <row r="237" spans="1:20" x14ac:dyDescent="0.25">
      <c r="A237" s="5">
        <v>44356</v>
      </c>
      <c r="B237">
        <v>0.44469999999999998</v>
      </c>
      <c r="C237">
        <v>0.4672</v>
      </c>
      <c r="D237">
        <v>0.40429999999999999</v>
      </c>
      <c r="E237">
        <v>0.4577</v>
      </c>
      <c r="F237">
        <v>4210278.4800000004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0.69793322734499186</v>
      </c>
      <c r="Q237">
        <f t="shared" si="960"/>
        <v>2938493.247567567</v>
      </c>
      <c r="R237">
        <f t="shared" si="961"/>
        <v>-5526465444.056035</v>
      </c>
      <c r="S237">
        <f t="shared" si="962"/>
        <v>-55264.654440560349</v>
      </c>
      <c r="T237">
        <f t="shared" si="963"/>
        <v>-55.264654440560349</v>
      </c>
    </row>
    <row r="238" spans="1:20" x14ac:dyDescent="0.25">
      <c r="A238" s="5">
        <v>44355</v>
      </c>
      <c r="B238">
        <v>0.46439999999999998</v>
      </c>
      <c r="C238">
        <v>0.48120000000000002</v>
      </c>
      <c r="D238">
        <v>0.3866</v>
      </c>
      <c r="E238">
        <v>0.44429999999999997</v>
      </c>
      <c r="F238">
        <v>4124306.16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0.21987315010570746</v>
      </c>
      <c r="Q238">
        <f t="shared" si="960"/>
        <v>906824.18739957397</v>
      </c>
      <c r="R238">
        <f t="shared" si="961"/>
        <v>-5529403937.3036022</v>
      </c>
      <c r="S238">
        <f t="shared" si="962"/>
        <v>-55294.039373036023</v>
      </c>
      <c r="T238">
        <f t="shared" si="963"/>
        <v>-55.294039373036021</v>
      </c>
    </row>
    <row r="239" spans="1:20" x14ac:dyDescent="0.25">
      <c r="A239" s="5">
        <v>44354</v>
      </c>
      <c r="B239">
        <v>0.50349999999999995</v>
      </c>
      <c r="C239">
        <v>0.54420000000000002</v>
      </c>
      <c r="D239">
        <v>0.45910000000000001</v>
      </c>
      <c r="E239">
        <v>0.46529999999999999</v>
      </c>
      <c r="F239">
        <v>7073712.1299999999</v>
      </c>
      <c r="G239">
        <v>0</v>
      </c>
      <c r="L239" t="s">
        <v>8</v>
      </c>
      <c r="M239" t="s">
        <v>8</v>
      </c>
      <c r="N239" t="s">
        <v>8</v>
      </c>
      <c r="P239">
        <f t="shared" si="959"/>
        <v>-0.85428907168037649</v>
      </c>
      <c r="Q239">
        <f t="shared" si="960"/>
        <v>-6042994.9688719185</v>
      </c>
      <c r="R239">
        <f t="shared" si="961"/>
        <v>-5530310761.4910021</v>
      </c>
      <c r="S239">
        <f t="shared" si="962"/>
        <v>-55303.107614910019</v>
      </c>
      <c r="T239">
        <f t="shared" si="963"/>
        <v>-55.303107614910019</v>
      </c>
    </row>
    <row r="240" spans="1:20" x14ac:dyDescent="0.25">
      <c r="A240" s="5">
        <v>44353</v>
      </c>
      <c r="B240">
        <v>0.46739999999999998</v>
      </c>
      <c r="C240">
        <v>0.53549999999999998</v>
      </c>
      <c r="D240">
        <v>0.45910000000000001</v>
      </c>
      <c r="E240">
        <v>0.50349999999999995</v>
      </c>
      <c r="F240">
        <v>3740433.38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0.16230366492146486</v>
      </c>
      <c r="Q240">
        <f t="shared" si="960"/>
        <v>607086.04596858227</v>
      </c>
      <c r="R240">
        <f t="shared" si="961"/>
        <v>-5524267766.52213</v>
      </c>
      <c r="S240">
        <f t="shared" si="962"/>
        <v>-55242.677665221301</v>
      </c>
      <c r="T240">
        <f t="shared" si="963"/>
        <v>-55.242677665221301</v>
      </c>
    </row>
    <row r="241" spans="1:20" x14ac:dyDescent="0.25">
      <c r="A241" s="5">
        <v>44352</v>
      </c>
      <c r="B241">
        <v>0.49159999999999998</v>
      </c>
      <c r="C241">
        <v>0.52270000000000005</v>
      </c>
      <c r="D241">
        <v>0.45219999999999999</v>
      </c>
      <c r="E241">
        <v>0.46729999999999999</v>
      </c>
      <c r="F241">
        <v>2590523.4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-0.57163120567375914</v>
      </c>
      <c r="Q241">
        <f t="shared" si="960"/>
        <v>-1480824.0144680857</v>
      </c>
      <c r="R241">
        <f t="shared" si="961"/>
        <v>-5524874852.568099</v>
      </c>
      <c r="S241">
        <f t="shared" si="962"/>
        <v>-55248.748525680989</v>
      </c>
      <c r="T241">
        <f t="shared" si="963"/>
        <v>-55.248748525680988</v>
      </c>
    </row>
    <row r="242" spans="1:20" x14ac:dyDescent="0.25">
      <c r="A242" s="5">
        <v>44351</v>
      </c>
      <c r="B242">
        <v>0.55100000000000005</v>
      </c>
      <c r="C242">
        <v>0.55549999999999999</v>
      </c>
      <c r="D242">
        <v>0.47</v>
      </c>
      <c r="E242">
        <v>0.49220000000000003</v>
      </c>
      <c r="F242">
        <v>3153063.39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-0.4807017543859638</v>
      </c>
      <c r="Q242">
        <f t="shared" si="960"/>
        <v>-1515683.1032631544</v>
      </c>
      <c r="R242">
        <f t="shared" si="961"/>
        <v>-5523394028.5536308</v>
      </c>
      <c r="S242">
        <f t="shared" si="962"/>
        <v>-55233.940285536308</v>
      </c>
      <c r="T242">
        <f t="shared" si="963"/>
        <v>-55.233940285536306</v>
      </c>
    </row>
    <row r="243" spans="1:20" x14ac:dyDescent="0.25">
      <c r="A243" s="5">
        <v>44350</v>
      </c>
      <c r="B243">
        <v>0.53069999999999995</v>
      </c>
      <c r="C243">
        <v>0.56510000000000005</v>
      </c>
      <c r="D243">
        <v>0.50890000000000002</v>
      </c>
      <c r="E243">
        <v>0.54910000000000003</v>
      </c>
      <c r="F243">
        <v>5436901.8700000001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0.43060498220640547</v>
      </c>
      <c r="Q243">
        <f t="shared" si="960"/>
        <v>2341157.0329893227</v>
      </c>
      <c r="R243">
        <f t="shared" si="961"/>
        <v>-5521878345.4503679</v>
      </c>
      <c r="S243">
        <f t="shared" si="962"/>
        <v>-55218.783454503682</v>
      </c>
      <c r="T243">
        <f t="shared" si="963"/>
        <v>-55.218783454503679</v>
      </c>
    </row>
    <row r="244" spans="1:20" x14ac:dyDescent="0.25">
      <c r="A244" s="5">
        <v>44349</v>
      </c>
      <c r="B244">
        <v>0.50919999999999999</v>
      </c>
      <c r="C244">
        <v>0.58499999999999996</v>
      </c>
      <c r="D244">
        <v>0.49099999999999999</v>
      </c>
      <c r="E244">
        <v>0.53039999999999998</v>
      </c>
      <c r="F244">
        <v>6092302.6799999997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-0.16170212765957442</v>
      </c>
      <c r="Q244">
        <f t="shared" si="960"/>
        <v>-985138.3057021274</v>
      </c>
      <c r="R244">
        <f t="shared" si="961"/>
        <v>-5524219502.4833574</v>
      </c>
      <c r="S244">
        <f t="shared" si="962"/>
        <v>-55242.195024833578</v>
      </c>
      <c r="T244">
        <f t="shared" si="963"/>
        <v>-55.242195024833578</v>
      </c>
    </row>
    <row r="245" spans="1:20" x14ac:dyDescent="0.25">
      <c r="A245" s="5">
        <v>44348</v>
      </c>
      <c r="B245">
        <v>0.53510000000000002</v>
      </c>
      <c r="C245">
        <v>0.54339999999999999</v>
      </c>
      <c r="D245">
        <v>0.49</v>
      </c>
      <c r="E245">
        <v>0.50919999999999999</v>
      </c>
      <c r="F245">
        <v>2178220.3199999998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-0.28089887640449462</v>
      </c>
      <c r="Q245">
        <f t="shared" si="960"/>
        <v>-611859.64044943871</v>
      </c>
      <c r="R245">
        <f t="shared" si="961"/>
        <v>-5523234364.1776552</v>
      </c>
      <c r="S245">
        <f t="shared" si="962"/>
        <v>-55232.343641776555</v>
      </c>
      <c r="T245">
        <f t="shared" si="963"/>
        <v>-55.232343641776552</v>
      </c>
    </row>
    <row r="246" spans="1:20" x14ac:dyDescent="0.25">
      <c r="A246" s="5">
        <v>44347</v>
      </c>
      <c r="B246">
        <v>0.52739999999999998</v>
      </c>
      <c r="C246">
        <v>0.54400000000000004</v>
      </c>
      <c r="D246">
        <v>0.47710000000000002</v>
      </c>
      <c r="E246">
        <v>0.53749999999999998</v>
      </c>
      <c r="F246">
        <v>4162801.43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0.80568011958146313</v>
      </c>
      <c r="Q246">
        <f t="shared" si="960"/>
        <v>3353886.353916286</v>
      </c>
      <c r="R246">
        <f t="shared" si="961"/>
        <v>-5522622504.5372057</v>
      </c>
      <c r="S246">
        <f t="shared" si="962"/>
        <v>-55226.225045372055</v>
      </c>
      <c r="T246">
        <f t="shared" si="963"/>
        <v>-55.226225045372054</v>
      </c>
    </row>
    <row r="247" spans="1:20" x14ac:dyDescent="0.25">
      <c r="A247" s="5">
        <v>44346</v>
      </c>
      <c r="B247">
        <v>0.43319999999999997</v>
      </c>
      <c r="C247">
        <v>0.59250000000000003</v>
      </c>
      <c r="D247">
        <v>0.41439999999999999</v>
      </c>
      <c r="E247">
        <v>0.52580000000000005</v>
      </c>
      <c r="F247">
        <v>12584721.560000001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0.25098259404828782</v>
      </c>
      <c r="Q247">
        <f t="shared" si="960"/>
        <v>3158546.0625042156</v>
      </c>
      <c r="R247">
        <f t="shared" si="961"/>
        <v>-5525976390.8911219</v>
      </c>
      <c r="S247">
        <f t="shared" si="962"/>
        <v>-55259.76390891122</v>
      </c>
      <c r="T247">
        <f t="shared" si="963"/>
        <v>-55.259763908911218</v>
      </c>
    </row>
    <row r="248" spans="1:20" x14ac:dyDescent="0.25">
      <c r="A248" s="5">
        <v>44345</v>
      </c>
      <c r="B248">
        <v>0.48099999999999998</v>
      </c>
      <c r="C248">
        <v>0.50280000000000002</v>
      </c>
      <c r="D248">
        <v>0.40970000000000001</v>
      </c>
      <c r="E248">
        <v>0.43280000000000002</v>
      </c>
      <c r="F248">
        <v>2925750.78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-0.50375939849624052</v>
      </c>
      <c r="Q248">
        <f t="shared" si="960"/>
        <v>-1473874.4530827063</v>
      </c>
      <c r="R248">
        <f t="shared" si="961"/>
        <v>-5529134936.9536257</v>
      </c>
      <c r="S248">
        <f t="shared" si="962"/>
        <v>-55291.349369536256</v>
      </c>
      <c r="T248">
        <f t="shared" si="963"/>
        <v>-55.291349369536256</v>
      </c>
    </row>
    <row r="249" spans="1:20" x14ac:dyDescent="0.25">
      <c r="A249" s="5">
        <v>44344</v>
      </c>
      <c r="B249">
        <v>0.59660000000000002</v>
      </c>
      <c r="C249">
        <v>0.61519999999999997</v>
      </c>
      <c r="D249">
        <v>0.45</v>
      </c>
      <c r="E249">
        <v>0.4824</v>
      </c>
      <c r="F249">
        <v>4256078.63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-0.60774818401937059</v>
      </c>
      <c r="Q249">
        <f t="shared" si="960"/>
        <v>-2586624.0584261506</v>
      </c>
      <c r="R249">
        <f t="shared" si="961"/>
        <v>-5527661062.5005426</v>
      </c>
      <c r="S249">
        <f t="shared" si="962"/>
        <v>-55276.610625005429</v>
      </c>
      <c r="T249">
        <f t="shared" si="963"/>
        <v>-55.276610625005432</v>
      </c>
    </row>
    <row r="250" spans="1:20" x14ac:dyDescent="0.25">
      <c r="A250" s="5">
        <v>44343</v>
      </c>
      <c r="B250">
        <v>0.61990000000000001</v>
      </c>
      <c r="C250">
        <v>0.62990000000000002</v>
      </c>
      <c r="D250">
        <v>0.51529999999999998</v>
      </c>
      <c r="E250">
        <v>0.59799999999999998</v>
      </c>
      <c r="F250">
        <v>4681759.04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0.44328097731239041</v>
      </c>
      <c r="Q250">
        <f t="shared" si="960"/>
        <v>2075334.7227923188</v>
      </c>
      <c r="R250">
        <f t="shared" si="961"/>
        <v>-5525074438.4421167</v>
      </c>
      <c r="S250">
        <f t="shared" si="962"/>
        <v>-55250.744384421167</v>
      </c>
      <c r="T250">
        <f t="shared" si="963"/>
        <v>-55.250744384421168</v>
      </c>
    </row>
    <row r="251" spans="1:20" x14ac:dyDescent="0.25">
      <c r="A251" s="5">
        <v>44342</v>
      </c>
      <c r="B251">
        <v>0.49559999999999998</v>
      </c>
      <c r="C251">
        <v>0.63619999999999999</v>
      </c>
      <c r="D251">
        <v>0.48659999999999998</v>
      </c>
      <c r="E251">
        <v>0.61950000000000005</v>
      </c>
      <c r="F251">
        <v>10819075.59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0.77673796791443939</v>
      </c>
      <c r="Q251">
        <f t="shared" si="960"/>
        <v>8403586.7884893138</v>
      </c>
      <c r="R251">
        <f t="shared" si="961"/>
        <v>-5527149773.1649094</v>
      </c>
      <c r="S251">
        <f t="shared" si="962"/>
        <v>-55271.497731649091</v>
      </c>
      <c r="T251">
        <f t="shared" si="963"/>
        <v>-55.271497731649092</v>
      </c>
    </row>
    <row r="252" spans="1:20" x14ac:dyDescent="0.25">
      <c r="A252" s="5">
        <v>44341</v>
      </c>
      <c r="B252">
        <v>0.40860000000000002</v>
      </c>
      <c r="C252">
        <v>0.5</v>
      </c>
      <c r="D252">
        <v>0.38329999999999997</v>
      </c>
      <c r="E252">
        <v>0.49590000000000001</v>
      </c>
      <c r="F252">
        <v>4587813.6399999997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0.92973436161096845</v>
      </c>
      <c r="Q252">
        <f t="shared" si="960"/>
        <v>4265447.9857754931</v>
      </c>
      <c r="R252">
        <f t="shared" si="961"/>
        <v>-5535553359.9533987</v>
      </c>
      <c r="S252">
        <f t="shared" si="962"/>
        <v>-55355.533599533985</v>
      </c>
      <c r="T252">
        <f t="shared" si="963"/>
        <v>-55.355533599533985</v>
      </c>
    </row>
    <row r="253" spans="1:20" x14ac:dyDescent="0.25">
      <c r="A253" s="5">
        <v>44340</v>
      </c>
      <c r="B253">
        <v>0.33710000000000001</v>
      </c>
      <c r="C253">
        <v>0.44</v>
      </c>
      <c r="D253">
        <v>0.31940000000000002</v>
      </c>
      <c r="E253">
        <v>0.40860000000000002</v>
      </c>
      <c r="F253">
        <v>4224188.6399999997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0.47927031509121082</v>
      </c>
      <c r="Q253">
        <f t="shared" si="960"/>
        <v>2024528.2204975132</v>
      </c>
      <c r="R253">
        <f t="shared" si="961"/>
        <v>-5539818807.9391747</v>
      </c>
      <c r="S253">
        <f t="shared" si="962"/>
        <v>-55398.188079391744</v>
      </c>
      <c r="T253">
        <f t="shared" si="963"/>
        <v>-55.398188079391744</v>
      </c>
    </row>
    <row r="254" spans="1:20" x14ac:dyDescent="0.25">
      <c r="A254" s="5">
        <v>44339</v>
      </c>
      <c r="B254">
        <v>0.43209999999999998</v>
      </c>
      <c r="C254">
        <v>0.43469999999999998</v>
      </c>
      <c r="D254">
        <v>0.28499999999999998</v>
      </c>
      <c r="E254">
        <v>0.33929999999999999</v>
      </c>
      <c r="F254">
        <v>4910350.33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-0.27454909819639256</v>
      </c>
      <c r="Q254">
        <f t="shared" si="960"/>
        <v>-1348132.2549298587</v>
      </c>
      <c r="R254">
        <f t="shared" si="961"/>
        <v>-5541843336.1596718</v>
      </c>
      <c r="S254">
        <f t="shared" si="962"/>
        <v>-55418.433361596719</v>
      </c>
      <c r="T254">
        <f t="shared" si="963"/>
        <v>-55.418433361596719</v>
      </c>
    </row>
    <row r="255" spans="1:20" x14ac:dyDescent="0.25">
      <c r="A255" s="5">
        <v>44338</v>
      </c>
      <c r="B255">
        <v>0.47170000000000001</v>
      </c>
      <c r="C255">
        <v>0.48120000000000002</v>
      </c>
      <c r="D255">
        <v>0.40339999999999998</v>
      </c>
      <c r="E255">
        <v>0.43230000000000002</v>
      </c>
      <c r="F255">
        <v>2712082.24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-0.25706940874035927</v>
      </c>
      <c r="Q255">
        <f t="shared" si="960"/>
        <v>-697193.37789202924</v>
      </c>
      <c r="R255">
        <f t="shared" si="961"/>
        <v>-5540495203.9047422</v>
      </c>
      <c r="S255">
        <f t="shared" si="962"/>
        <v>-55404.952039047421</v>
      </c>
      <c r="T255">
        <f t="shared" si="963"/>
        <v>-55.404952039047423</v>
      </c>
    </row>
    <row r="256" spans="1:20" x14ac:dyDescent="0.25">
      <c r="A256" s="5">
        <v>44337</v>
      </c>
      <c r="B256">
        <v>0.60760000000000003</v>
      </c>
      <c r="C256">
        <v>0.64090000000000003</v>
      </c>
      <c r="D256">
        <v>0.39989999999999998</v>
      </c>
      <c r="E256">
        <v>0.47120000000000001</v>
      </c>
      <c r="F256">
        <v>5106334.03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-0.40829875518672187</v>
      </c>
      <c r="Q256">
        <f t="shared" si="960"/>
        <v>-2084909.8280165971</v>
      </c>
      <c r="R256">
        <f t="shared" si="961"/>
        <v>-5539798010.5268497</v>
      </c>
      <c r="S256">
        <f t="shared" si="962"/>
        <v>-55397.9801052685</v>
      </c>
      <c r="T256">
        <f t="shared" si="963"/>
        <v>-55.397980105268502</v>
      </c>
    </row>
    <row r="257" spans="1:20" x14ac:dyDescent="0.25">
      <c r="A257" s="5">
        <v>44336</v>
      </c>
      <c r="B257">
        <v>0.50180000000000002</v>
      </c>
      <c r="C257">
        <v>0.68</v>
      </c>
      <c r="D257">
        <v>0.45</v>
      </c>
      <c r="E257">
        <v>0.60609999999999997</v>
      </c>
      <c r="F257">
        <v>3674000.2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0.35739130434782551</v>
      </c>
      <c r="Q257">
        <f t="shared" si="960"/>
        <v>1313055.7236521719</v>
      </c>
      <c r="R257">
        <f t="shared" si="961"/>
        <v>-5537713100.6988335</v>
      </c>
      <c r="S257">
        <f t="shared" si="962"/>
        <v>-55377.131006988333</v>
      </c>
      <c r="T257">
        <f t="shared" si="963"/>
        <v>-55.377131006988336</v>
      </c>
    </row>
    <row r="258" spans="1:20" x14ac:dyDescent="0.25">
      <c r="A258" s="5">
        <v>44335</v>
      </c>
      <c r="B258">
        <v>0.81330000000000002</v>
      </c>
      <c r="C258">
        <v>0.82499999999999996</v>
      </c>
      <c r="D258">
        <v>0.43</v>
      </c>
      <c r="E258">
        <v>0.495</v>
      </c>
      <c r="F258">
        <v>5919726.2199999997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-0.670886075949367</v>
      </c>
      <c r="Q258">
        <f t="shared" si="960"/>
        <v>-3971461.8944303789</v>
      </c>
      <c r="R258">
        <f t="shared" si="961"/>
        <v>-5539026156.4224854</v>
      </c>
      <c r="S258">
        <f t="shared" si="962"/>
        <v>-55390.261564224857</v>
      </c>
      <c r="T258">
        <f t="shared" si="963"/>
        <v>-55.390261564224858</v>
      </c>
    </row>
    <row r="259" spans="1:20" x14ac:dyDescent="0.25">
      <c r="A259" s="5">
        <v>44334</v>
      </c>
      <c r="B259">
        <v>0.84560000000000002</v>
      </c>
      <c r="C259">
        <v>0.88500000000000001</v>
      </c>
      <c r="D259">
        <v>0.7752</v>
      </c>
      <c r="E259">
        <v>0.81179999999999997</v>
      </c>
      <c r="F259">
        <v>3571348.79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-0.33333333333333398</v>
      </c>
      <c r="Q259">
        <f t="shared" si="960"/>
        <v>-1190449.596666669</v>
      </c>
      <c r="R259">
        <f t="shared" si="961"/>
        <v>-5535054694.5280552</v>
      </c>
      <c r="S259">
        <f t="shared" si="962"/>
        <v>-55350.546945280556</v>
      </c>
      <c r="T259">
        <f t="shared" si="963"/>
        <v>-55.350546945280556</v>
      </c>
    </row>
    <row r="260" spans="1:20" x14ac:dyDescent="0.25">
      <c r="A260" s="5">
        <v>44333</v>
      </c>
      <c r="B260">
        <v>0.88539999999999996</v>
      </c>
      <c r="C260">
        <v>0.8911</v>
      </c>
      <c r="D260">
        <v>0.76639999999999997</v>
      </c>
      <c r="E260">
        <v>0.85129999999999995</v>
      </c>
      <c r="F260">
        <v>1941731.34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0.36166800320769771</v>
      </c>
      <c r="Q260">
        <f t="shared" si="960"/>
        <v>702262.09650360723</v>
      </c>
      <c r="R260">
        <f t="shared" si="961"/>
        <v>-5533864244.9313889</v>
      </c>
      <c r="S260">
        <f t="shared" si="962"/>
        <v>-55338.642449313891</v>
      </c>
      <c r="T260">
        <f t="shared" si="963"/>
        <v>-55.338642449313895</v>
      </c>
    </row>
    <row r="261" spans="1:20" x14ac:dyDescent="0.25">
      <c r="A261" s="5">
        <v>44332</v>
      </c>
      <c r="B261">
        <v>0.88290000000000002</v>
      </c>
      <c r="C261">
        <v>0.97919999999999996</v>
      </c>
      <c r="D261">
        <v>0.82310000000000005</v>
      </c>
      <c r="E261">
        <v>0.87949999999999995</v>
      </c>
      <c r="F261">
        <v>2975309.1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-0.27738629083920657</v>
      </c>
      <c r="Q261">
        <f t="shared" si="960"/>
        <v>-825309.95534913801</v>
      </c>
      <c r="R261">
        <f t="shared" si="961"/>
        <v>-5534566507.0278921</v>
      </c>
      <c r="S261">
        <f t="shared" si="962"/>
        <v>-55345.665070278919</v>
      </c>
      <c r="T261">
        <f t="shared" si="963"/>
        <v>-55.345665070278919</v>
      </c>
    </row>
    <row r="262" spans="1:20" x14ac:dyDescent="0.25">
      <c r="A262" s="5">
        <v>44331</v>
      </c>
      <c r="B262">
        <v>0.96340000000000003</v>
      </c>
      <c r="C262">
        <v>0.98450000000000004</v>
      </c>
      <c r="D262">
        <v>0.87</v>
      </c>
      <c r="E262">
        <v>0.88080000000000003</v>
      </c>
      <c r="F262">
        <v>2320438.86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-0.81135371179039251</v>
      </c>
      <c r="Q262">
        <f t="shared" ref="Q262:Q325" si="965">F262*P262</f>
        <v>-1882696.682043667</v>
      </c>
      <c r="R262">
        <f t="shared" ref="R262:R325" si="966">R263+Q262</f>
        <v>-5533741197.0725431</v>
      </c>
      <c r="S262">
        <f t="shared" ref="S262:S325" si="967">R262/100000</f>
        <v>-55337.411970725429</v>
      </c>
      <c r="T262">
        <f t="shared" ref="T262:T325" si="968">S262/1000</f>
        <v>-55.337411970725427</v>
      </c>
    </row>
    <row r="263" spans="1:20" x14ac:dyDescent="0.25">
      <c r="A263" s="5">
        <v>44330</v>
      </c>
      <c r="B263">
        <v>0.88100000000000001</v>
      </c>
      <c r="C263">
        <v>0.98450000000000004</v>
      </c>
      <c r="D263">
        <v>0.88029999999999997</v>
      </c>
      <c r="E263">
        <v>0.96330000000000005</v>
      </c>
      <c r="F263">
        <v>2193625.92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0.59309021113243798</v>
      </c>
      <c r="Q263">
        <f t="shared" si="965"/>
        <v>1301018.0600383885</v>
      </c>
      <c r="R263">
        <f t="shared" si="966"/>
        <v>-5531858500.3904991</v>
      </c>
      <c r="S263">
        <f t="shared" si="967"/>
        <v>-55318.585003904991</v>
      </c>
      <c r="T263">
        <f t="shared" si="968"/>
        <v>-55.318585003904992</v>
      </c>
    </row>
    <row r="264" spans="1:20" x14ac:dyDescent="0.25">
      <c r="A264" s="5">
        <v>44329</v>
      </c>
      <c r="B264">
        <v>0.8518</v>
      </c>
      <c r="C264">
        <v>0.9254</v>
      </c>
      <c r="D264">
        <v>0.7964</v>
      </c>
      <c r="E264">
        <v>0.88100000000000001</v>
      </c>
      <c r="F264">
        <v>2628321.69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0.31162790697674431</v>
      </c>
      <c r="Q264">
        <f t="shared" si="965"/>
        <v>819058.38711627934</v>
      </c>
      <c r="R264">
        <f t="shared" si="966"/>
        <v>-5533159518.4505377</v>
      </c>
      <c r="S264">
        <f t="shared" si="967"/>
        <v>-55331.595184505379</v>
      </c>
      <c r="T264">
        <f t="shared" si="968"/>
        <v>-55.331595184505382</v>
      </c>
    </row>
    <row r="265" spans="1:20" x14ac:dyDescent="0.25">
      <c r="A265" s="5">
        <v>44328</v>
      </c>
      <c r="B265">
        <v>1.0813999999999999</v>
      </c>
      <c r="C265">
        <v>1.1188</v>
      </c>
      <c r="D265">
        <v>0.85029999999999994</v>
      </c>
      <c r="E265">
        <v>0.8518</v>
      </c>
      <c r="F265">
        <v>3871595.2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-0.98882681564245767</v>
      </c>
      <c r="Q265">
        <f t="shared" si="965"/>
        <v>-3828337.153072624</v>
      </c>
      <c r="R265">
        <f t="shared" si="966"/>
        <v>-5533978576.8376541</v>
      </c>
      <c r="S265">
        <f t="shared" si="967"/>
        <v>-55339.78576837654</v>
      </c>
      <c r="T265">
        <f t="shared" si="968"/>
        <v>-55.339785768376537</v>
      </c>
    </row>
    <row r="266" spans="1:20" x14ac:dyDescent="0.25">
      <c r="A266" s="5">
        <v>44327</v>
      </c>
      <c r="B266">
        <v>0.93659999999999999</v>
      </c>
      <c r="C266">
        <v>1.1423000000000001</v>
      </c>
      <c r="D266">
        <v>0.91010000000000002</v>
      </c>
      <c r="E266">
        <v>1.0775999999999999</v>
      </c>
      <c r="F266">
        <v>4448216.6500000004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0.44272179155899932</v>
      </c>
      <c r="Q266">
        <f t="shared" si="965"/>
        <v>1969322.4445305704</v>
      </c>
      <c r="R266">
        <f t="shared" si="966"/>
        <v>-5530150239.6845818</v>
      </c>
      <c r="S266">
        <f t="shared" si="967"/>
        <v>-55301.502396845819</v>
      </c>
      <c r="T266">
        <f t="shared" si="968"/>
        <v>-55.301502396845819</v>
      </c>
    </row>
    <row r="267" spans="1:20" x14ac:dyDescent="0.25">
      <c r="A267" s="5">
        <v>44326</v>
      </c>
      <c r="B267">
        <v>1.0645</v>
      </c>
      <c r="C267">
        <v>1.1434</v>
      </c>
      <c r="D267">
        <v>0.90400000000000003</v>
      </c>
      <c r="E267">
        <v>0.93300000000000005</v>
      </c>
      <c r="F267">
        <v>5575713.7199999997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-0.75772765246449425</v>
      </c>
      <c r="Q267">
        <f t="shared" si="965"/>
        <v>-4224872.467869672</v>
      </c>
      <c r="R267">
        <f t="shared" si="966"/>
        <v>-5532119562.1291122</v>
      </c>
      <c r="S267">
        <f t="shared" si="967"/>
        <v>-55321.195621291125</v>
      </c>
      <c r="T267">
        <f t="shared" si="968"/>
        <v>-55.321195621291125</v>
      </c>
    </row>
    <row r="268" spans="1:20" x14ac:dyDescent="0.25">
      <c r="A268" s="5">
        <v>44325</v>
      </c>
      <c r="B268">
        <v>1.0953999999999999</v>
      </c>
      <c r="C268">
        <v>1.1143000000000001</v>
      </c>
      <c r="D268">
        <v>1.0230999999999999</v>
      </c>
      <c r="E268">
        <v>1.0656000000000001</v>
      </c>
      <c r="F268">
        <v>2397697.63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-6.7982456140348133E-2</v>
      </c>
      <c r="Q268">
        <f t="shared" si="965"/>
        <v>-163001.37396929166</v>
      </c>
      <c r="R268">
        <f t="shared" si="966"/>
        <v>-5527894689.6612425</v>
      </c>
      <c r="S268">
        <f t="shared" si="967"/>
        <v>-55278.946896612426</v>
      </c>
      <c r="T268">
        <f t="shared" si="968"/>
        <v>-55.278946896612425</v>
      </c>
    </row>
    <row r="269" spans="1:20" x14ac:dyDescent="0.25">
      <c r="A269" s="5">
        <v>44324</v>
      </c>
      <c r="B269">
        <v>1.1112</v>
      </c>
      <c r="C269">
        <v>1.1448</v>
      </c>
      <c r="D269">
        <v>1.0845</v>
      </c>
      <c r="E269">
        <v>1.0953999999999999</v>
      </c>
      <c r="F269">
        <v>2683844.25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-0.63847429519071619</v>
      </c>
      <c r="Q269">
        <f t="shared" si="965"/>
        <v>-1713565.5659204063</v>
      </c>
      <c r="R269">
        <f t="shared" si="966"/>
        <v>-5527731688.2872734</v>
      </c>
      <c r="S269">
        <f t="shared" si="967"/>
        <v>-55277.316882872736</v>
      </c>
      <c r="T269">
        <f t="shared" si="968"/>
        <v>-55.277316882872739</v>
      </c>
    </row>
    <row r="270" spans="1:20" x14ac:dyDescent="0.25">
      <c r="A270" s="5">
        <v>44323</v>
      </c>
      <c r="B270">
        <v>1.1283000000000001</v>
      </c>
      <c r="C270">
        <v>1.1535</v>
      </c>
      <c r="D270">
        <v>1.0911</v>
      </c>
      <c r="E270">
        <v>1.1125</v>
      </c>
      <c r="F270">
        <v>3612312.97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-0.31410256410256149</v>
      </c>
      <c r="Q270">
        <f t="shared" si="965"/>
        <v>-1134636.7662179393</v>
      </c>
      <c r="R270">
        <f t="shared" si="966"/>
        <v>-5526018122.7213526</v>
      </c>
      <c r="S270">
        <f t="shared" si="967"/>
        <v>-55260.181227213528</v>
      </c>
      <c r="T270">
        <f t="shared" si="968"/>
        <v>-55.260181227213529</v>
      </c>
    </row>
    <row r="271" spans="1:20" x14ac:dyDescent="0.25">
      <c r="A271" s="5">
        <v>44322</v>
      </c>
      <c r="B271">
        <v>1.2101999999999999</v>
      </c>
      <c r="C271">
        <v>1.2643</v>
      </c>
      <c r="D271">
        <v>1.0718000000000001</v>
      </c>
      <c r="E271">
        <v>1.1283000000000001</v>
      </c>
      <c r="F271">
        <v>4075893.04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-0.41298701298701274</v>
      </c>
      <c r="Q271">
        <f t="shared" si="965"/>
        <v>-1683290.8918441548</v>
      </c>
      <c r="R271">
        <f t="shared" si="966"/>
        <v>-5524883485.9551344</v>
      </c>
      <c r="S271">
        <f t="shared" si="967"/>
        <v>-55248.834859551345</v>
      </c>
      <c r="T271">
        <f t="shared" si="968"/>
        <v>-55.248834859551344</v>
      </c>
    </row>
    <row r="272" spans="1:20" x14ac:dyDescent="0.25">
      <c r="A272" s="5">
        <v>44321</v>
      </c>
      <c r="B272">
        <v>1.1535</v>
      </c>
      <c r="C272">
        <v>1.2528999999999999</v>
      </c>
      <c r="D272">
        <v>1.1299999999999999</v>
      </c>
      <c r="E272">
        <v>1.2101</v>
      </c>
      <c r="F272">
        <v>4273504.62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0.30349877949552567</v>
      </c>
      <c r="Q272">
        <f t="shared" si="965"/>
        <v>1297003.4363384903</v>
      </c>
      <c r="R272">
        <f t="shared" si="966"/>
        <v>-5523200195.0632906</v>
      </c>
      <c r="S272">
        <f t="shared" si="967"/>
        <v>-55232.001950632904</v>
      </c>
      <c r="T272">
        <f t="shared" si="968"/>
        <v>-55.232001950632906</v>
      </c>
    </row>
    <row r="273" spans="1:20" x14ac:dyDescent="0.25">
      <c r="A273" s="5">
        <v>44320</v>
      </c>
      <c r="B273">
        <v>1.3150999999999999</v>
      </c>
      <c r="C273">
        <v>1.3150999999999999</v>
      </c>
      <c r="D273">
        <v>1.1167</v>
      </c>
      <c r="E273">
        <v>1.1535</v>
      </c>
      <c r="F273">
        <v>4614946.1399999997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-0.62903225806451657</v>
      </c>
      <c r="Q273">
        <f t="shared" si="965"/>
        <v>-2902949.9912903244</v>
      </c>
      <c r="R273">
        <f t="shared" si="966"/>
        <v>-5524497198.499629</v>
      </c>
      <c r="S273">
        <f t="shared" si="967"/>
        <v>-55244.971984996293</v>
      </c>
      <c r="T273">
        <f t="shared" si="968"/>
        <v>-55.24497198499629</v>
      </c>
    </row>
    <row r="274" spans="1:20" x14ac:dyDescent="0.25">
      <c r="A274" s="5">
        <v>44319</v>
      </c>
      <c r="B274">
        <v>1.2683</v>
      </c>
      <c r="C274">
        <v>1.4644999999999999</v>
      </c>
      <c r="D274">
        <v>1.2518</v>
      </c>
      <c r="E274">
        <v>1.3150999999999999</v>
      </c>
      <c r="F274">
        <v>10857649.9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-0.4047954866008468</v>
      </c>
      <c r="Q274">
        <f t="shared" si="965"/>
        <v>-4395127.6746121356</v>
      </c>
      <c r="R274">
        <f t="shared" si="966"/>
        <v>-5521594248.5083389</v>
      </c>
      <c r="S274">
        <f t="shared" si="967"/>
        <v>-55215.942485083389</v>
      </c>
      <c r="T274">
        <f t="shared" si="968"/>
        <v>-55.215942485083389</v>
      </c>
    </row>
    <row r="275" spans="1:20" x14ac:dyDescent="0.25">
      <c r="A275" s="5">
        <v>44318</v>
      </c>
      <c r="B275">
        <v>1.2255</v>
      </c>
      <c r="C275">
        <v>1.35</v>
      </c>
      <c r="D275">
        <v>1.1498999999999999</v>
      </c>
      <c r="E275">
        <v>1.2690999999999999</v>
      </c>
      <c r="F275">
        <v>8421582.8599999994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0.19140429785107319</v>
      </c>
      <c r="Q275">
        <f t="shared" si="965"/>
        <v>1611927.1541129327</v>
      </c>
      <c r="R275">
        <f t="shared" si="966"/>
        <v>-5517199120.8337269</v>
      </c>
      <c r="S275">
        <f t="shared" si="967"/>
        <v>-55171.991208337269</v>
      </c>
      <c r="T275">
        <f t="shared" si="968"/>
        <v>-55.171991208337268</v>
      </c>
    </row>
    <row r="276" spans="1:20" x14ac:dyDescent="0.25">
      <c r="A276" s="5">
        <v>44317</v>
      </c>
      <c r="B276">
        <v>1.2351000000000001</v>
      </c>
      <c r="C276">
        <v>1.2849999999999999</v>
      </c>
      <c r="D276">
        <v>1.1977</v>
      </c>
      <c r="E276">
        <v>1.2256</v>
      </c>
      <c r="F276">
        <v>7113054.4299999997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-0.3608247422680399</v>
      </c>
      <c r="Q276">
        <f t="shared" si="965"/>
        <v>-2566566.0314432895</v>
      </c>
      <c r="R276">
        <f t="shared" si="966"/>
        <v>-5518811047.9878397</v>
      </c>
      <c r="S276">
        <f t="shared" si="967"/>
        <v>-55188.1104798784</v>
      </c>
      <c r="T276">
        <f t="shared" si="968"/>
        <v>-55.188110479878397</v>
      </c>
    </row>
    <row r="277" spans="1:20" x14ac:dyDescent="0.25">
      <c r="A277" s="5">
        <v>44316</v>
      </c>
      <c r="B277">
        <v>1.2978000000000001</v>
      </c>
      <c r="C277">
        <v>1.4</v>
      </c>
      <c r="D277">
        <v>1.17</v>
      </c>
      <c r="E277">
        <v>1.2350000000000001</v>
      </c>
      <c r="F277">
        <v>10044970.4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-0.43478260869565066</v>
      </c>
      <c r="Q277">
        <f t="shared" si="965"/>
        <v>-4367378.4347825935</v>
      </c>
      <c r="R277">
        <f t="shared" si="966"/>
        <v>-5516244481.9563961</v>
      </c>
      <c r="S277">
        <f t="shared" si="967"/>
        <v>-55162.444819563963</v>
      </c>
      <c r="T277">
        <f t="shared" si="968"/>
        <v>-55.162444819563966</v>
      </c>
    </row>
    <row r="278" spans="1:20" x14ac:dyDescent="0.25">
      <c r="A278" s="5">
        <v>44315</v>
      </c>
      <c r="B278">
        <v>1.0998000000000001</v>
      </c>
      <c r="C278">
        <v>1.4750000000000001</v>
      </c>
      <c r="D278">
        <v>1.0650999999999999</v>
      </c>
      <c r="E278">
        <v>1.2984</v>
      </c>
      <c r="F278">
        <v>18106147.690000001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0.13832642107831167</v>
      </c>
      <c r="Q278">
        <f t="shared" si="965"/>
        <v>2504558.6094730403</v>
      </c>
      <c r="R278">
        <f t="shared" si="966"/>
        <v>-5511877103.5216131</v>
      </c>
      <c r="S278">
        <f t="shared" si="967"/>
        <v>-55118.77103521613</v>
      </c>
      <c r="T278">
        <f t="shared" si="968"/>
        <v>-55.118771035216128</v>
      </c>
    </row>
    <row r="279" spans="1:20" x14ac:dyDescent="0.25">
      <c r="A279" s="5">
        <v>44314</v>
      </c>
      <c r="B279">
        <v>1.1456999999999999</v>
      </c>
      <c r="C279">
        <v>1.29</v>
      </c>
      <c r="D279">
        <v>1</v>
      </c>
      <c r="E279">
        <v>1.0947</v>
      </c>
      <c r="F279">
        <v>14974739.210000001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-0.34689655172413797</v>
      </c>
      <c r="Q279">
        <f t="shared" si="965"/>
        <v>-5194685.3949172422</v>
      </c>
      <c r="R279">
        <f t="shared" si="966"/>
        <v>-5514381662.1310863</v>
      </c>
      <c r="S279">
        <f t="shared" si="967"/>
        <v>-55143.816621310863</v>
      </c>
      <c r="T279">
        <f t="shared" si="968"/>
        <v>-55.143816621310862</v>
      </c>
    </row>
    <row r="280" spans="1:20" x14ac:dyDescent="0.25">
      <c r="A280" s="5">
        <v>44313</v>
      </c>
      <c r="B280">
        <v>0.91759999999999997</v>
      </c>
      <c r="C280">
        <v>1.3089999999999999</v>
      </c>
      <c r="D280">
        <v>0.90590000000000004</v>
      </c>
      <c r="E280">
        <v>1.149</v>
      </c>
      <c r="F280">
        <v>9433014.0500000007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0.20615231952369159</v>
      </c>
      <c r="Q280">
        <f t="shared" si="965"/>
        <v>1944637.7265070723</v>
      </c>
      <c r="R280">
        <f t="shared" si="966"/>
        <v>-5509186976.7361689</v>
      </c>
      <c r="S280">
        <f t="shared" si="967"/>
        <v>-55091.869767361692</v>
      </c>
      <c r="T280">
        <f t="shared" si="968"/>
        <v>-55.091869767361693</v>
      </c>
    </row>
    <row r="281" spans="1:20" x14ac:dyDescent="0.25">
      <c r="A281" s="5">
        <v>44312</v>
      </c>
      <c r="B281">
        <v>0.78</v>
      </c>
      <c r="C281">
        <v>0.95050000000000001</v>
      </c>
      <c r="D281">
        <v>0.77600000000000002</v>
      </c>
      <c r="E281">
        <v>0.91839999999999999</v>
      </c>
      <c r="F281">
        <v>3839781.44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0.63209169054441239</v>
      </c>
      <c r="Q281">
        <f t="shared" si="965"/>
        <v>2427093.9417306581</v>
      </c>
      <c r="R281">
        <f t="shared" si="966"/>
        <v>-5511131614.462676</v>
      </c>
      <c r="S281">
        <f t="shared" si="967"/>
        <v>-55111.316144626762</v>
      </c>
      <c r="T281">
        <f t="shared" si="968"/>
        <v>-55.111316144626763</v>
      </c>
    </row>
    <row r="282" spans="1:20" x14ac:dyDescent="0.25">
      <c r="A282" s="5">
        <v>44311</v>
      </c>
      <c r="B282">
        <v>0.78339999999999999</v>
      </c>
      <c r="C282">
        <v>0.87270000000000003</v>
      </c>
      <c r="D282">
        <v>0.73680000000000001</v>
      </c>
      <c r="E282">
        <v>0.78029999999999999</v>
      </c>
      <c r="F282">
        <v>3323691.03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-0.35982339955849924</v>
      </c>
      <c r="Q282">
        <f t="shared" si="965"/>
        <v>-1195941.8054966899</v>
      </c>
      <c r="R282">
        <f t="shared" si="966"/>
        <v>-5513558708.4044065</v>
      </c>
      <c r="S282">
        <f t="shared" si="967"/>
        <v>-55135.587084044062</v>
      </c>
      <c r="T282">
        <f t="shared" si="968"/>
        <v>-55.135587084044062</v>
      </c>
    </row>
    <row r="283" spans="1:20" x14ac:dyDescent="0.25">
      <c r="A283" s="5">
        <v>44310</v>
      </c>
      <c r="B283">
        <v>0.74660000000000004</v>
      </c>
      <c r="C283">
        <v>0.87480000000000002</v>
      </c>
      <c r="D283">
        <v>0.70620000000000005</v>
      </c>
      <c r="E283">
        <v>0.78549999999999998</v>
      </c>
      <c r="F283">
        <v>4619022.67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-5.9311981020166792E-2</v>
      </c>
      <c r="Q283">
        <f t="shared" si="965"/>
        <v>-273963.38493476011</v>
      </c>
      <c r="R283">
        <f t="shared" si="966"/>
        <v>-5512362766.5989103</v>
      </c>
      <c r="S283">
        <f t="shared" si="967"/>
        <v>-55123.627665989101</v>
      </c>
      <c r="T283">
        <f t="shared" si="968"/>
        <v>-55.123627665989098</v>
      </c>
    </row>
    <row r="284" spans="1:20" x14ac:dyDescent="0.25">
      <c r="A284" s="5">
        <v>44309</v>
      </c>
      <c r="B284">
        <v>0.84360000000000002</v>
      </c>
      <c r="C284">
        <v>0.86140000000000005</v>
      </c>
      <c r="D284">
        <v>0.64990000000000003</v>
      </c>
      <c r="E284">
        <v>0.74660000000000004</v>
      </c>
      <c r="F284">
        <v>3908078.17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-8.5579196217494102E-2</v>
      </c>
      <c r="Q284">
        <f t="shared" si="965"/>
        <v>-334450.18854373525</v>
      </c>
      <c r="R284">
        <f t="shared" si="966"/>
        <v>-5512088803.2139759</v>
      </c>
      <c r="S284">
        <f t="shared" si="967"/>
        <v>-55120.888032139759</v>
      </c>
      <c r="T284">
        <f t="shared" si="968"/>
        <v>-55.12088803213976</v>
      </c>
    </row>
    <row r="285" spans="1:20" x14ac:dyDescent="0.25">
      <c r="A285" s="5">
        <v>44308</v>
      </c>
      <c r="B285">
        <v>0.95709999999999995</v>
      </c>
      <c r="C285">
        <v>1.0633999999999999</v>
      </c>
      <c r="D285">
        <v>0.84119999999999995</v>
      </c>
      <c r="E285">
        <v>0.84430000000000005</v>
      </c>
      <c r="F285">
        <v>3893489.47</v>
      </c>
      <c r="G285">
        <v>0</v>
      </c>
      <c r="L285" t="s">
        <v>8</v>
      </c>
      <c r="M285" t="s">
        <v>7</v>
      </c>
      <c r="N285" t="s">
        <v>7</v>
      </c>
      <c r="P285">
        <f t="shared" si="964"/>
        <v>-0.97209720972097113</v>
      </c>
      <c r="Q285">
        <f t="shared" si="965"/>
        <v>-3784850.2498649829</v>
      </c>
      <c r="R285">
        <f t="shared" si="966"/>
        <v>-5511754353.0254326</v>
      </c>
      <c r="S285">
        <f t="shared" si="967"/>
        <v>-55117.543530254326</v>
      </c>
      <c r="T285">
        <f t="shared" si="968"/>
        <v>-55.117543530254324</v>
      </c>
    </row>
    <row r="286" spans="1:20" x14ac:dyDescent="0.25">
      <c r="A286" s="5">
        <v>44307</v>
      </c>
      <c r="B286">
        <v>1.0164</v>
      </c>
      <c r="C286">
        <v>1.0578000000000001</v>
      </c>
      <c r="D286">
        <v>0.95099999999999996</v>
      </c>
      <c r="E286">
        <v>0.95709999999999995</v>
      </c>
      <c r="F286">
        <v>2792653.39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-0.88576779026217256</v>
      </c>
      <c r="Q286">
        <f t="shared" si="965"/>
        <v>-2473642.4222284653</v>
      </c>
      <c r="R286">
        <f t="shared" si="966"/>
        <v>-5507969502.775568</v>
      </c>
      <c r="S286">
        <f t="shared" si="967"/>
        <v>-55079.695027755683</v>
      </c>
      <c r="T286">
        <f t="shared" si="968"/>
        <v>-55.079695027755683</v>
      </c>
    </row>
    <row r="287" spans="1:20" x14ac:dyDescent="0.25">
      <c r="A287" s="5">
        <v>44306</v>
      </c>
      <c r="B287">
        <v>1.0694999999999999</v>
      </c>
      <c r="C287">
        <v>1.0703</v>
      </c>
      <c r="D287">
        <v>0.95099999999999996</v>
      </c>
      <c r="E287">
        <v>1.0119</v>
      </c>
      <c r="F287">
        <v>2776599.52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2.0955574182733076E-2</v>
      </c>
      <c r="Q287">
        <f t="shared" si="965"/>
        <v>58185.23721710105</v>
      </c>
      <c r="R287">
        <f t="shared" si="966"/>
        <v>-5505495860.3533392</v>
      </c>
      <c r="S287">
        <f t="shared" si="967"/>
        <v>-55054.958603533392</v>
      </c>
      <c r="T287">
        <f t="shared" si="968"/>
        <v>-55.054958603533393</v>
      </c>
    </row>
    <row r="288" spans="1:20" x14ac:dyDescent="0.25">
      <c r="A288" s="5">
        <v>44305</v>
      </c>
      <c r="B288">
        <v>1.0936999999999999</v>
      </c>
      <c r="C288">
        <v>1.163</v>
      </c>
      <c r="D288">
        <v>0.97270000000000001</v>
      </c>
      <c r="E288">
        <v>1.0703</v>
      </c>
      <c r="F288">
        <v>3570939.97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2.5748817656332187E-2</v>
      </c>
      <c r="Q288">
        <f t="shared" si="965"/>
        <v>91947.482149238334</v>
      </c>
      <c r="R288">
        <f t="shared" si="966"/>
        <v>-5505554045.5905561</v>
      </c>
      <c r="S288">
        <f t="shared" si="967"/>
        <v>-55055.540455905561</v>
      </c>
      <c r="T288">
        <f t="shared" si="968"/>
        <v>-55.055540455905557</v>
      </c>
    </row>
    <row r="289" spans="1:20" x14ac:dyDescent="0.25">
      <c r="A289" s="5">
        <v>44304</v>
      </c>
      <c r="B289">
        <v>1.2165999999999999</v>
      </c>
      <c r="C289">
        <v>1.2261</v>
      </c>
      <c r="D289">
        <v>0.96479999999999999</v>
      </c>
      <c r="E289">
        <v>1.091</v>
      </c>
      <c r="F289">
        <v>3894677.23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-3.4060466896287868E-2</v>
      </c>
      <c r="Q289">
        <f t="shared" si="965"/>
        <v>-132654.52486414113</v>
      </c>
      <c r="R289">
        <f t="shared" si="966"/>
        <v>-5505645993.0727053</v>
      </c>
      <c r="S289">
        <f t="shared" si="967"/>
        <v>-55056.459930727055</v>
      </c>
      <c r="T289">
        <f t="shared" si="968"/>
        <v>-55.056459930727051</v>
      </c>
    </row>
    <row r="290" spans="1:20" x14ac:dyDescent="0.25">
      <c r="A290" s="5">
        <v>44303</v>
      </c>
      <c r="B290">
        <v>1.1901999999999999</v>
      </c>
      <c r="C290">
        <v>1.2910999999999999</v>
      </c>
      <c r="D290">
        <v>1.1814</v>
      </c>
      <c r="E290">
        <v>1.2165999999999999</v>
      </c>
      <c r="F290">
        <v>3245590.25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-0.35824977210574427</v>
      </c>
      <c r="Q290">
        <f t="shared" si="965"/>
        <v>-1162731.9674111255</v>
      </c>
      <c r="R290">
        <f t="shared" si="966"/>
        <v>-5505513338.5478411</v>
      </c>
      <c r="S290">
        <f t="shared" si="967"/>
        <v>-55055.13338547841</v>
      </c>
      <c r="T290">
        <f t="shared" si="968"/>
        <v>-55.055133385478413</v>
      </c>
    </row>
    <row r="291" spans="1:20" x14ac:dyDescent="0.25">
      <c r="A291" s="5">
        <v>44302</v>
      </c>
      <c r="B291">
        <v>1.2613000000000001</v>
      </c>
      <c r="C291">
        <v>1.2765</v>
      </c>
      <c r="D291">
        <v>1.1655</v>
      </c>
      <c r="E291">
        <v>1.1906000000000001</v>
      </c>
      <c r="F291">
        <v>2267973.5499999998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-0.54774774774774548</v>
      </c>
      <c r="Q291">
        <f t="shared" si="965"/>
        <v>-1242277.4039639586</v>
      </c>
      <c r="R291">
        <f t="shared" si="966"/>
        <v>-5504350606.58043</v>
      </c>
      <c r="S291">
        <f t="shared" si="967"/>
        <v>-55043.5060658043</v>
      </c>
      <c r="T291">
        <f t="shared" si="968"/>
        <v>-55.043506065804301</v>
      </c>
    </row>
    <row r="292" spans="1:20" x14ac:dyDescent="0.25">
      <c r="A292" s="5">
        <v>44301</v>
      </c>
      <c r="B292">
        <v>1.2209000000000001</v>
      </c>
      <c r="C292">
        <v>1.2878000000000001</v>
      </c>
      <c r="D292">
        <v>1.2150000000000001</v>
      </c>
      <c r="E292">
        <v>1.2622</v>
      </c>
      <c r="F292">
        <v>2207175.77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0.29670329670329465</v>
      </c>
      <c r="Q292">
        <f t="shared" si="965"/>
        <v>654876.32736263284</v>
      </c>
      <c r="R292">
        <f t="shared" si="966"/>
        <v>-5503108329.176466</v>
      </c>
      <c r="S292">
        <f t="shared" si="967"/>
        <v>-55031.083291764662</v>
      </c>
      <c r="T292">
        <f t="shared" si="968"/>
        <v>-55.031083291764659</v>
      </c>
    </row>
    <row r="293" spans="1:20" x14ac:dyDescent="0.25">
      <c r="A293" s="5">
        <v>44300</v>
      </c>
      <c r="B293">
        <v>1.2764</v>
      </c>
      <c r="C293">
        <v>1.2851999999999999</v>
      </c>
      <c r="D293">
        <v>1.1564000000000001</v>
      </c>
      <c r="E293">
        <v>1.2209000000000001</v>
      </c>
      <c r="F293">
        <v>2909917.99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1.5527950310574559E-3</v>
      </c>
      <c r="Q293">
        <f t="shared" si="965"/>
        <v>4518.5061956566997</v>
      </c>
      <c r="R293">
        <f t="shared" si="966"/>
        <v>-5503763205.503829</v>
      </c>
      <c r="S293">
        <f t="shared" si="967"/>
        <v>-55037.632055038288</v>
      </c>
      <c r="T293">
        <f t="shared" si="968"/>
        <v>-55.037632055038287</v>
      </c>
    </row>
    <row r="294" spans="1:20" x14ac:dyDescent="0.25">
      <c r="A294" s="5">
        <v>44299</v>
      </c>
      <c r="B294">
        <v>1.2735000000000001</v>
      </c>
      <c r="C294">
        <v>1.3306</v>
      </c>
      <c r="D294">
        <v>1.23</v>
      </c>
      <c r="E294">
        <v>1.2723</v>
      </c>
      <c r="F294">
        <v>2511283.83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-0.15904572564612338</v>
      </c>
      <c r="Q294">
        <f t="shared" si="965"/>
        <v>-399408.95904572593</v>
      </c>
      <c r="R294">
        <f t="shared" si="966"/>
        <v>-5503767724.010025</v>
      </c>
      <c r="S294">
        <f t="shared" si="967"/>
        <v>-55037.677240100253</v>
      </c>
      <c r="T294">
        <f t="shared" si="968"/>
        <v>-55.037677240100251</v>
      </c>
    </row>
    <row r="295" spans="1:20" x14ac:dyDescent="0.25">
      <c r="A295" s="5">
        <v>44298</v>
      </c>
      <c r="B295">
        <v>1.3403</v>
      </c>
      <c r="C295">
        <v>1.3435999999999999</v>
      </c>
      <c r="D295">
        <v>1.2397</v>
      </c>
      <c r="E295">
        <v>1.2735000000000001</v>
      </c>
      <c r="F295">
        <v>2210976.9700000002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-0.34937439846005602</v>
      </c>
      <c r="Q295">
        <f t="shared" si="965"/>
        <v>-772458.74890278745</v>
      </c>
      <c r="R295">
        <f t="shared" si="966"/>
        <v>-5503368315.0509796</v>
      </c>
      <c r="S295">
        <f t="shared" si="967"/>
        <v>-55033.683150509794</v>
      </c>
      <c r="T295">
        <f t="shared" si="968"/>
        <v>-55.033683150509795</v>
      </c>
    </row>
    <row r="296" spans="1:20" x14ac:dyDescent="0.25">
      <c r="A296" s="5">
        <v>44297</v>
      </c>
      <c r="B296">
        <v>1.3644000000000001</v>
      </c>
      <c r="C296">
        <v>1.4038999999999999</v>
      </c>
      <c r="D296">
        <v>1.2392000000000001</v>
      </c>
      <c r="E296">
        <v>1.3388</v>
      </c>
      <c r="F296">
        <v>3738013.19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0.20947176684881608</v>
      </c>
      <c r="Q296">
        <f t="shared" si="965"/>
        <v>783008.22741347924</v>
      </c>
      <c r="R296">
        <f t="shared" si="966"/>
        <v>-5502595856.3020773</v>
      </c>
      <c r="S296">
        <f t="shared" si="967"/>
        <v>-55025.958563020773</v>
      </c>
      <c r="T296">
        <f t="shared" si="968"/>
        <v>-55.025958563020772</v>
      </c>
    </row>
    <row r="297" spans="1:20" x14ac:dyDescent="0.25">
      <c r="A297" s="5">
        <v>44296</v>
      </c>
      <c r="B297">
        <v>1.498</v>
      </c>
      <c r="C297">
        <v>1.498</v>
      </c>
      <c r="D297">
        <v>1.3149999999999999</v>
      </c>
      <c r="E297">
        <v>1.3585</v>
      </c>
      <c r="F297">
        <v>2605211.23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-0.52459016393442537</v>
      </c>
      <c r="Q297">
        <f t="shared" si="965"/>
        <v>-1366668.186229506</v>
      </c>
      <c r="R297">
        <f t="shared" si="966"/>
        <v>-5503378864.5294905</v>
      </c>
      <c r="S297">
        <f t="shared" si="967"/>
        <v>-55033.788645294902</v>
      </c>
      <c r="T297">
        <f t="shared" si="968"/>
        <v>-55.033788645294905</v>
      </c>
    </row>
    <row r="298" spans="1:20" x14ac:dyDescent="0.25">
      <c r="A298" s="5">
        <v>44295</v>
      </c>
      <c r="B298">
        <v>1.4037999999999999</v>
      </c>
      <c r="C298">
        <v>1.5</v>
      </c>
      <c r="D298">
        <v>1.3804000000000001</v>
      </c>
      <c r="E298">
        <v>1.498</v>
      </c>
      <c r="F298">
        <v>2846260.88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0.96655518394648821</v>
      </c>
      <c r="Q298">
        <f t="shared" si="965"/>
        <v>2751068.2084280932</v>
      </c>
      <c r="R298">
        <f t="shared" si="966"/>
        <v>-5502012196.3432608</v>
      </c>
      <c r="S298">
        <f t="shared" si="967"/>
        <v>-55020.121963432604</v>
      </c>
      <c r="T298">
        <f t="shared" si="968"/>
        <v>-55.020121963432601</v>
      </c>
    </row>
    <row r="299" spans="1:20" x14ac:dyDescent="0.25">
      <c r="A299" s="5">
        <v>44294</v>
      </c>
      <c r="B299">
        <v>1.3146</v>
      </c>
      <c r="C299">
        <v>1.43</v>
      </c>
      <c r="D299">
        <v>1.3084</v>
      </c>
      <c r="E299">
        <v>1.4038999999999999</v>
      </c>
      <c r="F299">
        <v>2585658.08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0.57072368421052588</v>
      </c>
      <c r="Q299">
        <f t="shared" si="965"/>
        <v>1475696.3055263148</v>
      </c>
      <c r="R299">
        <f t="shared" si="966"/>
        <v>-5504763264.5516891</v>
      </c>
      <c r="S299">
        <f t="shared" si="967"/>
        <v>-55047.632645516889</v>
      </c>
      <c r="T299">
        <f t="shared" si="968"/>
        <v>-55.047632645516892</v>
      </c>
    </row>
    <row r="300" spans="1:20" x14ac:dyDescent="0.25">
      <c r="A300" s="5">
        <v>44293</v>
      </c>
      <c r="B300">
        <v>1.5165</v>
      </c>
      <c r="C300">
        <v>1.605</v>
      </c>
      <c r="D300">
        <v>1.2142999999999999</v>
      </c>
      <c r="E300">
        <v>1.3174999999999999</v>
      </c>
      <c r="F300">
        <v>4854963.49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-0.47171743025339163</v>
      </c>
      <c r="Q300">
        <f t="shared" si="965"/>
        <v>-2290170.9014768382</v>
      </c>
      <c r="R300">
        <f t="shared" si="966"/>
        <v>-5506238960.8572159</v>
      </c>
      <c r="S300">
        <f t="shared" si="967"/>
        <v>-55062.389608572157</v>
      </c>
      <c r="T300">
        <f t="shared" si="968"/>
        <v>-55.062389608572154</v>
      </c>
    </row>
    <row r="301" spans="1:20" x14ac:dyDescent="0.25">
      <c r="A301" s="5">
        <v>44292</v>
      </c>
      <c r="B301">
        <v>1.4313</v>
      </c>
      <c r="C301">
        <v>1.6355999999999999</v>
      </c>
      <c r="D301">
        <v>1.42</v>
      </c>
      <c r="E301">
        <v>1.5165</v>
      </c>
      <c r="F301">
        <v>4603965.59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-0.10482374768089031</v>
      </c>
      <c r="Q301">
        <f t="shared" si="965"/>
        <v>-482604.92733766127</v>
      </c>
      <c r="R301">
        <f t="shared" si="966"/>
        <v>-5503948789.955739</v>
      </c>
      <c r="S301">
        <f t="shared" si="967"/>
        <v>-55039.487899557389</v>
      </c>
      <c r="T301">
        <f t="shared" si="968"/>
        <v>-55.039487899557386</v>
      </c>
    </row>
    <row r="302" spans="1:20" x14ac:dyDescent="0.25">
      <c r="A302" s="5">
        <v>44291</v>
      </c>
      <c r="B302">
        <v>1.5107999999999999</v>
      </c>
      <c r="C302">
        <v>1.5166999999999999</v>
      </c>
      <c r="D302">
        <v>1.4</v>
      </c>
      <c r="E302">
        <v>1.4277</v>
      </c>
      <c r="F302">
        <v>3183076.33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-0.52527849185946784</v>
      </c>
      <c r="Q302">
        <f t="shared" si="965"/>
        <v>-1672001.5340959697</v>
      </c>
      <c r="R302">
        <f t="shared" si="966"/>
        <v>-5503466185.0284014</v>
      </c>
      <c r="S302">
        <f t="shared" si="967"/>
        <v>-55034.661850284014</v>
      </c>
      <c r="T302">
        <f t="shared" si="968"/>
        <v>-55.034661850284017</v>
      </c>
    </row>
    <row r="303" spans="1:20" x14ac:dyDescent="0.25">
      <c r="A303" s="5">
        <v>44290</v>
      </c>
      <c r="B303">
        <v>1.3281000000000001</v>
      </c>
      <c r="C303">
        <v>1.619</v>
      </c>
      <c r="D303">
        <v>1.3102</v>
      </c>
      <c r="E303">
        <v>1.5107999999999999</v>
      </c>
      <c r="F303">
        <v>6325560.5199999996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0.29922279792746059</v>
      </c>
      <c r="Q303">
        <f t="shared" si="965"/>
        <v>1892751.9172538824</v>
      </c>
      <c r="R303">
        <f t="shared" si="966"/>
        <v>-5501794183.4943056</v>
      </c>
      <c r="S303">
        <f t="shared" si="967"/>
        <v>-55017.941834943056</v>
      </c>
      <c r="T303">
        <f t="shared" si="968"/>
        <v>-55.017941834943059</v>
      </c>
    </row>
    <row r="304" spans="1:20" x14ac:dyDescent="0.25">
      <c r="A304" s="5">
        <v>44289</v>
      </c>
      <c r="B304">
        <v>1.4419999999999999</v>
      </c>
      <c r="C304">
        <v>1.5006999999999999</v>
      </c>
      <c r="D304">
        <v>1.321</v>
      </c>
      <c r="E304">
        <v>1.3299000000000001</v>
      </c>
      <c r="F304">
        <v>3297321.76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-0.90094602114635358</v>
      </c>
      <c r="Q304">
        <f t="shared" si="965"/>
        <v>-2970708.9201112916</v>
      </c>
      <c r="R304">
        <f t="shared" si="966"/>
        <v>-5503686935.4115591</v>
      </c>
      <c r="S304">
        <f t="shared" si="967"/>
        <v>-55036.869354115588</v>
      </c>
      <c r="T304">
        <f t="shared" si="968"/>
        <v>-55.036869354115588</v>
      </c>
    </row>
    <row r="305" spans="1:20" x14ac:dyDescent="0.25">
      <c r="A305" s="5">
        <v>44288</v>
      </c>
      <c r="B305">
        <v>1.43</v>
      </c>
      <c r="C305">
        <v>1.5164</v>
      </c>
      <c r="D305">
        <v>1.4119999999999999</v>
      </c>
      <c r="E305">
        <v>1.444</v>
      </c>
      <c r="F305">
        <v>3113771.45</v>
      </c>
      <c r="G305">
        <v>0</v>
      </c>
      <c r="L305" t="s">
        <v>8</v>
      </c>
      <c r="M305" t="s">
        <v>7</v>
      </c>
      <c r="N305" t="s">
        <v>8</v>
      </c>
      <c r="P305">
        <f t="shared" si="964"/>
        <v>-0.38697318007662806</v>
      </c>
      <c r="Q305">
        <f t="shared" si="965"/>
        <v>-1204946.0400383133</v>
      </c>
      <c r="R305">
        <f t="shared" si="966"/>
        <v>-5500716226.4914474</v>
      </c>
      <c r="S305">
        <f t="shared" si="967"/>
        <v>-55007.162264914477</v>
      </c>
      <c r="T305">
        <f t="shared" si="968"/>
        <v>-55.007162264914477</v>
      </c>
    </row>
    <row r="306" spans="1:20" x14ac:dyDescent="0.25">
      <c r="A306" s="5">
        <v>44287</v>
      </c>
      <c r="B306">
        <v>1.4837</v>
      </c>
      <c r="C306">
        <v>1.5483</v>
      </c>
      <c r="D306">
        <v>1.4139999999999999</v>
      </c>
      <c r="E306">
        <v>1.4225000000000001</v>
      </c>
      <c r="F306">
        <v>3208200.1</v>
      </c>
      <c r="G306">
        <v>0</v>
      </c>
      <c r="L306" t="s">
        <v>7</v>
      </c>
      <c r="M306" t="s">
        <v>7</v>
      </c>
      <c r="N306" t="s">
        <v>8</v>
      </c>
      <c r="P306">
        <f t="shared" si="964"/>
        <v>-0.87341772151898478</v>
      </c>
      <c r="Q306">
        <f t="shared" si="965"/>
        <v>-2802098.821518979</v>
      </c>
      <c r="R306">
        <f t="shared" si="966"/>
        <v>-5499511280.4514093</v>
      </c>
      <c r="S306">
        <f t="shared" si="967"/>
        <v>-54995.112804514094</v>
      </c>
      <c r="T306">
        <f t="shared" si="968"/>
        <v>-54.995112804514093</v>
      </c>
    </row>
    <row r="307" spans="1:20" x14ac:dyDescent="0.25">
      <c r="A307" s="5">
        <v>44286</v>
      </c>
      <c r="B307">
        <v>1.5795999999999999</v>
      </c>
      <c r="C307">
        <v>1.6765000000000001</v>
      </c>
      <c r="D307">
        <v>1.4508000000000001</v>
      </c>
      <c r="E307">
        <v>1.4875</v>
      </c>
      <c r="F307">
        <v>4198941.8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-0.67478954364200305</v>
      </c>
      <c r="Q307">
        <f t="shared" si="965"/>
        <v>-2833402.0210013306</v>
      </c>
      <c r="R307">
        <f t="shared" si="966"/>
        <v>-5496709181.6298904</v>
      </c>
      <c r="S307">
        <f t="shared" si="967"/>
        <v>-54967.091816298904</v>
      </c>
      <c r="T307">
        <f t="shared" si="968"/>
        <v>-54.967091816298904</v>
      </c>
    </row>
    <row r="308" spans="1:20" x14ac:dyDescent="0.25">
      <c r="A308" s="5">
        <v>44285</v>
      </c>
      <c r="B308">
        <v>1.6207</v>
      </c>
      <c r="C308">
        <v>1.8</v>
      </c>
      <c r="D308">
        <v>1.56</v>
      </c>
      <c r="E308">
        <v>1.577</v>
      </c>
      <c r="F308">
        <v>7162814.3700000001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-0.85833333333333417</v>
      </c>
      <c r="Q308">
        <f t="shared" si="965"/>
        <v>-6148082.3342500059</v>
      </c>
      <c r="R308">
        <f t="shared" si="966"/>
        <v>-5493875779.6088896</v>
      </c>
      <c r="S308">
        <f t="shared" si="967"/>
        <v>-54938.757796088896</v>
      </c>
      <c r="T308">
        <f t="shared" si="968"/>
        <v>-54.938757796088893</v>
      </c>
    </row>
    <row r="309" spans="1:20" x14ac:dyDescent="0.25">
      <c r="A309" s="5">
        <v>44284</v>
      </c>
      <c r="B309">
        <v>1.5359</v>
      </c>
      <c r="C309">
        <v>1.78</v>
      </c>
      <c r="D309">
        <v>1.4412</v>
      </c>
      <c r="E309">
        <v>1.6184000000000001</v>
      </c>
      <c r="F309">
        <v>12988095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4.604486422668258E-2</v>
      </c>
      <c r="Q309">
        <f t="shared" si="965"/>
        <v>598035.07083825488</v>
      </c>
      <c r="R309">
        <f t="shared" si="966"/>
        <v>-5487727697.2746391</v>
      </c>
      <c r="S309">
        <f t="shared" si="967"/>
        <v>-54877.276972746389</v>
      </c>
      <c r="T309">
        <f t="shared" si="968"/>
        <v>-54.877276972746387</v>
      </c>
    </row>
    <row r="310" spans="1:20" x14ac:dyDescent="0.25">
      <c r="A310" s="5">
        <v>44283</v>
      </c>
      <c r="B310">
        <v>1.2689999999999999</v>
      </c>
      <c r="C310">
        <v>1.542</v>
      </c>
      <c r="D310">
        <v>1.2226999999999999</v>
      </c>
      <c r="E310">
        <v>1.5316000000000001</v>
      </c>
      <c r="F310">
        <v>8382849.5899999999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0.93485750078296292</v>
      </c>
      <c r="Q310">
        <f t="shared" si="965"/>
        <v>7836769.8171468852</v>
      </c>
      <c r="R310">
        <f t="shared" si="966"/>
        <v>-5488325732.3454771</v>
      </c>
      <c r="S310">
        <f t="shared" si="967"/>
        <v>-54883.257323454774</v>
      </c>
      <c r="T310">
        <f t="shared" si="968"/>
        <v>-54.883257323454771</v>
      </c>
    </row>
    <row r="311" spans="1:20" x14ac:dyDescent="0.25">
      <c r="A311" s="5">
        <v>44282</v>
      </c>
      <c r="B311">
        <v>1.2748999999999999</v>
      </c>
      <c r="C311">
        <v>1.29</v>
      </c>
      <c r="D311">
        <v>1.2128000000000001</v>
      </c>
      <c r="E311">
        <v>1.2712000000000001</v>
      </c>
      <c r="F311">
        <v>4215855.32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0.51295336787564916</v>
      </c>
      <c r="Q311">
        <f t="shared" si="965"/>
        <v>2162537.1848704726</v>
      </c>
      <c r="R311">
        <f t="shared" si="966"/>
        <v>-5496162502.1626244</v>
      </c>
      <c r="S311">
        <f t="shared" si="967"/>
        <v>-54961.625021626242</v>
      </c>
      <c r="T311">
        <f t="shared" si="968"/>
        <v>-54.96162502162624</v>
      </c>
    </row>
    <row r="312" spans="1:20" x14ac:dyDescent="0.25">
      <c r="A312" s="5">
        <v>44281</v>
      </c>
      <c r="B312">
        <v>1.1527000000000001</v>
      </c>
      <c r="C312">
        <v>1.379</v>
      </c>
      <c r="D312">
        <v>1.0549999999999999</v>
      </c>
      <c r="E312">
        <v>1.2736000000000001</v>
      </c>
      <c r="F312">
        <v>5665597.04</v>
      </c>
      <c r="G312">
        <v>0</v>
      </c>
      <c r="L312" t="s">
        <v>7</v>
      </c>
      <c r="M312" t="s">
        <v>7</v>
      </c>
      <c r="N312" t="s">
        <v>7</v>
      </c>
      <c r="P312">
        <f t="shared" si="964"/>
        <v>0.34938271604938326</v>
      </c>
      <c r="Q312">
        <f t="shared" si="965"/>
        <v>1979461.6818765462</v>
      </c>
      <c r="R312">
        <f t="shared" si="966"/>
        <v>-5498325039.3474951</v>
      </c>
      <c r="S312">
        <f t="shared" si="967"/>
        <v>-54983.250393474947</v>
      </c>
      <c r="T312">
        <f t="shared" si="968"/>
        <v>-54.983250393474947</v>
      </c>
    </row>
    <row r="313" spans="1:20" x14ac:dyDescent="0.25">
      <c r="A313" s="5">
        <v>44280</v>
      </c>
      <c r="B313">
        <v>1.25</v>
      </c>
      <c r="C313">
        <v>1.2887999999999999</v>
      </c>
      <c r="D313">
        <v>1.1104000000000001</v>
      </c>
      <c r="E313">
        <v>1.1536</v>
      </c>
      <c r="F313">
        <v>4763604.42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-0.51569506726457481</v>
      </c>
      <c r="Q313">
        <f t="shared" si="965"/>
        <v>-2456567.3017937257</v>
      </c>
      <c r="R313">
        <f t="shared" si="966"/>
        <v>-5500304501.0293713</v>
      </c>
      <c r="S313">
        <f t="shared" si="967"/>
        <v>-55003.04501029371</v>
      </c>
      <c r="T313">
        <f t="shared" si="968"/>
        <v>-55.003045010293711</v>
      </c>
    </row>
    <row r="314" spans="1:20" x14ac:dyDescent="0.25">
      <c r="A314" s="5">
        <v>44279</v>
      </c>
      <c r="B314">
        <v>1.3303</v>
      </c>
      <c r="C314">
        <v>1.4565999999999999</v>
      </c>
      <c r="D314">
        <v>1.2277</v>
      </c>
      <c r="E314">
        <v>1.2509999999999999</v>
      </c>
      <c r="F314">
        <v>4174841.67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-0.7964176496286598</v>
      </c>
      <c r="Q314">
        <f t="shared" si="965"/>
        <v>-3324917.5903931889</v>
      </c>
      <c r="R314">
        <f t="shared" si="966"/>
        <v>-5497847933.7275772</v>
      </c>
      <c r="S314">
        <f t="shared" si="967"/>
        <v>-54978.47933727577</v>
      </c>
      <c r="T314">
        <f t="shared" si="968"/>
        <v>-54.978479337275772</v>
      </c>
    </row>
    <row r="315" spans="1:20" x14ac:dyDescent="0.25">
      <c r="A315" s="5">
        <v>44278</v>
      </c>
      <c r="B315">
        <v>1.4755</v>
      </c>
      <c r="C315">
        <v>1.5855999999999999</v>
      </c>
      <c r="D315">
        <v>1.2605999999999999</v>
      </c>
      <c r="E315">
        <v>1.3360000000000001</v>
      </c>
      <c r="F315">
        <v>6470021.5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-0.53599999999999914</v>
      </c>
      <c r="Q315">
        <f t="shared" si="965"/>
        <v>-3467931.5239999946</v>
      </c>
      <c r="R315">
        <f t="shared" si="966"/>
        <v>-5494523016.1371841</v>
      </c>
      <c r="S315">
        <f t="shared" si="967"/>
        <v>-54945.230161371845</v>
      </c>
      <c r="T315">
        <f t="shared" si="968"/>
        <v>-54.945230161371846</v>
      </c>
    </row>
    <row r="316" spans="1:20" x14ac:dyDescent="0.25">
      <c r="A316" s="5">
        <v>44277</v>
      </c>
      <c r="B316">
        <v>1.4773000000000001</v>
      </c>
      <c r="C316">
        <v>1.7</v>
      </c>
      <c r="D316">
        <v>1.4035</v>
      </c>
      <c r="E316">
        <v>1.4755</v>
      </c>
      <c r="F316">
        <v>10601998.23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-0.5143338954468798</v>
      </c>
      <c r="Q316">
        <f t="shared" si="965"/>
        <v>-5452967.0491568251</v>
      </c>
      <c r="R316">
        <f t="shared" si="966"/>
        <v>-5491055084.613184</v>
      </c>
      <c r="S316">
        <f t="shared" si="967"/>
        <v>-54910.550846131839</v>
      </c>
      <c r="T316">
        <f t="shared" si="968"/>
        <v>-54.910550846131841</v>
      </c>
    </row>
    <row r="317" spans="1:20" x14ac:dyDescent="0.25">
      <c r="A317" s="5">
        <v>44276</v>
      </c>
      <c r="B317">
        <v>1.4908999999999999</v>
      </c>
      <c r="C317">
        <v>1.6</v>
      </c>
      <c r="D317">
        <v>1.3616999999999999</v>
      </c>
      <c r="E317">
        <v>1.4774</v>
      </c>
      <c r="F317">
        <v>5766605.3300000001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-2.8955098615190522E-2</v>
      </c>
      <c r="Q317">
        <f t="shared" si="965"/>
        <v>-166972.62600503329</v>
      </c>
      <c r="R317">
        <f t="shared" si="966"/>
        <v>-5485602117.5640268</v>
      </c>
      <c r="S317">
        <f t="shared" si="967"/>
        <v>-54856.021175640271</v>
      </c>
      <c r="T317">
        <f t="shared" si="968"/>
        <v>-54.856021175640272</v>
      </c>
    </row>
    <row r="318" spans="1:20" x14ac:dyDescent="0.25">
      <c r="A318" s="5">
        <v>44275</v>
      </c>
      <c r="B318">
        <v>1.3837999999999999</v>
      </c>
      <c r="C318">
        <v>1.6335</v>
      </c>
      <c r="D318">
        <v>1.3539000000000001</v>
      </c>
      <c r="E318">
        <v>1.4913000000000001</v>
      </c>
      <c r="F318">
        <v>8664384.9900000002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-1.7167381974248636E-2</v>
      </c>
      <c r="Q318">
        <f t="shared" si="965"/>
        <v>-148744.80669527643</v>
      </c>
      <c r="R318">
        <f t="shared" si="966"/>
        <v>-5485435144.9380217</v>
      </c>
      <c r="S318">
        <f t="shared" si="967"/>
        <v>-54854.351449380214</v>
      </c>
      <c r="T318">
        <f t="shared" si="968"/>
        <v>-54.854351449380211</v>
      </c>
    </row>
    <row r="319" spans="1:20" x14ac:dyDescent="0.25">
      <c r="A319" s="5">
        <v>44274</v>
      </c>
      <c r="B319">
        <v>1.3140000000000001</v>
      </c>
      <c r="C319">
        <v>1.42</v>
      </c>
      <c r="D319">
        <v>1.29</v>
      </c>
      <c r="E319">
        <v>1.3788</v>
      </c>
      <c r="F319">
        <v>3795904.08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0.36615384615384711</v>
      </c>
      <c r="Q319">
        <f t="shared" si="965"/>
        <v>1389884.8785230806</v>
      </c>
      <c r="R319">
        <f t="shared" si="966"/>
        <v>-5485286400.1313267</v>
      </c>
      <c r="S319">
        <f t="shared" si="967"/>
        <v>-54852.864001313268</v>
      </c>
      <c r="T319">
        <f t="shared" si="968"/>
        <v>-54.852864001313272</v>
      </c>
    </row>
    <row r="320" spans="1:20" x14ac:dyDescent="0.25">
      <c r="A320" s="5">
        <v>44273</v>
      </c>
      <c r="B320">
        <v>1.3576999999999999</v>
      </c>
      <c r="C320">
        <v>1.49</v>
      </c>
      <c r="D320">
        <v>1.3</v>
      </c>
      <c r="E320">
        <v>1.3149999999999999</v>
      </c>
      <c r="F320">
        <v>5433282.4800000004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-0.84210526315789569</v>
      </c>
      <c r="Q320">
        <f t="shared" si="965"/>
        <v>-4575395.7726315847</v>
      </c>
      <c r="R320">
        <f t="shared" si="966"/>
        <v>-5486676285.0098495</v>
      </c>
      <c r="S320">
        <f t="shared" si="967"/>
        <v>-54866.762850098494</v>
      </c>
      <c r="T320">
        <f t="shared" si="968"/>
        <v>-54.866762850098496</v>
      </c>
    </row>
    <row r="321" spans="1:20" x14ac:dyDescent="0.25">
      <c r="A321" s="5">
        <v>44272</v>
      </c>
      <c r="B321">
        <v>1.3844000000000001</v>
      </c>
      <c r="C321">
        <v>1.4424999999999999</v>
      </c>
      <c r="D321">
        <v>1.2805</v>
      </c>
      <c r="E321">
        <v>1.3576999999999999</v>
      </c>
      <c r="F321">
        <v>4764829.8600000003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-4.6913580246913916E-2</v>
      </c>
      <c r="Q321">
        <f t="shared" si="965"/>
        <v>-223535.2280000016</v>
      </c>
      <c r="R321">
        <f t="shared" si="966"/>
        <v>-5482100889.2372179</v>
      </c>
      <c r="S321">
        <f t="shared" si="967"/>
        <v>-54821.008892372178</v>
      </c>
      <c r="T321">
        <f t="shared" si="968"/>
        <v>-54.821008892372177</v>
      </c>
    </row>
    <row r="322" spans="1:20" x14ac:dyDescent="0.25">
      <c r="A322" s="5">
        <v>44271</v>
      </c>
      <c r="B322">
        <v>1.337</v>
      </c>
      <c r="C322">
        <v>1.6020000000000001</v>
      </c>
      <c r="D322">
        <v>1.24</v>
      </c>
      <c r="E322">
        <v>1.3841000000000001</v>
      </c>
      <c r="F322">
        <v>8717984.3599999994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-0.20386740331491671</v>
      </c>
      <c r="Q322">
        <f t="shared" si="965"/>
        <v>-1777312.833613256</v>
      </c>
      <c r="R322">
        <f t="shared" si="966"/>
        <v>-5481877354.0092182</v>
      </c>
      <c r="S322">
        <f t="shared" si="967"/>
        <v>-54818.773540092181</v>
      </c>
      <c r="T322">
        <f t="shared" si="968"/>
        <v>-54.818773540092181</v>
      </c>
    </row>
    <row r="323" spans="1:20" x14ac:dyDescent="0.25">
      <c r="A323" s="5">
        <v>44270</v>
      </c>
      <c r="B323">
        <v>1.4087000000000001</v>
      </c>
      <c r="C323">
        <v>1.5</v>
      </c>
      <c r="D323">
        <v>1.2151000000000001</v>
      </c>
      <c r="E323">
        <v>1.3351999999999999</v>
      </c>
      <c r="F323">
        <v>8975008.6600000001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-0.15689715689715758</v>
      </c>
      <c r="Q323">
        <f t="shared" si="965"/>
        <v>-1408153.3418813681</v>
      </c>
      <c r="R323">
        <f t="shared" si="966"/>
        <v>-5480100041.1756048</v>
      </c>
      <c r="S323">
        <f t="shared" si="967"/>
        <v>-54801.000411756046</v>
      </c>
      <c r="T323">
        <f t="shared" si="968"/>
        <v>-54.801000411756043</v>
      </c>
    </row>
    <row r="324" spans="1:20" x14ac:dyDescent="0.25">
      <c r="A324" s="5">
        <v>44269</v>
      </c>
      <c r="B324">
        <v>1.6068</v>
      </c>
      <c r="C324">
        <v>1.615</v>
      </c>
      <c r="D324">
        <v>1.361</v>
      </c>
      <c r="E324">
        <v>1.4127000000000001</v>
      </c>
      <c r="F324">
        <v>7710867.3200000003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-0.592913385826771</v>
      </c>
      <c r="Q324">
        <f t="shared" si="965"/>
        <v>-4571876.4503621999</v>
      </c>
      <c r="R324">
        <f t="shared" si="966"/>
        <v>-5478691887.8337231</v>
      </c>
      <c r="S324">
        <f t="shared" si="967"/>
        <v>-54786.91887833723</v>
      </c>
      <c r="T324">
        <f t="shared" si="968"/>
        <v>-54.786918878337232</v>
      </c>
    </row>
    <row r="325" spans="1:20" x14ac:dyDescent="0.25">
      <c r="A325" s="5">
        <v>44268</v>
      </c>
      <c r="B325">
        <v>1.5609999999999999</v>
      </c>
      <c r="C325">
        <v>1.83</v>
      </c>
      <c r="D325">
        <v>1.4638</v>
      </c>
      <c r="E325">
        <v>1.6044</v>
      </c>
      <c r="F325">
        <v>10134315.25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-0.23211359912616042</v>
      </c>
      <c r="Q325">
        <f t="shared" si="965"/>
        <v>-2352312.3873566343</v>
      </c>
      <c r="R325">
        <f t="shared" si="966"/>
        <v>-5474120011.3833609</v>
      </c>
      <c r="S325">
        <f t="shared" si="967"/>
        <v>-54741.200113833605</v>
      </c>
      <c r="T325">
        <f t="shared" si="968"/>
        <v>-54.741200113833607</v>
      </c>
    </row>
    <row r="326" spans="1:20" x14ac:dyDescent="0.25">
      <c r="A326" s="5">
        <v>44267</v>
      </c>
      <c r="B326">
        <v>1.6579999999999999</v>
      </c>
      <c r="C326">
        <v>1.86</v>
      </c>
      <c r="D326">
        <v>1.405</v>
      </c>
      <c r="E326">
        <v>1.5609999999999999</v>
      </c>
      <c r="F326">
        <v>19736006.32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-0.31428571428571478</v>
      </c>
      <c r="Q326">
        <f t="shared" ref="Q326:Q389" si="970">F326*P326</f>
        <v>-6202744.843428581</v>
      </c>
      <c r="R326">
        <f t="shared" ref="R326:R389" si="971">R327+Q326</f>
        <v>-5471767698.9960041</v>
      </c>
      <c r="S326">
        <f t="shared" ref="S326:S389" si="972">R326/100000</f>
        <v>-54717.67698996004</v>
      </c>
      <c r="T326">
        <f t="shared" ref="T326:T389" si="973">S326/1000</f>
        <v>-54.71767698996004</v>
      </c>
    </row>
    <row r="327" spans="1:20" x14ac:dyDescent="0.25">
      <c r="A327" s="5">
        <v>44266</v>
      </c>
      <c r="B327">
        <v>1.0472999999999999</v>
      </c>
      <c r="C327">
        <v>1.8779999999999999</v>
      </c>
      <c r="D327">
        <v>1.0406</v>
      </c>
      <c r="E327">
        <v>1.6579999999999999</v>
      </c>
      <c r="F327">
        <v>25711969.649999999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0.47456412705994749</v>
      </c>
      <c r="Q327">
        <f t="shared" si="970"/>
        <v>12201978.431944113</v>
      </c>
      <c r="R327">
        <f t="shared" si="971"/>
        <v>-5465564954.1525755</v>
      </c>
      <c r="S327">
        <f t="shared" si="972"/>
        <v>-54655.649541525752</v>
      </c>
      <c r="T327">
        <f t="shared" si="973"/>
        <v>-54.655649541525754</v>
      </c>
    </row>
    <row r="328" spans="1:20" x14ac:dyDescent="0.25">
      <c r="A328" s="5">
        <v>44265</v>
      </c>
      <c r="B328">
        <v>1.1998</v>
      </c>
      <c r="C328">
        <v>1.2101</v>
      </c>
      <c r="D328">
        <v>1.04</v>
      </c>
      <c r="E328">
        <v>1.0518000000000001</v>
      </c>
      <c r="F328">
        <v>8382796.46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-0.8612580834803053</v>
      </c>
      <c r="Q328">
        <f t="shared" si="970"/>
        <v>-7219751.2133450881</v>
      </c>
      <c r="R328">
        <f t="shared" si="971"/>
        <v>-5477766932.5845194</v>
      </c>
      <c r="S328">
        <f t="shared" si="972"/>
        <v>-54777.669325845192</v>
      </c>
      <c r="T328">
        <f t="shared" si="973"/>
        <v>-54.777669325845196</v>
      </c>
    </row>
    <row r="329" spans="1:20" x14ac:dyDescent="0.25">
      <c r="A329" s="5">
        <v>44264</v>
      </c>
      <c r="B329">
        <v>1.157</v>
      </c>
      <c r="C329">
        <v>1.3996</v>
      </c>
      <c r="D329">
        <v>1.1307</v>
      </c>
      <c r="E329">
        <v>1.2</v>
      </c>
      <c r="F329">
        <v>13240222.08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-0.48456675343994093</v>
      </c>
      <c r="Q329">
        <f t="shared" si="970"/>
        <v>-6415771.4281294215</v>
      </c>
      <c r="R329">
        <f t="shared" si="971"/>
        <v>-5470547181.3711739</v>
      </c>
      <c r="S329">
        <f t="shared" si="972"/>
        <v>-54705.471813711738</v>
      </c>
      <c r="T329">
        <f t="shared" si="973"/>
        <v>-54.705471813711739</v>
      </c>
    </row>
    <row r="330" spans="1:20" x14ac:dyDescent="0.25">
      <c r="A330" s="5">
        <v>44263</v>
      </c>
      <c r="B330">
        <v>0.92390000000000005</v>
      </c>
      <c r="C330">
        <v>1.1879999999999999</v>
      </c>
      <c r="D330">
        <v>0.91290000000000004</v>
      </c>
      <c r="E330">
        <v>1.1519999999999999</v>
      </c>
      <c r="F330">
        <v>12539676.57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0.73827699018538684</v>
      </c>
      <c r="Q330">
        <f t="shared" si="970"/>
        <v>9257754.675997816</v>
      </c>
      <c r="R330">
        <f t="shared" si="971"/>
        <v>-5464131409.9430447</v>
      </c>
      <c r="S330">
        <f t="shared" si="972"/>
        <v>-54641.314099430449</v>
      </c>
      <c r="T330">
        <f t="shared" si="973"/>
        <v>-54.641314099430446</v>
      </c>
    </row>
    <row r="331" spans="1:20" x14ac:dyDescent="0.25">
      <c r="A331" s="5">
        <v>44262</v>
      </c>
      <c r="B331">
        <v>0.9415</v>
      </c>
      <c r="C331">
        <v>0.97850000000000004</v>
      </c>
      <c r="D331">
        <v>0.87670000000000003</v>
      </c>
      <c r="E331">
        <v>0.92430000000000001</v>
      </c>
      <c r="F331">
        <v>4159775.3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-6.4833005893910126E-2</v>
      </c>
      <c r="Q331">
        <f t="shared" si="970"/>
        <v>-269690.73654224176</v>
      </c>
      <c r="R331">
        <f t="shared" si="971"/>
        <v>-5473389164.6190424</v>
      </c>
      <c r="S331">
        <f t="shared" si="972"/>
        <v>-54733.891646190423</v>
      </c>
      <c r="T331">
        <f t="shared" si="973"/>
        <v>-54.733891646190422</v>
      </c>
    </row>
    <row r="332" spans="1:20" x14ac:dyDescent="0.25">
      <c r="A332" s="5">
        <v>44261</v>
      </c>
      <c r="B332">
        <v>0.91710000000000003</v>
      </c>
      <c r="C332">
        <v>1.0228999999999999</v>
      </c>
      <c r="D332">
        <v>0.86280000000000001</v>
      </c>
      <c r="E332">
        <v>0.9456</v>
      </c>
      <c r="F332">
        <v>5812142.9699999997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3.4353529044347679E-2</v>
      </c>
      <c r="Q332">
        <f t="shared" si="970"/>
        <v>199667.62232979617</v>
      </c>
      <c r="R332">
        <f t="shared" si="971"/>
        <v>-5473119473.8824997</v>
      </c>
      <c r="S332">
        <f t="shared" si="972"/>
        <v>-54731.194738824997</v>
      </c>
      <c r="T332">
        <f t="shared" si="973"/>
        <v>-54.731194738824996</v>
      </c>
    </row>
    <row r="333" spans="1:20" x14ac:dyDescent="0.25">
      <c r="A333" s="5">
        <v>44260</v>
      </c>
      <c r="B333">
        <v>1.0347</v>
      </c>
      <c r="C333">
        <v>1.0349999999999999</v>
      </c>
      <c r="D333">
        <v>0.83630000000000004</v>
      </c>
      <c r="E333">
        <v>0.9173</v>
      </c>
      <c r="F333">
        <v>8019549.96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-0.18470055359838941</v>
      </c>
      <c r="Q333">
        <f t="shared" si="970"/>
        <v>-1481215.3172219417</v>
      </c>
      <c r="R333">
        <f t="shared" si="971"/>
        <v>-5473319141.5048294</v>
      </c>
      <c r="S333">
        <f t="shared" si="972"/>
        <v>-54733.191415048292</v>
      </c>
      <c r="T333">
        <f t="shared" si="973"/>
        <v>-54.733191415048289</v>
      </c>
    </row>
    <row r="334" spans="1:20" x14ac:dyDescent="0.25">
      <c r="A334" s="5">
        <v>44259</v>
      </c>
      <c r="B334">
        <v>0.84519999999999995</v>
      </c>
      <c r="C334">
        <v>1.1096999999999999</v>
      </c>
      <c r="D334">
        <v>0.80510000000000004</v>
      </c>
      <c r="E334">
        <v>1.0313000000000001</v>
      </c>
      <c r="F334">
        <v>16689758.82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0.48522652659225318</v>
      </c>
      <c r="Q334">
        <f t="shared" si="970"/>
        <v>8098313.7018910218</v>
      </c>
      <c r="R334">
        <f t="shared" si="971"/>
        <v>-5471837926.1876078</v>
      </c>
      <c r="S334">
        <f t="shared" si="972"/>
        <v>-54718.379261876078</v>
      </c>
      <c r="T334">
        <f t="shared" si="973"/>
        <v>-54.71837926187608</v>
      </c>
    </row>
    <row r="335" spans="1:20" x14ac:dyDescent="0.25">
      <c r="A335" s="5">
        <v>44258</v>
      </c>
      <c r="B335">
        <v>0.82789999999999997</v>
      </c>
      <c r="C335">
        <v>0.89980000000000004</v>
      </c>
      <c r="D335">
        <v>0.80289999999999995</v>
      </c>
      <c r="E335">
        <v>0.84830000000000005</v>
      </c>
      <c r="F335">
        <v>5867269.6799999997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-6.2951496388027633E-2</v>
      </c>
      <c r="Q335">
        <f t="shared" si="970"/>
        <v>-369353.40606810403</v>
      </c>
      <c r="R335">
        <f t="shared" si="971"/>
        <v>-5479936239.8894987</v>
      </c>
      <c r="S335">
        <f t="shared" si="972"/>
        <v>-54799.362398894984</v>
      </c>
      <c r="T335">
        <f t="shared" si="973"/>
        <v>-54.799362398894985</v>
      </c>
    </row>
    <row r="336" spans="1:20" x14ac:dyDescent="0.25">
      <c r="A336" s="5">
        <v>44257</v>
      </c>
      <c r="B336">
        <v>0.752</v>
      </c>
      <c r="C336">
        <v>0.97340000000000004</v>
      </c>
      <c r="D336">
        <v>0.72060000000000002</v>
      </c>
      <c r="E336">
        <v>0.82720000000000005</v>
      </c>
      <c r="F336">
        <v>14864075.630000001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-0.15664556962025303</v>
      </c>
      <c r="Q336">
        <f t="shared" si="970"/>
        <v>-2328391.5939398715</v>
      </c>
      <c r="R336">
        <f t="shared" si="971"/>
        <v>-5479566886.4834309</v>
      </c>
      <c r="S336">
        <f t="shared" si="972"/>
        <v>-54795.668864834312</v>
      </c>
      <c r="T336">
        <f t="shared" si="973"/>
        <v>-54.795668864834312</v>
      </c>
    </row>
    <row r="337" spans="1:20" x14ac:dyDescent="0.25">
      <c r="A337" s="5">
        <v>44256</v>
      </c>
      <c r="B337">
        <v>0.60199999999999998</v>
      </c>
      <c r="C337">
        <v>0.78259999999999996</v>
      </c>
      <c r="D337">
        <v>0.60199999999999998</v>
      </c>
      <c r="E337">
        <v>0.75119999999999998</v>
      </c>
      <c r="F337">
        <v>3977051.02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0.65227021040974542</v>
      </c>
      <c r="Q337">
        <f t="shared" si="970"/>
        <v>2594111.9056256926</v>
      </c>
      <c r="R337">
        <f t="shared" si="971"/>
        <v>-5477238494.8894911</v>
      </c>
      <c r="S337">
        <f t="shared" si="972"/>
        <v>-54772.384948894913</v>
      </c>
      <c r="T337">
        <f t="shared" si="973"/>
        <v>-54.77238494889491</v>
      </c>
    </row>
    <row r="338" spans="1:20" x14ac:dyDescent="0.25">
      <c r="A338" s="5">
        <v>44255</v>
      </c>
      <c r="B338">
        <v>0.67830000000000001</v>
      </c>
      <c r="C338">
        <v>0.67830000000000001</v>
      </c>
      <c r="D338">
        <v>0.56140000000000001</v>
      </c>
      <c r="E338">
        <v>0.60229999999999995</v>
      </c>
      <c r="F338">
        <v>2078350.19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-0.30025662959794808</v>
      </c>
      <c r="Q338">
        <f t="shared" si="970"/>
        <v>-624038.42317365494</v>
      </c>
      <c r="R338">
        <f t="shared" si="971"/>
        <v>-5479832606.7951164</v>
      </c>
      <c r="S338">
        <f t="shared" si="972"/>
        <v>-54798.326067951166</v>
      </c>
      <c r="T338">
        <f t="shared" si="973"/>
        <v>-54.798326067951166</v>
      </c>
    </row>
    <row r="339" spans="1:20" x14ac:dyDescent="0.25">
      <c r="A339" s="5">
        <v>44254</v>
      </c>
      <c r="B339">
        <v>0.67059999999999997</v>
      </c>
      <c r="C339">
        <v>0.73170000000000002</v>
      </c>
      <c r="D339">
        <v>0.65100000000000002</v>
      </c>
      <c r="E339">
        <v>0.67659999999999998</v>
      </c>
      <c r="F339">
        <v>2155743.48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-0.36555142503097998</v>
      </c>
      <c r="Q339">
        <f t="shared" si="970"/>
        <v>-788035.10111524386</v>
      </c>
      <c r="R339">
        <f t="shared" si="971"/>
        <v>-5479208568.3719425</v>
      </c>
      <c r="S339">
        <f t="shared" si="972"/>
        <v>-54792.085683719422</v>
      </c>
      <c r="T339">
        <f t="shared" si="973"/>
        <v>-54.792085683719421</v>
      </c>
    </row>
    <row r="340" spans="1:20" x14ac:dyDescent="0.25">
      <c r="A340" s="5">
        <v>44253</v>
      </c>
      <c r="B340">
        <v>0.7228</v>
      </c>
      <c r="C340">
        <v>0.74629999999999996</v>
      </c>
      <c r="D340">
        <v>0.63</v>
      </c>
      <c r="E340">
        <v>0.67290000000000005</v>
      </c>
      <c r="F340">
        <v>2110360.21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-0.26225279449698946</v>
      </c>
      <c r="Q340">
        <f t="shared" si="970"/>
        <v>-553447.86246775347</v>
      </c>
      <c r="R340">
        <f t="shared" si="971"/>
        <v>-5478420533.2708273</v>
      </c>
      <c r="S340">
        <f t="shared" si="972"/>
        <v>-54784.205332708276</v>
      </c>
      <c r="T340">
        <f t="shared" si="973"/>
        <v>-54.784205332708275</v>
      </c>
    </row>
    <row r="341" spans="1:20" x14ac:dyDescent="0.25">
      <c r="A341" s="5">
        <v>44252</v>
      </c>
      <c r="B341">
        <v>0.78879999999999995</v>
      </c>
      <c r="C341">
        <v>0.84670000000000001</v>
      </c>
      <c r="D341">
        <v>0.70430000000000004</v>
      </c>
      <c r="E341">
        <v>0.7228</v>
      </c>
      <c r="F341">
        <v>2512648.6800000002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-0.74016853932584314</v>
      </c>
      <c r="Q341">
        <f t="shared" si="970"/>
        <v>-1859783.503314608</v>
      </c>
      <c r="R341">
        <f t="shared" si="971"/>
        <v>-5477867085.4083595</v>
      </c>
      <c r="S341">
        <f t="shared" si="972"/>
        <v>-54778.670854083597</v>
      </c>
      <c r="T341">
        <f t="shared" si="973"/>
        <v>-54.7786708540836</v>
      </c>
    </row>
    <row r="342" spans="1:20" x14ac:dyDescent="0.25">
      <c r="A342" s="5">
        <v>44251</v>
      </c>
      <c r="B342">
        <v>0.69</v>
      </c>
      <c r="C342">
        <v>0.89900000000000002</v>
      </c>
      <c r="D342">
        <v>0.65049999999999997</v>
      </c>
      <c r="E342">
        <v>0.78520000000000001</v>
      </c>
      <c r="F342">
        <v>4764138.63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8.4104627766599702E-2</v>
      </c>
      <c r="Q342">
        <f t="shared" si="970"/>
        <v>400686.10610462824</v>
      </c>
      <c r="R342">
        <f t="shared" si="971"/>
        <v>-5476007301.9050446</v>
      </c>
      <c r="S342">
        <f t="shared" si="972"/>
        <v>-54760.073019050447</v>
      </c>
      <c r="T342">
        <f t="shared" si="973"/>
        <v>-54.760073019050445</v>
      </c>
    </row>
    <row r="343" spans="1:20" x14ac:dyDescent="0.25">
      <c r="A343" s="5">
        <v>44250</v>
      </c>
      <c r="B343">
        <v>0.89610000000000001</v>
      </c>
      <c r="C343">
        <v>0.89800000000000002</v>
      </c>
      <c r="D343">
        <v>0.59970000000000001</v>
      </c>
      <c r="E343">
        <v>0.69</v>
      </c>
      <c r="F343">
        <v>4639646.37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-0.39456922561180063</v>
      </c>
      <c r="Q343">
        <f t="shared" si="970"/>
        <v>-1830661.6753235019</v>
      </c>
      <c r="R343">
        <f t="shared" si="971"/>
        <v>-5476407988.0111494</v>
      </c>
      <c r="S343">
        <f t="shared" si="972"/>
        <v>-54764.079880111494</v>
      </c>
      <c r="T343">
        <f t="shared" si="973"/>
        <v>-54.764079880111495</v>
      </c>
    </row>
    <row r="344" spans="1:20" x14ac:dyDescent="0.25">
      <c r="A344" s="5">
        <v>44249</v>
      </c>
      <c r="B344">
        <v>0.98250000000000004</v>
      </c>
      <c r="C344">
        <v>1.04</v>
      </c>
      <c r="D344">
        <v>0.78200000000000003</v>
      </c>
      <c r="E344">
        <v>0.89039999999999997</v>
      </c>
      <c r="F344">
        <v>5282833.8899999997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-0.15968992248062064</v>
      </c>
      <c r="Q344">
        <f t="shared" si="970"/>
        <v>-843615.33437209553</v>
      </c>
      <c r="R344">
        <f t="shared" si="971"/>
        <v>-5474577326.3358259</v>
      </c>
      <c r="S344">
        <f t="shared" si="972"/>
        <v>-54745.773263358256</v>
      </c>
      <c r="T344">
        <f t="shared" si="973"/>
        <v>-54.745773263358259</v>
      </c>
    </row>
    <row r="345" spans="1:20" x14ac:dyDescent="0.25">
      <c r="A345" s="5">
        <v>44248</v>
      </c>
      <c r="B345">
        <v>0.94030000000000002</v>
      </c>
      <c r="C345">
        <v>1.147</v>
      </c>
      <c r="D345">
        <v>0.93720000000000003</v>
      </c>
      <c r="E345">
        <v>0.98099999999999998</v>
      </c>
      <c r="F345">
        <v>7681949.4100000001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-0.58245948522402335</v>
      </c>
      <c r="Q345">
        <f t="shared" si="970"/>
        <v>-4474424.2988655902</v>
      </c>
      <c r="R345">
        <f t="shared" si="971"/>
        <v>-5473733711.0014534</v>
      </c>
      <c r="S345">
        <f t="shared" si="972"/>
        <v>-54737.33711001453</v>
      </c>
      <c r="T345">
        <f t="shared" si="973"/>
        <v>-54.737337110014529</v>
      </c>
    </row>
    <row r="346" spans="1:20" x14ac:dyDescent="0.25">
      <c r="A346" s="5">
        <v>44247</v>
      </c>
      <c r="B346">
        <v>0.99150000000000005</v>
      </c>
      <c r="C346">
        <v>1.05</v>
      </c>
      <c r="D346">
        <v>0.92789999999999995</v>
      </c>
      <c r="E346">
        <v>0.94030000000000002</v>
      </c>
      <c r="F346">
        <v>5843920.8600000003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-0.79688779688779576</v>
      </c>
      <c r="Q346">
        <f t="shared" si="970"/>
        <v>-4656949.2193120327</v>
      </c>
      <c r="R346">
        <f t="shared" si="971"/>
        <v>-5469259286.7025881</v>
      </c>
      <c r="S346">
        <f t="shared" si="972"/>
        <v>-54692.59286702588</v>
      </c>
      <c r="T346">
        <f t="shared" si="973"/>
        <v>-54.69259286702588</v>
      </c>
    </row>
    <row r="347" spans="1:20" x14ac:dyDescent="0.25">
      <c r="A347" s="5">
        <v>44246</v>
      </c>
      <c r="B347">
        <v>1.0628</v>
      </c>
      <c r="C347">
        <v>1.155</v>
      </c>
      <c r="D347">
        <v>0.95799999999999996</v>
      </c>
      <c r="E347">
        <v>0.99150000000000005</v>
      </c>
      <c r="F347">
        <v>8054945.71</v>
      </c>
      <c r="G347">
        <v>0</v>
      </c>
      <c r="L347" t="s">
        <v>8</v>
      </c>
      <c r="M347" t="s">
        <v>7</v>
      </c>
      <c r="N347" t="s">
        <v>7</v>
      </c>
      <c r="P347">
        <f t="shared" si="969"/>
        <v>-0.65989847715735961</v>
      </c>
      <c r="Q347">
        <f t="shared" si="970"/>
        <v>-5315446.4076142069</v>
      </c>
      <c r="R347">
        <f t="shared" si="971"/>
        <v>-5464602337.4832764</v>
      </c>
      <c r="S347">
        <f t="shared" si="972"/>
        <v>-54646.023374832766</v>
      </c>
      <c r="T347">
        <f t="shared" si="973"/>
        <v>-54.646023374832765</v>
      </c>
    </row>
    <row r="348" spans="1:20" x14ac:dyDescent="0.25">
      <c r="A348" s="5">
        <v>44245</v>
      </c>
      <c r="B348">
        <v>1.1114999999999999</v>
      </c>
      <c r="C348">
        <v>1.1475</v>
      </c>
      <c r="D348">
        <v>1.046</v>
      </c>
      <c r="E348">
        <v>1.0611999999999999</v>
      </c>
      <c r="F348">
        <v>6168523.0300000003</v>
      </c>
      <c r="G348">
        <v>0</v>
      </c>
      <c r="L348" t="s">
        <v>8</v>
      </c>
      <c r="M348" t="s">
        <v>7</v>
      </c>
      <c r="N348" t="s">
        <v>8</v>
      </c>
      <c r="P348">
        <f t="shared" si="969"/>
        <v>-0.70049261083744052</v>
      </c>
      <c r="Q348">
        <f t="shared" si="970"/>
        <v>-4321004.8022955796</v>
      </c>
      <c r="R348">
        <f t="shared" si="971"/>
        <v>-5459286891.0756626</v>
      </c>
      <c r="S348">
        <f t="shared" si="972"/>
        <v>-54592.868910756624</v>
      </c>
      <c r="T348">
        <f t="shared" si="973"/>
        <v>-54.592868910756621</v>
      </c>
    </row>
    <row r="349" spans="1:20" x14ac:dyDescent="0.25">
      <c r="A349" s="5">
        <v>44244</v>
      </c>
      <c r="B349">
        <v>1.0908</v>
      </c>
      <c r="C349">
        <v>1.1915</v>
      </c>
      <c r="D349">
        <v>1.01</v>
      </c>
      <c r="E349">
        <v>1.1114999999999999</v>
      </c>
      <c r="F349">
        <v>9258297.0500000007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0.11845730027548128</v>
      </c>
      <c r="Q349">
        <f t="shared" si="970"/>
        <v>1096712.8736914527</v>
      </c>
      <c r="R349">
        <f t="shared" si="971"/>
        <v>-5454965886.2733669</v>
      </c>
      <c r="S349">
        <f t="shared" si="972"/>
        <v>-54549.658862733668</v>
      </c>
      <c r="T349">
        <f t="shared" si="973"/>
        <v>-54.549658862733665</v>
      </c>
    </row>
    <row r="350" spans="1:20" x14ac:dyDescent="0.25">
      <c r="A350" s="5">
        <v>44243</v>
      </c>
      <c r="B350">
        <v>1.149</v>
      </c>
      <c r="C350">
        <v>1.45</v>
      </c>
      <c r="D350">
        <v>1.0129999999999999</v>
      </c>
      <c r="E350">
        <v>1.0860000000000001</v>
      </c>
      <c r="F350">
        <v>31904897.899999999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-0.66590389016018225</v>
      </c>
      <c r="Q350">
        <f t="shared" si="970"/>
        <v>-21245595.626773428</v>
      </c>
      <c r="R350">
        <f t="shared" si="971"/>
        <v>-5456062599.1470585</v>
      </c>
      <c r="S350">
        <f t="shared" si="972"/>
        <v>-54560.625991470588</v>
      </c>
      <c r="T350">
        <f t="shared" si="973"/>
        <v>-54.560625991470587</v>
      </c>
    </row>
    <row r="351" spans="1:20" x14ac:dyDescent="0.25">
      <c r="A351" s="5">
        <v>44242</v>
      </c>
      <c r="B351">
        <v>0.89139999999999997</v>
      </c>
      <c r="C351">
        <v>1.2</v>
      </c>
      <c r="D351">
        <v>0.71</v>
      </c>
      <c r="E351">
        <v>1.1451</v>
      </c>
      <c r="F351">
        <v>9098099.3399999999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0.77591836734693898</v>
      </c>
      <c r="Q351">
        <f t="shared" si="970"/>
        <v>7059382.3858530633</v>
      </c>
      <c r="R351">
        <f t="shared" si="971"/>
        <v>-5434817003.5202847</v>
      </c>
      <c r="S351">
        <f t="shared" si="972"/>
        <v>-54348.170035202849</v>
      </c>
      <c r="T351">
        <f t="shared" si="973"/>
        <v>-54.348170035202848</v>
      </c>
    </row>
    <row r="352" spans="1:20" x14ac:dyDescent="0.25">
      <c r="A352" s="5">
        <v>44241</v>
      </c>
      <c r="B352">
        <v>0.86</v>
      </c>
      <c r="C352">
        <v>1.1000000000000001</v>
      </c>
      <c r="D352">
        <v>0.79459999999999997</v>
      </c>
      <c r="E352">
        <v>0.89129999999999998</v>
      </c>
      <c r="F352">
        <v>11511063.210000001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-0.36673215455140817</v>
      </c>
      <c r="Q352">
        <f t="shared" si="970"/>
        <v>-4221477.0121807493</v>
      </c>
      <c r="R352">
        <f t="shared" si="971"/>
        <v>-5441876385.9061375</v>
      </c>
      <c r="S352">
        <f t="shared" si="972"/>
        <v>-54418.763859061371</v>
      </c>
      <c r="T352">
        <f t="shared" si="973"/>
        <v>-54.418763859061372</v>
      </c>
    </row>
    <row r="353" spans="1:20" x14ac:dyDescent="0.25">
      <c r="A353" s="5">
        <v>44240</v>
      </c>
      <c r="B353">
        <v>0.81</v>
      </c>
      <c r="C353">
        <v>0.89</v>
      </c>
      <c r="D353">
        <v>0.71289999999999998</v>
      </c>
      <c r="E353">
        <v>0.86</v>
      </c>
      <c r="F353">
        <v>5028555.22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0.66120835686053059</v>
      </c>
      <c r="Q353">
        <f t="shared" si="970"/>
        <v>3324922.734398644</v>
      </c>
      <c r="R353">
        <f t="shared" si="971"/>
        <v>-5437654908.8939571</v>
      </c>
      <c r="S353">
        <f t="shared" si="972"/>
        <v>-54376.549088939573</v>
      </c>
      <c r="T353">
        <f t="shared" si="973"/>
        <v>-54.376549088939576</v>
      </c>
    </row>
    <row r="354" spans="1:20" x14ac:dyDescent="0.25">
      <c r="A354" s="5">
        <v>44239</v>
      </c>
      <c r="B354">
        <v>0.71350000000000002</v>
      </c>
      <c r="C354">
        <v>0.93340000000000001</v>
      </c>
      <c r="D354">
        <v>0.69899999999999995</v>
      </c>
      <c r="E354">
        <v>0.81</v>
      </c>
      <c r="F354">
        <v>7152684.1500000004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-5.2901023890784354E-2</v>
      </c>
      <c r="Q354">
        <f t="shared" si="970"/>
        <v>-378384.3151023846</v>
      </c>
      <c r="R354">
        <f t="shared" si="971"/>
        <v>-5440979831.628356</v>
      </c>
      <c r="S354">
        <f t="shared" si="972"/>
        <v>-54409.798316283559</v>
      </c>
      <c r="T354">
        <f t="shared" si="973"/>
        <v>-54.409798316283556</v>
      </c>
    </row>
    <row r="355" spans="1:20" x14ac:dyDescent="0.25">
      <c r="A355" s="5">
        <v>44238</v>
      </c>
      <c r="B355">
        <v>0.66490000000000005</v>
      </c>
      <c r="C355">
        <v>0.79800000000000004</v>
      </c>
      <c r="D355">
        <v>0.59989999999999999</v>
      </c>
      <c r="E355">
        <v>0.71230000000000004</v>
      </c>
      <c r="F355">
        <v>6395026.0999999996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0.13478041393235765</v>
      </c>
      <c r="Q355">
        <f t="shared" si="970"/>
        <v>861924.26486623078</v>
      </c>
      <c r="R355">
        <f t="shared" si="971"/>
        <v>-5440601447.3132534</v>
      </c>
      <c r="S355">
        <f t="shared" si="972"/>
        <v>-54406.014473132534</v>
      </c>
      <c r="T355">
        <f t="shared" si="973"/>
        <v>-54.406014473132537</v>
      </c>
    </row>
    <row r="356" spans="1:20" x14ac:dyDescent="0.25">
      <c r="A356" s="5">
        <v>44237</v>
      </c>
      <c r="B356">
        <v>0.67349999999999999</v>
      </c>
      <c r="C356">
        <v>0.69550000000000001</v>
      </c>
      <c r="D356">
        <v>0.57399999999999995</v>
      </c>
      <c r="E356">
        <v>0.66259999999999997</v>
      </c>
      <c r="F356">
        <v>7161215.5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0.45843621399176909</v>
      </c>
      <c r="Q356">
        <f t="shared" si="970"/>
        <v>3282960.5213991739</v>
      </c>
      <c r="R356">
        <f t="shared" si="971"/>
        <v>-5441463371.5781193</v>
      </c>
      <c r="S356">
        <f t="shared" si="972"/>
        <v>-54414.633715781194</v>
      </c>
      <c r="T356">
        <f t="shared" si="973"/>
        <v>-54.414633715781193</v>
      </c>
    </row>
    <row r="357" spans="1:20" x14ac:dyDescent="0.25">
      <c r="A357" s="5">
        <v>44236</v>
      </c>
      <c r="B357">
        <v>0.57030000000000003</v>
      </c>
      <c r="C357">
        <v>0.745</v>
      </c>
      <c r="D357">
        <v>0.56879999999999997</v>
      </c>
      <c r="E357">
        <v>0.67549999999999999</v>
      </c>
      <c r="F357">
        <v>8736566.1600000001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0.21112372304199775</v>
      </c>
      <c r="Q357">
        <f t="shared" si="970"/>
        <v>1844496.37430193</v>
      </c>
      <c r="R357">
        <f t="shared" si="971"/>
        <v>-5444746332.0995188</v>
      </c>
      <c r="S357">
        <f t="shared" si="972"/>
        <v>-54447.463320995186</v>
      </c>
      <c r="T357">
        <f t="shared" si="973"/>
        <v>-54.447463320995183</v>
      </c>
    </row>
    <row r="358" spans="1:20" x14ac:dyDescent="0.25">
      <c r="A358" s="5">
        <v>44235</v>
      </c>
      <c r="B358">
        <v>0.52669999999999995</v>
      </c>
      <c r="C358">
        <v>0.59889999999999999</v>
      </c>
      <c r="D358">
        <v>0.52010000000000001</v>
      </c>
      <c r="E358">
        <v>0.57279999999999998</v>
      </c>
      <c r="F358">
        <v>5499008.2300000004</v>
      </c>
      <c r="G358">
        <v>0</v>
      </c>
      <c r="L358" t="s">
        <v>8</v>
      </c>
      <c r="M358" t="s">
        <v>7</v>
      </c>
      <c r="N358" t="s">
        <v>7</v>
      </c>
      <c r="P358">
        <f t="shared" si="969"/>
        <v>0.33756345177664926</v>
      </c>
      <c r="Q358">
        <f t="shared" si="970"/>
        <v>1856264.1994670026</v>
      </c>
      <c r="R358">
        <f t="shared" si="971"/>
        <v>-5446590828.4738207</v>
      </c>
      <c r="S358">
        <f t="shared" si="972"/>
        <v>-54465.908284738209</v>
      </c>
      <c r="T358">
        <f t="shared" si="973"/>
        <v>-54.465908284738205</v>
      </c>
    </row>
    <row r="359" spans="1:20" x14ac:dyDescent="0.25">
      <c r="A359" s="5">
        <v>44234</v>
      </c>
      <c r="B359">
        <v>0.53669999999999995</v>
      </c>
      <c r="C359">
        <v>0.55500000000000005</v>
      </c>
      <c r="D359">
        <v>0.51390000000000002</v>
      </c>
      <c r="E359">
        <v>0.52690000000000003</v>
      </c>
      <c r="F359">
        <v>3377686.22</v>
      </c>
      <c r="G359">
        <v>0</v>
      </c>
      <c r="L359" t="s">
        <v>8</v>
      </c>
      <c r="M359" t="s">
        <v>7</v>
      </c>
      <c r="N359" t="s">
        <v>7</v>
      </c>
      <c r="P359">
        <f t="shared" si="969"/>
        <v>-0.36739659367396577</v>
      </c>
      <c r="Q359">
        <f t="shared" si="970"/>
        <v>-1240950.4117274934</v>
      </c>
      <c r="R359">
        <f t="shared" si="971"/>
        <v>-5448447092.6732874</v>
      </c>
      <c r="S359">
        <f t="shared" si="972"/>
        <v>-54484.470926732873</v>
      </c>
      <c r="T359">
        <f t="shared" si="973"/>
        <v>-54.484470926732875</v>
      </c>
    </row>
    <row r="360" spans="1:20" x14ac:dyDescent="0.25">
      <c r="A360" s="5">
        <v>44233</v>
      </c>
      <c r="B360">
        <v>0.57520000000000004</v>
      </c>
      <c r="C360">
        <v>0.60699999999999998</v>
      </c>
      <c r="D360">
        <v>0.51080000000000003</v>
      </c>
      <c r="E360">
        <v>0.53959999999999997</v>
      </c>
      <c r="F360">
        <v>3800114.99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-0.40124740124740227</v>
      </c>
      <c r="Q360">
        <f t="shared" si="970"/>
        <v>-1524786.2641787981</v>
      </c>
      <c r="R360">
        <f t="shared" si="971"/>
        <v>-5447206142.2615595</v>
      </c>
      <c r="S360">
        <f t="shared" si="972"/>
        <v>-54472.061422615596</v>
      </c>
      <c r="T360">
        <f t="shared" si="973"/>
        <v>-54.472061422615596</v>
      </c>
    </row>
    <row r="361" spans="1:20" x14ac:dyDescent="0.25">
      <c r="A361" s="5">
        <v>44232</v>
      </c>
      <c r="B361">
        <v>0.5</v>
      </c>
      <c r="C361">
        <v>0.64100000000000001</v>
      </c>
      <c r="D361">
        <v>0.49070000000000003</v>
      </c>
      <c r="E361">
        <v>0.57520000000000004</v>
      </c>
      <c r="F361">
        <v>7817844.2300000004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0.1244178310046577</v>
      </c>
      <c r="Q361">
        <f t="shared" si="970"/>
        <v>972679.22222887829</v>
      </c>
      <c r="R361">
        <f t="shared" si="971"/>
        <v>-5445681355.9973803</v>
      </c>
      <c r="S361">
        <f t="shared" si="972"/>
        <v>-54456.813559973802</v>
      </c>
      <c r="T361">
        <f t="shared" si="973"/>
        <v>-54.456813559973803</v>
      </c>
    </row>
    <row r="362" spans="1:20" x14ac:dyDescent="0.25">
      <c r="A362" s="5">
        <v>44231</v>
      </c>
      <c r="B362">
        <v>0.53110000000000002</v>
      </c>
      <c r="C362">
        <v>0.53639999999999999</v>
      </c>
      <c r="D362">
        <v>0.48249999999999998</v>
      </c>
      <c r="E362">
        <v>0.4995</v>
      </c>
      <c r="F362">
        <v>5060288.32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-0.36920222634508298</v>
      </c>
      <c r="Q362">
        <f t="shared" si="970"/>
        <v>-1868269.7136920199</v>
      </c>
      <c r="R362">
        <f t="shared" si="971"/>
        <v>-5446654035.2196093</v>
      </c>
      <c r="S362">
        <f t="shared" si="972"/>
        <v>-54466.540352196091</v>
      </c>
      <c r="T362">
        <f t="shared" si="973"/>
        <v>-54.466540352196091</v>
      </c>
    </row>
    <row r="363" spans="1:20" x14ac:dyDescent="0.25">
      <c r="A363" s="5">
        <v>44230</v>
      </c>
      <c r="B363">
        <v>0.57089999999999996</v>
      </c>
      <c r="C363">
        <v>0.6</v>
      </c>
      <c r="D363">
        <v>0.51719999999999999</v>
      </c>
      <c r="E363">
        <v>0.53110000000000002</v>
      </c>
      <c r="F363">
        <v>7387450.1600000001</v>
      </c>
      <c r="G363">
        <v>0</v>
      </c>
      <c r="L363" t="s">
        <v>7</v>
      </c>
      <c r="M363" t="s">
        <v>7</v>
      </c>
      <c r="N363" t="s">
        <v>8</v>
      </c>
      <c r="P363">
        <f t="shared" si="969"/>
        <v>-0.664251207729468</v>
      </c>
      <c r="Q363">
        <f t="shared" si="970"/>
        <v>-4907122.6908212518</v>
      </c>
      <c r="R363">
        <f t="shared" si="971"/>
        <v>-5444785765.5059175</v>
      </c>
      <c r="S363">
        <f t="shared" si="972"/>
        <v>-54447.857655059175</v>
      </c>
      <c r="T363">
        <f t="shared" si="973"/>
        <v>-54.447857655059174</v>
      </c>
    </row>
    <row r="364" spans="1:20" x14ac:dyDescent="0.25">
      <c r="A364" s="5">
        <v>44229</v>
      </c>
      <c r="B364">
        <v>0.43659999999999999</v>
      </c>
      <c r="C364">
        <v>0.69</v>
      </c>
      <c r="D364">
        <v>0.41389999999999999</v>
      </c>
      <c r="E364">
        <v>0.57079999999999997</v>
      </c>
      <c r="F364">
        <v>33128563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0.13654473017022825</v>
      </c>
      <c r="Q364">
        <f t="shared" si="970"/>
        <v>4523530.695762407</v>
      </c>
      <c r="R364">
        <f t="shared" si="971"/>
        <v>-5439878642.8150959</v>
      </c>
      <c r="S364">
        <f t="shared" si="972"/>
        <v>-54398.786428150961</v>
      </c>
      <c r="T364">
        <f t="shared" si="973"/>
        <v>-54.398786428150963</v>
      </c>
    </row>
    <row r="365" spans="1:20" x14ac:dyDescent="0.25">
      <c r="A365" s="5">
        <v>44228</v>
      </c>
      <c r="B365">
        <v>0.42070000000000002</v>
      </c>
      <c r="C365">
        <v>0.44080000000000003</v>
      </c>
      <c r="D365">
        <v>0.38</v>
      </c>
      <c r="E365">
        <v>0.43619999999999998</v>
      </c>
      <c r="F365">
        <v>5252815.9000000004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0.84868421052631426</v>
      </c>
      <c r="Q365">
        <f t="shared" si="970"/>
        <v>4457981.9151315717</v>
      </c>
      <c r="R365">
        <f t="shared" si="971"/>
        <v>-5444402173.5108585</v>
      </c>
      <c r="S365">
        <f t="shared" si="972"/>
        <v>-54444.021735108588</v>
      </c>
      <c r="T365">
        <f t="shared" si="973"/>
        <v>-54.444021735108592</v>
      </c>
    </row>
    <row r="366" spans="1:20" x14ac:dyDescent="0.25">
      <c r="A366" s="5">
        <v>44227</v>
      </c>
      <c r="B366">
        <v>0.45479999999999998</v>
      </c>
      <c r="C366">
        <v>0.49359999999999998</v>
      </c>
      <c r="D366">
        <v>0.40799999999999997</v>
      </c>
      <c r="E366">
        <v>0.42070000000000002</v>
      </c>
      <c r="F366">
        <v>4255728.6500000004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-0.70327102803738217</v>
      </c>
      <c r="Q366">
        <f t="shared" si="970"/>
        <v>-2992930.662733641</v>
      </c>
      <c r="R366">
        <f t="shared" si="971"/>
        <v>-5448860155.4259901</v>
      </c>
      <c r="S366">
        <f t="shared" si="972"/>
        <v>-54488.601554259898</v>
      </c>
      <c r="T366">
        <f t="shared" si="973"/>
        <v>-54.488601554259901</v>
      </c>
    </row>
    <row r="367" spans="1:20" x14ac:dyDescent="0.25">
      <c r="A367" s="5">
        <v>44226</v>
      </c>
      <c r="B367">
        <v>0.49930000000000002</v>
      </c>
      <c r="C367">
        <v>0.5121</v>
      </c>
      <c r="D367">
        <v>0.44330000000000003</v>
      </c>
      <c r="E367">
        <v>0.45490000000000003</v>
      </c>
      <c r="F367">
        <v>4194356.37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-0.66279069767441845</v>
      </c>
      <c r="Q367">
        <f t="shared" si="970"/>
        <v>-2779980.3847674411</v>
      </c>
      <c r="R367">
        <f t="shared" si="971"/>
        <v>-5445867224.7632561</v>
      </c>
      <c r="S367">
        <f t="shared" si="972"/>
        <v>-54458.672247632559</v>
      </c>
      <c r="T367">
        <f t="shared" si="973"/>
        <v>-54.458672247632556</v>
      </c>
    </row>
    <row r="368" spans="1:20" x14ac:dyDescent="0.25">
      <c r="A368" s="5">
        <v>44225</v>
      </c>
      <c r="B368">
        <v>0.52539999999999998</v>
      </c>
      <c r="C368">
        <v>0.5726</v>
      </c>
      <c r="D368">
        <v>0.47289999999999999</v>
      </c>
      <c r="E368">
        <v>0.49930000000000002</v>
      </c>
      <c r="F368">
        <v>6857181.5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-0.47041123370110266</v>
      </c>
      <c r="Q368">
        <f t="shared" si="970"/>
        <v>-3225695.2091273777</v>
      </c>
      <c r="R368">
        <f t="shared" si="971"/>
        <v>-5443087244.3784885</v>
      </c>
      <c r="S368">
        <f t="shared" si="972"/>
        <v>-54430.872443784887</v>
      </c>
      <c r="T368">
        <f t="shared" si="973"/>
        <v>-54.430872443784885</v>
      </c>
    </row>
    <row r="369" spans="1:20" x14ac:dyDescent="0.25">
      <c r="A369" s="5">
        <v>44224</v>
      </c>
      <c r="B369">
        <v>0.54920000000000002</v>
      </c>
      <c r="C369">
        <v>0.625</v>
      </c>
      <c r="D369">
        <v>0.52500000000000002</v>
      </c>
      <c r="E369">
        <v>0.52500000000000002</v>
      </c>
      <c r="F369">
        <v>6092452.9299999997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-1</v>
      </c>
      <c r="Q369">
        <f t="shared" si="970"/>
        <v>-6092452.9299999997</v>
      </c>
      <c r="R369">
        <f t="shared" si="971"/>
        <v>-5439861549.1693611</v>
      </c>
      <c r="S369">
        <f t="shared" si="972"/>
        <v>-54398.615491693614</v>
      </c>
      <c r="T369">
        <f t="shared" si="973"/>
        <v>-54.398615491693612</v>
      </c>
    </row>
    <row r="370" spans="1:20" x14ac:dyDescent="0.25">
      <c r="A370" s="5">
        <v>44223</v>
      </c>
      <c r="B370">
        <v>0.67</v>
      </c>
      <c r="C370">
        <v>0.67530000000000001</v>
      </c>
      <c r="D370">
        <v>0.51449999999999996</v>
      </c>
      <c r="E370">
        <v>0.54920000000000002</v>
      </c>
      <c r="F370">
        <v>5270768.82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-0.5684079601990043</v>
      </c>
      <c r="Q370">
        <f t="shared" si="970"/>
        <v>-2995946.953656713</v>
      </c>
      <c r="R370">
        <f t="shared" si="971"/>
        <v>-5433769096.2393608</v>
      </c>
      <c r="S370">
        <f t="shared" si="972"/>
        <v>-54337.690962393608</v>
      </c>
      <c r="T370">
        <f t="shared" si="973"/>
        <v>-54.337690962393609</v>
      </c>
    </row>
    <row r="371" spans="1:20" x14ac:dyDescent="0.25">
      <c r="A371" s="5">
        <v>44222</v>
      </c>
      <c r="B371">
        <v>0.68</v>
      </c>
      <c r="C371">
        <v>0.76</v>
      </c>
      <c r="D371">
        <v>0.60540000000000005</v>
      </c>
      <c r="E371">
        <v>0.67</v>
      </c>
      <c r="F371">
        <v>7981638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-0.16429495472186278</v>
      </c>
      <c r="Q371">
        <f t="shared" si="970"/>
        <v>-1311342.8538162995</v>
      </c>
      <c r="R371">
        <f t="shared" si="971"/>
        <v>-5430773149.2857037</v>
      </c>
      <c r="S371">
        <f t="shared" si="972"/>
        <v>-54307.731492857034</v>
      </c>
      <c r="T371">
        <f t="shared" si="973"/>
        <v>-54.307731492857037</v>
      </c>
    </row>
    <row r="372" spans="1:20" x14ac:dyDescent="0.25">
      <c r="A372" s="5">
        <v>44221</v>
      </c>
      <c r="B372">
        <v>0.7581</v>
      </c>
      <c r="C372">
        <v>0.84989999999999999</v>
      </c>
      <c r="D372">
        <v>0.68</v>
      </c>
      <c r="E372">
        <v>0.68</v>
      </c>
      <c r="F372">
        <v>7625759.0199999996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-1</v>
      </c>
      <c r="Q372">
        <f t="shared" si="970"/>
        <v>-7625759.0199999996</v>
      </c>
      <c r="R372">
        <f t="shared" si="971"/>
        <v>-5429461806.4318876</v>
      </c>
      <c r="S372">
        <f t="shared" si="972"/>
        <v>-54294.618064318878</v>
      </c>
      <c r="T372">
        <f t="shared" si="973"/>
        <v>-54.294618064318875</v>
      </c>
    </row>
    <row r="373" spans="1:20" x14ac:dyDescent="0.25">
      <c r="A373" s="5">
        <v>44220</v>
      </c>
      <c r="B373">
        <v>0.90069999999999995</v>
      </c>
      <c r="C373">
        <v>1.03</v>
      </c>
      <c r="D373">
        <v>0.70550000000000002</v>
      </c>
      <c r="E373">
        <v>0.76270000000000004</v>
      </c>
      <c r="F373">
        <v>16692248.82</v>
      </c>
      <c r="G373">
        <v>0</v>
      </c>
      <c r="L373" t="s">
        <v>7</v>
      </c>
      <c r="M373" t="s">
        <v>7</v>
      </c>
      <c r="N373" t="s">
        <v>7</v>
      </c>
      <c r="P373">
        <f t="shared" si="969"/>
        <v>-0.64745762711864385</v>
      </c>
      <c r="Q373">
        <f t="shared" si="970"/>
        <v>-10807523.812271183</v>
      </c>
      <c r="R373">
        <f t="shared" si="971"/>
        <v>-5421836047.4118872</v>
      </c>
      <c r="S373">
        <f t="shared" si="972"/>
        <v>-54218.360474118868</v>
      </c>
      <c r="T373">
        <f t="shared" si="973"/>
        <v>-54.218360474118867</v>
      </c>
    </row>
    <row r="374" spans="1:20" x14ac:dyDescent="0.25">
      <c r="A374" s="5">
        <v>44219</v>
      </c>
      <c r="B374">
        <v>0.69499999999999995</v>
      </c>
      <c r="C374">
        <v>1.2112000000000001</v>
      </c>
      <c r="D374">
        <v>0.52400000000000002</v>
      </c>
      <c r="E374">
        <v>0.90029999999999999</v>
      </c>
      <c r="F374">
        <v>34168836.039999999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9.5168800931315342E-2</v>
      </c>
      <c r="Q374">
        <f t="shared" si="970"/>
        <v>3251807.1551455134</v>
      </c>
      <c r="R374">
        <f t="shared" si="971"/>
        <v>-5411028523.5996161</v>
      </c>
      <c r="S374">
        <f t="shared" si="972"/>
        <v>-54110.285235996162</v>
      </c>
      <c r="T374">
        <f t="shared" si="973"/>
        <v>-54.110285235996159</v>
      </c>
    </row>
    <row r="375" spans="1:20" x14ac:dyDescent="0.25">
      <c r="A375" s="5">
        <v>44215</v>
      </c>
      <c r="B375">
        <v>6.2500000000000001E-4</v>
      </c>
      <c r="C375">
        <v>7.1599999999999995E-4</v>
      </c>
      <c r="D375">
        <v>6.2100000000000002E-4</v>
      </c>
      <c r="E375">
        <v>6.9499999999999998E-4</v>
      </c>
      <c r="F375">
        <v>1031212732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0.55789473684210555</v>
      </c>
      <c r="Q375">
        <f t="shared" si="970"/>
        <v>575308155.74736869</v>
      </c>
      <c r="R375">
        <f t="shared" si="971"/>
        <v>-5414280330.7547617</v>
      </c>
      <c r="S375">
        <f t="shared" si="972"/>
        <v>-54142.80330754762</v>
      </c>
      <c r="T375">
        <f t="shared" si="973"/>
        <v>-54.142803307547616</v>
      </c>
    </row>
    <row r="376" spans="1:20" x14ac:dyDescent="0.25">
      <c r="A376" s="5">
        <v>44214</v>
      </c>
      <c r="B376">
        <v>5.4900000000000001E-4</v>
      </c>
      <c r="C376">
        <v>7.27E-4</v>
      </c>
      <c r="D376">
        <v>5.1199999999999998E-4</v>
      </c>
      <c r="E376">
        <v>6.2500000000000001E-4</v>
      </c>
      <c r="F376">
        <v>12840665258</v>
      </c>
      <c r="G376">
        <v>0</v>
      </c>
      <c r="L376" t="s">
        <v>7</v>
      </c>
      <c r="M376" t="s">
        <v>8</v>
      </c>
      <c r="N376" t="s">
        <v>8</v>
      </c>
      <c r="P376">
        <f t="shared" si="969"/>
        <v>5.1162790697674647E-2</v>
      </c>
      <c r="Q376">
        <f t="shared" si="970"/>
        <v>656964269.01395643</v>
      </c>
      <c r="R376">
        <f t="shared" si="971"/>
        <v>-5989588486.5021305</v>
      </c>
      <c r="S376">
        <f t="shared" si="972"/>
        <v>-59895.884865021304</v>
      </c>
      <c r="T376">
        <f t="shared" si="973"/>
        <v>-59.895884865021301</v>
      </c>
    </row>
    <row r="377" spans="1:20" x14ac:dyDescent="0.25">
      <c r="A377" s="5">
        <v>44213</v>
      </c>
      <c r="B377">
        <v>5.5599999999999996E-4</v>
      </c>
      <c r="C377">
        <v>5.9800000000000001E-4</v>
      </c>
      <c r="D377">
        <v>4.5800000000000002E-4</v>
      </c>
      <c r="E377">
        <v>5.4900000000000001E-4</v>
      </c>
      <c r="F377">
        <v>6963856570</v>
      </c>
      <c r="G377">
        <v>0</v>
      </c>
      <c r="L377" t="s">
        <v>8</v>
      </c>
      <c r="M377" t="s">
        <v>7</v>
      </c>
      <c r="N377" t="s">
        <v>7</v>
      </c>
      <c r="P377">
        <f t="shared" si="969"/>
        <v>0.3</v>
      </c>
      <c r="Q377">
        <f t="shared" si="970"/>
        <v>2089156971</v>
      </c>
      <c r="R377">
        <f t="shared" si="971"/>
        <v>-6646552755.5160866</v>
      </c>
      <c r="S377">
        <f t="shared" si="972"/>
        <v>-66465.527555160865</v>
      </c>
      <c r="T377">
        <f t="shared" si="973"/>
        <v>-66.465527555160861</v>
      </c>
    </row>
    <row r="378" spans="1:20" x14ac:dyDescent="0.25">
      <c r="A378" s="5">
        <v>44212</v>
      </c>
      <c r="B378">
        <v>7.1400000000000001E-4</v>
      </c>
      <c r="C378">
        <v>7.2900000000000005E-4</v>
      </c>
      <c r="D378">
        <v>5.3300000000000005E-4</v>
      </c>
      <c r="E378">
        <v>5.5599999999999996E-4</v>
      </c>
      <c r="F378">
        <v>16302011358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-0.76530612244898055</v>
      </c>
      <c r="Q378">
        <f t="shared" si="970"/>
        <v>-12476029100.51022</v>
      </c>
      <c r="R378">
        <f t="shared" si="971"/>
        <v>-8735709726.5160866</v>
      </c>
      <c r="S378">
        <f t="shared" si="972"/>
        <v>-87357.097265160861</v>
      </c>
      <c r="T378">
        <f t="shared" si="973"/>
        <v>-87.35709726516086</v>
      </c>
    </row>
    <row r="379" spans="1:20" x14ac:dyDescent="0.25">
      <c r="A379" s="5">
        <v>44211</v>
      </c>
      <c r="B379">
        <v>3.4299999999999999E-4</v>
      </c>
      <c r="C379">
        <v>7.6800000000000002E-4</v>
      </c>
      <c r="D379">
        <v>3.2499999999999999E-4</v>
      </c>
      <c r="E379">
        <v>7.1400000000000001E-4</v>
      </c>
      <c r="F379">
        <v>27722503333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0.75620767494356655</v>
      </c>
      <c r="Q379">
        <f t="shared" si="970"/>
        <v>20963969789.063206</v>
      </c>
      <c r="R379">
        <f t="shared" si="971"/>
        <v>3740319373.994133</v>
      </c>
      <c r="S379">
        <f t="shared" si="972"/>
        <v>37403.193739941329</v>
      </c>
      <c r="T379">
        <f t="shared" si="973"/>
        <v>37.403193739941329</v>
      </c>
    </row>
    <row r="380" spans="1:20" x14ac:dyDescent="0.25">
      <c r="A380" s="5">
        <v>44210</v>
      </c>
      <c r="B380">
        <v>3.1100000000000002E-4</v>
      </c>
      <c r="C380">
        <v>3.6999999999999999E-4</v>
      </c>
      <c r="D380">
        <v>3.0299999999999999E-4</v>
      </c>
      <c r="E380">
        <v>3.4299999999999999E-4</v>
      </c>
      <c r="F380">
        <v>2605484559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0.19402985074626852</v>
      </c>
      <c r="Q380">
        <f t="shared" si="970"/>
        <v>505541780.10447729</v>
      </c>
      <c r="R380">
        <f t="shared" si="971"/>
        <v>-17223650415.069073</v>
      </c>
      <c r="S380">
        <f t="shared" si="972"/>
        <v>-172236.50415069071</v>
      </c>
      <c r="T380">
        <f t="shared" si="973"/>
        <v>-172.23650415069071</v>
      </c>
    </row>
    <row r="381" spans="1:20" x14ac:dyDescent="0.25">
      <c r="A381" s="5">
        <v>44209</v>
      </c>
      <c r="B381">
        <v>3.2499999999999999E-4</v>
      </c>
      <c r="C381">
        <v>3.2600000000000001E-4</v>
      </c>
      <c r="D381">
        <v>2.9100000000000003E-4</v>
      </c>
      <c r="E381">
        <v>3.1199999999999999E-4</v>
      </c>
      <c r="F381">
        <v>926447715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0.19999999999999876</v>
      </c>
      <c r="Q381">
        <f t="shared" si="970"/>
        <v>185289542.99999887</v>
      </c>
      <c r="R381">
        <f t="shared" si="971"/>
        <v>-17729192195.17355</v>
      </c>
      <c r="S381">
        <f t="shared" si="972"/>
        <v>-177291.92195173551</v>
      </c>
      <c r="T381">
        <f t="shared" si="973"/>
        <v>-177.2919219517355</v>
      </c>
    </row>
    <row r="382" spans="1:20" x14ac:dyDescent="0.25">
      <c r="A382" s="5">
        <v>44208</v>
      </c>
      <c r="B382">
        <v>3.2000000000000003E-4</v>
      </c>
      <c r="C382">
        <v>3.2600000000000001E-4</v>
      </c>
      <c r="D382">
        <v>2.81E-4</v>
      </c>
      <c r="E382">
        <v>3.2600000000000001E-4</v>
      </c>
      <c r="F382">
        <v>1381475198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1</v>
      </c>
      <c r="Q382">
        <f t="shared" si="970"/>
        <v>1381475198</v>
      </c>
      <c r="R382">
        <f t="shared" si="971"/>
        <v>-17914481738.17355</v>
      </c>
      <c r="S382">
        <f t="shared" si="972"/>
        <v>-179144.81738173548</v>
      </c>
      <c r="T382">
        <f t="shared" si="973"/>
        <v>-179.14481738173549</v>
      </c>
    </row>
    <row r="383" spans="1:20" x14ac:dyDescent="0.25">
      <c r="A383" s="5">
        <v>44207</v>
      </c>
      <c r="B383">
        <v>3.1500000000000001E-4</v>
      </c>
      <c r="C383">
        <v>3.2200000000000002E-4</v>
      </c>
      <c r="D383">
        <v>2.6200000000000003E-4</v>
      </c>
      <c r="E383">
        <v>3.2000000000000003E-4</v>
      </c>
      <c r="F383">
        <v>1647997872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0.93333333333333346</v>
      </c>
      <c r="Q383">
        <f t="shared" si="970"/>
        <v>1538131347.2000003</v>
      </c>
      <c r="R383">
        <f t="shared" si="971"/>
        <v>-19295956936.17355</v>
      </c>
      <c r="S383">
        <f t="shared" si="972"/>
        <v>-192959.56936173548</v>
      </c>
      <c r="T383">
        <f t="shared" si="973"/>
        <v>-192.95956936173548</v>
      </c>
    </row>
    <row r="384" spans="1:20" x14ac:dyDescent="0.25">
      <c r="A384" s="5">
        <v>44206</v>
      </c>
      <c r="B384">
        <v>3.1199999999999999E-4</v>
      </c>
      <c r="C384">
        <v>3.6200000000000002E-4</v>
      </c>
      <c r="D384">
        <v>2.8800000000000001E-4</v>
      </c>
      <c r="E384">
        <v>3.1300000000000002E-4</v>
      </c>
      <c r="F384">
        <v>2201862823</v>
      </c>
      <c r="G384">
        <v>0</v>
      </c>
      <c r="L384" t="s">
        <v>7</v>
      </c>
      <c r="M384" t="s">
        <v>8</v>
      </c>
      <c r="N384" t="s">
        <v>8</v>
      </c>
      <c r="P384">
        <f t="shared" si="969"/>
        <v>-0.32432432432432412</v>
      </c>
      <c r="Q384">
        <f t="shared" si="970"/>
        <v>-714117672.32432389</v>
      </c>
      <c r="R384">
        <f t="shared" si="971"/>
        <v>-20834088283.37355</v>
      </c>
      <c r="S384">
        <f t="shared" si="972"/>
        <v>-208340.88283373549</v>
      </c>
      <c r="T384">
        <f t="shared" si="973"/>
        <v>-208.34088283373549</v>
      </c>
    </row>
    <row r="385" spans="1:20" x14ac:dyDescent="0.25">
      <c r="A385" s="5">
        <v>44205</v>
      </c>
      <c r="B385">
        <v>2.9599999999999998E-4</v>
      </c>
      <c r="C385">
        <v>3.3199999999999999E-4</v>
      </c>
      <c r="D385">
        <v>2.9399999999999999E-4</v>
      </c>
      <c r="E385">
        <v>3.1199999999999999E-4</v>
      </c>
      <c r="F385">
        <v>2048944429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-5.2631578947368272E-2</v>
      </c>
      <c r="Q385">
        <f t="shared" si="970"/>
        <v>-107839180.47368391</v>
      </c>
      <c r="R385">
        <f t="shared" si="971"/>
        <v>-20119970611.049225</v>
      </c>
      <c r="S385">
        <f t="shared" si="972"/>
        <v>-201199.70611049226</v>
      </c>
      <c r="T385">
        <f t="shared" si="973"/>
        <v>-201.19970611049226</v>
      </c>
    </row>
    <row r="386" spans="1:20" x14ac:dyDescent="0.25">
      <c r="A386" s="5">
        <v>44204</v>
      </c>
      <c r="B386">
        <v>2.7399999999999999E-4</v>
      </c>
      <c r="C386">
        <v>3.21E-4</v>
      </c>
      <c r="D386">
        <v>2.5799999999999998E-4</v>
      </c>
      <c r="E386">
        <v>2.9700000000000001E-4</v>
      </c>
      <c r="F386">
        <v>3997217647</v>
      </c>
      <c r="G386">
        <v>0</v>
      </c>
      <c r="L386" t="s">
        <v>7</v>
      </c>
      <c r="M386" t="s">
        <v>8</v>
      </c>
      <c r="N386" t="s">
        <v>7</v>
      </c>
      <c r="P386">
        <f t="shared" si="969"/>
        <v>0.23809523809523866</v>
      </c>
      <c r="Q386">
        <f t="shared" si="970"/>
        <v>951718487.38095462</v>
      </c>
      <c r="R386">
        <f t="shared" si="971"/>
        <v>-20012131430.575542</v>
      </c>
      <c r="S386">
        <f t="shared" si="972"/>
        <v>-200121.31430575543</v>
      </c>
      <c r="T386">
        <f t="shared" si="973"/>
        <v>-200.12131430575542</v>
      </c>
    </row>
    <row r="387" spans="1:20" x14ac:dyDescent="0.25">
      <c r="A387" s="5">
        <v>44203</v>
      </c>
      <c r="B387">
        <v>2.6600000000000001E-4</v>
      </c>
      <c r="C387">
        <v>2.9E-4</v>
      </c>
      <c r="D387">
        <v>2.5599999999999999E-4</v>
      </c>
      <c r="E387">
        <v>2.7500000000000002E-4</v>
      </c>
      <c r="F387">
        <v>1579381307</v>
      </c>
      <c r="G387">
        <v>0</v>
      </c>
      <c r="L387" t="s">
        <v>8</v>
      </c>
      <c r="M387" t="s">
        <v>8</v>
      </c>
      <c r="N387" t="s">
        <v>7</v>
      </c>
      <c r="P387">
        <f t="shared" si="969"/>
        <v>0.11764705882353063</v>
      </c>
      <c r="Q387">
        <f t="shared" si="970"/>
        <v>185809565.5294137</v>
      </c>
      <c r="R387">
        <f t="shared" si="971"/>
        <v>-20963849917.956497</v>
      </c>
      <c r="S387">
        <f t="shared" si="972"/>
        <v>-209638.49917956497</v>
      </c>
      <c r="T387">
        <f t="shared" si="973"/>
        <v>-209.63849917956497</v>
      </c>
    </row>
    <row r="388" spans="1:20" x14ac:dyDescent="0.25">
      <c r="A388" s="5">
        <v>44202</v>
      </c>
      <c r="B388">
        <v>2.6400000000000002E-4</v>
      </c>
      <c r="C388">
        <v>2.7E-4</v>
      </c>
      <c r="D388">
        <v>2.5000000000000001E-4</v>
      </c>
      <c r="E388">
        <v>2.6499999999999999E-4</v>
      </c>
      <c r="F388">
        <v>940006473</v>
      </c>
      <c r="G388">
        <v>0</v>
      </c>
      <c r="L388" t="s">
        <v>7</v>
      </c>
      <c r="M388" t="s">
        <v>8</v>
      </c>
      <c r="N388" t="s">
        <v>7</v>
      </c>
      <c r="P388">
        <f t="shared" si="969"/>
        <v>0.49999999999999867</v>
      </c>
      <c r="Q388">
        <f t="shared" si="970"/>
        <v>470003236.49999875</v>
      </c>
      <c r="R388">
        <f t="shared" si="971"/>
        <v>-21149659483.485912</v>
      </c>
      <c r="S388">
        <f t="shared" si="972"/>
        <v>-211496.59483485913</v>
      </c>
      <c r="T388">
        <f t="shared" si="973"/>
        <v>-211.49659483485914</v>
      </c>
    </row>
    <row r="389" spans="1:20" x14ac:dyDescent="0.25">
      <c r="A389" s="5">
        <v>44201</v>
      </c>
      <c r="B389">
        <v>2.5399999999999999E-4</v>
      </c>
      <c r="C389">
        <v>2.6499999999999999E-4</v>
      </c>
      <c r="D389">
        <v>2.4499999999999999E-4</v>
      </c>
      <c r="E389">
        <v>2.63E-4</v>
      </c>
      <c r="F389">
        <v>510315682</v>
      </c>
      <c r="G389">
        <v>0</v>
      </c>
      <c r="L389" t="s">
        <v>8</v>
      </c>
      <c r="M389" t="s">
        <v>7</v>
      </c>
      <c r="N389" t="s">
        <v>7</v>
      </c>
      <c r="P389">
        <f t="shared" si="969"/>
        <v>0.80000000000000049</v>
      </c>
      <c r="Q389">
        <f t="shared" si="970"/>
        <v>408252545.60000026</v>
      </c>
      <c r="R389">
        <f t="shared" si="971"/>
        <v>-21619662719.985912</v>
      </c>
      <c r="S389">
        <f t="shared" si="972"/>
        <v>-216196.62719985913</v>
      </c>
      <c r="T389">
        <f t="shared" si="973"/>
        <v>-216.19662719985914</v>
      </c>
    </row>
    <row r="390" spans="1:20" x14ac:dyDescent="0.25">
      <c r="A390" s="5">
        <v>44200</v>
      </c>
      <c r="B390">
        <v>2.5000000000000001E-4</v>
      </c>
      <c r="C390">
        <v>2.6400000000000002E-4</v>
      </c>
      <c r="D390">
        <v>2.4000000000000001E-4</v>
      </c>
      <c r="E390">
        <v>2.5300000000000002E-4</v>
      </c>
      <c r="F390">
        <v>691329058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8.3333333333334175E-2</v>
      </c>
      <c r="Q390">
        <f t="shared" ref="Q390:Q453" si="975">F390*P390</f>
        <v>57610754.833333917</v>
      </c>
      <c r="R390">
        <f t="shared" ref="R390:R453" si="976">R391+Q390</f>
        <v>-22027915265.585911</v>
      </c>
      <c r="S390">
        <f t="shared" ref="S390:S453" si="977">R390/100000</f>
        <v>-220279.1526558591</v>
      </c>
      <c r="T390">
        <f t="shared" ref="T390:T453" si="978">S390/1000</f>
        <v>-220.27915265585909</v>
      </c>
    </row>
    <row r="391" spans="1:20" x14ac:dyDescent="0.25">
      <c r="A391" s="5">
        <v>44199</v>
      </c>
      <c r="B391">
        <v>2.43E-4</v>
      </c>
      <c r="C391">
        <v>2.5500000000000002E-4</v>
      </c>
      <c r="D391">
        <v>2.3900000000000001E-4</v>
      </c>
      <c r="E391">
        <v>2.5099999999999998E-4</v>
      </c>
      <c r="F391">
        <v>554665699</v>
      </c>
      <c r="G391">
        <v>0</v>
      </c>
      <c r="L391" t="s">
        <v>8</v>
      </c>
      <c r="M391" t="s">
        <v>7</v>
      </c>
      <c r="N391" t="s">
        <v>7</v>
      </c>
      <c r="P391">
        <f t="shared" si="974"/>
        <v>0.49999999999999489</v>
      </c>
      <c r="Q391">
        <f t="shared" si="975"/>
        <v>277332849.49999714</v>
      </c>
      <c r="R391">
        <f t="shared" si="976"/>
        <v>-22085526020.419243</v>
      </c>
      <c r="S391">
        <f t="shared" si="977"/>
        <v>-220855.26020419243</v>
      </c>
      <c r="T391">
        <f t="shared" si="978"/>
        <v>-220.85526020419243</v>
      </c>
    </row>
    <row r="392" spans="1:20" x14ac:dyDescent="0.25">
      <c r="A392" s="5">
        <v>44198</v>
      </c>
      <c r="B392">
        <v>2.41E-4</v>
      </c>
      <c r="C392">
        <v>2.52E-4</v>
      </c>
      <c r="D392">
        <v>2.3699999999999999E-4</v>
      </c>
      <c r="E392">
        <v>2.43E-4</v>
      </c>
      <c r="F392">
        <v>444133834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-0.19999999999999929</v>
      </c>
      <c r="Q392">
        <f t="shared" si="975"/>
        <v>-88826766.799999684</v>
      </c>
      <c r="R392">
        <f t="shared" si="976"/>
        <v>-22362858869.919239</v>
      </c>
      <c r="S392">
        <f t="shared" si="977"/>
        <v>-223628.58869919239</v>
      </c>
      <c r="T392">
        <f t="shared" si="978"/>
        <v>-223.62858869919239</v>
      </c>
    </row>
    <row r="393" spans="1:20" x14ac:dyDescent="0.25">
      <c r="A393" s="5">
        <v>44197</v>
      </c>
      <c r="B393">
        <v>2.4600000000000002E-4</v>
      </c>
      <c r="C393">
        <v>2.5900000000000001E-4</v>
      </c>
      <c r="D393">
        <v>2.32E-4</v>
      </c>
      <c r="E393">
        <v>2.41E-4</v>
      </c>
      <c r="F393">
        <v>811334022</v>
      </c>
      <c r="G393">
        <v>0</v>
      </c>
      <c r="L393" t="s">
        <v>8</v>
      </c>
      <c r="M393" t="s">
        <v>7</v>
      </c>
      <c r="N393" t="s">
        <v>7</v>
      </c>
      <c r="P393">
        <f t="shared" si="974"/>
        <v>-0.33333333333333331</v>
      </c>
      <c r="Q393">
        <f t="shared" si="975"/>
        <v>-270444674</v>
      </c>
      <c r="R393">
        <f t="shared" si="976"/>
        <v>-22274032103.11924</v>
      </c>
      <c r="S393">
        <f t="shared" si="977"/>
        <v>-222740.3210311924</v>
      </c>
      <c r="T393">
        <f t="shared" si="978"/>
        <v>-222.74032103119239</v>
      </c>
    </row>
    <row r="394" spans="1:20" x14ac:dyDescent="0.25">
      <c r="A394" s="5">
        <v>44196</v>
      </c>
      <c r="B394">
        <v>2.5300000000000002E-4</v>
      </c>
      <c r="C394">
        <v>2.61E-4</v>
      </c>
      <c r="D394">
        <v>2.4399999999999999E-4</v>
      </c>
      <c r="E394">
        <v>2.4600000000000002E-4</v>
      </c>
      <c r="F394">
        <v>1170101790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-0.76470588235293879</v>
      </c>
      <c r="Q394">
        <f t="shared" si="975"/>
        <v>-894783721.76470304</v>
      </c>
      <c r="R394">
        <f t="shared" si="976"/>
        <v>-22003587429.11924</v>
      </c>
      <c r="S394">
        <f t="shared" si="977"/>
        <v>-220035.87429119239</v>
      </c>
      <c r="T394">
        <f t="shared" si="978"/>
        <v>-220.03587429119239</v>
      </c>
    </row>
    <row r="395" spans="1:20" x14ac:dyDescent="0.25">
      <c r="A395" s="5">
        <v>44195</v>
      </c>
      <c r="B395">
        <v>2.4800000000000001E-4</v>
      </c>
      <c r="C395">
        <v>2.6499999999999999E-4</v>
      </c>
      <c r="D395">
        <v>2.32E-4</v>
      </c>
      <c r="E395">
        <v>2.5099999999999998E-4</v>
      </c>
      <c r="F395">
        <v>1997578423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0.15151515151515033</v>
      </c>
      <c r="Q395">
        <f t="shared" si="975"/>
        <v>302663397.42424005</v>
      </c>
      <c r="R395">
        <f t="shared" si="976"/>
        <v>-21108803707.354538</v>
      </c>
      <c r="S395">
        <f t="shared" si="977"/>
        <v>-211088.03707354539</v>
      </c>
      <c r="T395">
        <f t="shared" si="978"/>
        <v>-211.08803707354539</v>
      </c>
    </row>
    <row r="396" spans="1:20" x14ac:dyDescent="0.25">
      <c r="A396" s="5">
        <v>44194</v>
      </c>
      <c r="B396">
        <v>2.34E-4</v>
      </c>
      <c r="C396">
        <v>2.5000000000000001E-4</v>
      </c>
      <c r="D396">
        <v>2.2800000000000001E-4</v>
      </c>
      <c r="E396">
        <v>2.4600000000000002E-4</v>
      </c>
      <c r="F396">
        <v>1932638128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0.63636363636363724</v>
      </c>
      <c r="Q396">
        <f t="shared" si="975"/>
        <v>1229860626.9090927</v>
      </c>
      <c r="R396">
        <f t="shared" si="976"/>
        <v>-21411467104.778778</v>
      </c>
      <c r="S396">
        <f t="shared" si="977"/>
        <v>-214114.67104778779</v>
      </c>
      <c r="T396">
        <f t="shared" si="978"/>
        <v>-214.11467104778779</v>
      </c>
    </row>
    <row r="397" spans="1:20" x14ac:dyDescent="0.25">
      <c r="A397" s="5">
        <v>44193</v>
      </c>
      <c r="B397">
        <v>2.3699999999999999E-4</v>
      </c>
      <c r="C397">
        <v>2.4899999999999998E-4</v>
      </c>
      <c r="D397">
        <v>2.33E-4</v>
      </c>
      <c r="E397">
        <v>2.34E-4</v>
      </c>
      <c r="F397">
        <v>1271107702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-0.87500000000000022</v>
      </c>
      <c r="Q397">
        <f t="shared" si="975"/>
        <v>-1112219239.2500002</v>
      </c>
      <c r="R397">
        <f t="shared" si="976"/>
        <v>-22641327731.68787</v>
      </c>
      <c r="S397">
        <f t="shared" si="977"/>
        <v>-226413.2773168787</v>
      </c>
      <c r="T397">
        <f t="shared" si="978"/>
        <v>-226.41327731687869</v>
      </c>
    </row>
    <row r="398" spans="1:20" x14ac:dyDescent="0.25">
      <c r="A398" s="5">
        <v>44192</v>
      </c>
      <c r="B398">
        <v>2.4499999999999999E-4</v>
      </c>
      <c r="C398">
        <v>2.4699999999999999E-4</v>
      </c>
      <c r="D398">
        <v>2.3000000000000001E-4</v>
      </c>
      <c r="E398">
        <v>2.3699999999999999E-4</v>
      </c>
      <c r="F398">
        <v>1073904204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-0.17647058823529543</v>
      </c>
      <c r="Q398">
        <f t="shared" si="975"/>
        <v>-189512506.58823672</v>
      </c>
      <c r="R398">
        <f t="shared" si="976"/>
        <v>-21529108492.43787</v>
      </c>
      <c r="S398">
        <f t="shared" si="977"/>
        <v>-215291.08492437869</v>
      </c>
      <c r="T398">
        <f t="shared" si="978"/>
        <v>-215.29108492437871</v>
      </c>
    </row>
    <row r="399" spans="1:20" x14ac:dyDescent="0.25">
      <c r="A399" s="5">
        <v>44191</v>
      </c>
      <c r="B399">
        <v>2.4699999999999999E-4</v>
      </c>
      <c r="C399">
        <v>2.5000000000000001E-4</v>
      </c>
      <c r="D399">
        <v>2.3699999999999999E-4</v>
      </c>
      <c r="E399">
        <v>2.4499999999999999E-4</v>
      </c>
      <c r="F399">
        <v>973874950</v>
      </c>
      <c r="G399">
        <v>0</v>
      </c>
      <c r="L399" t="s">
        <v>8</v>
      </c>
      <c r="M399" t="s">
        <v>7</v>
      </c>
      <c r="N399" t="s">
        <v>7</v>
      </c>
      <c r="P399">
        <f t="shared" si="974"/>
        <v>0.23076923076922981</v>
      </c>
      <c r="Q399">
        <f t="shared" si="975"/>
        <v>224740373.07692215</v>
      </c>
      <c r="R399">
        <f t="shared" si="976"/>
        <v>-21339595985.849632</v>
      </c>
      <c r="S399">
        <f t="shared" si="977"/>
        <v>-213395.95985849632</v>
      </c>
      <c r="T399">
        <f t="shared" si="978"/>
        <v>-213.39595985849633</v>
      </c>
    </row>
    <row r="400" spans="1:20" x14ac:dyDescent="0.25">
      <c r="A400" s="5">
        <v>44190</v>
      </c>
      <c r="B400">
        <v>2.5300000000000002E-4</v>
      </c>
      <c r="C400">
        <v>2.5999999999999998E-4</v>
      </c>
      <c r="D400">
        <v>2.3800000000000001E-4</v>
      </c>
      <c r="E400">
        <v>2.4600000000000002E-4</v>
      </c>
      <c r="F400">
        <v>900899640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-0.27272727272727115</v>
      </c>
      <c r="Q400">
        <f t="shared" si="975"/>
        <v>-245699901.81818041</v>
      </c>
      <c r="R400">
        <f t="shared" si="976"/>
        <v>-21564336358.926556</v>
      </c>
      <c r="S400">
        <f t="shared" si="977"/>
        <v>-215643.36358926556</v>
      </c>
      <c r="T400">
        <f t="shared" si="978"/>
        <v>-215.64336358926556</v>
      </c>
    </row>
    <row r="401" spans="1:20" x14ac:dyDescent="0.25">
      <c r="A401" s="5">
        <v>44189</v>
      </c>
      <c r="B401">
        <v>2.3900000000000001E-4</v>
      </c>
      <c r="C401">
        <v>2.5599999999999999E-4</v>
      </c>
      <c r="D401">
        <v>2.3000000000000001E-4</v>
      </c>
      <c r="E401">
        <v>2.52E-4</v>
      </c>
      <c r="F401">
        <v>1194592906</v>
      </c>
      <c r="G401">
        <v>0</v>
      </c>
      <c r="L401" t="s">
        <v>8</v>
      </c>
      <c r="M401" t="s">
        <v>7</v>
      </c>
      <c r="N401" t="s">
        <v>7</v>
      </c>
      <c r="P401">
        <f t="shared" si="974"/>
        <v>0.69230769230769296</v>
      </c>
      <c r="Q401">
        <f t="shared" si="975"/>
        <v>827025858.00000083</v>
      </c>
      <c r="R401">
        <f t="shared" si="976"/>
        <v>-21318636457.108376</v>
      </c>
      <c r="S401">
        <f t="shared" si="977"/>
        <v>-213186.36457108374</v>
      </c>
      <c r="T401">
        <f t="shared" si="978"/>
        <v>-213.18636457108374</v>
      </c>
    </row>
    <row r="402" spans="1:20" x14ac:dyDescent="0.25">
      <c r="A402" s="5">
        <v>44188</v>
      </c>
      <c r="B402">
        <v>2.7099999999999997E-4</v>
      </c>
      <c r="C402">
        <v>2.7300000000000002E-4</v>
      </c>
      <c r="D402">
        <v>2.2800000000000001E-4</v>
      </c>
      <c r="E402">
        <v>2.3699999999999999E-4</v>
      </c>
      <c r="F402">
        <v>1134088782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-0.6000000000000012</v>
      </c>
      <c r="Q402">
        <f t="shared" si="975"/>
        <v>-680453269.20000136</v>
      </c>
      <c r="R402">
        <f t="shared" si="976"/>
        <v>-22145662315.108376</v>
      </c>
      <c r="S402">
        <f t="shared" si="977"/>
        <v>-221456.62315108377</v>
      </c>
      <c r="T402">
        <f t="shared" si="978"/>
        <v>-221.45662315108376</v>
      </c>
    </row>
    <row r="403" spans="1:20" x14ac:dyDescent="0.25">
      <c r="A403" s="5">
        <v>44187</v>
      </c>
      <c r="B403">
        <v>2.7399999999999999E-4</v>
      </c>
      <c r="C403">
        <v>2.7500000000000002E-4</v>
      </c>
      <c r="D403">
        <v>2.63E-4</v>
      </c>
      <c r="E403">
        <v>2.7099999999999997E-4</v>
      </c>
      <c r="F403">
        <v>778438607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0.33333333333332732</v>
      </c>
      <c r="Q403">
        <f t="shared" si="975"/>
        <v>259479535.66666198</v>
      </c>
      <c r="R403">
        <f t="shared" si="976"/>
        <v>-21465209045.908375</v>
      </c>
      <c r="S403">
        <f t="shared" si="977"/>
        <v>-214652.09045908376</v>
      </c>
      <c r="T403">
        <f t="shared" si="978"/>
        <v>-214.65209045908375</v>
      </c>
    </row>
    <row r="404" spans="1:20" x14ac:dyDescent="0.25">
      <c r="A404" s="5">
        <v>44186</v>
      </c>
      <c r="B404">
        <v>2.7999999999999998E-4</v>
      </c>
      <c r="C404">
        <v>2.9799999999999998E-4</v>
      </c>
      <c r="D404">
        <v>2.6600000000000001E-4</v>
      </c>
      <c r="E404">
        <v>2.7399999999999999E-4</v>
      </c>
      <c r="F404">
        <v>1246264171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-0.50000000000000089</v>
      </c>
      <c r="Q404">
        <f t="shared" si="975"/>
        <v>-623132085.50000107</v>
      </c>
      <c r="R404">
        <f t="shared" si="976"/>
        <v>-21724688581.575035</v>
      </c>
      <c r="S404">
        <f t="shared" si="977"/>
        <v>-217246.88581575034</v>
      </c>
      <c r="T404">
        <f t="shared" si="978"/>
        <v>-217.24688581575035</v>
      </c>
    </row>
    <row r="405" spans="1:20" x14ac:dyDescent="0.25">
      <c r="A405" s="5">
        <v>44185</v>
      </c>
      <c r="B405">
        <v>2.7500000000000002E-4</v>
      </c>
      <c r="C405">
        <v>2.8699999999999998E-4</v>
      </c>
      <c r="D405">
        <v>2.72E-4</v>
      </c>
      <c r="E405">
        <v>2.81E-4</v>
      </c>
      <c r="F405">
        <v>855077358</v>
      </c>
      <c r="G405">
        <v>0</v>
      </c>
      <c r="L405" t="s">
        <v>8</v>
      </c>
      <c r="M405" t="s">
        <v>7</v>
      </c>
      <c r="N405" t="s">
        <v>7</v>
      </c>
      <c r="P405">
        <f t="shared" si="974"/>
        <v>0.20000000000000145</v>
      </c>
      <c r="Q405">
        <f t="shared" si="975"/>
        <v>171015471.60000125</v>
      </c>
      <c r="R405">
        <f t="shared" si="976"/>
        <v>-21101556496.075035</v>
      </c>
      <c r="S405">
        <f t="shared" si="977"/>
        <v>-211015.56496075034</v>
      </c>
      <c r="T405">
        <f t="shared" si="978"/>
        <v>-211.01556496075034</v>
      </c>
    </row>
    <row r="406" spans="1:20" x14ac:dyDescent="0.25">
      <c r="A406" s="5">
        <v>44184</v>
      </c>
      <c r="B406">
        <v>2.7700000000000001E-4</v>
      </c>
      <c r="C406">
        <v>2.8400000000000002E-4</v>
      </c>
      <c r="D406">
        <v>2.7099999999999997E-4</v>
      </c>
      <c r="E406">
        <v>2.7500000000000002E-4</v>
      </c>
      <c r="F406">
        <v>871956989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-0.38461538461538014</v>
      </c>
      <c r="Q406">
        <f t="shared" si="975"/>
        <v>-335368072.69230378</v>
      </c>
      <c r="R406">
        <f t="shared" si="976"/>
        <v>-21272571967.675037</v>
      </c>
      <c r="S406">
        <f t="shared" si="977"/>
        <v>-212725.71967675036</v>
      </c>
      <c r="T406">
        <f t="shared" si="978"/>
        <v>-212.72571967675037</v>
      </c>
    </row>
    <row r="407" spans="1:20" x14ac:dyDescent="0.25">
      <c r="A407" s="5">
        <v>44183</v>
      </c>
      <c r="B407">
        <v>2.7599999999999999E-4</v>
      </c>
      <c r="C407">
        <v>2.7900000000000001E-4</v>
      </c>
      <c r="D407">
        <v>2.7E-4</v>
      </c>
      <c r="E407">
        <v>2.7700000000000001E-4</v>
      </c>
      <c r="F407">
        <v>641191290</v>
      </c>
      <c r="G407">
        <v>0</v>
      </c>
      <c r="L407" t="s">
        <v>8</v>
      </c>
      <c r="M407" t="s">
        <v>7</v>
      </c>
      <c r="N407" t="s">
        <v>7</v>
      </c>
      <c r="P407">
        <f t="shared" si="974"/>
        <v>0.55555555555555691</v>
      </c>
      <c r="Q407">
        <f t="shared" si="975"/>
        <v>356217383.33333421</v>
      </c>
      <c r="R407">
        <f t="shared" si="976"/>
        <v>-20937203894.982735</v>
      </c>
      <c r="S407">
        <f t="shared" si="977"/>
        <v>-209372.03894982734</v>
      </c>
      <c r="T407">
        <f t="shared" si="978"/>
        <v>-209.37203894982736</v>
      </c>
    </row>
    <row r="408" spans="1:20" x14ac:dyDescent="0.25">
      <c r="A408" s="5">
        <v>44182</v>
      </c>
      <c r="B408">
        <v>2.7799999999999998E-4</v>
      </c>
      <c r="C408">
        <v>2.8800000000000001E-4</v>
      </c>
      <c r="D408">
        <v>2.7300000000000002E-4</v>
      </c>
      <c r="E408">
        <v>2.7500000000000002E-4</v>
      </c>
      <c r="F408">
        <v>1122724279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-0.73333333333333384</v>
      </c>
      <c r="Q408">
        <f t="shared" si="975"/>
        <v>-823331137.93333387</v>
      </c>
      <c r="R408">
        <f t="shared" si="976"/>
        <v>-21293421278.316071</v>
      </c>
      <c r="S408">
        <f t="shared" si="977"/>
        <v>-212934.21278316071</v>
      </c>
      <c r="T408">
        <f t="shared" si="978"/>
        <v>-212.93421278316072</v>
      </c>
    </row>
    <row r="409" spans="1:20" x14ac:dyDescent="0.25">
      <c r="A409" s="5">
        <v>44181</v>
      </c>
      <c r="B409">
        <v>2.81E-4</v>
      </c>
      <c r="C409">
        <v>2.81E-4</v>
      </c>
      <c r="D409">
        <v>2.7399999999999999E-4</v>
      </c>
      <c r="E409">
        <v>2.7799999999999998E-4</v>
      </c>
      <c r="F409">
        <v>834849129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0.14285714285713844</v>
      </c>
      <c r="Q409">
        <f t="shared" si="975"/>
        <v>119264161.28571059</v>
      </c>
      <c r="R409">
        <f t="shared" si="976"/>
        <v>-20470090140.382736</v>
      </c>
      <c r="S409">
        <f t="shared" si="977"/>
        <v>-204700.90140382736</v>
      </c>
      <c r="T409">
        <f t="shared" si="978"/>
        <v>-204.70090140382737</v>
      </c>
    </row>
    <row r="410" spans="1:20" x14ac:dyDescent="0.25">
      <c r="A410" s="5">
        <v>44180</v>
      </c>
      <c r="B410">
        <v>2.7700000000000001E-4</v>
      </c>
      <c r="C410">
        <v>2.8400000000000002E-4</v>
      </c>
      <c r="D410">
        <v>2.7599999999999999E-4</v>
      </c>
      <c r="E410">
        <v>2.7999999999999998E-4</v>
      </c>
      <c r="F410">
        <v>546932773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-6.7762635780343759E-15</v>
      </c>
      <c r="Q410">
        <f t="shared" si="975"/>
        <v>-3.7061606293132429E-6</v>
      </c>
      <c r="R410">
        <f t="shared" si="976"/>
        <v>-20589354301.668446</v>
      </c>
      <c r="S410">
        <f t="shared" si="977"/>
        <v>-205893.54301668445</v>
      </c>
      <c r="T410">
        <f t="shared" si="978"/>
        <v>-205.89354301668445</v>
      </c>
    </row>
    <row r="411" spans="1:20" x14ac:dyDescent="0.25">
      <c r="A411" s="5">
        <v>44179</v>
      </c>
      <c r="B411">
        <v>2.8299999999999999E-4</v>
      </c>
      <c r="C411">
        <v>2.8600000000000001E-4</v>
      </c>
      <c r="D411">
        <v>2.7599999999999999E-4</v>
      </c>
      <c r="E411">
        <v>2.7700000000000001E-4</v>
      </c>
      <c r="F411">
        <v>516407546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-0.79999999999999571</v>
      </c>
      <c r="Q411">
        <f t="shared" si="975"/>
        <v>-413126036.79999781</v>
      </c>
      <c r="R411">
        <f t="shared" si="976"/>
        <v>-20589354301.668442</v>
      </c>
      <c r="S411">
        <f t="shared" si="977"/>
        <v>-205893.54301668442</v>
      </c>
      <c r="T411">
        <f t="shared" si="978"/>
        <v>-205.89354301668442</v>
      </c>
    </row>
    <row r="412" spans="1:20" x14ac:dyDescent="0.25">
      <c r="A412" s="5">
        <v>44178</v>
      </c>
      <c r="B412">
        <v>2.81E-4</v>
      </c>
      <c r="C412">
        <v>2.8800000000000001E-4</v>
      </c>
      <c r="D412">
        <v>2.7599999999999999E-4</v>
      </c>
      <c r="E412">
        <v>2.8400000000000002E-4</v>
      </c>
      <c r="F412">
        <v>722257006</v>
      </c>
      <c r="G412">
        <v>0</v>
      </c>
      <c r="L412" t="s">
        <v>7</v>
      </c>
      <c r="M412" t="s">
        <v>7</v>
      </c>
      <c r="N412" t="s">
        <v>7</v>
      </c>
      <c r="P412">
        <f t="shared" si="974"/>
        <v>0.33333333333333637</v>
      </c>
      <c r="Q412">
        <f t="shared" si="975"/>
        <v>240752335.33333552</v>
      </c>
      <c r="R412">
        <f t="shared" si="976"/>
        <v>-20176228264.868443</v>
      </c>
      <c r="S412">
        <f t="shared" si="977"/>
        <v>-201762.28264868443</v>
      </c>
      <c r="T412">
        <f t="shared" si="978"/>
        <v>-201.76228264868442</v>
      </c>
    </row>
    <row r="413" spans="1:20" x14ac:dyDescent="0.25">
      <c r="A413" s="5">
        <v>44177</v>
      </c>
      <c r="B413">
        <v>2.6800000000000001E-4</v>
      </c>
      <c r="C413">
        <v>2.8699999999999998E-4</v>
      </c>
      <c r="D413">
        <v>2.6699999999999998E-4</v>
      </c>
      <c r="E413">
        <v>2.81E-4</v>
      </c>
      <c r="F413">
        <v>1062494318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0.40000000000000163</v>
      </c>
      <c r="Q413">
        <f t="shared" si="975"/>
        <v>424997727.20000172</v>
      </c>
      <c r="R413">
        <f t="shared" si="976"/>
        <v>-20416980600.201778</v>
      </c>
      <c r="S413">
        <f t="shared" si="977"/>
        <v>-204169.80600201778</v>
      </c>
      <c r="T413">
        <f t="shared" si="978"/>
        <v>-204.16980600201779</v>
      </c>
    </row>
    <row r="414" spans="1:20" x14ac:dyDescent="0.25">
      <c r="A414" s="5">
        <v>44176</v>
      </c>
      <c r="B414">
        <v>2.7599999999999999E-4</v>
      </c>
      <c r="C414">
        <v>2.7900000000000001E-4</v>
      </c>
      <c r="D414">
        <v>2.5999999999999998E-4</v>
      </c>
      <c r="E414">
        <v>2.6800000000000001E-4</v>
      </c>
      <c r="F414">
        <v>1325736581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-0.15789473684210317</v>
      </c>
      <c r="Q414">
        <f t="shared" si="975"/>
        <v>-209326828.57894459</v>
      </c>
      <c r="R414">
        <f t="shared" si="976"/>
        <v>-20841978327.401779</v>
      </c>
      <c r="S414">
        <f t="shared" si="977"/>
        <v>-208419.7832740178</v>
      </c>
      <c r="T414">
        <f t="shared" si="978"/>
        <v>-208.41978327401779</v>
      </c>
    </row>
    <row r="415" spans="1:20" x14ac:dyDescent="0.25">
      <c r="A415" s="5">
        <v>44175</v>
      </c>
      <c r="B415">
        <v>3.0800000000000001E-4</v>
      </c>
      <c r="C415">
        <v>3.1599999999999998E-4</v>
      </c>
      <c r="D415">
        <v>2.6800000000000001E-4</v>
      </c>
      <c r="E415">
        <v>2.7500000000000002E-4</v>
      </c>
      <c r="F415">
        <v>1933844900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-0.70833333333333282</v>
      </c>
      <c r="Q415">
        <f t="shared" si="975"/>
        <v>-1369806804.1666656</v>
      </c>
      <c r="R415">
        <f t="shared" si="976"/>
        <v>-20632651498.822834</v>
      </c>
      <c r="S415">
        <f t="shared" si="977"/>
        <v>-206326.51498822833</v>
      </c>
      <c r="T415">
        <f t="shared" si="978"/>
        <v>-206.32651498822833</v>
      </c>
    </row>
    <row r="416" spans="1:20" x14ac:dyDescent="0.25">
      <c r="A416" s="5">
        <v>44174</v>
      </c>
      <c r="B416">
        <v>3.2899999999999997E-4</v>
      </c>
      <c r="C416">
        <v>3.5E-4</v>
      </c>
      <c r="D416">
        <v>2.8800000000000001E-4</v>
      </c>
      <c r="E416">
        <v>3.0800000000000001E-4</v>
      </c>
      <c r="F416">
        <v>1052730276</v>
      </c>
      <c r="G416">
        <v>0</v>
      </c>
      <c r="L416" t="s">
        <v>7</v>
      </c>
      <c r="M416" t="s">
        <v>8</v>
      </c>
      <c r="N416" t="s">
        <v>7</v>
      </c>
      <c r="P416">
        <f t="shared" si="974"/>
        <v>-0.35483870967741932</v>
      </c>
      <c r="Q416">
        <f t="shared" si="975"/>
        <v>-373549452.77419353</v>
      </c>
      <c r="R416">
        <f t="shared" si="976"/>
        <v>-19262844694.65617</v>
      </c>
      <c r="S416">
        <f t="shared" si="977"/>
        <v>-192628.44694656169</v>
      </c>
      <c r="T416">
        <f t="shared" si="978"/>
        <v>-192.6284469465617</v>
      </c>
    </row>
    <row r="417" spans="1:20" x14ac:dyDescent="0.25">
      <c r="A417" s="5">
        <v>44173</v>
      </c>
      <c r="B417">
        <v>2.99E-4</v>
      </c>
      <c r="C417">
        <v>3.3E-4</v>
      </c>
      <c r="D417">
        <v>2.9500000000000001E-4</v>
      </c>
      <c r="E417">
        <v>3.2899999999999997E-4</v>
      </c>
      <c r="F417">
        <v>810942729</v>
      </c>
      <c r="G417">
        <v>0</v>
      </c>
      <c r="L417" t="s">
        <v>8</v>
      </c>
      <c r="M417" t="s">
        <v>8</v>
      </c>
      <c r="N417" t="s">
        <v>7</v>
      </c>
      <c r="P417">
        <f t="shared" si="974"/>
        <v>0.94285714285714139</v>
      </c>
      <c r="Q417">
        <f t="shared" si="975"/>
        <v>764603144.48571312</v>
      </c>
      <c r="R417">
        <f t="shared" si="976"/>
        <v>-18889295241.881977</v>
      </c>
      <c r="S417">
        <f t="shared" si="977"/>
        <v>-188892.95241881977</v>
      </c>
      <c r="T417">
        <f t="shared" si="978"/>
        <v>-188.89295241881976</v>
      </c>
    </row>
    <row r="418" spans="1:20" x14ac:dyDescent="0.25">
      <c r="A418" s="5">
        <v>44172</v>
      </c>
      <c r="B418">
        <v>2.9599999999999998E-4</v>
      </c>
      <c r="C418">
        <v>3.0699999999999998E-4</v>
      </c>
      <c r="D418">
        <v>2.92E-4</v>
      </c>
      <c r="E418">
        <v>2.99E-4</v>
      </c>
      <c r="F418">
        <v>459100074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-6.6666666666664737E-2</v>
      </c>
      <c r="Q418">
        <f t="shared" si="975"/>
        <v>-30606671.599999115</v>
      </c>
      <c r="R418">
        <f t="shared" si="976"/>
        <v>-19653898386.367691</v>
      </c>
      <c r="S418">
        <f t="shared" si="977"/>
        <v>-196538.9838636769</v>
      </c>
      <c r="T418">
        <f t="shared" si="978"/>
        <v>-196.53898386367689</v>
      </c>
    </row>
    <row r="419" spans="1:20" x14ac:dyDescent="0.25">
      <c r="A419" s="5">
        <v>44171</v>
      </c>
      <c r="B419">
        <v>2.9700000000000001E-4</v>
      </c>
      <c r="C419">
        <v>3.0400000000000002E-4</v>
      </c>
      <c r="D419">
        <v>2.9E-4</v>
      </c>
      <c r="E419">
        <v>2.9599999999999998E-4</v>
      </c>
      <c r="F419">
        <v>591397169</v>
      </c>
      <c r="G419">
        <v>0</v>
      </c>
      <c r="L419" t="s">
        <v>8</v>
      </c>
      <c r="M419" t="s">
        <v>7</v>
      </c>
      <c r="N419" t="s">
        <v>7</v>
      </c>
      <c r="P419">
        <f t="shared" si="974"/>
        <v>-0.14285714285714618</v>
      </c>
      <c r="Q419">
        <f t="shared" si="975"/>
        <v>-84485309.857144818</v>
      </c>
      <c r="R419">
        <f t="shared" si="976"/>
        <v>-19623291714.767693</v>
      </c>
      <c r="S419">
        <f t="shared" si="977"/>
        <v>-196232.91714767693</v>
      </c>
      <c r="T419">
        <f t="shared" si="978"/>
        <v>-196.23291714767691</v>
      </c>
    </row>
    <row r="420" spans="1:20" x14ac:dyDescent="0.25">
      <c r="A420" s="5">
        <v>44170</v>
      </c>
      <c r="B420">
        <v>2.8699999999999998E-4</v>
      </c>
      <c r="C420">
        <v>2.99E-4</v>
      </c>
      <c r="D420">
        <v>2.8200000000000002E-4</v>
      </c>
      <c r="E420">
        <v>2.9700000000000001E-4</v>
      </c>
      <c r="F420">
        <v>479323882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0.76470588235294157</v>
      </c>
      <c r="Q420">
        <f t="shared" si="975"/>
        <v>366541792.11764723</v>
      </c>
      <c r="R420">
        <f t="shared" si="976"/>
        <v>-19538806404.910549</v>
      </c>
      <c r="S420">
        <f t="shared" si="977"/>
        <v>-195388.06404910548</v>
      </c>
      <c r="T420">
        <f t="shared" si="978"/>
        <v>-195.38806404910548</v>
      </c>
    </row>
    <row r="421" spans="1:20" x14ac:dyDescent="0.25">
      <c r="A421" s="5">
        <v>44169</v>
      </c>
      <c r="B421">
        <v>3.0200000000000002E-4</v>
      </c>
      <c r="C421">
        <v>3.0800000000000001E-4</v>
      </c>
      <c r="D421">
        <v>2.8600000000000001E-4</v>
      </c>
      <c r="E421">
        <v>2.8699999999999998E-4</v>
      </c>
      <c r="F421">
        <v>531565243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-0.90909090909091173</v>
      </c>
      <c r="Q421">
        <f t="shared" si="975"/>
        <v>-483241130.00000137</v>
      </c>
      <c r="R421">
        <f t="shared" si="976"/>
        <v>-19905348197.028198</v>
      </c>
      <c r="S421">
        <f t="shared" si="977"/>
        <v>-199053.48197028198</v>
      </c>
      <c r="T421">
        <f t="shared" si="978"/>
        <v>-199.05348197028198</v>
      </c>
    </row>
    <row r="422" spans="1:20" x14ac:dyDescent="0.25">
      <c r="A422" s="5">
        <v>44168</v>
      </c>
      <c r="B422">
        <v>2.92E-4</v>
      </c>
      <c r="C422">
        <v>3.0499999999999999E-4</v>
      </c>
      <c r="D422">
        <v>2.9E-4</v>
      </c>
      <c r="E422">
        <v>3.01E-4</v>
      </c>
      <c r="F422">
        <v>445385295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0.46666666666666762</v>
      </c>
      <c r="Q422">
        <f t="shared" si="975"/>
        <v>207846471.00000042</v>
      </c>
      <c r="R422">
        <f t="shared" si="976"/>
        <v>-19422107067.028198</v>
      </c>
      <c r="S422">
        <f t="shared" si="977"/>
        <v>-194221.07067028197</v>
      </c>
      <c r="T422">
        <f t="shared" si="978"/>
        <v>-194.22107067028196</v>
      </c>
    </row>
    <row r="423" spans="1:20" x14ac:dyDescent="0.25">
      <c r="A423" s="5">
        <v>44167</v>
      </c>
      <c r="B423">
        <v>2.8699999999999998E-4</v>
      </c>
      <c r="C423">
        <v>2.9399999999999999E-4</v>
      </c>
      <c r="D423">
        <v>2.8499999999999999E-4</v>
      </c>
      <c r="E423">
        <v>2.92E-4</v>
      </c>
      <c r="F423">
        <v>407961957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0.55555555555555691</v>
      </c>
      <c r="Q423">
        <f t="shared" si="975"/>
        <v>226645531.66666722</v>
      </c>
      <c r="R423">
        <f t="shared" si="976"/>
        <v>-19629953538.028198</v>
      </c>
      <c r="S423">
        <f t="shared" si="977"/>
        <v>-196299.53538028197</v>
      </c>
      <c r="T423">
        <f t="shared" si="978"/>
        <v>-196.29953538028198</v>
      </c>
    </row>
    <row r="424" spans="1:20" x14ac:dyDescent="0.25">
      <c r="A424" s="5">
        <v>44166</v>
      </c>
      <c r="B424">
        <v>2.9500000000000001E-4</v>
      </c>
      <c r="C424">
        <v>3.01E-4</v>
      </c>
      <c r="D424">
        <v>2.81E-4</v>
      </c>
      <c r="E424">
        <v>2.8800000000000001E-4</v>
      </c>
      <c r="F424">
        <v>763202671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-0.29999999999999921</v>
      </c>
      <c r="Q424">
        <f t="shared" si="975"/>
        <v>-228960801.29999939</v>
      </c>
      <c r="R424">
        <f t="shared" si="976"/>
        <v>-19856599069.694866</v>
      </c>
      <c r="S424">
        <f t="shared" si="977"/>
        <v>-198565.99069694866</v>
      </c>
      <c r="T424">
        <f t="shared" si="978"/>
        <v>-198.56599069694866</v>
      </c>
    </row>
    <row r="425" spans="1:20" x14ac:dyDescent="0.25">
      <c r="A425" s="5">
        <v>44165</v>
      </c>
      <c r="B425">
        <v>2.9E-4</v>
      </c>
      <c r="C425">
        <v>2.9799999999999998E-4</v>
      </c>
      <c r="D425">
        <v>2.81E-4</v>
      </c>
      <c r="E425">
        <v>2.9500000000000001E-4</v>
      </c>
      <c r="F425">
        <v>583842978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0.64705882352941546</v>
      </c>
      <c r="Q425">
        <f t="shared" si="975"/>
        <v>377780750.47059041</v>
      </c>
      <c r="R425">
        <f t="shared" si="976"/>
        <v>-19627638268.394867</v>
      </c>
      <c r="S425">
        <f t="shared" si="977"/>
        <v>-196276.38268394867</v>
      </c>
      <c r="T425">
        <f t="shared" si="978"/>
        <v>-196.27638268394867</v>
      </c>
    </row>
    <row r="426" spans="1:20" x14ac:dyDescent="0.25">
      <c r="A426" s="5">
        <v>44164</v>
      </c>
      <c r="B426">
        <v>2.92E-4</v>
      </c>
      <c r="C426">
        <v>3.0299999999999999E-4</v>
      </c>
      <c r="D426">
        <v>2.8299999999999999E-4</v>
      </c>
      <c r="E426">
        <v>2.9E-4</v>
      </c>
      <c r="F426">
        <v>495876432</v>
      </c>
      <c r="G426">
        <v>0</v>
      </c>
      <c r="L426" t="s">
        <v>7</v>
      </c>
      <c r="M426" t="s">
        <v>7</v>
      </c>
      <c r="N426" t="s">
        <v>7</v>
      </c>
      <c r="P426">
        <f t="shared" si="974"/>
        <v>-0.29999999999999921</v>
      </c>
      <c r="Q426">
        <f t="shared" si="975"/>
        <v>-148762929.59999961</v>
      </c>
      <c r="R426">
        <f t="shared" si="976"/>
        <v>-20005419018.865456</v>
      </c>
      <c r="S426">
        <f t="shared" si="977"/>
        <v>-200054.19018865455</v>
      </c>
      <c r="T426">
        <f t="shared" si="978"/>
        <v>-200.05419018865456</v>
      </c>
    </row>
    <row r="427" spans="1:20" x14ac:dyDescent="0.25">
      <c r="A427" s="5">
        <v>44163</v>
      </c>
      <c r="B427">
        <v>2.8499999999999999E-4</v>
      </c>
      <c r="C427">
        <v>2.9399999999999999E-4</v>
      </c>
      <c r="D427">
        <v>2.7300000000000002E-4</v>
      </c>
      <c r="E427">
        <v>2.92E-4</v>
      </c>
      <c r="F427">
        <v>461176457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0.80952380952380976</v>
      </c>
      <c r="Q427">
        <f t="shared" si="975"/>
        <v>373333322.33333343</v>
      </c>
      <c r="R427">
        <f t="shared" si="976"/>
        <v>-19856656089.265457</v>
      </c>
      <c r="S427">
        <f t="shared" si="977"/>
        <v>-198566.56089265458</v>
      </c>
      <c r="T427">
        <f t="shared" si="978"/>
        <v>-198.56656089265459</v>
      </c>
    </row>
    <row r="428" spans="1:20" x14ac:dyDescent="0.25">
      <c r="A428" s="5">
        <v>44162</v>
      </c>
      <c r="B428">
        <v>2.8600000000000001E-4</v>
      </c>
      <c r="C428">
        <v>2.8800000000000001E-4</v>
      </c>
      <c r="D428">
        <v>2.7399999999999999E-4</v>
      </c>
      <c r="E428">
        <v>2.8499999999999999E-4</v>
      </c>
      <c r="F428">
        <v>495710869</v>
      </c>
      <c r="G428">
        <v>0</v>
      </c>
      <c r="L428" t="s">
        <v>7</v>
      </c>
      <c r="M428" t="s">
        <v>7</v>
      </c>
      <c r="N428" t="s">
        <v>7</v>
      </c>
      <c r="P428">
        <f t="shared" si="974"/>
        <v>0.57142857142856918</v>
      </c>
      <c r="Q428">
        <f t="shared" si="975"/>
        <v>283263353.7142846</v>
      </c>
      <c r="R428">
        <f t="shared" si="976"/>
        <v>-20229989411.598789</v>
      </c>
      <c r="S428">
        <f t="shared" si="977"/>
        <v>-202299.8941159879</v>
      </c>
      <c r="T428">
        <f t="shared" si="978"/>
        <v>-202.29989411598791</v>
      </c>
    </row>
    <row r="429" spans="1:20" x14ac:dyDescent="0.25">
      <c r="A429" s="5">
        <v>44161</v>
      </c>
      <c r="B429">
        <v>3.19E-4</v>
      </c>
      <c r="C429">
        <v>3.3E-4</v>
      </c>
      <c r="D429">
        <v>2.6600000000000001E-4</v>
      </c>
      <c r="E429">
        <v>2.8600000000000001E-4</v>
      </c>
      <c r="F429">
        <v>1143776494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-0.37499999999999989</v>
      </c>
      <c r="Q429">
        <f t="shared" si="975"/>
        <v>-428916185.24999988</v>
      </c>
      <c r="R429">
        <f t="shared" si="976"/>
        <v>-20513252765.313072</v>
      </c>
      <c r="S429">
        <f t="shared" si="977"/>
        <v>-205132.52765313073</v>
      </c>
      <c r="T429">
        <f t="shared" si="978"/>
        <v>-205.13252765313072</v>
      </c>
    </row>
    <row r="430" spans="1:20" x14ac:dyDescent="0.25">
      <c r="A430" s="5">
        <v>44160</v>
      </c>
      <c r="B430">
        <v>3.28E-4</v>
      </c>
      <c r="C430">
        <v>3.7300000000000001E-4</v>
      </c>
      <c r="D430">
        <v>3.1799999999999998E-4</v>
      </c>
      <c r="E430">
        <v>3.19E-4</v>
      </c>
      <c r="F430">
        <v>1608563131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-0.96363636363636274</v>
      </c>
      <c r="Q430">
        <f t="shared" si="975"/>
        <v>-1550069926.2363622</v>
      </c>
      <c r="R430">
        <f t="shared" si="976"/>
        <v>-20084336580.063072</v>
      </c>
      <c r="S430">
        <f t="shared" si="977"/>
        <v>-200843.36580063071</v>
      </c>
      <c r="T430">
        <f t="shared" si="978"/>
        <v>-200.84336580063072</v>
      </c>
    </row>
    <row r="431" spans="1:20" x14ac:dyDescent="0.25">
      <c r="A431" s="5">
        <v>44159</v>
      </c>
      <c r="B431">
        <v>3.0200000000000002E-4</v>
      </c>
      <c r="C431">
        <v>3.3199999999999999E-4</v>
      </c>
      <c r="D431">
        <v>3.01E-4</v>
      </c>
      <c r="E431">
        <v>3.28E-4</v>
      </c>
      <c r="F431">
        <v>1256072489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0.74193548387096842</v>
      </c>
      <c r="Q431">
        <f t="shared" si="975"/>
        <v>931924749.90322661</v>
      </c>
      <c r="R431">
        <f t="shared" si="976"/>
        <v>-18534266653.82671</v>
      </c>
      <c r="S431">
        <f t="shared" si="977"/>
        <v>-185342.66653826711</v>
      </c>
      <c r="T431">
        <f t="shared" si="978"/>
        <v>-185.34266653826711</v>
      </c>
    </row>
    <row r="432" spans="1:20" x14ac:dyDescent="0.25">
      <c r="A432" s="5">
        <v>44158</v>
      </c>
      <c r="B432">
        <v>2.9999999999999997E-4</v>
      </c>
      <c r="C432">
        <v>3.0899999999999998E-4</v>
      </c>
      <c r="D432">
        <v>2.9100000000000003E-4</v>
      </c>
      <c r="E432">
        <v>3.0200000000000002E-4</v>
      </c>
      <c r="F432">
        <v>646032331</v>
      </c>
      <c r="G432">
        <v>0</v>
      </c>
      <c r="L432" t="s">
        <v>7</v>
      </c>
      <c r="M432" t="s">
        <v>8</v>
      </c>
      <c r="N432" t="s">
        <v>7</v>
      </c>
      <c r="P432">
        <f t="shared" si="974"/>
        <v>0.22222222222222524</v>
      </c>
      <c r="Q432">
        <f t="shared" si="975"/>
        <v>143562740.22222418</v>
      </c>
      <c r="R432">
        <f t="shared" si="976"/>
        <v>-19466191403.729935</v>
      </c>
      <c r="S432">
        <f t="shared" si="977"/>
        <v>-194661.91403729934</v>
      </c>
      <c r="T432">
        <f t="shared" si="978"/>
        <v>-194.66191403729934</v>
      </c>
    </row>
    <row r="433" spans="1:20" x14ac:dyDescent="0.25">
      <c r="A433" s="5">
        <v>44157</v>
      </c>
      <c r="B433">
        <v>3.0699999999999998E-4</v>
      </c>
      <c r="C433">
        <v>3.0800000000000001E-4</v>
      </c>
      <c r="D433">
        <v>2.92E-4</v>
      </c>
      <c r="E433">
        <v>2.9999999999999997E-4</v>
      </c>
      <c r="F433">
        <v>500188383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-3.3881317890171994E-15</v>
      </c>
      <c r="Q433">
        <f t="shared" si="975"/>
        <v>-1.69470416093941E-6</v>
      </c>
      <c r="R433">
        <f t="shared" si="976"/>
        <v>-19609754143.95216</v>
      </c>
      <c r="S433">
        <f t="shared" si="977"/>
        <v>-196097.54143952159</v>
      </c>
      <c r="T433">
        <f t="shared" si="978"/>
        <v>-196.09754143952159</v>
      </c>
    </row>
    <row r="434" spans="1:20" x14ac:dyDescent="0.25">
      <c r="A434" s="5">
        <v>44156</v>
      </c>
      <c r="B434">
        <v>2.8499999999999999E-4</v>
      </c>
      <c r="C434">
        <v>3.0899999999999998E-4</v>
      </c>
      <c r="D434">
        <v>2.8200000000000002E-4</v>
      </c>
      <c r="E434">
        <v>3.0800000000000001E-4</v>
      </c>
      <c r="F434">
        <v>668905604</v>
      </c>
      <c r="G434">
        <v>0</v>
      </c>
      <c r="L434" t="s">
        <v>7</v>
      </c>
      <c r="M434" t="s">
        <v>8</v>
      </c>
      <c r="N434" t="s">
        <v>7</v>
      </c>
      <c r="P434">
        <f t="shared" si="974"/>
        <v>0.92592592592592804</v>
      </c>
      <c r="Q434">
        <f t="shared" si="975"/>
        <v>619357040.74074221</v>
      </c>
      <c r="R434">
        <f t="shared" si="976"/>
        <v>-19609754143.95216</v>
      </c>
      <c r="S434">
        <f t="shared" si="977"/>
        <v>-196097.54143952159</v>
      </c>
      <c r="T434">
        <f t="shared" si="978"/>
        <v>-196.09754143952159</v>
      </c>
    </row>
    <row r="435" spans="1:20" x14ac:dyDescent="0.25">
      <c r="A435" s="5">
        <v>44155</v>
      </c>
      <c r="B435">
        <v>2.7399999999999999E-4</v>
      </c>
      <c r="C435">
        <v>2.99E-4</v>
      </c>
      <c r="D435">
        <v>2.7E-4</v>
      </c>
      <c r="E435">
        <v>2.8499999999999999E-4</v>
      </c>
      <c r="F435">
        <v>726126423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3.4482758620688621E-2</v>
      </c>
      <c r="Q435">
        <f t="shared" si="975"/>
        <v>25038842.172413044</v>
      </c>
      <c r="R435">
        <f t="shared" si="976"/>
        <v>-20229111184.692902</v>
      </c>
      <c r="S435">
        <f t="shared" si="977"/>
        <v>-202291.11184692901</v>
      </c>
      <c r="T435">
        <f t="shared" si="978"/>
        <v>-202.291111846929</v>
      </c>
    </row>
    <row r="436" spans="1:20" x14ac:dyDescent="0.25">
      <c r="A436" s="5">
        <v>44154</v>
      </c>
      <c r="B436">
        <v>2.7500000000000002E-4</v>
      </c>
      <c r="C436">
        <v>2.8299999999999999E-4</v>
      </c>
      <c r="D436">
        <v>2.72E-4</v>
      </c>
      <c r="E436">
        <v>2.7500000000000002E-4</v>
      </c>
      <c r="F436">
        <v>407221024</v>
      </c>
      <c r="G436">
        <v>0</v>
      </c>
      <c r="L436" t="s">
        <v>7</v>
      </c>
      <c r="M436" t="s">
        <v>8</v>
      </c>
      <c r="N436" t="s">
        <v>7</v>
      </c>
      <c r="P436">
        <f t="shared" si="974"/>
        <v>-0.45454545454545098</v>
      </c>
      <c r="Q436">
        <f t="shared" si="975"/>
        <v>-185100465.45454401</v>
      </c>
      <c r="R436">
        <f t="shared" si="976"/>
        <v>-20254150026.865314</v>
      </c>
      <c r="S436">
        <f t="shared" si="977"/>
        <v>-202541.50026865315</v>
      </c>
      <c r="T436">
        <f t="shared" si="978"/>
        <v>-202.54150026865315</v>
      </c>
    </row>
    <row r="437" spans="1:20" x14ac:dyDescent="0.25">
      <c r="A437" s="5">
        <v>44153</v>
      </c>
      <c r="B437">
        <v>2.6800000000000001E-4</v>
      </c>
      <c r="C437">
        <v>2.7799999999999998E-4</v>
      </c>
      <c r="D437">
        <v>2.6499999999999999E-4</v>
      </c>
      <c r="E437">
        <v>2.7500000000000002E-4</v>
      </c>
      <c r="F437">
        <v>487687656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0.53846153846154354</v>
      </c>
      <c r="Q437">
        <f t="shared" si="975"/>
        <v>262601045.53846401</v>
      </c>
      <c r="R437">
        <f t="shared" si="976"/>
        <v>-20069049561.41077</v>
      </c>
      <c r="S437">
        <f t="shared" si="977"/>
        <v>-200690.4956141077</v>
      </c>
      <c r="T437">
        <f t="shared" si="978"/>
        <v>-200.6904956141077</v>
      </c>
    </row>
    <row r="438" spans="1:20" x14ac:dyDescent="0.25">
      <c r="A438" s="5">
        <v>44152</v>
      </c>
      <c r="B438">
        <v>2.7099999999999997E-4</v>
      </c>
      <c r="C438">
        <v>2.72E-4</v>
      </c>
      <c r="D438">
        <v>2.6699999999999998E-4</v>
      </c>
      <c r="E438">
        <v>2.6899999999999998E-4</v>
      </c>
      <c r="F438">
        <v>454667174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-0.20000000000000434</v>
      </c>
      <c r="Q438">
        <f t="shared" si="975"/>
        <v>-90933434.800001979</v>
      </c>
      <c r="R438">
        <f t="shared" si="976"/>
        <v>-20331650606.949234</v>
      </c>
      <c r="S438">
        <f t="shared" si="977"/>
        <v>-203316.50606949234</v>
      </c>
      <c r="T438">
        <f t="shared" si="978"/>
        <v>-203.31650606949233</v>
      </c>
    </row>
    <row r="439" spans="1:20" x14ac:dyDescent="0.25">
      <c r="A439" s="5">
        <v>44151</v>
      </c>
      <c r="B439">
        <v>2.6600000000000001E-4</v>
      </c>
      <c r="C439">
        <v>2.7599999999999999E-4</v>
      </c>
      <c r="D439">
        <v>2.6400000000000002E-4</v>
      </c>
      <c r="E439">
        <v>2.7099999999999997E-4</v>
      </c>
      <c r="F439">
        <v>622201017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0.16666666666666216</v>
      </c>
      <c r="Q439">
        <f t="shared" si="975"/>
        <v>103700169.4999972</v>
      </c>
      <c r="R439">
        <f t="shared" si="976"/>
        <v>-20240717172.149231</v>
      </c>
      <c r="S439">
        <f t="shared" si="977"/>
        <v>-202407.17172149231</v>
      </c>
      <c r="T439">
        <f t="shared" si="978"/>
        <v>-202.40717172149232</v>
      </c>
    </row>
    <row r="440" spans="1:20" x14ac:dyDescent="0.25">
      <c r="A440" s="5">
        <v>44150</v>
      </c>
      <c r="B440">
        <v>2.7E-4</v>
      </c>
      <c r="C440">
        <v>2.7500000000000002E-4</v>
      </c>
      <c r="D440">
        <v>2.63E-4</v>
      </c>
      <c r="E440">
        <v>2.6699999999999998E-4</v>
      </c>
      <c r="F440">
        <v>602383734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-0.33333333333333637</v>
      </c>
      <c r="Q440">
        <f t="shared" si="975"/>
        <v>-200794578.00000182</v>
      </c>
      <c r="R440">
        <f t="shared" si="976"/>
        <v>-20344417341.649227</v>
      </c>
      <c r="S440">
        <f t="shared" si="977"/>
        <v>-203444.17341649227</v>
      </c>
      <c r="T440">
        <f t="shared" si="978"/>
        <v>-203.44417341649228</v>
      </c>
    </row>
    <row r="441" spans="1:20" x14ac:dyDescent="0.25">
      <c r="A441" s="5">
        <v>44149</v>
      </c>
      <c r="B441">
        <v>2.8299999999999999E-4</v>
      </c>
      <c r="C441">
        <v>2.8499999999999999E-4</v>
      </c>
      <c r="D441">
        <v>2.6699999999999998E-4</v>
      </c>
      <c r="E441">
        <v>2.7099999999999997E-4</v>
      </c>
      <c r="F441">
        <v>534213461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-0.55555555555555691</v>
      </c>
      <c r="Q441">
        <f t="shared" si="975"/>
        <v>-296785256.11111182</v>
      </c>
      <c r="R441">
        <f t="shared" si="976"/>
        <v>-20143622763.649227</v>
      </c>
      <c r="S441">
        <f t="shared" si="977"/>
        <v>-201436.22763649226</v>
      </c>
      <c r="T441">
        <f t="shared" si="978"/>
        <v>-201.43622763649225</v>
      </c>
    </row>
    <row r="442" spans="1:20" x14ac:dyDescent="0.25">
      <c r="A442" s="5">
        <v>44148</v>
      </c>
      <c r="B442">
        <v>2.7599999999999999E-4</v>
      </c>
      <c r="C442">
        <v>2.8600000000000001E-4</v>
      </c>
      <c r="D442">
        <v>2.7399999999999999E-4</v>
      </c>
      <c r="E442">
        <v>2.8299999999999999E-4</v>
      </c>
      <c r="F442">
        <v>513686448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0.49999999999999772</v>
      </c>
      <c r="Q442">
        <f t="shared" si="975"/>
        <v>256843223.99999884</v>
      </c>
      <c r="R442">
        <f t="shared" si="976"/>
        <v>-19846837507.538116</v>
      </c>
      <c r="S442">
        <f t="shared" si="977"/>
        <v>-198468.37507538116</v>
      </c>
      <c r="T442">
        <f t="shared" si="978"/>
        <v>-198.46837507538118</v>
      </c>
    </row>
    <row r="443" spans="1:20" x14ac:dyDescent="0.25">
      <c r="A443" s="5">
        <v>44147</v>
      </c>
      <c r="B443">
        <v>2.7700000000000001E-4</v>
      </c>
      <c r="C443">
        <v>2.8400000000000002E-4</v>
      </c>
      <c r="D443">
        <v>2.7300000000000002E-4</v>
      </c>
      <c r="E443">
        <v>2.7599999999999999E-4</v>
      </c>
      <c r="F443">
        <v>672847671</v>
      </c>
      <c r="G443">
        <v>0</v>
      </c>
      <c r="L443" t="s">
        <v>8</v>
      </c>
      <c r="M443" t="s">
        <v>8</v>
      </c>
      <c r="N443" t="s">
        <v>7</v>
      </c>
      <c r="P443">
        <f t="shared" si="974"/>
        <v>-0.4545454545454608</v>
      </c>
      <c r="Q443">
        <f t="shared" si="975"/>
        <v>-305839850.45454967</v>
      </c>
      <c r="R443">
        <f t="shared" si="976"/>
        <v>-20103680731.538116</v>
      </c>
      <c r="S443">
        <f t="shared" si="977"/>
        <v>-201036.80731538116</v>
      </c>
      <c r="T443">
        <f t="shared" si="978"/>
        <v>-201.03680731538117</v>
      </c>
    </row>
    <row r="444" spans="1:20" x14ac:dyDescent="0.25">
      <c r="A444" s="5">
        <v>44146</v>
      </c>
      <c r="B444">
        <v>2.8699999999999998E-4</v>
      </c>
      <c r="C444">
        <v>2.8899999999999998E-4</v>
      </c>
      <c r="D444">
        <v>2.7500000000000002E-4</v>
      </c>
      <c r="E444">
        <v>2.7700000000000001E-4</v>
      </c>
      <c r="F444">
        <v>724420873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-0.7142857142857143</v>
      </c>
      <c r="Q444">
        <f t="shared" si="975"/>
        <v>-517443480.71428573</v>
      </c>
      <c r="R444">
        <f t="shared" si="976"/>
        <v>-19797840881.083569</v>
      </c>
      <c r="S444">
        <f t="shared" si="977"/>
        <v>-197978.40881083568</v>
      </c>
      <c r="T444">
        <f t="shared" si="978"/>
        <v>-197.97840881083567</v>
      </c>
    </row>
    <row r="445" spans="1:20" x14ac:dyDescent="0.25">
      <c r="A445" s="5">
        <v>44145</v>
      </c>
      <c r="B445">
        <v>2.7599999999999999E-4</v>
      </c>
      <c r="C445">
        <v>2.8699999999999998E-4</v>
      </c>
      <c r="D445">
        <v>2.7500000000000002E-4</v>
      </c>
      <c r="E445">
        <v>2.8600000000000001E-4</v>
      </c>
      <c r="F445">
        <v>757962874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0.83333333333333781</v>
      </c>
      <c r="Q445">
        <f t="shared" si="975"/>
        <v>631635728.33333671</v>
      </c>
      <c r="R445">
        <f t="shared" si="976"/>
        <v>-19280397400.369282</v>
      </c>
      <c r="S445">
        <f t="shared" si="977"/>
        <v>-192803.97400369283</v>
      </c>
      <c r="T445">
        <f t="shared" si="978"/>
        <v>-192.80397400369282</v>
      </c>
    </row>
    <row r="446" spans="1:20" x14ac:dyDescent="0.25">
      <c r="A446" s="5">
        <v>44144</v>
      </c>
      <c r="B446">
        <v>2.8800000000000001E-4</v>
      </c>
      <c r="C446">
        <v>2.9599999999999998E-4</v>
      </c>
      <c r="D446">
        <v>2.72E-4</v>
      </c>
      <c r="E446">
        <v>2.7399999999999999E-4</v>
      </c>
      <c r="F446">
        <v>899847675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-0.8333333333333337</v>
      </c>
      <c r="Q446">
        <f t="shared" si="975"/>
        <v>-749873062.50000036</v>
      </c>
      <c r="R446">
        <f t="shared" si="976"/>
        <v>-19912033128.702618</v>
      </c>
      <c r="S446">
        <f t="shared" si="977"/>
        <v>-199120.33128702617</v>
      </c>
      <c r="T446">
        <f t="shared" si="978"/>
        <v>-199.12033128702618</v>
      </c>
    </row>
    <row r="447" spans="1:20" x14ac:dyDescent="0.25">
      <c r="A447" s="5">
        <v>44143</v>
      </c>
      <c r="B447">
        <v>2.8299999999999999E-4</v>
      </c>
      <c r="C447">
        <v>2.9500000000000001E-4</v>
      </c>
      <c r="D447">
        <v>2.7999999999999998E-4</v>
      </c>
      <c r="E447">
        <v>2.8800000000000001E-4</v>
      </c>
      <c r="F447">
        <v>535138775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6.6666666666668109E-2</v>
      </c>
      <c r="Q447">
        <f t="shared" si="975"/>
        <v>35675918.333334103</v>
      </c>
      <c r="R447">
        <f t="shared" si="976"/>
        <v>-19162160066.202618</v>
      </c>
      <c r="S447">
        <f t="shared" si="977"/>
        <v>-191621.60066202618</v>
      </c>
      <c r="T447">
        <f t="shared" si="978"/>
        <v>-191.62160066202617</v>
      </c>
    </row>
    <row r="448" spans="1:20" x14ac:dyDescent="0.25">
      <c r="A448" s="5">
        <v>44142</v>
      </c>
      <c r="B448">
        <v>2.8899999999999998E-4</v>
      </c>
      <c r="C448">
        <v>2.99E-4</v>
      </c>
      <c r="D448">
        <v>2.7399999999999999E-4</v>
      </c>
      <c r="E448">
        <v>2.8499999999999999E-4</v>
      </c>
      <c r="F448">
        <v>816643782</v>
      </c>
      <c r="G448">
        <v>0</v>
      </c>
      <c r="L448" t="s">
        <v>7</v>
      </c>
      <c r="M448" t="s">
        <v>8</v>
      </c>
      <c r="N448" t="s">
        <v>7</v>
      </c>
      <c r="P448">
        <f t="shared" si="974"/>
        <v>-0.12000000000000069</v>
      </c>
      <c r="Q448">
        <f t="shared" si="975"/>
        <v>-97997253.84000057</v>
      </c>
      <c r="R448">
        <f t="shared" si="976"/>
        <v>-19197835984.535954</v>
      </c>
      <c r="S448">
        <f t="shared" si="977"/>
        <v>-191978.35984535955</v>
      </c>
      <c r="T448">
        <f t="shared" si="978"/>
        <v>-191.97835984535953</v>
      </c>
    </row>
    <row r="449" spans="1:20" x14ac:dyDescent="0.25">
      <c r="A449" s="5">
        <v>44141</v>
      </c>
      <c r="B449">
        <v>2.8699999999999998E-4</v>
      </c>
      <c r="C449">
        <v>3.0600000000000001E-4</v>
      </c>
      <c r="D449">
        <v>2.7999999999999998E-4</v>
      </c>
      <c r="E449">
        <v>2.9E-4</v>
      </c>
      <c r="F449">
        <v>751494014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-0.23076923076922981</v>
      </c>
      <c r="Q449">
        <f t="shared" si="975"/>
        <v>-173421695.53846082</v>
      </c>
      <c r="R449">
        <f t="shared" si="976"/>
        <v>-19099838730.695953</v>
      </c>
      <c r="S449">
        <f t="shared" si="977"/>
        <v>-190998.38730695954</v>
      </c>
      <c r="T449">
        <f t="shared" si="978"/>
        <v>-190.99838730695953</v>
      </c>
    </row>
    <row r="450" spans="1:20" x14ac:dyDescent="0.25">
      <c r="A450" s="5">
        <v>44140</v>
      </c>
      <c r="B450">
        <v>2.6899999999999998E-4</v>
      </c>
      <c r="C450">
        <v>3.0299999999999999E-4</v>
      </c>
      <c r="D450">
        <v>2.6800000000000001E-4</v>
      </c>
      <c r="E450">
        <v>2.8699999999999998E-4</v>
      </c>
      <c r="F450">
        <v>780639879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8.5714285714284744E-2</v>
      </c>
      <c r="Q450">
        <f t="shared" si="975"/>
        <v>66911989.628570668</v>
      </c>
      <c r="R450">
        <f t="shared" si="976"/>
        <v>-18926417035.157494</v>
      </c>
      <c r="S450">
        <f t="shared" si="977"/>
        <v>-189264.17035157493</v>
      </c>
      <c r="T450">
        <f t="shared" si="978"/>
        <v>-189.26417035157493</v>
      </c>
    </row>
    <row r="451" spans="1:20" x14ac:dyDescent="0.25">
      <c r="A451" s="5">
        <v>44139</v>
      </c>
      <c r="B451">
        <v>2.6200000000000003E-4</v>
      </c>
      <c r="C451">
        <v>2.7300000000000002E-4</v>
      </c>
      <c r="D451">
        <v>2.5999999999999998E-4</v>
      </c>
      <c r="E451">
        <v>2.6899999999999998E-4</v>
      </c>
      <c r="F451">
        <v>258086901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0.38461538461538014</v>
      </c>
      <c r="Q451">
        <f t="shared" si="975"/>
        <v>99264192.692306533</v>
      </c>
      <c r="R451">
        <f t="shared" si="976"/>
        <v>-18993329024.786064</v>
      </c>
      <c r="S451">
        <f t="shared" si="977"/>
        <v>-189933.29024786066</v>
      </c>
      <c r="T451">
        <f t="shared" si="978"/>
        <v>-189.93329024786067</v>
      </c>
    </row>
    <row r="452" spans="1:20" x14ac:dyDescent="0.25">
      <c r="A452" s="5">
        <v>44138</v>
      </c>
      <c r="B452">
        <v>2.6800000000000001E-4</v>
      </c>
      <c r="C452">
        <v>2.72E-4</v>
      </c>
      <c r="D452">
        <v>2.5599999999999999E-4</v>
      </c>
      <c r="E452">
        <v>2.6200000000000003E-4</v>
      </c>
      <c r="F452">
        <v>411699345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-0.24999999999999575</v>
      </c>
      <c r="Q452">
        <f t="shared" si="975"/>
        <v>-102924836.24999826</v>
      </c>
      <c r="R452">
        <f t="shared" si="976"/>
        <v>-19092593217.478371</v>
      </c>
      <c r="S452">
        <f t="shared" si="977"/>
        <v>-190925.93217478369</v>
      </c>
      <c r="T452">
        <f t="shared" si="978"/>
        <v>-190.9259321747837</v>
      </c>
    </row>
    <row r="453" spans="1:20" x14ac:dyDescent="0.25">
      <c r="A453" s="5">
        <v>44137</v>
      </c>
      <c r="B453">
        <v>2.72E-4</v>
      </c>
      <c r="C453">
        <v>2.7599999999999999E-4</v>
      </c>
      <c r="D453">
        <v>2.6600000000000001E-4</v>
      </c>
      <c r="E453">
        <v>2.6899999999999998E-4</v>
      </c>
      <c r="F453">
        <v>229695409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-0.40000000000000541</v>
      </c>
      <c r="Q453">
        <f t="shared" si="975"/>
        <v>-91878163.600001246</v>
      </c>
      <c r="R453">
        <f t="shared" si="976"/>
        <v>-18989668381.228371</v>
      </c>
      <c r="S453">
        <f t="shared" si="977"/>
        <v>-189896.68381228371</v>
      </c>
      <c r="T453">
        <f t="shared" si="978"/>
        <v>-189.8966838122837</v>
      </c>
    </row>
    <row r="454" spans="1:20" x14ac:dyDescent="0.25">
      <c r="A454" s="5">
        <v>44136</v>
      </c>
      <c r="B454">
        <v>2.72E-4</v>
      </c>
      <c r="C454">
        <v>2.7599999999999999E-4</v>
      </c>
      <c r="D454">
        <v>2.6800000000000001E-4</v>
      </c>
      <c r="E454">
        <v>2.7099999999999997E-4</v>
      </c>
      <c r="F454">
        <v>81054155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-0.25000000000000677</v>
      </c>
      <c r="Q454">
        <f t="shared" ref="Q454:Q517" si="980">F454*P454</f>
        <v>-20263538.750000548</v>
      </c>
      <c r="R454">
        <f t="shared" ref="R454:R517" si="981">R455+Q454</f>
        <v>-18897790217.628368</v>
      </c>
      <c r="S454">
        <f t="shared" ref="S454:S517" si="982">R454/100000</f>
        <v>-188977.90217628368</v>
      </c>
      <c r="T454">
        <f t="shared" ref="T454:T517" si="983">S454/1000</f>
        <v>-188.97790217628369</v>
      </c>
    </row>
    <row r="455" spans="1:20" x14ac:dyDescent="0.25">
      <c r="A455" s="5">
        <v>44135</v>
      </c>
      <c r="B455">
        <v>2.7099999999999997E-4</v>
      </c>
      <c r="C455">
        <v>2.7500000000000002E-4</v>
      </c>
      <c r="D455">
        <v>2.6800000000000001E-4</v>
      </c>
      <c r="E455">
        <v>2.7099999999999997E-4</v>
      </c>
      <c r="F455">
        <v>81909439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-0.14285714285715392</v>
      </c>
      <c r="Q455">
        <f t="shared" si="980"/>
        <v>-11701348.428572334</v>
      </c>
      <c r="R455">
        <f t="shared" si="981"/>
        <v>-18877526678.878368</v>
      </c>
      <c r="S455">
        <f t="shared" si="982"/>
        <v>-188775.26678878369</v>
      </c>
      <c r="T455">
        <f t="shared" si="983"/>
        <v>-188.77526678878368</v>
      </c>
    </row>
    <row r="456" spans="1:20" x14ac:dyDescent="0.25">
      <c r="A456" s="5">
        <v>44134</v>
      </c>
      <c r="B456">
        <v>2.72E-4</v>
      </c>
      <c r="C456">
        <v>2.7700000000000001E-4</v>
      </c>
      <c r="D456">
        <v>2.6400000000000002E-4</v>
      </c>
      <c r="E456">
        <v>2.7E-4</v>
      </c>
      <c r="F456">
        <v>215805898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-7.6923076923078842E-2</v>
      </c>
      <c r="Q456">
        <f t="shared" si="980"/>
        <v>-16600453.692308107</v>
      </c>
      <c r="R456">
        <f t="shared" si="981"/>
        <v>-18865825330.449795</v>
      </c>
      <c r="S456">
        <f t="shared" si="982"/>
        <v>-188658.25330449795</v>
      </c>
      <c r="T456">
        <f t="shared" si="983"/>
        <v>-188.65825330449795</v>
      </c>
    </row>
    <row r="457" spans="1:20" x14ac:dyDescent="0.25">
      <c r="A457" s="5">
        <v>44133</v>
      </c>
      <c r="B457">
        <v>2.6899999999999998E-4</v>
      </c>
      <c r="C457">
        <v>2.7799999999999998E-4</v>
      </c>
      <c r="D457">
        <v>2.6400000000000002E-4</v>
      </c>
      <c r="E457">
        <v>2.72E-4</v>
      </c>
      <c r="F457">
        <v>263330693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0.14285714285714285</v>
      </c>
      <c r="Q457">
        <f t="shared" si="980"/>
        <v>37618670.428571425</v>
      </c>
      <c r="R457">
        <f t="shared" si="981"/>
        <v>-18849224876.757488</v>
      </c>
      <c r="S457">
        <f t="shared" si="982"/>
        <v>-188492.24876757487</v>
      </c>
      <c r="T457">
        <f t="shared" si="983"/>
        <v>-188.49224876757486</v>
      </c>
    </row>
    <row r="458" spans="1:20" x14ac:dyDescent="0.25">
      <c r="A458" s="5">
        <v>44132</v>
      </c>
      <c r="B458">
        <v>2.7500000000000002E-4</v>
      </c>
      <c r="C458">
        <v>2.7700000000000001E-4</v>
      </c>
      <c r="D458">
        <v>2.61E-4</v>
      </c>
      <c r="E458">
        <v>2.6800000000000001E-4</v>
      </c>
      <c r="F458">
        <v>278402842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-0.12499999999999957</v>
      </c>
      <c r="Q458">
        <f t="shared" si="980"/>
        <v>-34800355.249999881</v>
      </c>
      <c r="R458">
        <f t="shared" si="981"/>
        <v>-18886843547.186058</v>
      </c>
      <c r="S458">
        <f t="shared" si="982"/>
        <v>-188868.43547186058</v>
      </c>
      <c r="T458">
        <f t="shared" si="983"/>
        <v>-188.86843547186058</v>
      </c>
    </row>
    <row r="459" spans="1:20" x14ac:dyDescent="0.25">
      <c r="A459" s="5">
        <v>44131</v>
      </c>
      <c r="B459">
        <v>2.6699999999999998E-4</v>
      </c>
      <c r="C459">
        <v>2.7999999999999998E-4</v>
      </c>
      <c r="D459">
        <v>2.6699999999999998E-4</v>
      </c>
      <c r="E459">
        <v>2.7500000000000002E-4</v>
      </c>
      <c r="F459">
        <v>307470820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0.23076923076923656</v>
      </c>
      <c r="Q459">
        <f t="shared" si="980"/>
        <v>70954804.615386397</v>
      </c>
      <c r="R459">
        <f t="shared" si="981"/>
        <v>-18852043191.936058</v>
      </c>
      <c r="S459">
        <f t="shared" si="982"/>
        <v>-188520.43191936059</v>
      </c>
      <c r="T459">
        <f t="shared" si="983"/>
        <v>-188.52043191936059</v>
      </c>
    </row>
    <row r="460" spans="1:20" x14ac:dyDescent="0.25">
      <c r="A460" s="5">
        <v>44130</v>
      </c>
      <c r="B460">
        <v>2.5999999999999998E-4</v>
      </c>
      <c r="C460">
        <v>2.7E-4</v>
      </c>
      <c r="D460">
        <v>2.5500000000000002E-4</v>
      </c>
      <c r="E460">
        <v>2.6899999999999998E-4</v>
      </c>
      <c r="F460">
        <v>453303518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0.86666666666666325</v>
      </c>
      <c r="Q460">
        <f t="shared" si="980"/>
        <v>392863048.93333179</v>
      </c>
      <c r="R460">
        <f t="shared" si="981"/>
        <v>-18922997996.551445</v>
      </c>
      <c r="S460">
        <f t="shared" si="982"/>
        <v>-189229.97996551445</v>
      </c>
      <c r="T460">
        <f t="shared" si="983"/>
        <v>-189.22997996551445</v>
      </c>
    </row>
    <row r="461" spans="1:20" x14ac:dyDescent="0.25">
      <c r="A461" s="5">
        <v>44129</v>
      </c>
      <c r="B461">
        <v>2.6600000000000001E-4</v>
      </c>
      <c r="C461">
        <v>2.6800000000000001E-4</v>
      </c>
      <c r="D461">
        <v>2.5900000000000001E-4</v>
      </c>
      <c r="E461">
        <v>2.5999999999999998E-4</v>
      </c>
      <c r="F461">
        <v>126308426</v>
      </c>
      <c r="G461">
        <v>0</v>
      </c>
      <c r="L461" t="s">
        <v>8</v>
      </c>
      <c r="M461" t="s">
        <v>7</v>
      </c>
      <c r="N461" t="s">
        <v>7</v>
      </c>
      <c r="P461">
        <f t="shared" si="979"/>
        <v>-0.77777777777778445</v>
      </c>
      <c r="Q461">
        <f t="shared" si="980"/>
        <v>-98239886.88888973</v>
      </c>
      <c r="R461">
        <f t="shared" si="981"/>
        <v>-19315861045.484776</v>
      </c>
      <c r="S461">
        <f t="shared" si="982"/>
        <v>-193158.61045484775</v>
      </c>
      <c r="T461">
        <f t="shared" si="983"/>
        <v>-193.15861045484775</v>
      </c>
    </row>
    <row r="462" spans="1:20" x14ac:dyDescent="0.25">
      <c r="A462" s="5">
        <v>44128</v>
      </c>
      <c r="B462">
        <v>2.6699999999999998E-4</v>
      </c>
      <c r="C462">
        <v>2.7599999999999999E-4</v>
      </c>
      <c r="D462">
        <v>2.6499999999999999E-4</v>
      </c>
      <c r="E462">
        <v>2.6600000000000001E-4</v>
      </c>
      <c r="F462">
        <v>222834011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-0.81818181818181368</v>
      </c>
      <c r="Q462">
        <f t="shared" si="980"/>
        <v>-182318736.27272627</v>
      </c>
      <c r="R462">
        <f t="shared" si="981"/>
        <v>-19217621158.595886</v>
      </c>
      <c r="S462">
        <f t="shared" si="982"/>
        <v>-192176.21158595887</v>
      </c>
      <c r="T462">
        <f t="shared" si="983"/>
        <v>-192.17621158595887</v>
      </c>
    </row>
    <row r="463" spans="1:20" x14ac:dyDescent="0.25">
      <c r="A463" s="5">
        <v>44127</v>
      </c>
      <c r="B463">
        <v>2.5599999999999999E-4</v>
      </c>
      <c r="C463">
        <v>2.8299999999999999E-4</v>
      </c>
      <c r="D463">
        <v>2.52E-4</v>
      </c>
      <c r="E463">
        <v>2.6699999999999998E-4</v>
      </c>
      <c r="F463">
        <v>771474876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-3.2258064516129822E-2</v>
      </c>
      <c r="Q463">
        <f t="shared" si="980"/>
        <v>-24886286.322581254</v>
      </c>
      <c r="R463">
        <f t="shared" si="981"/>
        <v>-19035302422.323158</v>
      </c>
      <c r="S463">
        <f t="shared" si="982"/>
        <v>-190353.02422323159</v>
      </c>
      <c r="T463">
        <f t="shared" si="983"/>
        <v>-190.35302422323159</v>
      </c>
    </row>
    <row r="464" spans="1:20" x14ac:dyDescent="0.25">
      <c r="A464" s="5">
        <v>44126</v>
      </c>
      <c r="B464">
        <v>2.7E-4</v>
      </c>
      <c r="C464">
        <v>2.7099999999999997E-4</v>
      </c>
      <c r="D464">
        <v>2.52E-4</v>
      </c>
      <c r="E464">
        <v>2.5500000000000002E-4</v>
      </c>
      <c r="F464">
        <v>499174108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-0.68421052631578705</v>
      </c>
      <c r="Q464">
        <f t="shared" si="980"/>
        <v>-341540179.15789354</v>
      </c>
      <c r="R464">
        <f t="shared" si="981"/>
        <v>-19010416136.000576</v>
      </c>
      <c r="S464">
        <f t="shared" si="982"/>
        <v>-190104.16136000576</v>
      </c>
      <c r="T464">
        <f t="shared" si="983"/>
        <v>-190.10416136000575</v>
      </c>
    </row>
    <row r="465" spans="1:20" x14ac:dyDescent="0.25">
      <c r="A465" s="5">
        <v>44125</v>
      </c>
      <c r="B465">
        <v>2.5700000000000001E-4</v>
      </c>
      <c r="C465">
        <v>2.7900000000000001E-4</v>
      </c>
      <c r="D465">
        <v>2.4699999999999999E-4</v>
      </c>
      <c r="E465">
        <v>2.7099999999999997E-4</v>
      </c>
      <c r="F465">
        <v>570974108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0.49999999999999828</v>
      </c>
      <c r="Q465">
        <f t="shared" si="980"/>
        <v>285487053.99999905</v>
      </c>
      <c r="R465">
        <f t="shared" si="981"/>
        <v>-18668875956.842682</v>
      </c>
      <c r="S465">
        <f t="shared" si="982"/>
        <v>-186688.75956842682</v>
      </c>
      <c r="T465">
        <f t="shared" si="983"/>
        <v>-186.6887595684268</v>
      </c>
    </row>
    <row r="466" spans="1:20" x14ac:dyDescent="0.25">
      <c r="A466" s="5">
        <v>44124</v>
      </c>
      <c r="B466">
        <v>2.72E-4</v>
      </c>
      <c r="C466">
        <v>2.7300000000000002E-4</v>
      </c>
      <c r="D466">
        <v>2.5399999999999999E-4</v>
      </c>
      <c r="E466">
        <v>2.5700000000000001E-4</v>
      </c>
      <c r="F466">
        <v>200609759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-0.68421052631578794</v>
      </c>
      <c r="Q466">
        <f t="shared" si="980"/>
        <v>-137259308.78947338</v>
      </c>
      <c r="R466">
        <f t="shared" si="981"/>
        <v>-18954363010.842682</v>
      </c>
      <c r="S466">
        <f t="shared" si="982"/>
        <v>-189543.63010842682</v>
      </c>
      <c r="T466">
        <f t="shared" si="983"/>
        <v>-189.54363010842681</v>
      </c>
    </row>
    <row r="467" spans="1:20" x14ac:dyDescent="0.25">
      <c r="A467" s="5">
        <v>44123</v>
      </c>
      <c r="B467">
        <v>2.7999999999999998E-4</v>
      </c>
      <c r="C467">
        <v>2.7999999999999998E-4</v>
      </c>
      <c r="D467">
        <v>2.6600000000000001E-4</v>
      </c>
      <c r="E467">
        <v>2.7099999999999997E-4</v>
      </c>
      <c r="F467">
        <v>282267800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-0.28571428571428958</v>
      </c>
      <c r="Q467">
        <f t="shared" si="980"/>
        <v>-80647942.857143953</v>
      </c>
      <c r="R467">
        <f t="shared" si="981"/>
        <v>-18817103702.053207</v>
      </c>
      <c r="S467">
        <f t="shared" si="982"/>
        <v>-188171.03702053207</v>
      </c>
      <c r="T467">
        <f t="shared" si="983"/>
        <v>-188.17103702053205</v>
      </c>
    </row>
    <row r="468" spans="1:20" x14ac:dyDescent="0.25">
      <c r="A468" s="5">
        <v>44122</v>
      </c>
      <c r="B468">
        <v>2.7099999999999997E-4</v>
      </c>
      <c r="C468">
        <v>2.8600000000000001E-4</v>
      </c>
      <c r="D468">
        <v>2.7E-4</v>
      </c>
      <c r="E468">
        <v>2.81E-4</v>
      </c>
      <c r="F468">
        <v>255676457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0.37499999999999872</v>
      </c>
      <c r="Q468">
        <f t="shared" si="980"/>
        <v>95878671.374999672</v>
      </c>
      <c r="R468">
        <f t="shared" si="981"/>
        <v>-18736455759.196064</v>
      </c>
      <c r="S468">
        <f t="shared" si="982"/>
        <v>-187364.55759196065</v>
      </c>
      <c r="T468">
        <f t="shared" si="983"/>
        <v>-187.36455759196065</v>
      </c>
    </row>
    <row r="469" spans="1:20" x14ac:dyDescent="0.25">
      <c r="A469" s="5">
        <v>44121</v>
      </c>
      <c r="B469">
        <v>2.7E-4</v>
      </c>
      <c r="C469">
        <v>2.7399999999999999E-4</v>
      </c>
      <c r="D469">
        <v>2.6600000000000001E-4</v>
      </c>
      <c r="E469">
        <v>2.7099999999999997E-4</v>
      </c>
      <c r="F469">
        <v>141501875</v>
      </c>
      <c r="G469">
        <v>0</v>
      </c>
      <c r="L469" t="s">
        <v>8</v>
      </c>
      <c r="M469" t="s">
        <v>7</v>
      </c>
      <c r="N469" t="s">
        <v>7</v>
      </c>
      <c r="P469">
        <f t="shared" si="979"/>
        <v>0.24999999999999323</v>
      </c>
      <c r="Q469">
        <f t="shared" si="980"/>
        <v>35375468.749999039</v>
      </c>
      <c r="R469">
        <f t="shared" si="981"/>
        <v>-18832334430.571064</v>
      </c>
      <c r="S469">
        <f t="shared" si="982"/>
        <v>-188323.34430571063</v>
      </c>
      <c r="T469">
        <f t="shared" si="983"/>
        <v>-188.32334430571063</v>
      </c>
    </row>
    <row r="470" spans="1:20" x14ac:dyDescent="0.25">
      <c r="A470" s="5">
        <v>44120</v>
      </c>
      <c r="B470">
        <v>2.7700000000000001E-4</v>
      </c>
      <c r="C470">
        <v>2.8600000000000001E-4</v>
      </c>
      <c r="D470">
        <v>2.63E-4</v>
      </c>
      <c r="E470">
        <v>2.7E-4</v>
      </c>
      <c r="F470">
        <v>506740536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-0.39130434782608675</v>
      </c>
      <c r="Q470">
        <f t="shared" si="980"/>
        <v>-198289774.95652163</v>
      </c>
      <c r="R470">
        <f t="shared" si="981"/>
        <v>-18867709899.321064</v>
      </c>
      <c r="S470">
        <f t="shared" si="982"/>
        <v>-188677.09899321065</v>
      </c>
      <c r="T470">
        <f t="shared" si="983"/>
        <v>-188.67709899321065</v>
      </c>
    </row>
    <row r="471" spans="1:20" x14ac:dyDescent="0.25">
      <c r="A471" s="5">
        <v>44119</v>
      </c>
      <c r="B471">
        <v>2.8699999999999998E-4</v>
      </c>
      <c r="C471">
        <v>2.9E-4</v>
      </c>
      <c r="D471">
        <v>2.7700000000000001E-4</v>
      </c>
      <c r="E471">
        <v>2.7799999999999998E-4</v>
      </c>
      <c r="F471">
        <v>439154514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-0.8461538461538507</v>
      </c>
      <c r="Q471">
        <f t="shared" si="980"/>
        <v>-371592281.0769251</v>
      </c>
      <c r="R471">
        <f t="shared" si="981"/>
        <v>-18669420124.364544</v>
      </c>
      <c r="S471">
        <f t="shared" si="982"/>
        <v>-186694.20124364545</v>
      </c>
      <c r="T471">
        <f t="shared" si="983"/>
        <v>-186.69420124364547</v>
      </c>
    </row>
    <row r="472" spans="1:20" x14ac:dyDescent="0.25">
      <c r="A472" s="5">
        <v>44118</v>
      </c>
      <c r="B472">
        <v>2.9799999999999998E-4</v>
      </c>
      <c r="C472">
        <v>2.9999999999999997E-4</v>
      </c>
      <c r="D472">
        <v>2.8600000000000001E-4</v>
      </c>
      <c r="E472">
        <v>2.8699999999999998E-4</v>
      </c>
      <c r="F472">
        <v>264205834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-0.85714285714286098</v>
      </c>
      <c r="Q472">
        <f t="shared" si="980"/>
        <v>-226462143.42857245</v>
      </c>
      <c r="R472">
        <f t="shared" si="981"/>
        <v>-18297827843.287621</v>
      </c>
      <c r="S472">
        <f t="shared" si="982"/>
        <v>-182978.27843287619</v>
      </c>
      <c r="T472">
        <f t="shared" si="983"/>
        <v>-182.97827843287618</v>
      </c>
    </row>
    <row r="473" spans="1:20" x14ac:dyDescent="0.25">
      <c r="A473" s="5">
        <v>44117</v>
      </c>
      <c r="B473">
        <v>3.1599999999999998E-4</v>
      </c>
      <c r="C473">
        <v>3.1599999999999998E-4</v>
      </c>
      <c r="D473">
        <v>2.8200000000000002E-4</v>
      </c>
      <c r="E473">
        <v>2.9700000000000001E-4</v>
      </c>
      <c r="F473">
        <v>814103277</v>
      </c>
      <c r="G473">
        <v>0</v>
      </c>
      <c r="L473" t="s">
        <v>8</v>
      </c>
      <c r="M473" t="s">
        <v>7</v>
      </c>
      <c r="N473" t="s">
        <v>7</v>
      </c>
      <c r="P473">
        <f t="shared" si="979"/>
        <v>-0.11764705882352923</v>
      </c>
      <c r="Q473">
        <f t="shared" si="980"/>
        <v>-95776856.117646918</v>
      </c>
      <c r="R473">
        <f t="shared" si="981"/>
        <v>-18071365699.859047</v>
      </c>
      <c r="S473">
        <f t="shared" si="982"/>
        <v>-180713.65699859048</v>
      </c>
      <c r="T473">
        <f t="shared" si="983"/>
        <v>-180.71365699859047</v>
      </c>
    </row>
    <row r="474" spans="1:20" x14ac:dyDescent="0.25">
      <c r="A474" s="5">
        <v>44116</v>
      </c>
      <c r="B474">
        <v>3.1500000000000001E-4</v>
      </c>
      <c r="C474">
        <v>3.2000000000000003E-4</v>
      </c>
      <c r="D474">
        <v>3.0299999999999999E-4</v>
      </c>
      <c r="E474">
        <v>3.1700000000000001E-4</v>
      </c>
      <c r="F474">
        <v>478401990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0.64705882352941024</v>
      </c>
      <c r="Q474">
        <f t="shared" si="980"/>
        <v>309554228.82352871</v>
      </c>
      <c r="R474">
        <f t="shared" si="981"/>
        <v>-17975588843.741402</v>
      </c>
      <c r="S474">
        <f t="shared" si="982"/>
        <v>-179755.88843741402</v>
      </c>
      <c r="T474">
        <f t="shared" si="983"/>
        <v>-179.75588843741403</v>
      </c>
    </row>
    <row r="475" spans="1:20" x14ac:dyDescent="0.25">
      <c r="A475" s="5">
        <v>44115</v>
      </c>
      <c r="B475">
        <v>3.2600000000000001E-4</v>
      </c>
      <c r="C475">
        <v>3.2600000000000001E-4</v>
      </c>
      <c r="D475">
        <v>3.1E-4</v>
      </c>
      <c r="E475">
        <v>3.1599999999999998E-4</v>
      </c>
      <c r="F475">
        <v>415263988</v>
      </c>
      <c r="G475">
        <v>0</v>
      </c>
      <c r="L475" t="s">
        <v>8</v>
      </c>
      <c r="M475" t="s">
        <v>7</v>
      </c>
      <c r="N475" t="s">
        <v>7</v>
      </c>
      <c r="P475">
        <f t="shared" si="979"/>
        <v>-0.25000000000000255</v>
      </c>
      <c r="Q475">
        <f t="shared" si="980"/>
        <v>-103815997.00000106</v>
      </c>
      <c r="R475">
        <f t="shared" si="981"/>
        <v>-18285143072.56493</v>
      </c>
      <c r="S475">
        <f t="shared" si="982"/>
        <v>-182851.43072564929</v>
      </c>
      <c r="T475">
        <f t="shared" si="983"/>
        <v>-182.85143072564929</v>
      </c>
    </row>
    <row r="476" spans="1:20" x14ac:dyDescent="0.25">
      <c r="A476" s="5">
        <v>44114</v>
      </c>
      <c r="B476">
        <v>3.2200000000000002E-4</v>
      </c>
      <c r="C476">
        <v>3.3500000000000001E-4</v>
      </c>
      <c r="D476">
        <v>3.2200000000000002E-4</v>
      </c>
      <c r="E476">
        <v>3.2600000000000001E-4</v>
      </c>
      <c r="F476">
        <v>369402883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-0.38461538461538591</v>
      </c>
      <c r="Q476">
        <f t="shared" si="980"/>
        <v>-142078031.9230774</v>
      </c>
      <c r="R476">
        <f t="shared" si="981"/>
        <v>-18181327075.56493</v>
      </c>
      <c r="S476">
        <f t="shared" si="982"/>
        <v>-181813.27075564931</v>
      </c>
      <c r="T476">
        <f t="shared" si="983"/>
        <v>-181.81327075564931</v>
      </c>
    </row>
    <row r="477" spans="1:20" x14ac:dyDescent="0.25">
      <c r="A477" s="5">
        <v>44113</v>
      </c>
      <c r="B477">
        <v>3.2499999999999999E-4</v>
      </c>
      <c r="C477">
        <v>3.4099999999999999E-4</v>
      </c>
      <c r="D477">
        <v>3.1700000000000001E-4</v>
      </c>
      <c r="E477">
        <v>3.2200000000000002E-4</v>
      </c>
      <c r="F477">
        <v>478422106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-0.58333333333333204</v>
      </c>
      <c r="Q477">
        <f t="shared" si="980"/>
        <v>-279079561.83333272</v>
      </c>
      <c r="R477">
        <f t="shared" si="981"/>
        <v>-18039249043.641853</v>
      </c>
      <c r="S477">
        <f t="shared" si="982"/>
        <v>-180392.49043641853</v>
      </c>
      <c r="T477">
        <f t="shared" si="983"/>
        <v>-180.39249043641854</v>
      </c>
    </row>
    <row r="478" spans="1:20" x14ac:dyDescent="0.25">
      <c r="A478" s="5">
        <v>44112</v>
      </c>
      <c r="B478">
        <v>3.1599999999999998E-4</v>
      </c>
      <c r="C478">
        <v>3.3199999999999999E-4</v>
      </c>
      <c r="D478">
        <v>3.0499999999999999E-4</v>
      </c>
      <c r="E478">
        <v>3.2499999999999999E-4</v>
      </c>
      <c r="F478">
        <v>357869627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0.48148148148148101</v>
      </c>
      <c r="Q478">
        <f t="shared" si="980"/>
        <v>172307598.18518502</v>
      </c>
      <c r="R478">
        <f t="shared" si="981"/>
        <v>-17760169481.808521</v>
      </c>
      <c r="S478">
        <f t="shared" si="982"/>
        <v>-177601.69481808521</v>
      </c>
      <c r="T478">
        <f t="shared" si="983"/>
        <v>-177.60169481808521</v>
      </c>
    </row>
    <row r="479" spans="1:20" x14ac:dyDescent="0.25">
      <c r="A479" s="5">
        <v>44111</v>
      </c>
      <c r="B479">
        <v>3.1500000000000001E-4</v>
      </c>
      <c r="C479">
        <v>3.2499999999999999E-4</v>
      </c>
      <c r="D479">
        <v>3.1100000000000002E-4</v>
      </c>
      <c r="E479">
        <v>3.1500000000000001E-4</v>
      </c>
      <c r="F479">
        <v>161681496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-0.42857142857142855</v>
      </c>
      <c r="Q479">
        <f t="shared" si="980"/>
        <v>-69292069.714285716</v>
      </c>
      <c r="R479">
        <f t="shared" si="981"/>
        <v>-17932477079.993706</v>
      </c>
      <c r="S479">
        <f t="shared" si="982"/>
        <v>-179324.77079993705</v>
      </c>
      <c r="T479">
        <f t="shared" si="983"/>
        <v>-179.32477079993706</v>
      </c>
    </row>
    <row r="480" spans="1:20" x14ac:dyDescent="0.25">
      <c r="A480" s="5">
        <v>44110</v>
      </c>
      <c r="B480">
        <v>3.4400000000000001E-4</v>
      </c>
      <c r="C480">
        <v>3.4600000000000001E-4</v>
      </c>
      <c r="D480">
        <v>3.0400000000000002E-4</v>
      </c>
      <c r="E480">
        <v>3.1500000000000001E-4</v>
      </c>
      <c r="F480">
        <v>402195467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-0.47619047619047628</v>
      </c>
      <c r="Q480">
        <f t="shared" si="980"/>
        <v>-191521650.95238099</v>
      </c>
      <c r="R480">
        <f t="shared" si="981"/>
        <v>-17863185010.279419</v>
      </c>
      <c r="S480">
        <f t="shared" si="982"/>
        <v>-178631.85010279418</v>
      </c>
      <c r="T480">
        <f t="shared" si="983"/>
        <v>-178.63185010279417</v>
      </c>
    </row>
    <row r="481" spans="1:20" x14ac:dyDescent="0.25">
      <c r="A481" s="5">
        <v>44109</v>
      </c>
      <c r="B481">
        <v>3.2600000000000001E-4</v>
      </c>
      <c r="C481">
        <v>3.6000000000000002E-4</v>
      </c>
      <c r="D481">
        <v>3.2400000000000001E-4</v>
      </c>
      <c r="E481">
        <v>3.4299999999999999E-4</v>
      </c>
      <c r="F481">
        <v>873162311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5.555555555555388E-2</v>
      </c>
      <c r="Q481">
        <f t="shared" si="980"/>
        <v>48509017.277776316</v>
      </c>
      <c r="R481">
        <f t="shared" si="981"/>
        <v>-17671663359.327038</v>
      </c>
      <c r="S481">
        <f t="shared" si="982"/>
        <v>-176716.63359327038</v>
      </c>
      <c r="T481">
        <f t="shared" si="983"/>
        <v>-176.71663359327039</v>
      </c>
    </row>
    <row r="482" spans="1:20" x14ac:dyDescent="0.25">
      <c r="A482" s="5">
        <v>44108</v>
      </c>
      <c r="B482">
        <v>3.2899999999999997E-4</v>
      </c>
      <c r="C482">
        <v>3.4000000000000002E-4</v>
      </c>
      <c r="D482">
        <v>3.2200000000000002E-4</v>
      </c>
      <c r="E482">
        <v>3.2499999999999999E-4</v>
      </c>
      <c r="F482">
        <v>448772005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-0.66666666666667074</v>
      </c>
      <c r="Q482">
        <f t="shared" si="980"/>
        <v>-299181336.66666847</v>
      </c>
      <c r="R482">
        <f t="shared" si="981"/>
        <v>-17720172376.604813</v>
      </c>
      <c r="S482">
        <f t="shared" si="982"/>
        <v>-177201.72376604812</v>
      </c>
      <c r="T482">
        <f t="shared" si="983"/>
        <v>-177.20172376604813</v>
      </c>
    </row>
    <row r="483" spans="1:20" x14ac:dyDescent="0.25">
      <c r="A483" s="5">
        <v>44107</v>
      </c>
      <c r="B483">
        <v>3.1700000000000001E-4</v>
      </c>
      <c r="C483">
        <v>3.3199999999999999E-4</v>
      </c>
      <c r="D483">
        <v>3.1100000000000002E-4</v>
      </c>
      <c r="E483">
        <v>3.2899999999999997E-4</v>
      </c>
      <c r="F483">
        <v>195063185</v>
      </c>
      <c r="G483">
        <v>0</v>
      </c>
      <c r="L483" t="s">
        <v>8</v>
      </c>
      <c r="M483" t="s">
        <v>7</v>
      </c>
      <c r="N483" t="s">
        <v>7</v>
      </c>
      <c r="P483">
        <f t="shared" si="979"/>
        <v>0.71428571428571208</v>
      </c>
      <c r="Q483">
        <f t="shared" si="980"/>
        <v>139330846.42857099</v>
      </c>
      <c r="R483">
        <f t="shared" si="981"/>
        <v>-17420991039.938145</v>
      </c>
      <c r="S483">
        <f t="shared" si="982"/>
        <v>-174209.91039938145</v>
      </c>
      <c r="T483">
        <f t="shared" si="983"/>
        <v>-174.20991039938144</v>
      </c>
    </row>
    <row r="484" spans="1:20" x14ac:dyDescent="0.25">
      <c r="A484" s="5">
        <v>44106</v>
      </c>
      <c r="B484">
        <v>3.2200000000000002E-4</v>
      </c>
      <c r="C484">
        <v>3.2600000000000001E-4</v>
      </c>
      <c r="D484">
        <v>3.1E-4</v>
      </c>
      <c r="E484">
        <v>3.1599999999999998E-4</v>
      </c>
      <c r="F484">
        <v>366612753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-0.25000000000000255</v>
      </c>
      <c r="Q484">
        <f t="shared" si="980"/>
        <v>-91653188.250000939</v>
      </c>
      <c r="R484">
        <f t="shared" si="981"/>
        <v>-17560321886.366714</v>
      </c>
      <c r="S484">
        <f t="shared" si="982"/>
        <v>-175603.21886366713</v>
      </c>
      <c r="T484">
        <f t="shared" si="983"/>
        <v>-175.60321886366714</v>
      </c>
    </row>
    <row r="485" spans="1:20" x14ac:dyDescent="0.25">
      <c r="A485" s="5">
        <v>44105</v>
      </c>
      <c r="B485">
        <v>3.39E-4</v>
      </c>
      <c r="C485">
        <v>3.4499999999999998E-4</v>
      </c>
      <c r="D485">
        <v>3.1599999999999998E-4</v>
      </c>
      <c r="E485">
        <v>3.2299999999999999E-4</v>
      </c>
      <c r="F485">
        <v>468494713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-0.51724137931034431</v>
      </c>
      <c r="Q485">
        <f t="shared" si="980"/>
        <v>-242324851.5517239</v>
      </c>
      <c r="R485">
        <f t="shared" si="981"/>
        <v>-17468668698.116714</v>
      </c>
      <c r="S485">
        <f t="shared" si="982"/>
        <v>-174686.68698116715</v>
      </c>
      <c r="T485">
        <f t="shared" si="983"/>
        <v>-174.68668698116716</v>
      </c>
    </row>
    <row r="486" spans="1:20" x14ac:dyDescent="0.25">
      <c r="A486" s="5">
        <v>44104</v>
      </c>
      <c r="B486">
        <v>3.5399999999999999E-4</v>
      </c>
      <c r="C486">
        <v>3.6000000000000002E-4</v>
      </c>
      <c r="D486">
        <v>3.2400000000000001E-4</v>
      </c>
      <c r="E486">
        <v>3.3799999999999998E-4</v>
      </c>
      <c r="F486">
        <v>773620878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-0.22222222222222457</v>
      </c>
      <c r="Q486">
        <f t="shared" si="980"/>
        <v>-171915750.66666847</v>
      </c>
      <c r="R486">
        <f t="shared" si="981"/>
        <v>-17226343846.564991</v>
      </c>
      <c r="S486">
        <f t="shared" si="982"/>
        <v>-172263.4384656499</v>
      </c>
      <c r="T486">
        <f t="shared" si="983"/>
        <v>-172.2634384656499</v>
      </c>
    </row>
    <row r="487" spans="1:20" x14ac:dyDescent="0.25">
      <c r="A487" s="5">
        <v>44103</v>
      </c>
      <c r="B487">
        <v>3.59E-4</v>
      </c>
      <c r="C487">
        <v>3.6699999999999998E-4</v>
      </c>
      <c r="D487">
        <v>3.5E-4</v>
      </c>
      <c r="E487">
        <v>3.5399999999999999E-4</v>
      </c>
      <c r="F487">
        <v>343009731</v>
      </c>
      <c r="G487">
        <v>0</v>
      </c>
      <c r="L487" t="s">
        <v>8</v>
      </c>
      <c r="M487" t="s">
        <v>7</v>
      </c>
      <c r="N487" t="s">
        <v>7</v>
      </c>
      <c r="P487">
        <f t="shared" si="979"/>
        <v>-0.52941176470588314</v>
      </c>
      <c r="Q487">
        <f t="shared" si="980"/>
        <v>-181593387.00000027</v>
      </c>
      <c r="R487">
        <f t="shared" si="981"/>
        <v>-17054428095.898323</v>
      </c>
      <c r="S487">
        <f t="shared" si="982"/>
        <v>-170544.28095898323</v>
      </c>
      <c r="T487">
        <f t="shared" si="983"/>
        <v>-170.54428095898322</v>
      </c>
    </row>
    <row r="488" spans="1:20" x14ac:dyDescent="0.25">
      <c r="A488" s="5">
        <v>44102</v>
      </c>
      <c r="B488">
        <v>3.6099999999999999E-4</v>
      </c>
      <c r="C488">
        <v>3.7399999999999998E-4</v>
      </c>
      <c r="D488">
        <v>3.5300000000000002E-4</v>
      </c>
      <c r="E488">
        <v>3.59E-4</v>
      </c>
      <c r="F488">
        <v>527227403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-0.42857142857142932</v>
      </c>
      <c r="Q488">
        <f t="shared" si="980"/>
        <v>-225954601.28571469</v>
      </c>
      <c r="R488">
        <f t="shared" si="981"/>
        <v>-16872834708.898323</v>
      </c>
      <c r="S488">
        <f t="shared" si="982"/>
        <v>-168728.34708898322</v>
      </c>
      <c r="T488">
        <f t="shared" si="983"/>
        <v>-168.72834708898321</v>
      </c>
    </row>
    <row r="489" spans="1:20" x14ac:dyDescent="0.25">
      <c r="A489" s="5">
        <v>44101</v>
      </c>
      <c r="B489">
        <v>3.7100000000000002E-4</v>
      </c>
      <c r="C489">
        <v>3.8000000000000002E-4</v>
      </c>
      <c r="D489">
        <v>3.5E-4</v>
      </c>
      <c r="E489">
        <v>3.6099999999999999E-4</v>
      </c>
      <c r="F489">
        <v>685434111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-0.2666666666666675</v>
      </c>
      <c r="Q489">
        <f t="shared" si="980"/>
        <v>-182782429.60000056</v>
      </c>
      <c r="R489">
        <f t="shared" si="981"/>
        <v>-16646880107.612608</v>
      </c>
      <c r="S489">
        <f t="shared" si="982"/>
        <v>-166468.80107612608</v>
      </c>
      <c r="T489">
        <f t="shared" si="983"/>
        <v>-166.46880107612608</v>
      </c>
    </row>
    <row r="490" spans="1:20" x14ac:dyDescent="0.25">
      <c r="A490" s="5">
        <v>44100</v>
      </c>
      <c r="B490">
        <v>3.7599999999999998E-4</v>
      </c>
      <c r="C490">
        <v>3.9300000000000001E-4</v>
      </c>
      <c r="D490">
        <v>3.6200000000000002E-4</v>
      </c>
      <c r="E490">
        <v>3.7100000000000002E-4</v>
      </c>
      <c r="F490">
        <v>674828575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-0.41935483870967721</v>
      </c>
      <c r="Q490">
        <f t="shared" si="980"/>
        <v>-282992628.2258063</v>
      </c>
      <c r="R490">
        <f t="shared" si="981"/>
        <v>-16464097678.012608</v>
      </c>
      <c r="S490">
        <f t="shared" si="982"/>
        <v>-164640.97678012608</v>
      </c>
      <c r="T490">
        <f t="shared" si="983"/>
        <v>-164.64097678012607</v>
      </c>
    </row>
    <row r="491" spans="1:20" x14ac:dyDescent="0.25">
      <c r="A491" s="5">
        <v>44099</v>
      </c>
      <c r="B491">
        <v>3.97E-4</v>
      </c>
      <c r="C491">
        <v>3.9899999999999999E-4</v>
      </c>
      <c r="D491">
        <v>3.6499999999999998E-4</v>
      </c>
      <c r="E491">
        <v>3.7599999999999998E-4</v>
      </c>
      <c r="F491">
        <v>1165399358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-0.3529411764705887</v>
      </c>
      <c r="Q491">
        <f t="shared" si="980"/>
        <v>-411317420.4705888</v>
      </c>
      <c r="R491">
        <f t="shared" si="981"/>
        <v>-16181105049.7868</v>
      </c>
      <c r="S491">
        <f t="shared" si="982"/>
        <v>-161811.05049786801</v>
      </c>
      <c r="T491">
        <f t="shared" si="983"/>
        <v>-161.81105049786802</v>
      </c>
    </row>
    <row r="492" spans="1:20" x14ac:dyDescent="0.25">
      <c r="A492" s="5">
        <v>44098</v>
      </c>
      <c r="B492">
        <v>3.4600000000000001E-4</v>
      </c>
      <c r="C492">
        <v>4.1899999999999999E-4</v>
      </c>
      <c r="D492">
        <v>3.3399999999999999E-4</v>
      </c>
      <c r="E492">
        <v>3.9599999999999998E-4</v>
      </c>
      <c r="F492">
        <v>1791249464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0.45882352941176435</v>
      </c>
      <c r="Q492">
        <f t="shared" si="980"/>
        <v>821867401.1294111</v>
      </c>
      <c r="R492">
        <f t="shared" si="981"/>
        <v>-15769787629.316212</v>
      </c>
      <c r="S492">
        <f t="shared" si="982"/>
        <v>-157697.87629316212</v>
      </c>
      <c r="T492">
        <f t="shared" si="983"/>
        <v>-157.69787629316212</v>
      </c>
    </row>
    <row r="493" spans="1:20" x14ac:dyDescent="0.25">
      <c r="A493" s="5">
        <v>44097</v>
      </c>
      <c r="B493">
        <v>3.6600000000000001E-4</v>
      </c>
      <c r="C493">
        <v>4.6099999999999998E-4</v>
      </c>
      <c r="D493">
        <v>3.4200000000000002E-4</v>
      </c>
      <c r="E493">
        <v>3.4200000000000002E-4</v>
      </c>
      <c r="F493">
        <v>4399900960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-1</v>
      </c>
      <c r="Q493">
        <f t="shared" si="980"/>
        <v>-4399900960</v>
      </c>
      <c r="R493">
        <f t="shared" si="981"/>
        <v>-16591655030.445623</v>
      </c>
      <c r="S493">
        <f t="shared" si="982"/>
        <v>-165916.55030445624</v>
      </c>
      <c r="T493">
        <f t="shared" si="983"/>
        <v>-165.91655030445622</v>
      </c>
    </row>
    <row r="494" spans="1:20" x14ac:dyDescent="0.25">
      <c r="A494" s="5">
        <v>44096</v>
      </c>
      <c r="B494">
        <v>3.0899999999999998E-4</v>
      </c>
      <c r="C494">
        <v>3.8499999999999998E-4</v>
      </c>
      <c r="D494">
        <v>2.9599999999999998E-4</v>
      </c>
      <c r="E494">
        <v>3.6600000000000001E-4</v>
      </c>
      <c r="F494">
        <v>1198323637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0.57303370786516905</v>
      </c>
      <c r="Q494">
        <f t="shared" si="980"/>
        <v>686679836.93258488</v>
      </c>
      <c r="R494">
        <f t="shared" si="981"/>
        <v>-12191754070.445623</v>
      </c>
      <c r="S494">
        <f t="shared" si="982"/>
        <v>-121917.54070445623</v>
      </c>
      <c r="T494">
        <f t="shared" si="983"/>
        <v>-121.91754070445623</v>
      </c>
    </row>
    <row r="495" spans="1:20" x14ac:dyDescent="0.25">
      <c r="A495" s="5">
        <v>44095</v>
      </c>
      <c r="B495">
        <v>3.68E-4</v>
      </c>
      <c r="C495">
        <v>3.7199999999999999E-4</v>
      </c>
      <c r="D495">
        <v>2.9E-4</v>
      </c>
      <c r="E495">
        <v>3.0600000000000001E-4</v>
      </c>
      <c r="F495">
        <v>1260704512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-0.60975609756097537</v>
      </c>
      <c r="Q495">
        <f t="shared" si="980"/>
        <v>-768722263.41463387</v>
      </c>
      <c r="R495">
        <f t="shared" si="981"/>
        <v>-12878433907.378208</v>
      </c>
      <c r="S495">
        <f t="shared" si="982"/>
        <v>-128784.33907378209</v>
      </c>
      <c r="T495">
        <f t="shared" si="983"/>
        <v>-128.78433907378209</v>
      </c>
    </row>
    <row r="496" spans="1:20" x14ac:dyDescent="0.25">
      <c r="A496" s="5">
        <v>44094</v>
      </c>
      <c r="B496">
        <v>3.86E-4</v>
      </c>
      <c r="C496">
        <v>3.8699999999999997E-4</v>
      </c>
      <c r="D496">
        <v>3.57E-4</v>
      </c>
      <c r="E496">
        <v>3.68E-4</v>
      </c>
      <c r="F496">
        <v>330858787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-0.26666666666666616</v>
      </c>
      <c r="Q496">
        <f t="shared" si="980"/>
        <v>-88229009.866666496</v>
      </c>
      <c r="R496">
        <f t="shared" si="981"/>
        <v>-12109711643.963573</v>
      </c>
      <c r="S496">
        <f t="shared" si="982"/>
        <v>-121097.11643963573</v>
      </c>
      <c r="T496">
        <f t="shared" si="983"/>
        <v>-121.09711643963574</v>
      </c>
    </row>
    <row r="497" spans="1:20" x14ac:dyDescent="0.25">
      <c r="A497" s="5">
        <v>44093</v>
      </c>
      <c r="B497">
        <v>3.5599999999999998E-4</v>
      </c>
      <c r="C497">
        <v>3.9899999999999999E-4</v>
      </c>
      <c r="D497">
        <v>3.5E-4</v>
      </c>
      <c r="E497">
        <v>3.8699999999999997E-4</v>
      </c>
      <c r="F497">
        <v>684592679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0.51020408163265218</v>
      </c>
      <c r="Q497">
        <f t="shared" si="980"/>
        <v>349281979.08163208</v>
      </c>
      <c r="R497">
        <f t="shared" si="981"/>
        <v>-12021482634.096907</v>
      </c>
      <c r="S497">
        <f t="shared" si="982"/>
        <v>-120214.82634096907</v>
      </c>
      <c r="T497">
        <f t="shared" si="983"/>
        <v>-120.21482634096907</v>
      </c>
    </row>
    <row r="498" spans="1:20" x14ac:dyDescent="0.25">
      <c r="A498" s="5">
        <v>44092</v>
      </c>
      <c r="B498">
        <v>3.6499999999999998E-4</v>
      </c>
      <c r="C498">
        <v>3.7399999999999998E-4</v>
      </c>
      <c r="D498">
        <v>3.5E-4</v>
      </c>
      <c r="E498">
        <v>3.5599999999999998E-4</v>
      </c>
      <c r="F498">
        <v>402668910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-0.50000000000000111</v>
      </c>
      <c r="Q498">
        <f t="shared" si="980"/>
        <v>-201334455.00000045</v>
      </c>
      <c r="R498">
        <f t="shared" si="981"/>
        <v>-12370764613.178539</v>
      </c>
      <c r="S498">
        <f t="shared" si="982"/>
        <v>-123707.6461317854</v>
      </c>
      <c r="T498">
        <f t="shared" si="983"/>
        <v>-123.7076461317854</v>
      </c>
    </row>
    <row r="499" spans="1:20" x14ac:dyDescent="0.25">
      <c r="A499" s="5">
        <v>44091</v>
      </c>
      <c r="B499">
        <v>3.6099999999999999E-4</v>
      </c>
      <c r="C499">
        <v>3.9899999999999999E-4</v>
      </c>
      <c r="D499">
        <v>3.4699999999999998E-4</v>
      </c>
      <c r="E499">
        <v>3.6400000000000001E-4</v>
      </c>
      <c r="F499">
        <v>627242784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-0.34615384615384509</v>
      </c>
      <c r="Q499">
        <f t="shared" si="980"/>
        <v>-217122502.15384549</v>
      </c>
      <c r="R499">
        <f t="shared" si="981"/>
        <v>-12169430158.178539</v>
      </c>
      <c r="S499">
        <f t="shared" si="982"/>
        <v>-121694.30158178539</v>
      </c>
      <c r="T499">
        <f t="shared" si="983"/>
        <v>-121.69430158178538</v>
      </c>
    </row>
    <row r="500" spans="1:20" x14ac:dyDescent="0.25">
      <c r="A500" s="5">
        <v>44090</v>
      </c>
      <c r="B500">
        <v>3.7399999999999998E-4</v>
      </c>
      <c r="C500">
        <v>3.7800000000000003E-4</v>
      </c>
      <c r="D500">
        <v>3.3700000000000001E-4</v>
      </c>
      <c r="E500">
        <v>3.6099999999999999E-4</v>
      </c>
      <c r="F500">
        <v>905322968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0.17073170731707193</v>
      </c>
      <c r="Q500">
        <f t="shared" si="980"/>
        <v>154567335.99999887</v>
      </c>
      <c r="R500">
        <f t="shared" si="981"/>
        <v>-11952307656.024694</v>
      </c>
      <c r="S500">
        <f t="shared" si="982"/>
        <v>-119523.07656024695</v>
      </c>
      <c r="T500">
        <f t="shared" si="983"/>
        <v>-119.52307656024695</v>
      </c>
    </row>
    <row r="501" spans="1:20" x14ac:dyDescent="0.25">
      <c r="A501" s="5">
        <v>44089</v>
      </c>
      <c r="B501">
        <v>3.6400000000000001E-4</v>
      </c>
      <c r="C501">
        <v>4.64E-4</v>
      </c>
      <c r="D501">
        <v>3.5500000000000001E-4</v>
      </c>
      <c r="E501">
        <v>3.7399999999999998E-4</v>
      </c>
      <c r="F501">
        <v>3527345354</v>
      </c>
      <c r="G501">
        <v>0</v>
      </c>
      <c r="L501" t="s">
        <v>8</v>
      </c>
      <c r="M501" t="s">
        <v>8</v>
      </c>
      <c r="N501" t="s">
        <v>8</v>
      </c>
      <c r="P501">
        <f t="shared" si="979"/>
        <v>-0.65137614678899125</v>
      </c>
      <c r="Q501">
        <f t="shared" si="980"/>
        <v>-2297628625.0825701</v>
      </c>
      <c r="R501">
        <f t="shared" si="981"/>
        <v>-12106874992.024693</v>
      </c>
      <c r="S501">
        <f t="shared" si="982"/>
        <v>-121068.74992024692</v>
      </c>
      <c r="T501">
        <f t="shared" si="983"/>
        <v>-121.06874992024692</v>
      </c>
    </row>
    <row r="502" spans="1:20" x14ac:dyDescent="0.25">
      <c r="A502" s="5">
        <v>44088</v>
      </c>
      <c r="B502">
        <v>3.2299999999999999E-4</v>
      </c>
      <c r="C502">
        <v>3.7599999999999998E-4</v>
      </c>
      <c r="D502">
        <v>3.1300000000000002E-4</v>
      </c>
      <c r="E502">
        <v>3.6400000000000001E-4</v>
      </c>
      <c r="F502">
        <v>575440038</v>
      </c>
      <c r="G502">
        <v>0</v>
      </c>
      <c r="L502" t="s">
        <v>7</v>
      </c>
      <c r="M502" t="s">
        <v>7</v>
      </c>
      <c r="N502" t="s">
        <v>8</v>
      </c>
      <c r="P502">
        <f t="shared" si="979"/>
        <v>0.61904761904761985</v>
      </c>
      <c r="Q502">
        <f t="shared" si="980"/>
        <v>356224785.42857188</v>
      </c>
      <c r="R502">
        <f t="shared" si="981"/>
        <v>-9809246366.9421215</v>
      </c>
      <c r="S502">
        <f t="shared" si="982"/>
        <v>-98092.463669421209</v>
      </c>
      <c r="T502">
        <f t="shared" si="983"/>
        <v>-98.092463669421207</v>
      </c>
    </row>
    <row r="503" spans="1:20" x14ac:dyDescent="0.25">
      <c r="A503" s="5">
        <v>44087</v>
      </c>
      <c r="B503">
        <v>3.5100000000000002E-4</v>
      </c>
      <c r="C503">
        <v>3.57E-4</v>
      </c>
      <c r="D503">
        <v>3.1700000000000001E-4</v>
      </c>
      <c r="E503">
        <v>3.2200000000000002E-4</v>
      </c>
      <c r="F503">
        <v>440038836</v>
      </c>
      <c r="G503">
        <v>0</v>
      </c>
      <c r="L503" t="s">
        <v>8</v>
      </c>
      <c r="M503" t="s">
        <v>7</v>
      </c>
      <c r="N503" t="s">
        <v>8</v>
      </c>
      <c r="P503">
        <f t="shared" si="979"/>
        <v>-0.74999999999999933</v>
      </c>
      <c r="Q503">
        <f t="shared" si="980"/>
        <v>-330029126.9999997</v>
      </c>
      <c r="R503">
        <f t="shared" si="981"/>
        <v>-10165471152.370693</v>
      </c>
      <c r="S503">
        <f t="shared" si="982"/>
        <v>-101654.71152370694</v>
      </c>
      <c r="T503">
        <f t="shared" si="983"/>
        <v>-101.65471152370694</v>
      </c>
    </row>
    <row r="504" spans="1:20" x14ac:dyDescent="0.25">
      <c r="A504" s="5">
        <v>44086</v>
      </c>
      <c r="B504">
        <v>3.3399999999999999E-4</v>
      </c>
      <c r="C504">
        <v>3.5300000000000002E-4</v>
      </c>
      <c r="D504">
        <v>3.2499999999999999E-4</v>
      </c>
      <c r="E504">
        <v>3.5199999999999999E-4</v>
      </c>
      <c r="F504">
        <v>696566737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0.92857142857142694</v>
      </c>
      <c r="Q504">
        <f t="shared" si="980"/>
        <v>646811970.07142746</v>
      </c>
      <c r="R504">
        <f t="shared" si="981"/>
        <v>-9835442025.3706932</v>
      </c>
      <c r="S504">
        <f t="shared" si="982"/>
        <v>-98354.420253706936</v>
      </c>
      <c r="T504">
        <f t="shared" si="983"/>
        <v>-98.354420253706934</v>
      </c>
    </row>
    <row r="505" spans="1:20" x14ac:dyDescent="0.25">
      <c r="A505" s="5">
        <v>44085</v>
      </c>
      <c r="B505">
        <v>3.3199999999999999E-4</v>
      </c>
      <c r="C505">
        <v>3.39E-4</v>
      </c>
      <c r="D505">
        <v>3.2000000000000003E-4</v>
      </c>
      <c r="E505">
        <v>3.3399999999999999E-4</v>
      </c>
      <c r="F505">
        <v>392033255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0.47368421052631371</v>
      </c>
      <c r="Q505">
        <f t="shared" si="980"/>
        <v>185699962.89473602</v>
      </c>
      <c r="R505">
        <f t="shared" si="981"/>
        <v>-10482253995.442122</v>
      </c>
      <c r="S505">
        <f t="shared" si="982"/>
        <v>-104822.53995442121</v>
      </c>
      <c r="T505">
        <f t="shared" si="983"/>
        <v>-104.82253995442122</v>
      </c>
    </row>
    <row r="506" spans="1:20" x14ac:dyDescent="0.25">
      <c r="A506" s="5">
        <v>44084</v>
      </c>
      <c r="B506">
        <v>3.4200000000000002E-4</v>
      </c>
      <c r="C506">
        <v>3.6400000000000001E-4</v>
      </c>
      <c r="D506">
        <v>3.2299999999999999E-4</v>
      </c>
      <c r="E506">
        <v>3.3199999999999999E-4</v>
      </c>
      <c r="F506">
        <v>663391493</v>
      </c>
      <c r="G506">
        <v>0</v>
      </c>
      <c r="L506" t="s">
        <v>7</v>
      </c>
      <c r="M506" t="s">
        <v>8</v>
      </c>
      <c r="N506" t="s">
        <v>8</v>
      </c>
      <c r="P506">
        <f t="shared" si="979"/>
        <v>-0.56097560975609773</v>
      </c>
      <c r="Q506">
        <f t="shared" si="980"/>
        <v>-372146447.29268306</v>
      </c>
      <c r="R506">
        <f t="shared" si="981"/>
        <v>-10667953958.336857</v>
      </c>
      <c r="S506">
        <f t="shared" si="982"/>
        <v>-106679.53958336856</v>
      </c>
      <c r="T506">
        <f t="shared" si="983"/>
        <v>-106.67953958336857</v>
      </c>
    </row>
    <row r="507" spans="1:20" x14ac:dyDescent="0.25">
      <c r="A507" s="5">
        <v>44083</v>
      </c>
      <c r="B507">
        <v>3.4699999999999998E-4</v>
      </c>
      <c r="C507">
        <v>3.5199999999999999E-4</v>
      </c>
      <c r="D507">
        <v>3.2299999999999999E-4</v>
      </c>
      <c r="E507">
        <v>3.4200000000000002E-4</v>
      </c>
      <c r="F507">
        <v>469343970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0.31034482758620885</v>
      </c>
      <c r="Q507">
        <f t="shared" si="980"/>
        <v>145658473.44827679</v>
      </c>
      <c r="R507">
        <f t="shared" si="981"/>
        <v>-10295807511.044174</v>
      </c>
      <c r="S507">
        <f t="shared" si="982"/>
        <v>-102958.07511044174</v>
      </c>
      <c r="T507">
        <f t="shared" si="983"/>
        <v>-102.95807511044174</v>
      </c>
    </row>
    <row r="508" spans="1:20" x14ac:dyDescent="0.25">
      <c r="A508" s="5">
        <v>44082</v>
      </c>
      <c r="B508">
        <v>3.1799999999999998E-4</v>
      </c>
      <c r="C508">
        <v>3.8099999999999999E-4</v>
      </c>
      <c r="D508">
        <v>3.0800000000000001E-4</v>
      </c>
      <c r="E508">
        <v>3.4600000000000001E-4</v>
      </c>
      <c r="F508">
        <v>1318483635</v>
      </c>
      <c r="G508">
        <v>0</v>
      </c>
      <c r="L508" t="s">
        <v>7</v>
      </c>
      <c r="M508" t="s">
        <v>8</v>
      </c>
      <c r="N508" t="s">
        <v>8</v>
      </c>
      <c r="P508">
        <f t="shared" si="979"/>
        <v>4.1095890410959166E-2</v>
      </c>
      <c r="Q508">
        <f t="shared" si="980"/>
        <v>54184258.972603083</v>
      </c>
      <c r="R508">
        <f t="shared" si="981"/>
        <v>-10441465984.492451</v>
      </c>
      <c r="S508">
        <f t="shared" si="982"/>
        <v>-104414.65984492451</v>
      </c>
      <c r="T508">
        <f t="shared" si="983"/>
        <v>-104.4146598449245</v>
      </c>
    </row>
    <row r="509" spans="1:20" x14ac:dyDescent="0.25">
      <c r="A509" s="5">
        <v>44081</v>
      </c>
      <c r="B509">
        <v>3.1700000000000001E-4</v>
      </c>
      <c r="C509">
        <v>3.2400000000000001E-4</v>
      </c>
      <c r="D509">
        <v>2.7500000000000002E-4</v>
      </c>
      <c r="E509">
        <v>3.1799999999999998E-4</v>
      </c>
      <c r="F509">
        <v>1106278489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0.75510204081632504</v>
      </c>
      <c r="Q509">
        <f t="shared" si="980"/>
        <v>835353144.75510037</v>
      </c>
      <c r="R509">
        <f t="shared" si="981"/>
        <v>-10495650243.465054</v>
      </c>
      <c r="S509">
        <f t="shared" si="982"/>
        <v>-104956.50243465054</v>
      </c>
      <c r="T509">
        <f t="shared" si="983"/>
        <v>-104.95650243465053</v>
      </c>
    </row>
    <row r="510" spans="1:20" x14ac:dyDescent="0.25">
      <c r="A510" s="5">
        <v>44080</v>
      </c>
      <c r="B510">
        <v>3.0499999999999999E-4</v>
      </c>
      <c r="C510">
        <v>3.2899999999999997E-4</v>
      </c>
      <c r="D510">
        <v>2.8800000000000001E-4</v>
      </c>
      <c r="E510">
        <v>3.1700000000000001E-4</v>
      </c>
      <c r="F510">
        <v>1104072135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0.41463414634146456</v>
      </c>
      <c r="Q510">
        <f t="shared" si="980"/>
        <v>457786007.1951232</v>
      </c>
      <c r="R510">
        <f t="shared" si="981"/>
        <v>-11331003388.220154</v>
      </c>
      <c r="S510">
        <f t="shared" si="982"/>
        <v>-113310.03388220153</v>
      </c>
      <c r="T510">
        <f t="shared" si="983"/>
        <v>-113.31003388220154</v>
      </c>
    </row>
    <row r="511" spans="1:20" x14ac:dyDescent="0.25">
      <c r="A511" s="5">
        <v>44079</v>
      </c>
      <c r="B511">
        <v>3.7100000000000002E-4</v>
      </c>
      <c r="C511">
        <v>3.8000000000000002E-4</v>
      </c>
      <c r="D511">
        <v>2.8600000000000001E-4</v>
      </c>
      <c r="E511">
        <v>3.0499999999999999E-4</v>
      </c>
      <c r="F511">
        <v>1000339758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-0.59574468085106447</v>
      </c>
      <c r="Q511">
        <f t="shared" si="980"/>
        <v>-595947089.87234104</v>
      </c>
      <c r="R511">
        <f t="shared" si="981"/>
        <v>-11788789395.415277</v>
      </c>
      <c r="S511">
        <f t="shared" si="982"/>
        <v>-117887.89395415278</v>
      </c>
      <c r="T511">
        <f t="shared" si="983"/>
        <v>-117.88789395415277</v>
      </c>
    </row>
    <row r="512" spans="1:20" x14ac:dyDescent="0.25">
      <c r="A512" s="5">
        <v>44078</v>
      </c>
      <c r="B512">
        <v>3.8000000000000002E-4</v>
      </c>
      <c r="C512">
        <v>3.9199999999999999E-4</v>
      </c>
      <c r="D512">
        <v>3.5E-4</v>
      </c>
      <c r="E512">
        <v>3.7100000000000002E-4</v>
      </c>
      <c r="F512">
        <v>787334038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1.2907168720065533E-15</v>
      </c>
      <c r="Q512">
        <f t="shared" si="980"/>
        <v>1.0162253267516486E-6</v>
      </c>
      <c r="R512">
        <f t="shared" si="981"/>
        <v>-11192842305.542936</v>
      </c>
      <c r="S512">
        <f t="shared" si="982"/>
        <v>-111928.42305542936</v>
      </c>
      <c r="T512">
        <f t="shared" si="983"/>
        <v>-111.92842305542936</v>
      </c>
    </row>
    <row r="513" spans="1:20" x14ac:dyDescent="0.25">
      <c r="A513" s="5">
        <v>44077</v>
      </c>
      <c r="B513">
        <v>4.5600000000000003E-4</v>
      </c>
      <c r="C513">
        <v>4.5600000000000003E-4</v>
      </c>
      <c r="D513">
        <v>3.6400000000000001E-4</v>
      </c>
      <c r="E513">
        <v>3.79E-4</v>
      </c>
      <c r="F513">
        <v>1321402035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-0.6739130434782612</v>
      </c>
      <c r="Q513">
        <f t="shared" si="980"/>
        <v>-890510067.06521785</v>
      </c>
      <c r="R513">
        <f t="shared" si="981"/>
        <v>-11192842305.542938</v>
      </c>
      <c r="S513">
        <f t="shared" si="982"/>
        <v>-111928.42305542938</v>
      </c>
      <c r="T513">
        <f t="shared" si="983"/>
        <v>-111.92842305542938</v>
      </c>
    </row>
    <row r="514" spans="1:20" x14ac:dyDescent="0.25">
      <c r="A514" s="5">
        <v>44076</v>
      </c>
      <c r="B514">
        <v>4.7100000000000001E-4</v>
      </c>
      <c r="C514">
        <v>4.9100000000000001E-4</v>
      </c>
      <c r="D514">
        <v>4.2200000000000001E-4</v>
      </c>
      <c r="E514">
        <v>4.5600000000000003E-4</v>
      </c>
      <c r="F514">
        <v>999045492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-1.4492753623187972E-2</v>
      </c>
      <c r="Q514">
        <f t="shared" si="980"/>
        <v>-14478920.173912611</v>
      </c>
      <c r="R514">
        <f t="shared" si="981"/>
        <v>-10302332238.47772</v>
      </c>
      <c r="S514">
        <f t="shared" si="982"/>
        <v>-103023.3223847772</v>
      </c>
      <c r="T514">
        <f t="shared" si="983"/>
        <v>-103.0233223847772</v>
      </c>
    </row>
    <row r="515" spans="1:20" x14ac:dyDescent="0.25">
      <c r="A515" s="5">
        <v>44075</v>
      </c>
      <c r="B515">
        <v>4.9299999999999995E-4</v>
      </c>
      <c r="C515">
        <v>5.0100000000000003E-4</v>
      </c>
      <c r="D515">
        <v>4.6999999999999999E-4</v>
      </c>
      <c r="E515">
        <v>4.7100000000000001E-4</v>
      </c>
      <c r="F515">
        <v>802651730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-0.93548387096774044</v>
      </c>
      <c r="Q515">
        <f t="shared" si="980"/>
        <v>-750867747.4193536</v>
      </c>
      <c r="R515">
        <f t="shared" si="981"/>
        <v>-10287853318.303808</v>
      </c>
      <c r="S515">
        <f t="shared" si="982"/>
        <v>-102878.53318303809</v>
      </c>
      <c r="T515">
        <f t="shared" si="983"/>
        <v>-102.87853318303809</v>
      </c>
    </row>
    <row r="516" spans="1:20" x14ac:dyDescent="0.25">
      <c r="A516" s="5">
        <v>44074</v>
      </c>
      <c r="B516">
        <v>4.9600000000000002E-4</v>
      </c>
      <c r="C516">
        <v>5.1500000000000005E-4</v>
      </c>
      <c r="D516">
        <v>4.75E-4</v>
      </c>
      <c r="E516">
        <v>4.9299999999999995E-4</v>
      </c>
      <c r="F516">
        <v>845863222</v>
      </c>
      <c r="G516">
        <v>0</v>
      </c>
      <c r="L516" t="s">
        <v>7</v>
      </c>
      <c r="M516" t="s">
        <v>8</v>
      </c>
      <c r="N516" t="s">
        <v>7</v>
      </c>
      <c r="P516">
        <f t="shared" si="979"/>
        <v>-0.10000000000000366</v>
      </c>
      <c r="Q516">
        <f t="shared" si="980"/>
        <v>-84586322.200003088</v>
      </c>
      <c r="R516">
        <f t="shared" si="981"/>
        <v>-9536985570.8844547</v>
      </c>
      <c r="S516">
        <f t="shared" si="982"/>
        <v>-95369.855708844552</v>
      </c>
      <c r="T516">
        <f t="shared" si="983"/>
        <v>-95.369855708844554</v>
      </c>
    </row>
    <row r="517" spans="1:20" x14ac:dyDescent="0.25">
      <c r="A517" s="5">
        <v>44073</v>
      </c>
      <c r="B517">
        <v>4.9200000000000003E-4</v>
      </c>
      <c r="C517">
        <v>5.04E-4</v>
      </c>
      <c r="D517">
        <v>4.75E-4</v>
      </c>
      <c r="E517">
        <v>4.95E-4</v>
      </c>
      <c r="F517">
        <v>566797355</v>
      </c>
      <c r="G517">
        <v>0</v>
      </c>
      <c r="L517" t="s">
        <v>8</v>
      </c>
      <c r="M517" t="s">
        <v>8</v>
      </c>
      <c r="N517" t="s">
        <v>7</v>
      </c>
      <c r="P517">
        <f t="shared" si="979"/>
        <v>0.37931034482758608</v>
      </c>
      <c r="Q517">
        <f t="shared" si="980"/>
        <v>214992100.17241371</v>
      </c>
      <c r="R517">
        <f t="shared" si="981"/>
        <v>-9452399248.6844521</v>
      </c>
      <c r="S517">
        <f t="shared" si="982"/>
        <v>-94523.992486844523</v>
      </c>
      <c r="T517">
        <f t="shared" si="983"/>
        <v>-94.52399248684452</v>
      </c>
    </row>
    <row r="518" spans="1:20" x14ac:dyDescent="0.25">
      <c r="A518" s="5">
        <v>44072</v>
      </c>
      <c r="B518">
        <v>4.86E-4</v>
      </c>
      <c r="C518">
        <v>4.9899999999999999E-4</v>
      </c>
      <c r="D518">
        <v>4.73E-4</v>
      </c>
      <c r="E518">
        <v>4.9299999999999995E-4</v>
      </c>
      <c r="F518">
        <v>488974547</v>
      </c>
      <c r="G518">
        <v>0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0.53846153846153522</v>
      </c>
      <c r="Q518">
        <f t="shared" ref="Q518:Q581" si="985">F518*P518</f>
        <v>263293986.84615225</v>
      </c>
      <c r="R518">
        <f t="shared" ref="R518:R581" si="986">R519+Q518</f>
        <v>-9667391348.8568649</v>
      </c>
      <c r="S518">
        <f t="shared" ref="S518:S581" si="987">R518/100000</f>
        <v>-96673.913488568651</v>
      </c>
      <c r="T518">
        <f t="shared" ref="T518:T581" si="988">S518/1000</f>
        <v>-96.673913488568644</v>
      </c>
    </row>
    <row r="519" spans="1:20" x14ac:dyDescent="0.25">
      <c r="A519" s="5">
        <v>44071</v>
      </c>
      <c r="B519">
        <v>4.5300000000000001E-4</v>
      </c>
      <c r="C519">
        <v>5.0600000000000005E-4</v>
      </c>
      <c r="D519">
        <v>4.4900000000000002E-4</v>
      </c>
      <c r="E519">
        <v>4.86E-4</v>
      </c>
      <c r="F519">
        <v>713327904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0.29824561403508626</v>
      </c>
      <c r="Q519">
        <f t="shared" si="985"/>
        <v>212746918.73684105</v>
      </c>
      <c r="R519">
        <f t="shared" si="986"/>
        <v>-9930685335.7030163</v>
      </c>
      <c r="S519">
        <f t="shared" si="987"/>
        <v>-99306.853357030166</v>
      </c>
      <c r="T519">
        <f t="shared" si="988"/>
        <v>-99.306853357030164</v>
      </c>
    </row>
    <row r="520" spans="1:20" x14ac:dyDescent="0.25">
      <c r="A520" s="5">
        <v>44070</v>
      </c>
      <c r="B520">
        <v>4.8799999999999999E-4</v>
      </c>
      <c r="C520">
        <v>5.0799999999999999E-4</v>
      </c>
      <c r="D520">
        <v>4.44E-4</v>
      </c>
      <c r="E520">
        <v>4.5300000000000001E-4</v>
      </c>
      <c r="F520">
        <v>1096876183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-0.71874999999999989</v>
      </c>
      <c r="Q520">
        <f t="shared" si="985"/>
        <v>-788379756.53124988</v>
      </c>
      <c r="R520">
        <f t="shared" si="986"/>
        <v>-10143432254.439857</v>
      </c>
      <c r="S520">
        <f t="shared" si="987"/>
        <v>-101434.32254439857</v>
      </c>
      <c r="T520">
        <f t="shared" si="988"/>
        <v>-101.43432254439857</v>
      </c>
    </row>
    <row r="521" spans="1:20" x14ac:dyDescent="0.25">
      <c r="A521" s="5">
        <v>44069</v>
      </c>
      <c r="B521">
        <v>4.4000000000000002E-4</v>
      </c>
      <c r="C521">
        <v>5.13E-4</v>
      </c>
      <c r="D521">
        <v>4.3199999999999998E-4</v>
      </c>
      <c r="E521">
        <v>4.8899999999999996E-4</v>
      </c>
      <c r="F521">
        <v>1448774902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0.4074074074074065</v>
      </c>
      <c r="Q521">
        <f t="shared" si="985"/>
        <v>590241626.74073946</v>
      </c>
      <c r="R521">
        <f t="shared" si="986"/>
        <v>-9355052497.9086075</v>
      </c>
      <c r="S521">
        <f t="shared" si="987"/>
        <v>-93550.524979086069</v>
      </c>
      <c r="T521">
        <f t="shared" si="988"/>
        <v>-93.550524979086063</v>
      </c>
    </row>
    <row r="522" spans="1:20" x14ac:dyDescent="0.25">
      <c r="A522" s="5">
        <v>44068</v>
      </c>
      <c r="B522">
        <v>4.8700000000000002E-4</v>
      </c>
      <c r="C522">
        <v>5.3300000000000005E-4</v>
      </c>
      <c r="D522">
        <v>4.08E-4</v>
      </c>
      <c r="E522">
        <v>4.4000000000000002E-4</v>
      </c>
      <c r="F522">
        <v>1847243726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-0.48799999999999993</v>
      </c>
      <c r="Q522">
        <f t="shared" si="985"/>
        <v>-901454938.28799987</v>
      </c>
      <c r="R522">
        <f t="shared" si="986"/>
        <v>-9945294124.6493473</v>
      </c>
      <c r="S522">
        <f t="shared" si="987"/>
        <v>-99452.941246493472</v>
      </c>
      <c r="T522">
        <f t="shared" si="988"/>
        <v>-99.452941246493467</v>
      </c>
    </row>
    <row r="523" spans="1:20" x14ac:dyDescent="0.25">
      <c r="A523" s="5">
        <v>44067</v>
      </c>
      <c r="B523">
        <v>4.7100000000000001E-4</v>
      </c>
      <c r="C523">
        <v>4.9399999999999997E-4</v>
      </c>
      <c r="D523">
        <v>4.6200000000000001E-4</v>
      </c>
      <c r="E523">
        <v>4.8700000000000002E-4</v>
      </c>
      <c r="F523">
        <v>590354237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0.56250000000000244</v>
      </c>
      <c r="Q523">
        <f t="shared" si="985"/>
        <v>332074258.31250143</v>
      </c>
      <c r="R523">
        <f t="shared" si="986"/>
        <v>-9043839186.3613472</v>
      </c>
      <c r="S523">
        <f t="shared" si="987"/>
        <v>-90438.391863613477</v>
      </c>
      <c r="T523">
        <f t="shared" si="988"/>
        <v>-90.438391863613475</v>
      </c>
    </row>
    <row r="524" spans="1:20" x14ac:dyDescent="0.25">
      <c r="A524" s="5">
        <v>44066</v>
      </c>
      <c r="B524">
        <v>4.8099999999999998E-4</v>
      </c>
      <c r="C524">
        <v>5.0000000000000001E-4</v>
      </c>
      <c r="D524">
        <v>4.6000000000000001E-4</v>
      </c>
      <c r="E524">
        <v>4.7199999999999998E-4</v>
      </c>
      <c r="F524">
        <v>820459335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-0.40000000000000163</v>
      </c>
      <c r="Q524">
        <f t="shared" si="985"/>
        <v>-328183734.00000131</v>
      </c>
      <c r="R524">
        <f t="shared" si="986"/>
        <v>-9375913444.6738491</v>
      </c>
      <c r="S524">
        <f t="shared" si="987"/>
        <v>-93759.134446738492</v>
      </c>
      <c r="T524">
        <f t="shared" si="988"/>
        <v>-93.759134446738486</v>
      </c>
    </row>
    <row r="525" spans="1:20" x14ac:dyDescent="0.25">
      <c r="A525" s="5">
        <v>44065</v>
      </c>
      <c r="B525">
        <v>4.84E-4</v>
      </c>
      <c r="C525">
        <v>4.86E-4</v>
      </c>
      <c r="D525">
        <v>4.5800000000000002E-4</v>
      </c>
      <c r="E525">
        <v>4.8099999999999998E-4</v>
      </c>
      <c r="F525">
        <v>922175550</v>
      </c>
      <c r="G525">
        <v>0</v>
      </c>
      <c r="L525" t="s">
        <v>8</v>
      </c>
      <c r="M525" t="s">
        <v>7</v>
      </c>
      <c r="N525" t="s">
        <v>7</v>
      </c>
      <c r="P525">
        <f t="shared" si="984"/>
        <v>0.64285714285714157</v>
      </c>
      <c r="Q525">
        <f t="shared" si="985"/>
        <v>592827139.28571308</v>
      </c>
      <c r="R525">
        <f t="shared" si="986"/>
        <v>-9047729710.6738472</v>
      </c>
      <c r="S525">
        <f t="shared" si="987"/>
        <v>-90477.297106738479</v>
      </c>
      <c r="T525">
        <f t="shared" si="988"/>
        <v>-90.477297106738476</v>
      </c>
    </row>
    <row r="526" spans="1:20" x14ac:dyDescent="0.25">
      <c r="A526" s="5">
        <v>44064</v>
      </c>
      <c r="B526">
        <v>5.2499999999999997E-4</v>
      </c>
      <c r="C526">
        <v>5.4199999999999995E-4</v>
      </c>
      <c r="D526">
        <v>4.7600000000000002E-4</v>
      </c>
      <c r="E526">
        <v>4.8299999999999998E-4</v>
      </c>
      <c r="F526">
        <v>1492841586</v>
      </c>
      <c r="G526">
        <v>0</v>
      </c>
      <c r="L526" t="s">
        <v>7</v>
      </c>
      <c r="M526" t="s">
        <v>7</v>
      </c>
      <c r="N526" t="s">
        <v>7</v>
      </c>
      <c r="P526">
        <f t="shared" si="984"/>
        <v>-0.78787878787878907</v>
      </c>
      <c r="Q526">
        <f t="shared" si="985"/>
        <v>-1176178219.2727292</v>
      </c>
      <c r="R526">
        <f t="shared" si="986"/>
        <v>-9640556849.9595604</v>
      </c>
      <c r="S526">
        <f t="shared" si="987"/>
        <v>-96405.568499595611</v>
      </c>
      <c r="T526">
        <f t="shared" si="988"/>
        <v>-96.405568499595617</v>
      </c>
    </row>
    <row r="527" spans="1:20" x14ac:dyDescent="0.25">
      <c r="A527" s="5">
        <v>44063</v>
      </c>
      <c r="B527">
        <v>5.3700000000000004E-4</v>
      </c>
      <c r="C527">
        <v>5.5500000000000005E-4</v>
      </c>
      <c r="D527">
        <v>5.04E-4</v>
      </c>
      <c r="E527">
        <v>5.2700000000000002E-4</v>
      </c>
      <c r="F527">
        <v>1104438758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-9.8039215686274675E-2</v>
      </c>
      <c r="Q527">
        <f t="shared" si="985"/>
        <v>-108278309.60784332</v>
      </c>
      <c r="R527">
        <f t="shared" si="986"/>
        <v>-8464378630.6868305</v>
      </c>
      <c r="S527">
        <f t="shared" si="987"/>
        <v>-84643.786306868307</v>
      </c>
      <c r="T527">
        <f t="shared" si="988"/>
        <v>-84.643786306868307</v>
      </c>
    </row>
    <row r="528" spans="1:20" x14ac:dyDescent="0.25">
      <c r="A528" s="5">
        <v>44062</v>
      </c>
      <c r="B528">
        <v>5.5800000000000001E-4</v>
      </c>
      <c r="C528">
        <v>5.71E-4</v>
      </c>
      <c r="D528">
        <v>5.0600000000000005E-4</v>
      </c>
      <c r="E528">
        <v>5.3700000000000004E-4</v>
      </c>
      <c r="F528">
        <v>1047706330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-4.6153846153845643E-2</v>
      </c>
      <c r="Q528">
        <f t="shared" si="985"/>
        <v>-48355676.769230232</v>
      </c>
      <c r="R528">
        <f t="shared" si="986"/>
        <v>-8356100321.0789871</v>
      </c>
      <c r="S528">
        <f t="shared" si="987"/>
        <v>-83561.003210789873</v>
      </c>
      <c r="T528">
        <f t="shared" si="988"/>
        <v>-83.561003210789877</v>
      </c>
    </row>
    <row r="529" spans="1:20" x14ac:dyDescent="0.25">
      <c r="A529" s="5">
        <v>44061</v>
      </c>
      <c r="B529">
        <v>6.0300000000000002E-4</v>
      </c>
      <c r="C529">
        <v>6.4899999999999995E-4</v>
      </c>
      <c r="D529">
        <v>5.3300000000000005E-4</v>
      </c>
      <c r="E529">
        <v>5.5699999999999999E-4</v>
      </c>
      <c r="F529">
        <v>2130642638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-0.58620689655172487</v>
      </c>
      <c r="Q529">
        <f t="shared" si="985"/>
        <v>-1248997408.4827602</v>
      </c>
      <c r="R529">
        <f t="shared" si="986"/>
        <v>-8307744644.3097572</v>
      </c>
      <c r="S529">
        <f t="shared" si="987"/>
        <v>-83077.446443097579</v>
      </c>
      <c r="T529">
        <f t="shared" si="988"/>
        <v>-83.077446443097585</v>
      </c>
    </row>
    <row r="530" spans="1:20" x14ac:dyDescent="0.25">
      <c r="A530" s="5">
        <v>44060</v>
      </c>
      <c r="B530">
        <v>5.6800000000000004E-4</v>
      </c>
      <c r="C530">
        <v>6.2E-4</v>
      </c>
      <c r="D530">
        <v>5.5099999999999995E-4</v>
      </c>
      <c r="E530">
        <v>5.9999999999999995E-4</v>
      </c>
      <c r="F530">
        <v>1174690743</v>
      </c>
      <c r="G530">
        <v>0</v>
      </c>
      <c r="L530" t="s">
        <v>7</v>
      </c>
      <c r="M530" t="s">
        <v>8</v>
      </c>
      <c r="N530" t="s">
        <v>8</v>
      </c>
      <c r="P530">
        <f t="shared" si="984"/>
        <v>0.42028985507246269</v>
      </c>
      <c r="Q530">
        <f t="shared" si="985"/>
        <v>493710602.1304335</v>
      </c>
      <c r="R530">
        <f t="shared" si="986"/>
        <v>-7058747235.8269968</v>
      </c>
      <c r="S530">
        <f t="shared" si="987"/>
        <v>-70587.472358269966</v>
      </c>
      <c r="T530">
        <f t="shared" si="988"/>
        <v>-70.587472358269963</v>
      </c>
    </row>
    <row r="531" spans="1:20" x14ac:dyDescent="0.25">
      <c r="A531" s="5">
        <v>44059</v>
      </c>
      <c r="B531">
        <v>5.3899999999999998E-4</v>
      </c>
      <c r="C531">
        <v>5.8E-4</v>
      </c>
      <c r="D531">
        <v>5.3200000000000003E-4</v>
      </c>
      <c r="E531">
        <v>5.6800000000000004E-4</v>
      </c>
      <c r="F531">
        <v>777832860</v>
      </c>
      <c r="G531">
        <v>0</v>
      </c>
      <c r="L531" t="s">
        <v>8</v>
      </c>
      <c r="M531" t="s">
        <v>8</v>
      </c>
      <c r="N531" t="s">
        <v>8</v>
      </c>
      <c r="P531">
        <f t="shared" si="984"/>
        <v>0.50000000000000111</v>
      </c>
      <c r="Q531">
        <f t="shared" si="985"/>
        <v>388916430.00000083</v>
      </c>
      <c r="R531">
        <f t="shared" si="986"/>
        <v>-7552457837.9574299</v>
      </c>
      <c r="S531">
        <f t="shared" si="987"/>
        <v>-75524.578379574305</v>
      </c>
      <c r="T531">
        <f t="shared" si="988"/>
        <v>-75.524578379574308</v>
      </c>
    </row>
    <row r="532" spans="1:20" x14ac:dyDescent="0.25">
      <c r="A532" s="5">
        <v>44058</v>
      </c>
      <c r="B532">
        <v>5.7799999999999995E-4</v>
      </c>
      <c r="C532">
        <v>5.7799999999999995E-4</v>
      </c>
      <c r="D532">
        <v>5.2999999999999998E-4</v>
      </c>
      <c r="E532">
        <v>5.4000000000000001E-4</v>
      </c>
      <c r="F532">
        <v>558578854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-0.58333333333333204</v>
      </c>
      <c r="Q532">
        <f t="shared" si="985"/>
        <v>-325837664.8333326</v>
      </c>
      <c r="R532">
        <f t="shared" si="986"/>
        <v>-7941374267.9574308</v>
      </c>
      <c r="S532">
        <f t="shared" si="987"/>
        <v>-79413.742679574309</v>
      </c>
      <c r="T532">
        <f t="shared" si="988"/>
        <v>-79.413742679574312</v>
      </c>
    </row>
    <row r="533" spans="1:20" x14ac:dyDescent="0.25">
      <c r="A533" s="5">
        <v>44057</v>
      </c>
      <c r="B533">
        <v>5.2499999999999997E-4</v>
      </c>
      <c r="C533">
        <v>5.8900000000000001E-4</v>
      </c>
      <c r="D533">
        <v>5.1500000000000005E-4</v>
      </c>
      <c r="E533">
        <v>5.7600000000000001E-4</v>
      </c>
      <c r="F533">
        <v>1554463103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0.64864864864864868</v>
      </c>
      <c r="Q533">
        <f t="shared" si="985"/>
        <v>1008300391.1351352</v>
      </c>
      <c r="R533">
        <f t="shared" si="986"/>
        <v>-7615536603.1240978</v>
      </c>
      <c r="S533">
        <f t="shared" si="987"/>
        <v>-76155.366031240977</v>
      </c>
      <c r="T533">
        <f t="shared" si="988"/>
        <v>-76.155366031240973</v>
      </c>
    </row>
    <row r="534" spans="1:20" x14ac:dyDescent="0.25">
      <c r="A534" s="5">
        <v>44056</v>
      </c>
      <c r="B534">
        <v>5.3899999999999998E-4</v>
      </c>
      <c r="C534">
        <v>5.4600000000000004E-4</v>
      </c>
      <c r="D534">
        <v>4.9799999999999996E-4</v>
      </c>
      <c r="E534">
        <v>5.22E-4</v>
      </c>
      <c r="F534">
        <v>942823916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</v>
      </c>
      <c r="Q534">
        <f t="shared" si="985"/>
        <v>0</v>
      </c>
      <c r="R534">
        <f t="shared" si="986"/>
        <v>-8623836994.2592335</v>
      </c>
      <c r="S534">
        <f t="shared" si="987"/>
        <v>-86238.369942592341</v>
      </c>
      <c r="T534">
        <f t="shared" si="988"/>
        <v>-86.238369942592342</v>
      </c>
    </row>
    <row r="535" spans="1:20" x14ac:dyDescent="0.25">
      <c r="A535" s="5">
        <v>44055</v>
      </c>
      <c r="B535">
        <v>5.0000000000000001E-4</v>
      </c>
      <c r="C535">
        <v>5.4500000000000002E-4</v>
      </c>
      <c r="D535">
        <v>4.7699999999999999E-4</v>
      </c>
      <c r="E535">
        <v>5.3799999999999996E-4</v>
      </c>
      <c r="F535">
        <v>1069892296</v>
      </c>
      <c r="G535">
        <v>0</v>
      </c>
      <c r="L535" t="s">
        <v>8</v>
      </c>
      <c r="M535" t="s">
        <v>7</v>
      </c>
      <c r="N535" t="s">
        <v>8</v>
      </c>
      <c r="P535">
        <f t="shared" si="984"/>
        <v>0.79411764705882182</v>
      </c>
      <c r="Q535">
        <f t="shared" si="985"/>
        <v>849620352.70588052</v>
      </c>
      <c r="R535">
        <f t="shared" si="986"/>
        <v>-8623836994.2592335</v>
      </c>
      <c r="S535">
        <f t="shared" si="987"/>
        <v>-86238.369942592341</v>
      </c>
      <c r="T535">
        <f t="shared" si="988"/>
        <v>-86.238369942592342</v>
      </c>
    </row>
    <row r="536" spans="1:20" x14ac:dyDescent="0.25">
      <c r="A536" s="5">
        <v>44054</v>
      </c>
      <c r="B536">
        <v>5.6300000000000002E-4</v>
      </c>
      <c r="C536">
        <v>5.7300000000000005E-4</v>
      </c>
      <c r="D536">
        <v>4.86E-4</v>
      </c>
      <c r="E536">
        <v>4.9899999999999999E-4</v>
      </c>
      <c r="F536">
        <v>1707507387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-0.70114942528735669</v>
      </c>
      <c r="Q536">
        <f t="shared" si="985"/>
        <v>-1197217823.0689662</v>
      </c>
      <c r="R536">
        <f t="shared" si="986"/>
        <v>-9473457346.9651146</v>
      </c>
      <c r="S536">
        <f t="shared" si="987"/>
        <v>-94734.57346965115</v>
      </c>
      <c r="T536">
        <f t="shared" si="988"/>
        <v>-94.734573469651153</v>
      </c>
    </row>
    <row r="537" spans="1:20" x14ac:dyDescent="0.25">
      <c r="A537" s="5">
        <v>44053</v>
      </c>
      <c r="B537">
        <v>5.8200000000000005E-4</v>
      </c>
      <c r="C537">
        <v>5.9500000000000004E-4</v>
      </c>
      <c r="D537">
        <v>5.4600000000000004E-4</v>
      </c>
      <c r="E537">
        <v>5.62E-4</v>
      </c>
      <c r="F537">
        <v>1441626170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-0.34693877551020591</v>
      </c>
      <c r="Q537">
        <f t="shared" si="985"/>
        <v>-500156018.16326797</v>
      </c>
      <c r="R537">
        <f t="shared" si="986"/>
        <v>-8276239523.8961477</v>
      </c>
      <c r="S537">
        <f t="shared" si="987"/>
        <v>-82762.395238961471</v>
      </c>
      <c r="T537">
        <f t="shared" si="988"/>
        <v>-82.762395238961474</v>
      </c>
    </row>
    <row r="538" spans="1:20" x14ac:dyDescent="0.25">
      <c r="A538" s="5">
        <v>44052</v>
      </c>
      <c r="B538">
        <v>6.0499999999999996E-4</v>
      </c>
      <c r="C538">
        <v>6.2299999999999996E-4</v>
      </c>
      <c r="D538">
        <v>5.5500000000000005E-4</v>
      </c>
      <c r="E538">
        <v>5.8200000000000005E-4</v>
      </c>
      <c r="F538">
        <v>1389587851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-0.20588235294117535</v>
      </c>
      <c r="Q538">
        <f t="shared" si="985"/>
        <v>-286091616.3823514</v>
      </c>
      <c r="R538">
        <f t="shared" si="986"/>
        <v>-7776083505.7328796</v>
      </c>
      <c r="S538">
        <f t="shared" si="987"/>
        <v>-77760.83505732879</v>
      </c>
      <c r="T538">
        <f t="shared" si="988"/>
        <v>-77.760835057328791</v>
      </c>
    </row>
    <row r="539" spans="1:20" x14ac:dyDescent="0.25">
      <c r="A539" s="5">
        <v>44051</v>
      </c>
      <c r="B539">
        <v>5.4500000000000002E-4</v>
      </c>
      <c r="C539">
        <v>6.0999999999999997E-4</v>
      </c>
      <c r="D539">
        <v>5.4500000000000002E-4</v>
      </c>
      <c r="E539">
        <v>6.0499999999999996E-4</v>
      </c>
      <c r="F539">
        <v>1723565297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0.84615384615384559</v>
      </c>
      <c r="Q539">
        <f t="shared" si="985"/>
        <v>1458401405.1538451</v>
      </c>
      <c r="R539">
        <f t="shared" si="986"/>
        <v>-7489991889.3505287</v>
      </c>
      <c r="S539">
        <f t="shared" si="987"/>
        <v>-74899.918893505281</v>
      </c>
      <c r="T539">
        <f t="shared" si="988"/>
        <v>-74.899918893505287</v>
      </c>
    </row>
    <row r="540" spans="1:20" x14ac:dyDescent="0.25">
      <c r="A540" s="5">
        <v>44050</v>
      </c>
      <c r="B540">
        <v>5.1500000000000005E-4</v>
      </c>
      <c r="C540">
        <v>6.3000000000000003E-4</v>
      </c>
      <c r="D540">
        <v>5.0799999999999999E-4</v>
      </c>
      <c r="E540">
        <v>5.4500000000000002E-4</v>
      </c>
      <c r="F540">
        <v>3671575576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-0.39344262295081933</v>
      </c>
      <c r="Q540">
        <f t="shared" si="985"/>
        <v>-1444554324.9836054</v>
      </c>
      <c r="R540">
        <f t="shared" si="986"/>
        <v>-8948393294.5043736</v>
      </c>
      <c r="S540">
        <f t="shared" si="987"/>
        <v>-89483.932945043736</v>
      </c>
      <c r="T540">
        <f t="shared" si="988"/>
        <v>-89.483932945043733</v>
      </c>
    </row>
    <row r="541" spans="1:20" x14ac:dyDescent="0.25">
      <c r="A541" s="5">
        <v>44049</v>
      </c>
      <c r="B541">
        <v>4.66E-4</v>
      </c>
      <c r="C541">
        <v>5.2599999999999999E-4</v>
      </c>
      <c r="D541">
        <v>4.6000000000000001E-4</v>
      </c>
      <c r="E541">
        <v>5.1500000000000005E-4</v>
      </c>
      <c r="F541">
        <v>1226670341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0.66666666666666829</v>
      </c>
      <c r="Q541">
        <f t="shared" si="985"/>
        <v>817780227.33333528</v>
      </c>
      <c r="R541">
        <f t="shared" si="986"/>
        <v>-7503838969.5207682</v>
      </c>
      <c r="S541">
        <f t="shared" si="987"/>
        <v>-75038.389695207676</v>
      </c>
      <c r="T541">
        <f t="shared" si="988"/>
        <v>-75.03838969520767</v>
      </c>
    </row>
    <row r="542" spans="1:20" x14ac:dyDescent="0.25">
      <c r="A542" s="5">
        <v>44048</v>
      </c>
      <c r="B542">
        <v>4.5899999999999999E-4</v>
      </c>
      <c r="C542">
        <v>4.6999999999999999E-4</v>
      </c>
      <c r="D542">
        <v>4.5100000000000001E-4</v>
      </c>
      <c r="E542">
        <v>4.66E-4</v>
      </c>
      <c r="F542">
        <v>444150972</v>
      </c>
      <c r="G542">
        <v>0</v>
      </c>
      <c r="L542" t="s">
        <v>7</v>
      </c>
      <c r="M542" t="s">
        <v>8</v>
      </c>
      <c r="N542" t="s">
        <v>8</v>
      </c>
      <c r="P542">
        <f t="shared" si="984"/>
        <v>0.57894736842105321</v>
      </c>
      <c r="Q542">
        <f t="shared" si="985"/>
        <v>257140036.4210529</v>
      </c>
      <c r="R542">
        <f t="shared" si="986"/>
        <v>-8321619196.8541031</v>
      </c>
      <c r="S542">
        <f t="shared" si="987"/>
        <v>-83216.191968541025</v>
      </c>
      <c r="T542">
        <f t="shared" si="988"/>
        <v>-83.216191968541025</v>
      </c>
    </row>
    <row r="543" spans="1:20" x14ac:dyDescent="0.25">
      <c r="A543" s="5">
        <v>44047</v>
      </c>
      <c r="B543">
        <v>4.5800000000000002E-4</v>
      </c>
      <c r="C543">
        <v>4.66E-4</v>
      </c>
      <c r="D543">
        <v>4.4999999999999999E-4</v>
      </c>
      <c r="E543">
        <v>4.5899999999999999E-4</v>
      </c>
      <c r="F543">
        <v>254013897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0.12499999999999957</v>
      </c>
      <c r="Q543">
        <f t="shared" si="985"/>
        <v>31751737.124999892</v>
      </c>
      <c r="R543">
        <f t="shared" si="986"/>
        <v>-8578759233.275156</v>
      </c>
      <c r="S543">
        <f t="shared" si="987"/>
        <v>-85787.592332751563</v>
      </c>
      <c r="T543">
        <f t="shared" si="988"/>
        <v>-85.787592332751558</v>
      </c>
    </row>
    <row r="544" spans="1:20" x14ac:dyDescent="0.25">
      <c r="A544" s="5">
        <v>44046</v>
      </c>
      <c r="B544">
        <v>4.4799999999999999E-4</v>
      </c>
      <c r="C544">
        <v>4.8700000000000002E-4</v>
      </c>
      <c r="D544">
        <v>4.4099999999999999E-4</v>
      </c>
      <c r="E544">
        <v>4.57E-4</v>
      </c>
      <c r="F544">
        <v>489265890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-0.3043478260869566</v>
      </c>
      <c r="Q544">
        <f t="shared" si="985"/>
        <v>-148907010.00000003</v>
      </c>
      <c r="R544">
        <f t="shared" si="986"/>
        <v>-8610510970.400156</v>
      </c>
      <c r="S544">
        <f t="shared" si="987"/>
        <v>-86105.109704001559</v>
      </c>
      <c r="T544">
        <f t="shared" si="988"/>
        <v>-86.105109704001563</v>
      </c>
    </row>
    <row r="545" spans="1:20" x14ac:dyDescent="0.25">
      <c r="A545" s="5">
        <v>44045</v>
      </c>
      <c r="B545">
        <v>4.5899999999999999E-4</v>
      </c>
      <c r="C545">
        <v>4.6900000000000002E-4</v>
      </c>
      <c r="D545">
        <v>4.3199999999999998E-4</v>
      </c>
      <c r="E545">
        <v>4.4799999999999999E-4</v>
      </c>
      <c r="F545">
        <v>343270886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-0.13513513513513536</v>
      </c>
      <c r="Q545">
        <f t="shared" si="985"/>
        <v>-46387957.567567647</v>
      </c>
      <c r="R545">
        <f t="shared" si="986"/>
        <v>-8461603960.400156</v>
      </c>
      <c r="S545">
        <f t="shared" si="987"/>
        <v>-84616.039604001562</v>
      </c>
      <c r="T545">
        <f t="shared" si="988"/>
        <v>-84.616039604001557</v>
      </c>
    </row>
    <row r="546" spans="1:20" x14ac:dyDescent="0.25">
      <c r="A546" s="5">
        <v>44044</v>
      </c>
      <c r="B546">
        <v>4.55E-4</v>
      </c>
      <c r="C546">
        <v>4.6299999999999998E-4</v>
      </c>
      <c r="D546">
        <v>4.4200000000000001E-4</v>
      </c>
      <c r="E546">
        <v>4.5899999999999999E-4</v>
      </c>
      <c r="F546">
        <v>332051008</v>
      </c>
      <c r="G546">
        <v>0</v>
      </c>
      <c r="L546" t="s">
        <v>7</v>
      </c>
      <c r="M546" t="s">
        <v>8</v>
      </c>
      <c r="N546" t="s">
        <v>8</v>
      </c>
      <c r="P546">
        <f t="shared" si="984"/>
        <v>0.61904761904761951</v>
      </c>
      <c r="Q546">
        <f t="shared" si="985"/>
        <v>205555385.90476206</v>
      </c>
      <c r="R546">
        <f t="shared" si="986"/>
        <v>-8415216002.8325882</v>
      </c>
      <c r="S546">
        <f t="shared" si="987"/>
        <v>-84152.160028325889</v>
      </c>
      <c r="T546">
        <f t="shared" si="988"/>
        <v>-84.152160028325895</v>
      </c>
    </row>
    <row r="547" spans="1:20" x14ac:dyDescent="0.25">
      <c r="A547" s="5">
        <v>44043</v>
      </c>
      <c r="B547">
        <v>4.6700000000000002E-4</v>
      </c>
      <c r="C547">
        <v>4.8700000000000002E-4</v>
      </c>
      <c r="D547">
        <v>4.5399999999999998E-4</v>
      </c>
      <c r="E547">
        <v>4.5600000000000003E-4</v>
      </c>
      <c r="F547">
        <v>427713196</v>
      </c>
      <c r="G547">
        <v>0</v>
      </c>
      <c r="L547" t="s">
        <v>8</v>
      </c>
      <c r="M547" t="s">
        <v>8</v>
      </c>
      <c r="N547" t="s">
        <v>8</v>
      </c>
      <c r="P547">
        <f t="shared" si="984"/>
        <v>-0.87878787878787601</v>
      </c>
      <c r="Q547">
        <f t="shared" si="985"/>
        <v>-375869172.24242306</v>
      </c>
      <c r="R547">
        <f t="shared" si="986"/>
        <v>-8620771388.7373505</v>
      </c>
      <c r="S547">
        <f t="shared" si="987"/>
        <v>-86207.713887373509</v>
      </c>
      <c r="T547">
        <f t="shared" si="988"/>
        <v>-86.207713887373515</v>
      </c>
    </row>
    <row r="548" spans="1:20" x14ac:dyDescent="0.25">
      <c r="A548" s="5">
        <v>44042</v>
      </c>
      <c r="B548">
        <v>4.4999999999999999E-4</v>
      </c>
      <c r="C548">
        <v>4.8200000000000001E-4</v>
      </c>
      <c r="D548">
        <v>4.4499999999999997E-4</v>
      </c>
      <c r="E548">
        <v>4.6700000000000002E-4</v>
      </c>
      <c r="F548">
        <v>365074322</v>
      </c>
      <c r="G548">
        <v>0</v>
      </c>
      <c r="L548" t="s">
        <v>7</v>
      </c>
      <c r="M548" t="s">
        <v>8</v>
      </c>
      <c r="N548" t="s">
        <v>8</v>
      </c>
      <c r="P548">
        <f t="shared" si="984"/>
        <v>0.1891891891891907</v>
      </c>
      <c r="Q548">
        <f t="shared" si="985"/>
        <v>69068114.972973526</v>
      </c>
      <c r="R548">
        <f t="shared" si="986"/>
        <v>-8244902216.4949284</v>
      </c>
      <c r="S548">
        <f t="shared" si="987"/>
        <v>-82449.022164949289</v>
      </c>
      <c r="T548">
        <f t="shared" si="988"/>
        <v>-82.449022164949284</v>
      </c>
    </row>
    <row r="549" spans="1:20" x14ac:dyDescent="0.25">
      <c r="A549" s="5">
        <v>44041</v>
      </c>
      <c r="B549">
        <v>4.8099999999999998E-4</v>
      </c>
      <c r="C549">
        <v>4.8500000000000003E-4</v>
      </c>
      <c r="D549">
        <v>4.4499999999999997E-4</v>
      </c>
      <c r="E549">
        <v>4.5100000000000001E-4</v>
      </c>
      <c r="F549">
        <v>513030146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-0.69999999999999851</v>
      </c>
      <c r="Q549">
        <f t="shared" si="985"/>
        <v>-359121102.19999921</v>
      </c>
      <c r="R549">
        <f t="shared" si="986"/>
        <v>-8313970331.4679022</v>
      </c>
      <c r="S549">
        <f t="shared" si="987"/>
        <v>-83139.70331467902</v>
      </c>
      <c r="T549">
        <f t="shared" si="988"/>
        <v>-83.139703314679025</v>
      </c>
    </row>
    <row r="550" spans="1:20" x14ac:dyDescent="0.25">
      <c r="A550" s="5">
        <v>44040</v>
      </c>
      <c r="B550">
        <v>4.55E-4</v>
      </c>
      <c r="C550">
        <v>4.9799999999999996E-4</v>
      </c>
      <c r="D550">
        <v>4.4700000000000002E-4</v>
      </c>
      <c r="E550">
        <v>4.7899999999999999E-4</v>
      </c>
      <c r="F550">
        <v>804898073</v>
      </c>
      <c r="G550">
        <v>0</v>
      </c>
      <c r="L550" t="s">
        <v>7</v>
      </c>
      <c r="M550" t="s">
        <v>8</v>
      </c>
      <c r="N550" t="s">
        <v>8</v>
      </c>
      <c r="P550">
        <f t="shared" si="984"/>
        <v>0.25490196078431387</v>
      </c>
      <c r="Q550">
        <f t="shared" si="985"/>
        <v>205170097.0392158</v>
      </c>
      <c r="R550">
        <f t="shared" si="986"/>
        <v>-7954849229.2679033</v>
      </c>
      <c r="S550">
        <f t="shared" si="987"/>
        <v>-79548.492292679031</v>
      </c>
      <c r="T550">
        <f t="shared" si="988"/>
        <v>-79.548492292679029</v>
      </c>
    </row>
    <row r="551" spans="1:20" x14ac:dyDescent="0.25">
      <c r="A551" s="5">
        <v>44039</v>
      </c>
      <c r="B551">
        <v>4.4099999999999999E-4</v>
      </c>
      <c r="C551">
        <v>4.8899999999999996E-4</v>
      </c>
      <c r="D551">
        <v>4.0900000000000002E-4</v>
      </c>
      <c r="E551">
        <v>4.5399999999999998E-4</v>
      </c>
      <c r="F551">
        <v>1109411576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0.12499999999999975</v>
      </c>
      <c r="Q551">
        <f t="shared" si="985"/>
        <v>138676446.99999973</v>
      </c>
      <c r="R551">
        <f t="shared" si="986"/>
        <v>-8160019326.3071194</v>
      </c>
      <c r="S551">
        <f t="shared" si="987"/>
        <v>-81600.193263071196</v>
      </c>
      <c r="T551">
        <f t="shared" si="988"/>
        <v>-81.600193263071191</v>
      </c>
    </row>
    <row r="552" spans="1:20" x14ac:dyDescent="0.25">
      <c r="A552" s="5">
        <v>44038</v>
      </c>
      <c r="B552">
        <v>4.5399999999999998E-4</v>
      </c>
      <c r="C552">
        <v>4.84E-4</v>
      </c>
      <c r="D552">
        <v>4.3199999999999998E-4</v>
      </c>
      <c r="E552">
        <v>4.4099999999999999E-4</v>
      </c>
      <c r="F552">
        <v>723275647</v>
      </c>
      <c r="G552">
        <v>0</v>
      </c>
      <c r="L552" t="s">
        <v>7</v>
      </c>
      <c r="M552" t="s">
        <v>7</v>
      </c>
      <c r="N552" t="s">
        <v>8</v>
      </c>
      <c r="P552">
        <f t="shared" si="984"/>
        <v>-0.65384615384615385</v>
      </c>
      <c r="Q552">
        <f t="shared" si="985"/>
        <v>-472910999.96153849</v>
      </c>
      <c r="R552">
        <f t="shared" si="986"/>
        <v>-8298695773.3071194</v>
      </c>
      <c r="S552">
        <f t="shared" si="987"/>
        <v>-82986.957733071191</v>
      </c>
      <c r="T552">
        <f t="shared" si="988"/>
        <v>-82.986957733071193</v>
      </c>
    </row>
    <row r="553" spans="1:20" x14ac:dyDescent="0.25">
      <c r="A553" s="5">
        <v>44037</v>
      </c>
      <c r="B553">
        <v>4.9100000000000001E-4</v>
      </c>
      <c r="C553">
        <v>5.1099999999999995E-4</v>
      </c>
      <c r="D553">
        <v>4.5300000000000001E-4</v>
      </c>
      <c r="E553">
        <v>4.5399999999999998E-4</v>
      </c>
      <c r="F553">
        <v>1662927059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-0.96551724137931139</v>
      </c>
      <c r="Q553">
        <f t="shared" si="985"/>
        <v>-1605584746.6206913</v>
      </c>
      <c r="R553">
        <f t="shared" si="986"/>
        <v>-7825784773.3455811</v>
      </c>
      <c r="S553">
        <f t="shared" si="987"/>
        <v>-78257.847733455812</v>
      </c>
      <c r="T553">
        <f t="shared" si="988"/>
        <v>-78.257847733455819</v>
      </c>
    </row>
    <row r="554" spans="1:20" x14ac:dyDescent="0.25">
      <c r="A554" s="5">
        <v>44036</v>
      </c>
      <c r="B554">
        <v>4.3399999999999998E-4</v>
      </c>
      <c r="C554">
        <v>5.3899999999999998E-4</v>
      </c>
      <c r="D554">
        <v>4.0700000000000003E-4</v>
      </c>
      <c r="E554">
        <v>4.8999999999999998E-4</v>
      </c>
      <c r="F554">
        <v>3646877423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0.25757575757575735</v>
      </c>
      <c r="Q554">
        <f t="shared" si="985"/>
        <v>939347215.01515067</v>
      </c>
      <c r="R554">
        <f t="shared" si="986"/>
        <v>-6220200026.7248898</v>
      </c>
      <c r="S554">
        <f t="shared" si="987"/>
        <v>-62202.000267248899</v>
      </c>
      <c r="T554">
        <f t="shared" si="988"/>
        <v>-62.202000267248899</v>
      </c>
    </row>
    <row r="555" spans="1:20" x14ac:dyDescent="0.25">
      <c r="A555" s="5">
        <v>44035</v>
      </c>
      <c r="B555">
        <v>3.86E-4</v>
      </c>
      <c r="C555">
        <v>4.4200000000000001E-4</v>
      </c>
      <c r="D555">
        <v>3.7800000000000003E-4</v>
      </c>
      <c r="E555">
        <v>4.3300000000000001E-4</v>
      </c>
      <c r="F555">
        <v>1273863765</v>
      </c>
      <c r="G555">
        <v>0</v>
      </c>
      <c r="L555" t="s">
        <v>8</v>
      </c>
      <c r="M555" t="s">
        <v>8</v>
      </c>
      <c r="N555" t="s">
        <v>7</v>
      </c>
      <c r="P555">
        <f t="shared" si="984"/>
        <v>0.71874999999999989</v>
      </c>
      <c r="Q555">
        <f t="shared" si="985"/>
        <v>915589581.09374988</v>
      </c>
      <c r="R555">
        <f t="shared" si="986"/>
        <v>-7159547241.7400408</v>
      </c>
      <c r="S555">
        <f t="shared" si="987"/>
        <v>-71595.472417400408</v>
      </c>
      <c r="T555">
        <f t="shared" si="988"/>
        <v>-71.595472417400401</v>
      </c>
    </row>
    <row r="556" spans="1:20" x14ac:dyDescent="0.25">
      <c r="A556" s="5">
        <v>44034</v>
      </c>
      <c r="B556">
        <v>3.9899999999999999E-4</v>
      </c>
      <c r="C556">
        <v>4.0099999999999999E-4</v>
      </c>
      <c r="D556">
        <v>3.7800000000000003E-4</v>
      </c>
      <c r="E556">
        <v>3.8499999999999998E-4</v>
      </c>
      <c r="F556">
        <v>642639661</v>
      </c>
      <c r="G556">
        <v>0</v>
      </c>
      <c r="L556" t="s">
        <v>7</v>
      </c>
      <c r="M556" t="s">
        <v>8</v>
      </c>
      <c r="N556" t="s">
        <v>7</v>
      </c>
      <c r="P556">
        <f t="shared" si="984"/>
        <v>-0.39130434782609003</v>
      </c>
      <c r="Q556">
        <f t="shared" si="985"/>
        <v>-251467693.43478459</v>
      </c>
      <c r="R556">
        <f t="shared" si="986"/>
        <v>-8075136822.8337908</v>
      </c>
      <c r="S556">
        <f t="shared" si="987"/>
        <v>-80751.368228337902</v>
      </c>
      <c r="T556">
        <f t="shared" si="988"/>
        <v>-80.751368228337896</v>
      </c>
    </row>
    <row r="557" spans="1:20" x14ac:dyDescent="0.25">
      <c r="A557" s="5">
        <v>44033</v>
      </c>
      <c r="B557">
        <v>3.8000000000000002E-4</v>
      </c>
      <c r="C557">
        <v>4.0900000000000002E-4</v>
      </c>
      <c r="D557">
        <v>3.79E-4</v>
      </c>
      <c r="E557">
        <v>3.9899999999999999E-4</v>
      </c>
      <c r="F557">
        <v>634410920</v>
      </c>
      <c r="G557">
        <v>0</v>
      </c>
      <c r="L557" t="s">
        <v>8</v>
      </c>
      <c r="M557" t="s">
        <v>8</v>
      </c>
      <c r="N557" t="s">
        <v>7</v>
      </c>
      <c r="P557">
        <f t="shared" si="984"/>
        <v>0.33333333333333215</v>
      </c>
      <c r="Q557">
        <f t="shared" si="985"/>
        <v>211470306.66666591</v>
      </c>
      <c r="R557">
        <f t="shared" si="986"/>
        <v>-7823669129.3990059</v>
      </c>
      <c r="S557">
        <f t="shared" si="987"/>
        <v>-78236.691293990065</v>
      </c>
      <c r="T557">
        <f t="shared" si="988"/>
        <v>-78.236691293990063</v>
      </c>
    </row>
    <row r="558" spans="1:20" x14ac:dyDescent="0.25">
      <c r="A558" s="5">
        <v>44032</v>
      </c>
      <c r="B558">
        <v>3.7199999999999999E-4</v>
      </c>
      <c r="C558">
        <v>4.1199999999999999E-4</v>
      </c>
      <c r="D558">
        <v>3.6099999999999999E-4</v>
      </c>
      <c r="E558">
        <v>3.8099999999999999E-4</v>
      </c>
      <c r="F558">
        <v>993991280</v>
      </c>
      <c r="G558">
        <v>0</v>
      </c>
      <c r="L558" t="s">
        <v>7</v>
      </c>
      <c r="M558" t="s">
        <v>8</v>
      </c>
      <c r="N558" t="s">
        <v>7</v>
      </c>
      <c r="P558">
        <f t="shared" si="984"/>
        <v>-0.21568627450980388</v>
      </c>
      <c r="Q558">
        <f t="shared" si="985"/>
        <v>-214390276.07843134</v>
      </c>
      <c r="R558">
        <f t="shared" si="986"/>
        <v>-8035139436.0656719</v>
      </c>
      <c r="S558">
        <f t="shared" si="987"/>
        <v>-80351.394360656719</v>
      </c>
      <c r="T558">
        <f t="shared" si="988"/>
        <v>-80.351394360656712</v>
      </c>
    </row>
    <row r="559" spans="1:20" x14ac:dyDescent="0.25">
      <c r="A559" s="5">
        <v>44031</v>
      </c>
      <c r="B559">
        <v>3.5199999999999999E-4</v>
      </c>
      <c r="C559">
        <v>3.7199999999999999E-4</v>
      </c>
      <c r="D559">
        <v>3.4900000000000003E-4</v>
      </c>
      <c r="E559">
        <v>3.7199999999999999E-4</v>
      </c>
      <c r="F559">
        <v>458256651</v>
      </c>
      <c r="G559">
        <v>0</v>
      </c>
      <c r="L559" t="s">
        <v>8</v>
      </c>
      <c r="M559" t="s">
        <v>8</v>
      </c>
      <c r="N559" t="s">
        <v>7</v>
      </c>
      <c r="P559">
        <f t="shared" si="984"/>
        <v>1</v>
      </c>
      <c r="Q559">
        <f t="shared" si="985"/>
        <v>458256651</v>
      </c>
      <c r="R559">
        <f t="shared" si="986"/>
        <v>-7820749159.9872408</v>
      </c>
      <c r="S559">
        <f t="shared" si="987"/>
        <v>-78207.491599872403</v>
      </c>
      <c r="T559">
        <f t="shared" si="988"/>
        <v>-78.207491599872398</v>
      </c>
    </row>
    <row r="560" spans="1:20" x14ac:dyDescent="0.25">
      <c r="A560" s="5">
        <v>44030</v>
      </c>
      <c r="B560">
        <v>3.4600000000000001E-4</v>
      </c>
      <c r="C560">
        <v>3.5500000000000001E-4</v>
      </c>
      <c r="D560">
        <v>3.39E-4</v>
      </c>
      <c r="E560">
        <v>3.5199999999999999E-4</v>
      </c>
      <c r="F560">
        <v>240054269</v>
      </c>
      <c r="G560">
        <v>0</v>
      </c>
      <c r="L560" t="s">
        <v>7</v>
      </c>
      <c r="M560" t="s">
        <v>8</v>
      </c>
      <c r="N560" t="s">
        <v>7</v>
      </c>
      <c r="P560">
        <f t="shared" si="984"/>
        <v>0.62499999999999789</v>
      </c>
      <c r="Q560">
        <f t="shared" si="985"/>
        <v>150033918.12499949</v>
      </c>
      <c r="R560">
        <f t="shared" si="986"/>
        <v>-8279005810.9872408</v>
      </c>
      <c r="S560">
        <f t="shared" si="987"/>
        <v>-82790.058109872407</v>
      </c>
      <c r="T560">
        <f t="shared" si="988"/>
        <v>-82.790058109872405</v>
      </c>
    </row>
    <row r="561" spans="1:104" x14ac:dyDescent="0.25">
      <c r="A561" s="5">
        <v>44029</v>
      </c>
      <c r="B561">
        <v>3.48E-4</v>
      </c>
      <c r="C561">
        <v>3.6000000000000002E-4</v>
      </c>
      <c r="D561">
        <v>3.3500000000000001E-4</v>
      </c>
      <c r="E561">
        <v>3.4499999999999998E-4</v>
      </c>
      <c r="F561">
        <v>475664010</v>
      </c>
      <c r="G561">
        <v>0</v>
      </c>
      <c r="L561" t="s">
        <v>8</v>
      </c>
      <c r="M561" t="s">
        <v>8</v>
      </c>
      <c r="N561" t="s">
        <v>7</v>
      </c>
      <c r="P561">
        <f t="shared" si="984"/>
        <v>-0.20000000000000259</v>
      </c>
      <c r="Q561">
        <f t="shared" si="985"/>
        <v>-95132802.000001237</v>
      </c>
      <c r="R561">
        <f t="shared" si="986"/>
        <v>-8429039729.1122398</v>
      </c>
      <c r="S561">
        <f t="shared" si="987"/>
        <v>-84290.397291122397</v>
      </c>
      <c r="T561">
        <f t="shared" si="988"/>
        <v>-84.290397291122403</v>
      </c>
      <c r="CZ561" t="s">
        <v>7</v>
      </c>
    </row>
    <row r="562" spans="1:104" x14ac:dyDescent="0.25">
      <c r="A562" s="5">
        <v>44028</v>
      </c>
      <c r="B562">
        <v>3.68E-4</v>
      </c>
      <c r="C562">
        <v>3.7500000000000001E-4</v>
      </c>
      <c r="D562">
        <v>3.3300000000000002E-4</v>
      </c>
      <c r="E562">
        <v>3.4900000000000003E-4</v>
      </c>
      <c r="F562">
        <v>492699731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-0.23809523809523747</v>
      </c>
      <c r="Q562">
        <f t="shared" si="985"/>
        <v>-117309459.76190445</v>
      </c>
      <c r="R562">
        <f t="shared" si="986"/>
        <v>-8333906927.1122389</v>
      </c>
      <c r="S562">
        <f t="shared" si="987"/>
        <v>-83339.069271122382</v>
      </c>
      <c r="T562">
        <f t="shared" si="988"/>
        <v>-83.339069271122383</v>
      </c>
      <c r="CZ562" t="s">
        <v>7</v>
      </c>
    </row>
    <row r="563" spans="1:104" x14ac:dyDescent="0.25">
      <c r="A563" s="5">
        <v>44027</v>
      </c>
      <c r="B563">
        <v>3.6499999999999998E-4</v>
      </c>
      <c r="C563">
        <v>3.7199999999999999E-4</v>
      </c>
      <c r="D563">
        <v>3.5199999999999999E-4</v>
      </c>
      <c r="E563">
        <v>3.6900000000000002E-4</v>
      </c>
      <c r="F563">
        <v>298527719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0.70000000000000351</v>
      </c>
      <c r="Q563">
        <f t="shared" si="985"/>
        <v>208969403.30000106</v>
      </c>
      <c r="R563">
        <f t="shared" si="986"/>
        <v>-8216597467.3503342</v>
      </c>
      <c r="S563">
        <f t="shared" si="987"/>
        <v>-82165.97467350334</v>
      </c>
      <c r="T563">
        <f t="shared" si="988"/>
        <v>-82.165974673503342</v>
      </c>
      <c r="CZ563" t="s">
        <v>7</v>
      </c>
    </row>
    <row r="564" spans="1:104" x14ac:dyDescent="0.25">
      <c r="A564" s="5">
        <v>44026</v>
      </c>
      <c r="B564">
        <v>3.6499999999999998E-4</v>
      </c>
      <c r="C564">
        <v>3.7599999999999998E-4</v>
      </c>
      <c r="D564">
        <v>3.5599999999999998E-4</v>
      </c>
      <c r="E564">
        <v>3.6499999999999998E-4</v>
      </c>
      <c r="F564">
        <v>340052828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-9.9999999999999728E-2</v>
      </c>
      <c r="Q564">
        <f t="shared" si="985"/>
        <v>-34005282.799999908</v>
      </c>
      <c r="R564">
        <f t="shared" si="986"/>
        <v>-8425566870.6503353</v>
      </c>
      <c r="S564">
        <f t="shared" si="987"/>
        <v>-84255.668706503347</v>
      </c>
      <c r="T564">
        <f t="shared" si="988"/>
        <v>-84.255668706503343</v>
      </c>
    </row>
    <row r="565" spans="1:104" x14ac:dyDescent="0.25">
      <c r="A565" s="5">
        <v>44025</v>
      </c>
      <c r="B565">
        <v>3.6600000000000001E-4</v>
      </c>
      <c r="C565">
        <v>3.77E-4</v>
      </c>
      <c r="D565">
        <v>3.6000000000000002E-4</v>
      </c>
      <c r="E565">
        <v>3.6499999999999998E-4</v>
      </c>
      <c r="F565">
        <v>366511701</v>
      </c>
      <c r="G565">
        <v>0</v>
      </c>
      <c r="L565" t="s">
        <v>8</v>
      </c>
      <c r="M565" t="s">
        <v>8</v>
      </c>
      <c r="N565" t="s">
        <v>7</v>
      </c>
      <c r="P565">
        <f t="shared" si="984"/>
        <v>-0.41176470588235708</v>
      </c>
      <c r="Q565">
        <f t="shared" si="985"/>
        <v>-150916582.76470739</v>
      </c>
      <c r="R565">
        <f t="shared" si="986"/>
        <v>-8391561587.8503351</v>
      </c>
      <c r="S565">
        <f t="shared" si="987"/>
        <v>-83915.615878503348</v>
      </c>
      <c r="T565">
        <f t="shared" si="988"/>
        <v>-83.915615878503345</v>
      </c>
    </row>
    <row r="566" spans="1:104" x14ac:dyDescent="0.25">
      <c r="A566" s="5">
        <v>44024</v>
      </c>
      <c r="B566">
        <v>3.6999999999999999E-4</v>
      </c>
      <c r="C566">
        <v>3.8699999999999997E-4</v>
      </c>
      <c r="D566">
        <v>3.5799999999999997E-4</v>
      </c>
      <c r="E566">
        <v>3.6600000000000001E-4</v>
      </c>
      <c r="F566">
        <v>465716583</v>
      </c>
      <c r="G566">
        <v>0</v>
      </c>
      <c r="L566" t="s">
        <v>7</v>
      </c>
      <c r="M566" t="s">
        <v>8</v>
      </c>
      <c r="N566" t="s">
        <v>7</v>
      </c>
      <c r="P566">
        <f t="shared" si="984"/>
        <v>-0.4482758620689633</v>
      </c>
      <c r="Q566">
        <f t="shared" si="985"/>
        <v>-208769502.72413689</v>
      </c>
      <c r="R566">
        <f t="shared" si="986"/>
        <v>-8240645005.0856276</v>
      </c>
      <c r="S566">
        <f t="shared" si="987"/>
        <v>-82406.450050856278</v>
      </c>
      <c r="T566">
        <f t="shared" si="988"/>
        <v>-82.406450050856279</v>
      </c>
    </row>
    <row r="567" spans="1:104" x14ac:dyDescent="0.25">
      <c r="A567" s="5">
        <v>44023</v>
      </c>
      <c r="B567">
        <v>3.68E-4</v>
      </c>
      <c r="C567">
        <v>3.8000000000000002E-4</v>
      </c>
      <c r="D567">
        <v>3.57E-4</v>
      </c>
      <c r="E567">
        <v>3.6900000000000002E-4</v>
      </c>
      <c r="F567">
        <v>526033108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4.3478260869566243E-2</v>
      </c>
      <c r="Q567">
        <f t="shared" si="985"/>
        <v>22871004.695652712</v>
      </c>
      <c r="R567">
        <f t="shared" si="986"/>
        <v>-8031875502.3614902</v>
      </c>
      <c r="S567">
        <f t="shared" si="987"/>
        <v>-80318.755023614896</v>
      </c>
      <c r="T567">
        <f t="shared" si="988"/>
        <v>-80.318755023614898</v>
      </c>
    </row>
    <row r="568" spans="1:104" x14ac:dyDescent="0.25">
      <c r="A568" s="5">
        <v>44022</v>
      </c>
      <c r="B568">
        <v>3.5100000000000002E-4</v>
      </c>
      <c r="C568">
        <v>3.6900000000000002E-4</v>
      </c>
      <c r="D568">
        <v>3.4499999999999998E-4</v>
      </c>
      <c r="E568">
        <v>3.68E-4</v>
      </c>
      <c r="F568">
        <v>609768271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0.91666666666666474</v>
      </c>
      <c r="Q568">
        <f t="shared" si="985"/>
        <v>558954248.41666543</v>
      </c>
      <c r="R568">
        <f t="shared" si="986"/>
        <v>-8054746507.0571432</v>
      </c>
      <c r="S568">
        <f t="shared" si="987"/>
        <v>-80547.46507057143</v>
      </c>
      <c r="T568">
        <f t="shared" si="988"/>
        <v>-80.547465070571434</v>
      </c>
    </row>
    <row r="569" spans="1:104" x14ac:dyDescent="0.25">
      <c r="A569" s="5">
        <v>44021</v>
      </c>
      <c r="B569">
        <v>3.6699999999999998E-4</v>
      </c>
      <c r="C569">
        <v>3.8299999999999999E-4</v>
      </c>
      <c r="D569">
        <v>3.4400000000000001E-4</v>
      </c>
      <c r="E569">
        <v>3.5100000000000002E-4</v>
      </c>
      <c r="F569">
        <v>710251190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-0.64102564102564041</v>
      </c>
      <c r="Q569">
        <f t="shared" si="985"/>
        <v>-455289224.35897392</v>
      </c>
      <c r="R569">
        <f t="shared" si="986"/>
        <v>-8613700755.4738083</v>
      </c>
      <c r="S569">
        <f t="shared" si="987"/>
        <v>-86137.007554738084</v>
      </c>
      <c r="T569">
        <f t="shared" si="988"/>
        <v>-86.137007554738091</v>
      </c>
    </row>
    <row r="570" spans="1:104" x14ac:dyDescent="0.25">
      <c r="A570" s="5">
        <v>44020</v>
      </c>
      <c r="B570">
        <v>3.4900000000000003E-4</v>
      </c>
      <c r="C570">
        <v>3.6699999999999998E-4</v>
      </c>
      <c r="D570">
        <v>3.4299999999999999E-4</v>
      </c>
      <c r="E570">
        <v>3.6699999999999998E-4</v>
      </c>
      <c r="F570">
        <v>441045226</v>
      </c>
      <c r="G570">
        <v>0</v>
      </c>
      <c r="L570" t="s">
        <v>7</v>
      </c>
      <c r="M570" t="s">
        <v>8</v>
      </c>
      <c r="N570" t="s">
        <v>7</v>
      </c>
      <c r="P570">
        <f t="shared" si="984"/>
        <v>1</v>
      </c>
      <c r="Q570">
        <f t="shared" si="985"/>
        <v>441045226</v>
      </c>
      <c r="R570">
        <f t="shared" si="986"/>
        <v>-8158411531.1148338</v>
      </c>
      <c r="S570">
        <f t="shared" si="987"/>
        <v>-81584.115311148344</v>
      </c>
      <c r="T570">
        <f t="shared" si="988"/>
        <v>-81.584115311148338</v>
      </c>
    </row>
    <row r="571" spans="1:104" x14ac:dyDescent="0.25">
      <c r="A571" s="5">
        <v>44019</v>
      </c>
      <c r="B571">
        <v>3.4600000000000001E-4</v>
      </c>
      <c r="C571">
        <v>3.5399999999999999E-4</v>
      </c>
      <c r="D571">
        <v>3.4000000000000002E-4</v>
      </c>
      <c r="E571">
        <v>3.4900000000000003E-4</v>
      </c>
      <c r="F571">
        <v>137557532</v>
      </c>
      <c r="G571">
        <v>0</v>
      </c>
      <c r="L571" t="s">
        <v>8</v>
      </c>
      <c r="M571" t="s">
        <v>7</v>
      </c>
      <c r="N571" t="s">
        <v>7</v>
      </c>
      <c r="P571">
        <f t="shared" si="984"/>
        <v>0.28571428571428958</v>
      </c>
      <c r="Q571">
        <f t="shared" si="985"/>
        <v>39302152.000000529</v>
      </c>
      <c r="R571">
        <f t="shared" si="986"/>
        <v>-8599456757.1148338</v>
      </c>
      <c r="S571">
        <f t="shared" si="987"/>
        <v>-85994.567571148335</v>
      </c>
      <c r="T571">
        <f t="shared" si="988"/>
        <v>-85.994567571148337</v>
      </c>
    </row>
    <row r="572" spans="1:104" x14ac:dyDescent="0.25">
      <c r="A572" s="5">
        <v>44018</v>
      </c>
      <c r="B572">
        <v>3.3500000000000001E-4</v>
      </c>
      <c r="C572">
        <v>3.4699999999999998E-4</v>
      </c>
      <c r="D572">
        <v>3.3500000000000001E-4</v>
      </c>
      <c r="E572">
        <v>3.4600000000000001E-4</v>
      </c>
      <c r="F572">
        <v>192530934</v>
      </c>
      <c r="G572">
        <v>0</v>
      </c>
      <c r="L572" t="s">
        <v>7</v>
      </c>
      <c r="M572" t="s">
        <v>7</v>
      </c>
      <c r="N572" t="s">
        <v>7</v>
      </c>
      <c r="P572">
        <f t="shared" si="984"/>
        <v>0.83333333333333781</v>
      </c>
      <c r="Q572">
        <f t="shared" si="985"/>
        <v>160442445.00000086</v>
      </c>
      <c r="R572">
        <f t="shared" si="986"/>
        <v>-8638758909.1148338</v>
      </c>
      <c r="S572">
        <f t="shared" si="987"/>
        <v>-86387.589091148344</v>
      </c>
      <c r="T572">
        <f t="shared" si="988"/>
        <v>-86.387589091148342</v>
      </c>
    </row>
    <row r="573" spans="1:104" x14ac:dyDescent="0.25">
      <c r="A573" s="5">
        <v>44017</v>
      </c>
      <c r="B573">
        <v>3.5100000000000002E-4</v>
      </c>
      <c r="C573">
        <v>3.5300000000000002E-4</v>
      </c>
      <c r="D573">
        <v>3.3E-4</v>
      </c>
      <c r="E573">
        <v>3.3500000000000001E-4</v>
      </c>
      <c r="F573">
        <v>216875280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-0.56521739130434701</v>
      </c>
      <c r="Q573">
        <f t="shared" si="985"/>
        <v>-122581679.99999982</v>
      </c>
      <c r="R573">
        <f t="shared" si="986"/>
        <v>-8799201354.1148338</v>
      </c>
      <c r="S573">
        <f t="shared" si="987"/>
        <v>-87992.013541148335</v>
      </c>
      <c r="T573">
        <f t="shared" si="988"/>
        <v>-87.992013541148339</v>
      </c>
    </row>
    <row r="574" spans="1:104" x14ac:dyDescent="0.25">
      <c r="A574" s="5">
        <v>44016</v>
      </c>
      <c r="B574">
        <v>3.4200000000000002E-4</v>
      </c>
      <c r="C574">
        <v>3.5399999999999999E-4</v>
      </c>
      <c r="D574">
        <v>3.4000000000000002E-4</v>
      </c>
      <c r="E574">
        <v>3.5100000000000002E-4</v>
      </c>
      <c r="F574">
        <v>306003241</v>
      </c>
      <c r="G574">
        <v>0</v>
      </c>
      <c r="L574" t="s">
        <v>7</v>
      </c>
      <c r="M574" t="s">
        <v>7</v>
      </c>
      <c r="N574" t="s">
        <v>7</v>
      </c>
      <c r="P574">
        <f t="shared" si="984"/>
        <v>0.57142857142857528</v>
      </c>
      <c r="Q574">
        <f t="shared" si="985"/>
        <v>174858994.85714403</v>
      </c>
      <c r="R574">
        <f t="shared" si="986"/>
        <v>-8676619674.1148338</v>
      </c>
      <c r="S574">
        <f t="shared" si="987"/>
        <v>-86766.196741148335</v>
      </c>
      <c r="T574">
        <f t="shared" si="988"/>
        <v>-86.766196741148335</v>
      </c>
    </row>
    <row r="575" spans="1:104" x14ac:dyDescent="0.25">
      <c r="A575" s="5">
        <v>44015</v>
      </c>
      <c r="B575">
        <v>3.2600000000000001E-4</v>
      </c>
      <c r="C575">
        <v>3.5E-4</v>
      </c>
      <c r="D575">
        <v>3.2499999999999999E-4</v>
      </c>
      <c r="E575">
        <v>3.4299999999999999E-4</v>
      </c>
      <c r="F575">
        <v>319922889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0.43999999999999967</v>
      </c>
      <c r="Q575">
        <f t="shared" si="985"/>
        <v>140766071.15999991</v>
      </c>
      <c r="R575">
        <f t="shared" si="986"/>
        <v>-8851478668.9719772</v>
      </c>
      <c r="S575">
        <f t="shared" si="987"/>
        <v>-88514.786689719767</v>
      </c>
      <c r="T575">
        <f t="shared" si="988"/>
        <v>-88.51478668971977</v>
      </c>
    </row>
    <row r="576" spans="1:104" x14ac:dyDescent="0.25">
      <c r="A576" s="5">
        <v>44014</v>
      </c>
      <c r="B576">
        <v>3.28E-4</v>
      </c>
      <c r="C576">
        <v>3.4000000000000002E-4</v>
      </c>
      <c r="D576">
        <v>3.1E-4</v>
      </c>
      <c r="E576">
        <v>3.2600000000000001E-4</v>
      </c>
      <c r="F576">
        <v>423454933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6.666666666666643E-2</v>
      </c>
      <c r="Q576">
        <f t="shared" si="985"/>
        <v>28230328.866666567</v>
      </c>
      <c r="R576">
        <f t="shared" si="986"/>
        <v>-8992244740.1319771</v>
      </c>
      <c r="S576">
        <f t="shared" si="987"/>
        <v>-89922.447401319776</v>
      </c>
      <c r="T576">
        <f t="shared" si="988"/>
        <v>-89.922447401319772</v>
      </c>
    </row>
    <row r="577" spans="1:20" x14ac:dyDescent="0.25">
      <c r="A577" s="5">
        <v>44013</v>
      </c>
      <c r="B577">
        <v>3.2200000000000002E-4</v>
      </c>
      <c r="C577">
        <v>3.3E-4</v>
      </c>
      <c r="D577">
        <v>3.1399999999999999E-4</v>
      </c>
      <c r="E577">
        <v>3.28E-4</v>
      </c>
      <c r="F577">
        <v>191542504</v>
      </c>
      <c r="G577">
        <v>0</v>
      </c>
      <c r="L577" t="s">
        <v>8</v>
      </c>
      <c r="M577" t="s">
        <v>7</v>
      </c>
      <c r="N577" t="s">
        <v>7</v>
      </c>
      <c r="P577">
        <f t="shared" si="984"/>
        <v>0.75000000000000089</v>
      </c>
      <c r="Q577">
        <f t="shared" si="985"/>
        <v>143656878.00000018</v>
      </c>
      <c r="R577">
        <f t="shared" si="986"/>
        <v>-9020475068.9986439</v>
      </c>
      <c r="S577">
        <f t="shared" si="987"/>
        <v>-90204.750689986438</v>
      </c>
      <c r="T577">
        <f t="shared" si="988"/>
        <v>-90.20475068998644</v>
      </c>
    </row>
    <row r="578" spans="1:20" x14ac:dyDescent="0.25">
      <c r="A578" s="5">
        <v>44012</v>
      </c>
      <c r="B578">
        <v>3.2600000000000001E-4</v>
      </c>
      <c r="C578">
        <v>3.2699999999999998E-4</v>
      </c>
      <c r="D578">
        <v>3.1500000000000001E-4</v>
      </c>
      <c r="E578">
        <v>3.2200000000000002E-4</v>
      </c>
      <c r="F578">
        <v>118300786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0.16666666666667118</v>
      </c>
      <c r="Q578">
        <f t="shared" si="985"/>
        <v>19716797.666667201</v>
      </c>
      <c r="R578">
        <f t="shared" si="986"/>
        <v>-9164131946.9986439</v>
      </c>
      <c r="S578">
        <f t="shared" si="987"/>
        <v>-91641.31946998644</v>
      </c>
      <c r="T578">
        <f t="shared" si="988"/>
        <v>-91.641319469986442</v>
      </c>
    </row>
    <row r="579" spans="1:20" x14ac:dyDescent="0.25">
      <c r="A579" s="5">
        <v>44011</v>
      </c>
      <c r="B579">
        <v>3.2499999999999999E-4</v>
      </c>
      <c r="C579">
        <v>3.3E-4</v>
      </c>
      <c r="D579">
        <v>3.1E-4</v>
      </c>
      <c r="E579">
        <v>3.2499999999999999E-4</v>
      </c>
      <c r="F579">
        <v>529089154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0.49999999999999867</v>
      </c>
      <c r="Q579">
        <f t="shared" si="985"/>
        <v>264544576.99999928</v>
      </c>
      <c r="R579">
        <f t="shared" si="986"/>
        <v>-9183848744.6653118</v>
      </c>
      <c r="S579">
        <f t="shared" si="987"/>
        <v>-91838.487446653118</v>
      </c>
      <c r="T579">
        <f t="shared" si="988"/>
        <v>-91.838487446653119</v>
      </c>
    </row>
    <row r="580" spans="1:20" x14ac:dyDescent="0.25">
      <c r="A580" s="5">
        <v>44010</v>
      </c>
      <c r="B580">
        <v>3.2600000000000001E-4</v>
      </c>
      <c r="C580">
        <v>3.4499999999999998E-4</v>
      </c>
      <c r="D580">
        <v>3.1700000000000001E-4</v>
      </c>
      <c r="E580">
        <v>3.2400000000000001E-4</v>
      </c>
      <c r="F580">
        <v>363838742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-0.49999999999999906</v>
      </c>
      <c r="Q580">
        <f t="shared" si="985"/>
        <v>-181919370.99999964</v>
      </c>
      <c r="R580">
        <f t="shared" si="986"/>
        <v>-9448393321.6653118</v>
      </c>
      <c r="S580">
        <f t="shared" si="987"/>
        <v>-94483.933216653124</v>
      </c>
      <c r="T580">
        <f t="shared" si="988"/>
        <v>-94.483933216653128</v>
      </c>
    </row>
    <row r="581" spans="1:20" x14ac:dyDescent="0.25">
      <c r="A581" s="5">
        <v>44009</v>
      </c>
      <c r="B581">
        <v>3.6400000000000001E-4</v>
      </c>
      <c r="C581">
        <v>3.6900000000000002E-4</v>
      </c>
      <c r="D581">
        <v>3.0800000000000001E-4</v>
      </c>
      <c r="E581">
        <v>3.2600000000000001E-4</v>
      </c>
      <c r="F581">
        <v>535985245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-0.40983606557377056</v>
      </c>
      <c r="Q581">
        <f t="shared" si="985"/>
        <v>-219666084.01639348</v>
      </c>
      <c r="R581">
        <f t="shared" si="986"/>
        <v>-9266473950.6653118</v>
      </c>
      <c r="S581">
        <f t="shared" si="987"/>
        <v>-92664.739506653117</v>
      </c>
      <c r="T581">
        <f t="shared" si="988"/>
        <v>-92.66473950665312</v>
      </c>
    </row>
    <row r="582" spans="1:20" x14ac:dyDescent="0.25">
      <c r="A582" s="5">
        <v>44008</v>
      </c>
      <c r="B582">
        <v>3.77E-4</v>
      </c>
      <c r="C582">
        <v>3.8699999999999997E-4</v>
      </c>
      <c r="D582">
        <v>3.59E-4</v>
      </c>
      <c r="E582">
        <v>3.6400000000000001E-4</v>
      </c>
      <c r="F582">
        <v>265034876</v>
      </c>
      <c r="G582">
        <v>0</v>
      </c>
      <c r="L582" t="s">
        <v>7</v>
      </c>
      <c r="M582" t="s">
        <v>7</v>
      </c>
      <c r="N582" t="s">
        <v>8</v>
      </c>
      <c r="P582">
        <f t="shared" ref="P582:P645" si="989">IF(C582=D582,0,((E582-D582)-(C582-E582))/(C582-D582))</f>
        <v>-0.64285714285714157</v>
      </c>
      <c r="Q582">
        <f t="shared" ref="Q582:Q645" si="990">F582*P582</f>
        <v>-170379563.14285681</v>
      </c>
      <c r="R582">
        <f t="shared" ref="R582:R645" si="991">R583+Q582</f>
        <v>-9046807866.6489182</v>
      </c>
      <c r="S582">
        <f t="shared" ref="S582:S645" si="992">R582/100000</f>
        <v>-90468.078666489178</v>
      </c>
      <c r="T582">
        <f t="shared" ref="T582:T645" si="993">S582/1000</f>
        <v>-90.468078666489177</v>
      </c>
    </row>
    <row r="583" spans="1:20" x14ac:dyDescent="0.25">
      <c r="A583" s="5">
        <v>44007</v>
      </c>
      <c r="B583">
        <v>3.8099999999999999E-4</v>
      </c>
      <c r="C583">
        <v>3.88E-4</v>
      </c>
      <c r="D583">
        <v>3.6900000000000002E-4</v>
      </c>
      <c r="E583">
        <v>3.77E-4</v>
      </c>
      <c r="F583">
        <v>186588604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-0.15789473684210648</v>
      </c>
      <c r="Q583">
        <f t="shared" si="990"/>
        <v>-29461358.526316017</v>
      </c>
      <c r="R583">
        <f t="shared" si="991"/>
        <v>-8876428303.5060616</v>
      </c>
      <c r="S583">
        <f t="shared" si="992"/>
        <v>-88764.283035060609</v>
      </c>
      <c r="T583">
        <f t="shared" si="993"/>
        <v>-88.764283035060615</v>
      </c>
    </row>
    <row r="584" spans="1:20" x14ac:dyDescent="0.25">
      <c r="A584" s="5">
        <v>44006</v>
      </c>
      <c r="B584">
        <v>3.9599999999999998E-4</v>
      </c>
      <c r="C584">
        <v>4.0999999999999999E-4</v>
      </c>
      <c r="D584">
        <v>3.7199999999999999E-4</v>
      </c>
      <c r="E584">
        <v>3.8200000000000002E-4</v>
      </c>
      <c r="F584">
        <v>268859508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-0.47368421052631443</v>
      </c>
      <c r="Q584">
        <f t="shared" si="990"/>
        <v>-127354503.78947333</v>
      </c>
      <c r="R584">
        <f t="shared" si="991"/>
        <v>-8846966944.9797459</v>
      </c>
      <c r="S584">
        <f t="shared" si="992"/>
        <v>-88469.669449797453</v>
      </c>
      <c r="T584">
        <f t="shared" si="993"/>
        <v>-88.469669449797451</v>
      </c>
    </row>
    <row r="585" spans="1:20" x14ac:dyDescent="0.25">
      <c r="A585" s="5">
        <v>44005</v>
      </c>
      <c r="B585">
        <v>3.9300000000000001E-4</v>
      </c>
      <c r="C585">
        <v>4.0900000000000002E-4</v>
      </c>
      <c r="D585">
        <v>3.8699999999999997E-4</v>
      </c>
      <c r="E585">
        <v>3.97E-4</v>
      </c>
      <c r="F585">
        <v>218814577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-9.0909090909090468E-2</v>
      </c>
      <c r="Q585">
        <f t="shared" si="990"/>
        <v>-19892234.272727177</v>
      </c>
      <c r="R585">
        <f t="shared" si="991"/>
        <v>-8719612441.1902733</v>
      </c>
      <c r="S585">
        <f t="shared" si="992"/>
        <v>-87196.12441190274</v>
      </c>
      <c r="T585">
        <f t="shared" si="993"/>
        <v>-87.196124411902744</v>
      </c>
    </row>
    <row r="586" spans="1:20" x14ac:dyDescent="0.25">
      <c r="A586" s="5">
        <v>44004</v>
      </c>
      <c r="B586">
        <v>3.88E-4</v>
      </c>
      <c r="C586">
        <v>4.0299999999999998E-4</v>
      </c>
      <c r="D586">
        <v>3.79E-4</v>
      </c>
      <c r="E586">
        <v>3.9300000000000001E-4</v>
      </c>
      <c r="F586">
        <v>439795157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0.16666666666666854</v>
      </c>
      <c r="Q586">
        <f t="shared" si="990"/>
        <v>73299192.833334163</v>
      </c>
      <c r="R586">
        <f t="shared" si="991"/>
        <v>-8699720206.9175453</v>
      </c>
      <c r="S586">
        <f t="shared" si="992"/>
        <v>-86997.202069175459</v>
      </c>
      <c r="T586">
        <f t="shared" si="993"/>
        <v>-86.997202069175458</v>
      </c>
    </row>
    <row r="587" spans="1:20" x14ac:dyDescent="0.25">
      <c r="A587" s="5">
        <v>44003</v>
      </c>
      <c r="B587">
        <v>3.9199999999999999E-4</v>
      </c>
      <c r="C587">
        <v>4.4099999999999999E-4</v>
      </c>
      <c r="D587">
        <v>3.8499999999999998E-4</v>
      </c>
      <c r="E587">
        <v>3.88E-4</v>
      </c>
      <c r="F587">
        <v>782585338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-0.89285714285714224</v>
      </c>
      <c r="Q587">
        <f t="shared" si="990"/>
        <v>-698736908.92857099</v>
      </c>
      <c r="R587">
        <f t="shared" si="991"/>
        <v>-8773019399.7508793</v>
      </c>
      <c r="S587">
        <f t="shared" si="992"/>
        <v>-87730.193997508788</v>
      </c>
      <c r="T587">
        <f t="shared" si="993"/>
        <v>-87.730193997508792</v>
      </c>
    </row>
    <row r="588" spans="1:20" x14ac:dyDescent="0.25">
      <c r="A588" s="5">
        <v>44002</v>
      </c>
      <c r="B588">
        <v>3.8299999999999999E-4</v>
      </c>
      <c r="C588">
        <v>3.9800000000000002E-4</v>
      </c>
      <c r="D588">
        <v>3.8000000000000002E-4</v>
      </c>
      <c r="E588">
        <v>3.9300000000000001E-4</v>
      </c>
      <c r="F588">
        <v>292369602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0.44444444444444309</v>
      </c>
      <c r="Q588">
        <f t="shared" si="990"/>
        <v>129942045.33333294</v>
      </c>
      <c r="R588">
        <f t="shared" si="991"/>
        <v>-8074282490.8223076</v>
      </c>
      <c r="S588">
        <f t="shared" si="992"/>
        <v>-80742.824908223076</v>
      </c>
      <c r="T588">
        <f t="shared" si="993"/>
        <v>-80.742824908223071</v>
      </c>
    </row>
    <row r="589" spans="1:20" x14ac:dyDescent="0.25">
      <c r="A589" s="5">
        <v>44001</v>
      </c>
      <c r="B589">
        <v>3.8999999999999999E-4</v>
      </c>
      <c r="C589">
        <v>3.9800000000000002E-4</v>
      </c>
      <c r="D589">
        <v>3.7399999999999998E-4</v>
      </c>
      <c r="E589">
        <v>3.8299999999999999E-4</v>
      </c>
      <c r="F589">
        <v>295084628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-0.25000000000000111</v>
      </c>
      <c r="Q589">
        <f t="shared" si="990"/>
        <v>-73771157.000000328</v>
      </c>
      <c r="R589">
        <f t="shared" si="991"/>
        <v>-8204224536.1556406</v>
      </c>
      <c r="S589">
        <f t="shared" si="992"/>
        <v>-82042.245361556401</v>
      </c>
      <c r="T589">
        <f t="shared" si="993"/>
        <v>-82.042245361556397</v>
      </c>
    </row>
    <row r="590" spans="1:20" x14ac:dyDescent="0.25">
      <c r="A590" s="5">
        <v>44000</v>
      </c>
      <c r="B590">
        <v>3.77E-4</v>
      </c>
      <c r="C590">
        <v>3.9399999999999998E-4</v>
      </c>
      <c r="D590">
        <v>3.7300000000000001E-4</v>
      </c>
      <c r="E590">
        <v>3.8999999999999999E-4</v>
      </c>
      <c r="F590">
        <v>385973873</v>
      </c>
      <c r="G590">
        <v>0</v>
      </c>
      <c r="L590" t="s">
        <v>7</v>
      </c>
      <c r="M590" t="s">
        <v>7</v>
      </c>
      <c r="N590" t="s">
        <v>8</v>
      </c>
      <c r="P590">
        <f t="shared" si="989"/>
        <v>0.61904761904761951</v>
      </c>
      <c r="Q590">
        <f t="shared" si="990"/>
        <v>238936207.09523827</v>
      </c>
      <c r="R590">
        <f t="shared" si="991"/>
        <v>-8130453379.1556406</v>
      </c>
      <c r="S590">
        <f t="shared" si="992"/>
        <v>-81304.533791556401</v>
      </c>
      <c r="T590">
        <f t="shared" si="993"/>
        <v>-81.304533791556395</v>
      </c>
    </row>
    <row r="591" spans="1:20" x14ac:dyDescent="0.25">
      <c r="A591" s="5">
        <v>43999</v>
      </c>
      <c r="B591">
        <v>3.68E-4</v>
      </c>
      <c r="C591">
        <v>3.8099999999999999E-4</v>
      </c>
      <c r="D591">
        <v>3.6400000000000001E-4</v>
      </c>
      <c r="E591">
        <v>3.77E-4</v>
      </c>
      <c r="F591">
        <v>233853361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0.52941176470588314</v>
      </c>
      <c r="Q591">
        <f t="shared" si="990"/>
        <v>123804720.52941194</v>
      </c>
      <c r="R591">
        <f t="shared" si="991"/>
        <v>-8369389586.2508793</v>
      </c>
      <c r="S591">
        <f t="shared" si="992"/>
        <v>-83693.895862508798</v>
      </c>
      <c r="T591">
        <f t="shared" si="993"/>
        <v>-83.693895862508796</v>
      </c>
    </row>
    <row r="592" spans="1:20" x14ac:dyDescent="0.25">
      <c r="A592" s="5">
        <v>43998</v>
      </c>
      <c r="B592">
        <v>3.6499999999999998E-4</v>
      </c>
      <c r="C592">
        <v>3.7300000000000001E-4</v>
      </c>
      <c r="D592">
        <v>3.6200000000000002E-4</v>
      </c>
      <c r="E592">
        <v>3.68E-4</v>
      </c>
      <c r="F592">
        <v>185456119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9.0909090909088219E-2</v>
      </c>
      <c r="Q592">
        <f t="shared" si="990"/>
        <v>16859647.181817684</v>
      </c>
      <c r="R592">
        <f t="shared" si="991"/>
        <v>-8493194306.7802916</v>
      </c>
      <c r="S592">
        <f t="shared" si="992"/>
        <v>-84931.943067802917</v>
      </c>
      <c r="T592">
        <f t="shared" si="993"/>
        <v>-84.931943067802919</v>
      </c>
    </row>
    <row r="593" spans="1:20" x14ac:dyDescent="0.25">
      <c r="A593" s="5">
        <v>43997</v>
      </c>
      <c r="B593">
        <v>3.7599999999999998E-4</v>
      </c>
      <c r="C593">
        <v>3.7800000000000003E-4</v>
      </c>
      <c r="D593">
        <v>3.4400000000000001E-4</v>
      </c>
      <c r="E593">
        <v>3.6600000000000001E-4</v>
      </c>
      <c r="F593">
        <v>321030606</v>
      </c>
      <c r="G593">
        <v>0</v>
      </c>
      <c r="L593" t="s">
        <v>8</v>
      </c>
      <c r="M593" t="s">
        <v>7</v>
      </c>
      <c r="N593" t="s">
        <v>8</v>
      </c>
      <c r="P593">
        <f t="shared" si="989"/>
        <v>0.2941176470588226</v>
      </c>
      <c r="Q593">
        <f t="shared" si="990"/>
        <v>94420766.470587939</v>
      </c>
      <c r="R593">
        <f t="shared" si="991"/>
        <v>-8510053953.9621096</v>
      </c>
      <c r="S593">
        <f t="shared" si="992"/>
        <v>-85100.539539621095</v>
      </c>
      <c r="T593">
        <f t="shared" si="993"/>
        <v>-85.100539539621096</v>
      </c>
    </row>
    <row r="594" spans="1:20" x14ac:dyDescent="0.25">
      <c r="A594" s="5">
        <v>43996</v>
      </c>
      <c r="B594">
        <v>3.8200000000000002E-4</v>
      </c>
      <c r="C594">
        <v>3.9100000000000002E-4</v>
      </c>
      <c r="D594">
        <v>3.7100000000000002E-4</v>
      </c>
      <c r="E594">
        <v>3.7500000000000001E-4</v>
      </c>
      <c r="F594">
        <v>366682165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-0.60000000000000109</v>
      </c>
      <c r="Q594">
        <f t="shared" si="990"/>
        <v>-220009299.00000039</v>
      </c>
      <c r="R594">
        <f t="shared" si="991"/>
        <v>-8604474720.4326973</v>
      </c>
      <c r="S594">
        <f t="shared" si="992"/>
        <v>-86044.747204326966</v>
      </c>
      <c r="T594">
        <f t="shared" si="993"/>
        <v>-86.044747204326967</v>
      </c>
    </row>
    <row r="595" spans="1:20" x14ac:dyDescent="0.25">
      <c r="A595" s="5">
        <v>43995</v>
      </c>
      <c r="B595">
        <v>3.6999999999999999E-4</v>
      </c>
      <c r="C595">
        <v>3.8499999999999998E-4</v>
      </c>
      <c r="D595">
        <v>3.6699999999999998E-4</v>
      </c>
      <c r="E595">
        <v>3.8200000000000002E-4</v>
      </c>
      <c r="F595">
        <v>356774648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0.66666666666667074</v>
      </c>
      <c r="Q595">
        <f t="shared" si="990"/>
        <v>237849765.33333477</v>
      </c>
      <c r="R595">
        <f t="shared" si="991"/>
        <v>-8384465421.4326963</v>
      </c>
      <c r="S595">
        <f t="shared" si="992"/>
        <v>-83844.654214326962</v>
      </c>
      <c r="T595">
        <f t="shared" si="993"/>
        <v>-83.844654214326965</v>
      </c>
    </row>
    <row r="596" spans="1:20" x14ac:dyDescent="0.25">
      <c r="A596" s="5">
        <v>43994</v>
      </c>
      <c r="B596">
        <v>3.6600000000000001E-4</v>
      </c>
      <c r="C596">
        <v>3.7599999999999998E-4</v>
      </c>
      <c r="D596">
        <v>3.5799999999999997E-4</v>
      </c>
      <c r="E596">
        <v>3.6999999999999999E-4</v>
      </c>
      <c r="F596">
        <v>274330417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0.33333333333333537</v>
      </c>
      <c r="Q596">
        <f t="shared" si="990"/>
        <v>91443472.333333895</v>
      </c>
      <c r="R596">
        <f t="shared" si="991"/>
        <v>-8622315186.7660313</v>
      </c>
      <c r="S596">
        <f t="shared" si="992"/>
        <v>-86223.151867660315</v>
      </c>
      <c r="T596">
        <f t="shared" si="993"/>
        <v>-86.22315186766032</v>
      </c>
    </row>
    <row r="597" spans="1:20" x14ac:dyDescent="0.25">
      <c r="A597" s="5">
        <v>43993</v>
      </c>
      <c r="B597">
        <v>3.79E-4</v>
      </c>
      <c r="C597">
        <v>3.9100000000000002E-4</v>
      </c>
      <c r="D597">
        <v>3.6299999999999999E-4</v>
      </c>
      <c r="E597">
        <v>3.6600000000000001E-4</v>
      </c>
      <c r="F597">
        <v>316571320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-0.78571428571428459</v>
      </c>
      <c r="Q597">
        <f t="shared" si="990"/>
        <v>-248734608.57142821</v>
      </c>
      <c r="R597">
        <f t="shared" si="991"/>
        <v>-8713758659.0993652</v>
      </c>
      <c r="S597">
        <f t="shared" si="992"/>
        <v>-87137.586590993655</v>
      </c>
      <c r="T597">
        <f t="shared" si="993"/>
        <v>-87.137586590993649</v>
      </c>
    </row>
    <row r="598" spans="1:20" x14ac:dyDescent="0.25">
      <c r="A598" s="5">
        <v>43992</v>
      </c>
      <c r="B598">
        <v>3.8400000000000001E-4</v>
      </c>
      <c r="C598">
        <v>3.8999999999999999E-4</v>
      </c>
      <c r="D598">
        <v>3.7500000000000001E-4</v>
      </c>
      <c r="E598">
        <v>3.8000000000000002E-4</v>
      </c>
      <c r="F598">
        <v>270102116</v>
      </c>
      <c r="G598">
        <v>0</v>
      </c>
      <c r="L598" t="s">
        <v>7</v>
      </c>
      <c r="M598" t="s">
        <v>7</v>
      </c>
      <c r="N598" t="s">
        <v>8</v>
      </c>
      <c r="P598">
        <f t="shared" si="989"/>
        <v>-0.33333333333333093</v>
      </c>
      <c r="Q598">
        <f t="shared" si="990"/>
        <v>-90034038.666666016</v>
      </c>
      <c r="R598">
        <f t="shared" si="991"/>
        <v>-8465024050.5279379</v>
      </c>
      <c r="S598">
        <f t="shared" si="992"/>
        <v>-84650.240505279377</v>
      </c>
      <c r="T598">
        <f t="shared" si="993"/>
        <v>-84.65024050527937</v>
      </c>
    </row>
    <row r="599" spans="1:20" x14ac:dyDescent="0.25">
      <c r="A599" s="5">
        <v>43991</v>
      </c>
      <c r="B599">
        <v>3.8200000000000002E-4</v>
      </c>
      <c r="C599">
        <v>3.9899999999999999E-4</v>
      </c>
      <c r="D599">
        <v>3.7500000000000001E-4</v>
      </c>
      <c r="E599">
        <v>3.8400000000000001E-4</v>
      </c>
      <c r="F599">
        <v>374230996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-0.24999999999999944</v>
      </c>
      <c r="Q599">
        <f t="shared" si="990"/>
        <v>-93557748.999999791</v>
      </c>
      <c r="R599">
        <f t="shared" si="991"/>
        <v>-8374990011.8612719</v>
      </c>
      <c r="S599">
        <f t="shared" si="992"/>
        <v>-83749.900118612713</v>
      </c>
      <c r="T599">
        <f t="shared" si="993"/>
        <v>-83.749900118612715</v>
      </c>
    </row>
    <row r="600" spans="1:20" x14ac:dyDescent="0.25">
      <c r="A600" s="5">
        <v>43990</v>
      </c>
      <c r="B600">
        <v>3.7100000000000002E-4</v>
      </c>
      <c r="C600">
        <v>3.9500000000000001E-4</v>
      </c>
      <c r="D600">
        <v>3.7100000000000002E-4</v>
      </c>
      <c r="E600">
        <v>3.8200000000000002E-4</v>
      </c>
      <c r="F600">
        <v>416981610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-8.3333333333333148E-2</v>
      </c>
      <c r="Q600">
        <f t="shared" si="990"/>
        <v>-34748467.499999925</v>
      </c>
      <c r="R600">
        <f t="shared" si="991"/>
        <v>-8281432262.8612719</v>
      </c>
      <c r="S600">
        <f t="shared" si="992"/>
        <v>-82814.322628612717</v>
      </c>
      <c r="T600">
        <f t="shared" si="993"/>
        <v>-82.814322628612715</v>
      </c>
    </row>
    <row r="601" spans="1:20" x14ac:dyDescent="0.25">
      <c r="A601" s="5">
        <v>43989</v>
      </c>
      <c r="B601">
        <v>3.68E-4</v>
      </c>
      <c r="C601">
        <v>3.8200000000000002E-4</v>
      </c>
      <c r="D601">
        <v>3.5599999999999998E-4</v>
      </c>
      <c r="E601">
        <v>3.7199999999999999E-4</v>
      </c>
      <c r="F601">
        <v>487514244</v>
      </c>
      <c r="G601">
        <v>0</v>
      </c>
      <c r="L601" t="s">
        <v>8</v>
      </c>
      <c r="M601" t="s">
        <v>7</v>
      </c>
      <c r="N601" t="s">
        <v>8</v>
      </c>
      <c r="P601">
        <f t="shared" si="989"/>
        <v>0.23076923076922981</v>
      </c>
      <c r="Q601">
        <f t="shared" si="990"/>
        <v>112503287.07692261</v>
      </c>
      <c r="R601">
        <f t="shared" si="991"/>
        <v>-8246683795.3612719</v>
      </c>
      <c r="S601">
        <f t="shared" si="992"/>
        <v>-82466.837953612718</v>
      </c>
      <c r="T601">
        <f t="shared" si="993"/>
        <v>-82.466837953612725</v>
      </c>
    </row>
    <row r="602" spans="1:20" x14ac:dyDescent="0.25">
      <c r="A602" s="5">
        <v>43988</v>
      </c>
      <c r="B602">
        <v>3.7599999999999998E-4</v>
      </c>
      <c r="C602">
        <v>3.77E-4</v>
      </c>
      <c r="D602">
        <v>3.6400000000000001E-4</v>
      </c>
      <c r="E602">
        <v>3.68E-4</v>
      </c>
      <c r="F602">
        <v>203262127</v>
      </c>
      <c r="G602">
        <v>0</v>
      </c>
      <c r="L602" t="s">
        <v>7</v>
      </c>
      <c r="M602" t="s">
        <v>7</v>
      </c>
      <c r="N602" t="s">
        <v>8</v>
      </c>
      <c r="P602">
        <f t="shared" si="989"/>
        <v>-0.38461538461538591</v>
      </c>
      <c r="Q602">
        <f t="shared" si="990"/>
        <v>-78177741.153846413</v>
      </c>
      <c r="R602">
        <f t="shared" si="991"/>
        <v>-8359187082.4381943</v>
      </c>
      <c r="S602">
        <f t="shared" si="992"/>
        <v>-83591.870824381942</v>
      </c>
      <c r="T602">
        <f t="shared" si="993"/>
        <v>-83.591870824381942</v>
      </c>
    </row>
    <row r="603" spans="1:20" x14ac:dyDescent="0.25">
      <c r="A603" s="5">
        <v>43987</v>
      </c>
      <c r="B603">
        <v>3.8400000000000001E-4</v>
      </c>
      <c r="C603">
        <v>3.8999999999999999E-4</v>
      </c>
      <c r="D603">
        <v>3.6299999999999999E-4</v>
      </c>
      <c r="E603">
        <v>3.77E-4</v>
      </c>
      <c r="F603">
        <v>576264898</v>
      </c>
      <c r="G603">
        <v>0</v>
      </c>
      <c r="L603" t="s">
        <v>8</v>
      </c>
      <c r="M603" t="s">
        <v>7</v>
      </c>
      <c r="N603" t="s">
        <v>8</v>
      </c>
      <c r="P603">
        <f t="shared" si="989"/>
        <v>3.703703703703793E-2</v>
      </c>
      <c r="Q603">
        <f t="shared" si="990"/>
        <v>21343144.370370883</v>
      </c>
      <c r="R603">
        <f t="shared" si="991"/>
        <v>-8281009341.2843475</v>
      </c>
      <c r="S603">
        <f t="shared" si="992"/>
        <v>-82810.093412843475</v>
      </c>
      <c r="T603">
        <f t="shared" si="993"/>
        <v>-82.810093412843472</v>
      </c>
    </row>
    <row r="604" spans="1:20" x14ac:dyDescent="0.25">
      <c r="A604" s="5">
        <v>43986</v>
      </c>
      <c r="B604">
        <v>3.7100000000000002E-4</v>
      </c>
      <c r="C604">
        <v>3.9500000000000001E-4</v>
      </c>
      <c r="D604">
        <v>3.6999999999999999E-4</v>
      </c>
      <c r="E604">
        <v>3.86E-4</v>
      </c>
      <c r="F604">
        <v>473161724</v>
      </c>
      <c r="G604">
        <v>0</v>
      </c>
      <c r="L604" t="s">
        <v>7</v>
      </c>
      <c r="M604" t="s">
        <v>7</v>
      </c>
      <c r="N604" t="s">
        <v>8</v>
      </c>
      <c r="P604">
        <f t="shared" si="989"/>
        <v>0.28000000000000019</v>
      </c>
      <c r="Q604">
        <f t="shared" si="990"/>
        <v>132485282.72000009</v>
      </c>
      <c r="R604">
        <f t="shared" si="991"/>
        <v>-8302352485.6547184</v>
      </c>
      <c r="S604">
        <f t="shared" si="992"/>
        <v>-83023.524856547185</v>
      </c>
      <c r="T604">
        <f t="shared" si="993"/>
        <v>-83.023524856547184</v>
      </c>
    </row>
    <row r="605" spans="1:20" x14ac:dyDescent="0.25">
      <c r="A605" s="5">
        <v>43985</v>
      </c>
      <c r="B605">
        <v>3.7399999999999998E-4</v>
      </c>
      <c r="C605">
        <v>3.77E-4</v>
      </c>
      <c r="D605">
        <v>3.6699999999999998E-4</v>
      </c>
      <c r="E605">
        <v>3.7100000000000002E-4</v>
      </c>
      <c r="F605">
        <v>259806009</v>
      </c>
      <c r="G605">
        <v>0</v>
      </c>
      <c r="L605" t="s">
        <v>8</v>
      </c>
      <c r="M605" t="s">
        <v>7</v>
      </c>
      <c r="N605" t="s">
        <v>8</v>
      </c>
      <c r="P605">
        <f t="shared" si="989"/>
        <v>-0.19999999999999349</v>
      </c>
      <c r="Q605">
        <f t="shared" si="990"/>
        <v>-51961201.799998306</v>
      </c>
      <c r="R605">
        <f t="shared" si="991"/>
        <v>-8434837768.3747187</v>
      </c>
      <c r="S605">
        <f t="shared" si="992"/>
        <v>-84348.377683747181</v>
      </c>
      <c r="T605">
        <f t="shared" si="993"/>
        <v>-84.348377683747188</v>
      </c>
    </row>
    <row r="606" spans="1:20" x14ac:dyDescent="0.25">
      <c r="A606" s="5">
        <v>43984</v>
      </c>
      <c r="B606">
        <v>3.9500000000000001E-4</v>
      </c>
      <c r="C606">
        <v>4.0400000000000001E-4</v>
      </c>
      <c r="D606">
        <v>3.5500000000000001E-4</v>
      </c>
      <c r="E606">
        <v>3.7300000000000001E-4</v>
      </c>
      <c r="F606">
        <v>563740864</v>
      </c>
      <c r="G606">
        <v>0</v>
      </c>
      <c r="L606" t="s">
        <v>7</v>
      </c>
      <c r="M606" t="s">
        <v>7</v>
      </c>
      <c r="N606" t="s">
        <v>8</v>
      </c>
      <c r="P606">
        <f t="shared" si="989"/>
        <v>-0.26530612244897939</v>
      </c>
      <c r="Q606">
        <f t="shared" si="990"/>
        <v>-149563902.69387743</v>
      </c>
      <c r="R606">
        <f t="shared" si="991"/>
        <v>-8382876566.5747204</v>
      </c>
      <c r="S606">
        <f t="shared" si="992"/>
        <v>-83828.765665747211</v>
      </c>
      <c r="T606">
        <f t="shared" si="993"/>
        <v>-83.828765665747213</v>
      </c>
    </row>
    <row r="607" spans="1:20" x14ac:dyDescent="0.25">
      <c r="A607" s="5">
        <v>43983</v>
      </c>
      <c r="B607">
        <v>3.8000000000000002E-4</v>
      </c>
      <c r="C607">
        <v>4.0200000000000001E-4</v>
      </c>
      <c r="D607">
        <v>3.8000000000000002E-4</v>
      </c>
      <c r="E607">
        <v>3.9599999999999998E-4</v>
      </c>
      <c r="F607">
        <v>316008592</v>
      </c>
      <c r="G607">
        <v>0</v>
      </c>
      <c r="L607" t="s">
        <v>8</v>
      </c>
      <c r="M607" t="s">
        <v>7</v>
      </c>
      <c r="N607" t="s">
        <v>8</v>
      </c>
      <c r="P607">
        <f t="shared" si="989"/>
        <v>0.45454545454545098</v>
      </c>
      <c r="Q607">
        <f t="shared" si="990"/>
        <v>143640269.09090796</v>
      </c>
      <c r="R607">
        <f t="shared" si="991"/>
        <v>-8233312663.8808432</v>
      </c>
      <c r="S607">
        <f t="shared" si="992"/>
        <v>-82333.126638808433</v>
      </c>
      <c r="T607">
        <f t="shared" si="993"/>
        <v>-82.333126638808437</v>
      </c>
    </row>
    <row r="608" spans="1:20" x14ac:dyDescent="0.25">
      <c r="A608" s="5">
        <v>43982</v>
      </c>
      <c r="B608">
        <v>4.0700000000000003E-4</v>
      </c>
      <c r="C608">
        <v>4.15E-4</v>
      </c>
      <c r="D608">
        <v>3.8000000000000002E-4</v>
      </c>
      <c r="E608">
        <v>3.8099999999999999E-4</v>
      </c>
      <c r="F608">
        <v>824713107</v>
      </c>
      <c r="G608">
        <v>0</v>
      </c>
      <c r="L608" t="s">
        <v>7</v>
      </c>
      <c r="M608" t="s">
        <v>7</v>
      </c>
      <c r="N608" t="s">
        <v>8</v>
      </c>
      <c r="P608">
        <f t="shared" si="989"/>
        <v>-0.9428571428571445</v>
      </c>
      <c r="Q608">
        <f t="shared" si="990"/>
        <v>-777586643.74285853</v>
      </c>
      <c r="R608">
        <f t="shared" si="991"/>
        <v>-8376952932.9717512</v>
      </c>
      <c r="S608">
        <f t="shared" si="992"/>
        <v>-83769.529329717509</v>
      </c>
      <c r="T608">
        <f t="shared" si="993"/>
        <v>-83.769529329717514</v>
      </c>
    </row>
    <row r="609" spans="1:20" x14ac:dyDescent="0.25">
      <c r="A609" s="5">
        <v>43981</v>
      </c>
      <c r="B609">
        <v>3.77E-4</v>
      </c>
      <c r="C609">
        <v>4.55E-4</v>
      </c>
      <c r="D609">
        <v>3.6400000000000001E-4</v>
      </c>
      <c r="E609">
        <v>4.08E-4</v>
      </c>
      <c r="F609">
        <v>2745603028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-3.2967032967033176E-2</v>
      </c>
      <c r="Q609">
        <f t="shared" si="990"/>
        <v>-90514385.538462117</v>
      </c>
      <c r="R609">
        <f t="shared" si="991"/>
        <v>-7599366289.2288923</v>
      </c>
      <c r="S609">
        <f t="shared" si="992"/>
        <v>-75993.662892288921</v>
      </c>
      <c r="T609">
        <f t="shared" si="993"/>
        <v>-75.993662892288924</v>
      </c>
    </row>
    <row r="610" spans="1:20" x14ac:dyDescent="0.25">
      <c r="A610" s="5">
        <v>43980</v>
      </c>
      <c r="B610">
        <v>3.3799999999999998E-4</v>
      </c>
      <c r="C610">
        <v>3.8999999999999999E-4</v>
      </c>
      <c r="D610">
        <v>3.3300000000000002E-4</v>
      </c>
      <c r="E610">
        <v>3.77E-4</v>
      </c>
      <c r="F610">
        <v>1275501227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0.54385964912280715</v>
      </c>
      <c r="Q610">
        <f t="shared" si="990"/>
        <v>693693649.77192998</v>
      </c>
      <c r="R610">
        <f t="shared" si="991"/>
        <v>-7508851903.6904306</v>
      </c>
      <c r="S610">
        <f t="shared" si="992"/>
        <v>-75088.519036904312</v>
      </c>
      <c r="T610">
        <f t="shared" si="993"/>
        <v>-75.088519036904316</v>
      </c>
    </row>
    <row r="611" spans="1:20" x14ac:dyDescent="0.25">
      <c r="A611" s="5">
        <v>43979</v>
      </c>
      <c r="B611">
        <v>3.1700000000000001E-4</v>
      </c>
      <c r="C611">
        <v>3.4600000000000001E-4</v>
      </c>
      <c r="D611">
        <v>3.1599999999999998E-4</v>
      </c>
      <c r="E611">
        <v>3.3799999999999998E-4</v>
      </c>
      <c r="F611">
        <v>554301935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0.46666666666666495</v>
      </c>
      <c r="Q611">
        <f t="shared" si="990"/>
        <v>258674236.33333239</v>
      </c>
      <c r="R611">
        <f t="shared" si="991"/>
        <v>-8202545553.4623604</v>
      </c>
      <c r="S611">
        <f t="shared" si="992"/>
        <v>-82025.455534623601</v>
      </c>
      <c r="T611">
        <f t="shared" si="993"/>
        <v>-82.025455534623603</v>
      </c>
    </row>
    <row r="612" spans="1:20" x14ac:dyDescent="0.25">
      <c r="A612" s="5">
        <v>43978</v>
      </c>
      <c r="B612">
        <v>3.2000000000000003E-4</v>
      </c>
      <c r="C612">
        <v>3.3300000000000002E-4</v>
      </c>
      <c r="D612">
        <v>3.1100000000000002E-4</v>
      </c>
      <c r="E612">
        <v>3.1700000000000001E-4</v>
      </c>
      <c r="F612">
        <v>590147581</v>
      </c>
      <c r="G612">
        <v>0</v>
      </c>
      <c r="L612" t="s">
        <v>7</v>
      </c>
      <c r="M612" t="s">
        <v>8</v>
      </c>
      <c r="N612" t="s">
        <v>8</v>
      </c>
      <c r="P612">
        <f t="shared" si="989"/>
        <v>-0.45454545454545586</v>
      </c>
      <c r="Q612">
        <f t="shared" si="990"/>
        <v>-268248900.45454624</v>
      </c>
      <c r="R612">
        <f t="shared" si="991"/>
        <v>-8461219789.7956924</v>
      </c>
      <c r="S612">
        <f t="shared" si="992"/>
        <v>-84612.197897956925</v>
      </c>
      <c r="T612">
        <f t="shared" si="993"/>
        <v>-84.612197897956918</v>
      </c>
    </row>
    <row r="613" spans="1:20" x14ac:dyDescent="0.25">
      <c r="A613" s="5">
        <v>43977</v>
      </c>
      <c r="B613">
        <v>3.2899999999999997E-4</v>
      </c>
      <c r="C613">
        <v>3.2899999999999997E-4</v>
      </c>
      <c r="D613">
        <v>3.1199999999999999E-4</v>
      </c>
      <c r="E613">
        <v>3.2000000000000003E-4</v>
      </c>
      <c r="F613">
        <v>419289457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-5.8823529411759827E-2</v>
      </c>
      <c r="Q613">
        <f t="shared" si="990"/>
        <v>-24664085.705880307</v>
      </c>
      <c r="R613">
        <f t="shared" si="991"/>
        <v>-8192970889.3411465</v>
      </c>
      <c r="S613">
        <f t="shared" si="992"/>
        <v>-81929.708893411458</v>
      </c>
      <c r="T613">
        <f t="shared" si="993"/>
        <v>-81.929708893411458</v>
      </c>
    </row>
    <row r="614" spans="1:20" x14ac:dyDescent="0.25">
      <c r="A614" s="5">
        <v>43976</v>
      </c>
      <c r="B614">
        <v>3.01E-4</v>
      </c>
      <c r="C614">
        <v>3.3399999999999999E-4</v>
      </c>
      <c r="D614">
        <v>2.9599999999999998E-4</v>
      </c>
      <c r="E614">
        <v>3.2899999999999997E-4</v>
      </c>
      <c r="F614">
        <v>1098008649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0.73684210526315719</v>
      </c>
      <c r="Q614">
        <f t="shared" si="990"/>
        <v>809059004.52631497</v>
      </c>
      <c r="R614">
        <f t="shared" si="991"/>
        <v>-8168306803.6352663</v>
      </c>
      <c r="S614">
        <f t="shared" si="992"/>
        <v>-81683.068036352663</v>
      </c>
      <c r="T614">
        <f t="shared" si="993"/>
        <v>-81.683068036352665</v>
      </c>
    </row>
    <row r="615" spans="1:20" x14ac:dyDescent="0.25">
      <c r="A615" s="5">
        <v>43975</v>
      </c>
      <c r="B615">
        <v>3.0400000000000002E-4</v>
      </c>
      <c r="C615">
        <v>3.21E-4</v>
      </c>
      <c r="D615">
        <v>2.9500000000000001E-4</v>
      </c>
      <c r="E615">
        <v>2.9999999999999997E-4</v>
      </c>
      <c r="F615">
        <v>778980834</v>
      </c>
      <c r="G615">
        <v>0</v>
      </c>
      <c r="L615" t="s">
        <v>8</v>
      </c>
      <c r="M615" t="s">
        <v>7</v>
      </c>
      <c r="N615" t="s">
        <v>8</v>
      </c>
      <c r="P615">
        <f t="shared" si="989"/>
        <v>-0.61538461538461831</v>
      </c>
      <c r="Q615">
        <f t="shared" si="990"/>
        <v>-479372820.92307919</v>
      </c>
      <c r="R615">
        <f t="shared" si="991"/>
        <v>-8977365808.161581</v>
      </c>
      <c r="S615">
        <f t="shared" si="992"/>
        <v>-89773.658081615809</v>
      </c>
      <c r="T615">
        <f t="shared" si="993"/>
        <v>-89.773658081615807</v>
      </c>
    </row>
    <row r="616" spans="1:20" x14ac:dyDescent="0.25">
      <c r="A616" s="5">
        <v>43974</v>
      </c>
      <c r="B616">
        <v>3.0600000000000001E-4</v>
      </c>
      <c r="C616">
        <v>3.0800000000000001E-4</v>
      </c>
      <c r="D616">
        <v>2.9500000000000001E-4</v>
      </c>
      <c r="E616">
        <v>3.0400000000000002E-4</v>
      </c>
      <c r="F616">
        <v>221768540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0.38461538461538591</v>
      </c>
      <c r="Q616">
        <f t="shared" si="990"/>
        <v>85295592.307692602</v>
      </c>
      <c r="R616">
        <f t="shared" si="991"/>
        <v>-8497992987.2385015</v>
      </c>
      <c r="S616">
        <f t="shared" si="992"/>
        <v>-84979.929872385022</v>
      </c>
      <c r="T616">
        <f t="shared" si="993"/>
        <v>-84.979929872385028</v>
      </c>
    </row>
    <row r="617" spans="1:20" x14ac:dyDescent="0.25">
      <c r="A617" s="5">
        <v>43973</v>
      </c>
      <c r="B617">
        <v>2.9300000000000002E-4</v>
      </c>
      <c r="C617">
        <v>3.0800000000000001E-4</v>
      </c>
      <c r="D617">
        <v>2.9300000000000002E-4</v>
      </c>
      <c r="E617">
        <v>3.0600000000000001E-4</v>
      </c>
      <c r="F617">
        <v>352325717</v>
      </c>
      <c r="G617">
        <v>0</v>
      </c>
      <c r="L617" t="s">
        <v>8</v>
      </c>
      <c r="M617" t="s">
        <v>7</v>
      </c>
      <c r="N617" t="s">
        <v>8</v>
      </c>
      <c r="P617">
        <f t="shared" si="989"/>
        <v>0.73333333333333384</v>
      </c>
      <c r="Q617">
        <f t="shared" si="990"/>
        <v>258372192.46666685</v>
      </c>
      <c r="R617">
        <f t="shared" si="991"/>
        <v>-8583288579.5461941</v>
      </c>
      <c r="S617">
        <f t="shared" si="992"/>
        <v>-85832.885795461945</v>
      </c>
      <c r="T617">
        <f t="shared" si="993"/>
        <v>-85.832885795461948</v>
      </c>
    </row>
    <row r="618" spans="1:20" x14ac:dyDescent="0.25">
      <c r="A618" s="5">
        <v>43972</v>
      </c>
      <c r="B618">
        <v>3.2000000000000003E-4</v>
      </c>
      <c r="C618">
        <v>3.2200000000000002E-4</v>
      </c>
      <c r="D618">
        <v>2.8499999999999999E-4</v>
      </c>
      <c r="E618">
        <v>2.9300000000000002E-4</v>
      </c>
      <c r="F618">
        <v>1140598603</v>
      </c>
      <c r="G618">
        <v>0</v>
      </c>
      <c r="L618" t="s">
        <v>7</v>
      </c>
      <c r="M618" t="s">
        <v>7</v>
      </c>
      <c r="N618" t="s">
        <v>8</v>
      </c>
      <c r="P618">
        <f t="shared" si="989"/>
        <v>-0.56756756756756621</v>
      </c>
      <c r="Q618">
        <f t="shared" si="990"/>
        <v>-647366774.67567408</v>
      </c>
      <c r="R618">
        <f t="shared" si="991"/>
        <v>-8841660772.0128613</v>
      </c>
      <c r="S618">
        <f t="shared" si="992"/>
        <v>-88416.60772012861</v>
      </c>
      <c r="T618">
        <f t="shared" si="993"/>
        <v>-88.41660772012861</v>
      </c>
    </row>
    <row r="619" spans="1:20" x14ac:dyDescent="0.25">
      <c r="A619" s="5">
        <v>43971</v>
      </c>
      <c r="B619">
        <v>3.3399999999999999E-4</v>
      </c>
      <c r="C619">
        <v>3.3500000000000001E-4</v>
      </c>
      <c r="D619">
        <v>3.1E-4</v>
      </c>
      <c r="E619">
        <v>3.2000000000000003E-4</v>
      </c>
      <c r="F619">
        <v>532836416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-0.19999999999999826</v>
      </c>
      <c r="Q619">
        <f t="shared" si="990"/>
        <v>-106567283.19999908</v>
      </c>
      <c r="R619">
        <f t="shared" si="991"/>
        <v>-8194293997.3371868</v>
      </c>
      <c r="S619">
        <f t="shared" si="992"/>
        <v>-81942.939973371875</v>
      </c>
      <c r="T619">
        <f t="shared" si="993"/>
        <v>-81.942939973371878</v>
      </c>
    </row>
    <row r="620" spans="1:20" x14ac:dyDescent="0.25">
      <c r="A620" s="5">
        <v>43970</v>
      </c>
      <c r="B620">
        <v>3.3199999999999999E-4</v>
      </c>
      <c r="C620">
        <v>3.6000000000000002E-4</v>
      </c>
      <c r="D620">
        <v>3.3E-4</v>
      </c>
      <c r="E620">
        <v>3.3399999999999999E-4</v>
      </c>
      <c r="F620">
        <v>776031076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-0.73333333333333428</v>
      </c>
      <c r="Q620">
        <f t="shared" si="990"/>
        <v>-569089455.73333406</v>
      </c>
      <c r="R620">
        <f t="shared" si="991"/>
        <v>-8087726714.137188</v>
      </c>
      <c r="S620">
        <f t="shared" si="992"/>
        <v>-80877.267141371878</v>
      </c>
      <c r="T620">
        <f t="shared" si="993"/>
        <v>-80.877267141371874</v>
      </c>
    </row>
    <row r="621" spans="1:20" x14ac:dyDescent="0.25">
      <c r="A621" s="5">
        <v>43969</v>
      </c>
      <c r="B621">
        <v>3.2000000000000003E-4</v>
      </c>
      <c r="C621">
        <v>3.3799999999999998E-4</v>
      </c>
      <c r="D621">
        <v>3.1700000000000001E-4</v>
      </c>
      <c r="E621">
        <v>3.3199999999999999E-4</v>
      </c>
      <c r="F621">
        <v>862000483</v>
      </c>
      <c r="G621">
        <v>0</v>
      </c>
      <c r="L621" t="s">
        <v>8</v>
      </c>
      <c r="M621" t="s">
        <v>7</v>
      </c>
      <c r="N621" t="s">
        <v>8</v>
      </c>
      <c r="P621">
        <f t="shared" si="989"/>
        <v>0.42857142857142932</v>
      </c>
      <c r="Q621">
        <f t="shared" si="990"/>
        <v>369428778.42857206</v>
      </c>
      <c r="R621">
        <f t="shared" si="991"/>
        <v>-7518637258.4038534</v>
      </c>
      <c r="S621">
        <f t="shared" si="992"/>
        <v>-75186.37258403853</v>
      </c>
      <c r="T621">
        <f t="shared" si="993"/>
        <v>-75.186372584038537</v>
      </c>
    </row>
    <row r="622" spans="1:20" x14ac:dyDescent="0.25">
      <c r="A622" s="5">
        <v>43968</v>
      </c>
      <c r="B622">
        <v>3.1500000000000001E-4</v>
      </c>
      <c r="C622">
        <v>3.2499999999999999E-4</v>
      </c>
      <c r="D622">
        <v>3.1100000000000002E-4</v>
      </c>
      <c r="E622">
        <v>3.21E-4</v>
      </c>
      <c r="F622">
        <v>271290537</v>
      </c>
      <c r="G622">
        <v>0</v>
      </c>
      <c r="L622" t="s">
        <v>7</v>
      </c>
      <c r="M622" t="s">
        <v>7</v>
      </c>
      <c r="N622" t="s">
        <v>8</v>
      </c>
      <c r="P622">
        <f t="shared" si="989"/>
        <v>0.42857142857142855</v>
      </c>
      <c r="Q622">
        <f t="shared" si="990"/>
        <v>116267373</v>
      </c>
      <c r="R622">
        <f t="shared" si="991"/>
        <v>-7888066036.8324251</v>
      </c>
      <c r="S622">
        <f t="shared" si="992"/>
        <v>-78880.660368324257</v>
      </c>
      <c r="T622">
        <f t="shared" si="993"/>
        <v>-78.880660368324257</v>
      </c>
    </row>
    <row r="623" spans="1:20" x14ac:dyDescent="0.25">
      <c r="A623" s="5">
        <v>43967</v>
      </c>
      <c r="B623">
        <v>3.0899999999999998E-4</v>
      </c>
      <c r="C623">
        <v>3.1700000000000001E-4</v>
      </c>
      <c r="D623">
        <v>3.0800000000000001E-4</v>
      </c>
      <c r="E623">
        <v>3.1500000000000001E-4</v>
      </c>
      <c r="F623">
        <v>593568541</v>
      </c>
      <c r="G623">
        <v>0</v>
      </c>
      <c r="L623" t="s">
        <v>8</v>
      </c>
      <c r="M623" t="s">
        <v>7</v>
      </c>
      <c r="N623" t="s">
        <v>8</v>
      </c>
      <c r="P623">
        <f t="shared" si="989"/>
        <v>0.55555555555555691</v>
      </c>
      <c r="Q623">
        <f t="shared" si="990"/>
        <v>329760300.55555636</v>
      </c>
      <c r="R623">
        <f t="shared" si="991"/>
        <v>-8004333409.8324251</v>
      </c>
      <c r="S623">
        <f t="shared" si="992"/>
        <v>-80043.334098324252</v>
      </c>
      <c r="T623">
        <f t="shared" si="993"/>
        <v>-80.043334098324252</v>
      </c>
    </row>
    <row r="624" spans="1:20" x14ac:dyDescent="0.25">
      <c r="A624" s="5">
        <v>43966</v>
      </c>
      <c r="B624">
        <v>3.1700000000000001E-4</v>
      </c>
      <c r="C624">
        <v>3.2000000000000003E-4</v>
      </c>
      <c r="D624">
        <v>3.0699999999999998E-4</v>
      </c>
      <c r="E624">
        <v>3.0899999999999998E-4</v>
      </c>
      <c r="F624">
        <v>826400338</v>
      </c>
      <c r="G624">
        <v>0</v>
      </c>
      <c r="L624" t="s">
        <v>7</v>
      </c>
      <c r="M624" t="s">
        <v>7</v>
      </c>
      <c r="N624" t="s">
        <v>8</v>
      </c>
      <c r="P624">
        <f t="shared" si="989"/>
        <v>-0.69230769230769418</v>
      </c>
      <c r="Q624">
        <f t="shared" si="990"/>
        <v>-572123310.92307842</v>
      </c>
      <c r="R624">
        <f t="shared" si="991"/>
        <v>-8334093710.3879814</v>
      </c>
      <c r="S624">
        <f t="shared" si="992"/>
        <v>-83340.937103879813</v>
      </c>
      <c r="T624">
        <f t="shared" si="993"/>
        <v>-83.34093710387981</v>
      </c>
    </row>
    <row r="625" spans="1:20" x14ac:dyDescent="0.25">
      <c r="A625" s="5">
        <v>43965</v>
      </c>
      <c r="B625">
        <v>3.1599999999999998E-4</v>
      </c>
      <c r="C625">
        <v>3.2699999999999998E-4</v>
      </c>
      <c r="D625">
        <v>3.1100000000000002E-4</v>
      </c>
      <c r="E625">
        <v>3.1700000000000001E-4</v>
      </c>
      <c r="F625">
        <v>917245068</v>
      </c>
      <c r="G625">
        <v>0</v>
      </c>
      <c r="L625" t="s">
        <v>8</v>
      </c>
      <c r="M625" t="s">
        <v>7</v>
      </c>
      <c r="N625" t="s">
        <v>8</v>
      </c>
      <c r="P625">
        <f t="shared" si="989"/>
        <v>-0.25</v>
      </c>
      <c r="Q625">
        <f t="shared" si="990"/>
        <v>-229311267</v>
      </c>
      <c r="R625">
        <f t="shared" si="991"/>
        <v>-7761970399.4649029</v>
      </c>
      <c r="S625">
        <f t="shared" si="992"/>
        <v>-77619.703994649026</v>
      </c>
      <c r="T625">
        <f t="shared" si="993"/>
        <v>-77.619703994649029</v>
      </c>
    </row>
    <row r="626" spans="1:20" x14ac:dyDescent="0.25">
      <c r="A626" s="5">
        <v>43964</v>
      </c>
      <c r="B626">
        <v>3.1100000000000002E-4</v>
      </c>
      <c r="C626">
        <v>3.19E-4</v>
      </c>
      <c r="D626">
        <v>3.0800000000000001E-4</v>
      </c>
      <c r="E626">
        <v>3.1599999999999998E-4</v>
      </c>
      <c r="F626">
        <v>825598159</v>
      </c>
      <c r="G626">
        <v>0</v>
      </c>
      <c r="L626" t="s">
        <v>7</v>
      </c>
      <c r="M626" t="s">
        <v>7</v>
      </c>
      <c r="N626" t="s">
        <v>8</v>
      </c>
      <c r="P626">
        <f t="shared" si="989"/>
        <v>0.45454545454545098</v>
      </c>
      <c r="Q626">
        <f t="shared" si="990"/>
        <v>375271890.45454252</v>
      </c>
      <c r="R626">
        <f t="shared" si="991"/>
        <v>-7532659132.4649029</v>
      </c>
      <c r="S626">
        <f t="shared" si="992"/>
        <v>-75326.591324649024</v>
      </c>
      <c r="T626">
        <f t="shared" si="993"/>
        <v>-75.32659132464903</v>
      </c>
    </row>
    <row r="627" spans="1:20" x14ac:dyDescent="0.25">
      <c r="A627" s="5">
        <v>43963</v>
      </c>
      <c r="B627">
        <v>3.0299999999999999E-4</v>
      </c>
      <c r="C627">
        <v>3.3100000000000002E-4</v>
      </c>
      <c r="D627">
        <v>2.99E-4</v>
      </c>
      <c r="E627">
        <v>3.1100000000000002E-4</v>
      </c>
      <c r="F627">
        <v>1405754636</v>
      </c>
      <c r="G627">
        <v>0</v>
      </c>
      <c r="L627" t="s">
        <v>8</v>
      </c>
      <c r="M627" t="s">
        <v>7</v>
      </c>
      <c r="N627" t="s">
        <v>8</v>
      </c>
      <c r="P627">
        <f t="shared" si="989"/>
        <v>-0.24999999999999914</v>
      </c>
      <c r="Q627">
        <f t="shared" si="990"/>
        <v>-351438658.99999881</v>
      </c>
      <c r="R627">
        <f t="shared" si="991"/>
        <v>-7907931022.919445</v>
      </c>
      <c r="S627">
        <f t="shared" si="992"/>
        <v>-79079.310229194452</v>
      </c>
      <c r="T627">
        <f t="shared" si="993"/>
        <v>-79.079310229194448</v>
      </c>
    </row>
    <row r="628" spans="1:20" x14ac:dyDescent="0.25">
      <c r="A628" s="5">
        <v>43962</v>
      </c>
      <c r="B628">
        <v>3.1500000000000001E-4</v>
      </c>
      <c r="C628">
        <v>3.4000000000000002E-4</v>
      </c>
      <c r="D628">
        <v>2.92E-4</v>
      </c>
      <c r="E628">
        <v>3.0299999999999999E-4</v>
      </c>
      <c r="F628">
        <v>1506223525</v>
      </c>
      <c r="G628">
        <v>0</v>
      </c>
      <c r="L628" t="s">
        <v>7</v>
      </c>
      <c r="M628" t="s">
        <v>7</v>
      </c>
      <c r="N628" t="s">
        <v>8</v>
      </c>
      <c r="P628">
        <f t="shared" si="989"/>
        <v>-0.54166666666666707</v>
      </c>
      <c r="Q628">
        <f t="shared" si="990"/>
        <v>-815871076.04166722</v>
      </c>
      <c r="R628">
        <f t="shared" si="991"/>
        <v>-7556492363.919446</v>
      </c>
      <c r="S628">
        <f t="shared" si="992"/>
        <v>-75564.923639194458</v>
      </c>
      <c r="T628">
        <f t="shared" si="993"/>
        <v>-75.564923639194461</v>
      </c>
    </row>
    <row r="629" spans="1:20" x14ac:dyDescent="0.25">
      <c r="A629" s="5">
        <v>43961</v>
      </c>
      <c r="B629">
        <v>3.4200000000000002E-4</v>
      </c>
      <c r="C629">
        <v>3.4299999999999999E-4</v>
      </c>
      <c r="D629">
        <v>2.9E-4</v>
      </c>
      <c r="E629">
        <v>3.1500000000000001E-4</v>
      </c>
      <c r="F629">
        <v>2053042029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-5.6603773584905002E-2</v>
      </c>
      <c r="Q629">
        <f t="shared" si="990"/>
        <v>-116209926.16980997</v>
      </c>
      <c r="R629">
        <f t="shared" si="991"/>
        <v>-6740621287.877779</v>
      </c>
      <c r="S629">
        <f t="shared" si="992"/>
        <v>-67406.212878777791</v>
      </c>
      <c r="T629">
        <f t="shared" si="993"/>
        <v>-67.406212878777794</v>
      </c>
    </row>
    <row r="630" spans="1:20" x14ac:dyDescent="0.25">
      <c r="A630" s="5">
        <v>43960</v>
      </c>
      <c r="B630">
        <v>3.19E-4</v>
      </c>
      <c r="C630">
        <v>3.6900000000000002E-4</v>
      </c>
      <c r="D630">
        <v>3.1599999999999998E-4</v>
      </c>
      <c r="E630">
        <v>3.4299999999999999E-4</v>
      </c>
      <c r="F630">
        <v>2572455467</v>
      </c>
      <c r="G630">
        <v>0</v>
      </c>
      <c r="L630" t="s">
        <v>7</v>
      </c>
      <c r="M630" t="s">
        <v>8</v>
      </c>
      <c r="N630" t="s">
        <v>8</v>
      </c>
      <c r="P630">
        <f t="shared" si="989"/>
        <v>1.8867924528301307E-2</v>
      </c>
      <c r="Q630">
        <f t="shared" si="990"/>
        <v>48536895.603772089</v>
      </c>
      <c r="R630">
        <f t="shared" si="991"/>
        <v>-6624411361.7079687</v>
      </c>
      <c r="S630">
        <f t="shared" si="992"/>
        <v>-66244.113617079682</v>
      </c>
      <c r="T630">
        <f t="shared" si="993"/>
        <v>-66.244113617079677</v>
      </c>
    </row>
    <row r="631" spans="1:20" x14ac:dyDescent="0.25">
      <c r="A631" s="5">
        <v>43959</v>
      </c>
      <c r="B631">
        <v>3.1100000000000002E-4</v>
      </c>
      <c r="C631">
        <v>3.2499999999999999E-4</v>
      </c>
      <c r="D631">
        <v>3.0800000000000001E-4</v>
      </c>
      <c r="E631">
        <v>3.19E-4</v>
      </c>
      <c r="F631">
        <v>1403288057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0.29411764705882465</v>
      </c>
      <c r="Q631">
        <f t="shared" si="990"/>
        <v>412731781.47058982</v>
      </c>
      <c r="R631">
        <f t="shared" si="991"/>
        <v>-6672948257.3117409</v>
      </c>
      <c r="S631">
        <f t="shared" si="992"/>
        <v>-66729.482573117406</v>
      </c>
      <c r="T631">
        <f t="shared" si="993"/>
        <v>-66.729482573117409</v>
      </c>
    </row>
    <row r="632" spans="1:20" x14ac:dyDescent="0.25">
      <c r="A632" s="5">
        <v>43958</v>
      </c>
      <c r="B632">
        <v>3.1500000000000001E-4</v>
      </c>
      <c r="C632">
        <v>3.1599999999999998E-4</v>
      </c>
      <c r="D632">
        <v>2.9999999999999997E-4</v>
      </c>
      <c r="E632">
        <v>3.1100000000000002E-4</v>
      </c>
      <c r="F632">
        <v>1705001389</v>
      </c>
      <c r="G632">
        <v>0</v>
      </c>
      <c r="L632" t="s">
        <v>7</v>
      </c>
      <c r="M632" t="s">
        <v>8</v>
      </c>
      <c r="N632" t="s">
        <v>8</v>
      </c>
      <c r="P632">
        <f t="shared" si="989"/>
        <v>0.3750000000000055</v>
      </c>
      <c r="Q632">
        <f t="shared" si="990"/>
        <v>639375520.87500942</v>
      </c>
      <c r="R632">
        <f t="shared" si="991"/>
        <v>-7085680038.7823305</v>
      </c>
      <c r="S632">
        <f t="shared" si="992"/>
        <v>-70856.800387823299</v>
      </c>
      <c r="T632">
        <f t="shared" si="993"/>
        <v>-70.856800387823299</v>
      </c>
    </row>
    <row r="633" spans="1:20" x14ac:dyDescent="0.25">
      <c r="A633" s="5">
        <v>43957</v>
      </c>
      <c r="B633">
        <v>3.21E-4</v>
      </c>
      <c r="C633">
        <v>3.3599999999999998E-4</v>
      </c>
      <c r="D633">
        <v>3.1300000000000002E-4</v>
      </c>
      <c r="E633">
        <v>3.1399999999999999E-4</v>
      </c>
      <c r="F633">
        <v>1256797241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-0.91304347826087207</v>
      </c>
      <c r="Q633">
        <f t="shared" si="990"/>
        <v>-1147510524.3913076</v>
      </c>
      <c r="R633">
        <f t="shared" si="991"/>
        <v>-7725055559.65734</v>
      </c>
      <c r="S633">
        <f t="shared" si="992"/>
        <v>-77250.555596573395</v>
      </c>
      <c r="T633">
        <f t="shared" si="993"/>
        <v>-77.250555596573392</v>
      </c>
    </row>
    <row r="634" spans="1:20" x14ac:dyDescent="0.25">
      <c r="A634" s="5">
        <v>43956</v>
      </c>
      <c r="B634">
        <v>2.9999999999999997E-4</v>
      </c>
      <c r="C634">
        <v>3.2600000000000001E-4</v>
      </c>
      <c r="D634">
        <v>2.99E-4</v>
      </c>
      <c r="E634">
        <v>3.2000000000000003E-4</v>
      </c>
      <c r="F634">
        <v>1618448470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0.55555555555555691</v>
      </c>
      <c r="Q634">
        <f t="shared" si="990"/>
        <v>899138038.8888911</v>
      </c>
      <c r="R634">
        <f t="shared" si="991"/>
        <v>-6577545035.2660322</v>
      </c>
      <c r="S634">
        <f t="shared" si="992"/>
        <v>-65775.450352660322</v>
      </c>
      <c r="T634">
        <f t="shared" si="993"/>
        <v>-65.775450352660329</v>
      </c>
    </row>
    <row r="635" spans="1:20" x14ac:dyDescent="0.25">
      <c r="A635" s="5">
        <v>43955</v>
      </c>
      <c r="B635">
        <v>3.1100000000000002E-4</v>
      </c>
      <c r="C635">
        <v>3.1199999999999999E-4</v>
      </c>
      <c r="D635">
        <v>2.9599999999999998E-4</v>
      </c>
      <c r="E635">
        <v>2.9999999999999997E-4</v>
      </c>
      <c r="F635">
        <v>1611751973</v>
      </c>
      <c r="G635">
        <v>0</v>
      </c>
      <c r="L635" t="s">
        <v>8</v>
      </c>
      <c r="M635" t="s">
        <v>8</v>
      </c>
      <c r="N635" t="s">
        <v>8</v>
      </c>
      <c r="P635">
        <f t="shared" si="989"/>
        <v>-0.50000000000000167</v>
      </c>
      <c r="Q635">
        <f t="shared" si="990"/>
        <v>-805875986.50000274</v>
      </c>
      <c r="R635">
        <f t="shared" si="991"/>
        <v>-7476683074.1549234</v>
      </c>
      <c r="S635">
        <f t="shared" si="992"/>
        <v>-74766.830741549231</v>
      </c>
      <c r="T635">
        <f t="shared" si="993"/>
        <v>-74.766830741549228</v>
      </c>
    </row>
    <row r="636" spans="1:20" x14ac:dyDescent="0.25">
      <c r="A636" s="5">
        <v>43954</v>
      </c>
      <c r="B636">
        <v>3.2000000000000003E-4</v>
      </c>
      <c r="C636">
        <v>3.4499999999999998E-4</v>
      </c>
      <c r="D636">
        <v>3.0699999999999998E-4</v>
      </c>
      <c r="E636">
        <v>3.1100000000000002E-4</v>
      </c>
      <c r="F636">
        <v>1861569217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-0.78947368421052411</v>
      </c>
      <c r="Q636">
        <f t="shared" si="990"/>
        <v>-1469659908.1578906</v>
      </c>
      <c r="R636">
        <f t="shared" si="991"/>
        <v>-6670807087.6549206</v>
      </c>
      <c r="S636">
        <f t="shared" si="992"/>
        <v>-66708.070876549202</v>
      </c>
      <c r="T636">
        <f t="shared" si="993"/>
        <v>-66.708070876549201</v>
      </c>
    </row>
    <row r="637" spans="1:20" x14ac:dyDescent="0.25">
      <c r="A637" s="5">
        <v>43953</v>
      </c>
      <c r="B637">
        <v>2.7999999999999998E-4</v>
      </c>
      <c r="C637">
        <v>3.28E-4</v>
      </c>
      <c r="D637">
        <v>2.7799999999999998E-4</v>
      </c>
      <c r="E637">
        <v>3.1799999999999998E-4</v>
      </c>
      <c r="F637">
        <v>2133627276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0.59999999999999909</v>
      </c>
      <c r="Q637">
        <f t="shared" si="990"/>
        <v>1280176365.599998</v>
      </c>
      <c r="R637">
        <f t="shared" si="991"/>
        <v>-5201147179.4970303</v>
      </c>
      <c r="S637">
        <f t="shared" si="992"/>
        <v>-52011.471794970304</v>
      </c>
      <c r="T637">
        <f t="shared" si="993"/>
        <v>-52.011471794970305</v>
      </c>
    </row>
    <row r="638" spans="1:20" x14ac:dyDescent="0.25">
      <c r="A638" s="5">
        <v>43952</v>
      </c>
      <c r="B638">
        <v>2.7399999999999999E-4</v>
      </c>
      <c r="C638">
        <v>2.8400000000000002E-4</v>
      </c>
      <c r="D638">
        <v>2.72E-4</v>
      </c>
      <c r="E638">
        <v>2.7999999999999998E-4</v>
      </c>
      <c r="F638">
        <v>1468071320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0.33333333333332732</v>
      </c>
      <c r="Q638">
        <f t="shared" si="990"/>
        <v>489357106.66665787</v>
      </c>
      <c r="R638">
        <f t="shared" si="991"/>
        <v>-6481323545.0970287</v>
      </c>
      <c r="S638">
        <f t="shared" si="992"/>
        <v>-64813.235450970285</v>
      </c>
      <c r="T638">
        <f t="shared" si="993"/>
        <v>-64.813235450970282</v>
      </c>
    </row>
    <row r="639" spans="1:20" x14ac:dyDescent="0.25">
      <c r="A639" s="5">
        <v>43951</v>
      </c>
      <c r="B639">
        <v>2.8200000000000002E-4</v>
      </c>
      <c r="C639">
        <v>2.99E-4</v>
      </c>
      <c r="D639">
        <v>2.6499999999999999E-4</v>
      </c>
      <c r="E639">
        <v>2.7399999999999999E-4</v>
      </c>
      <c r="F639">
        <v>595529949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-0.47058823529411775</v>
      </c>
      <c r="Q639">
        <f t="shared" si="990"/>
        <v>-280249387.76470596</v>
      </c>
      <c r="R639">
        <f t="shared" si="991"/>
        <v>-6970680651.7636862</v>
      </c>
      <c r="S639">
        <f t="shared" si="992"/>
        <v>-69706.806517636855</v>
      </c>
      <c r="T639">
        <f t="shared" si="993"/>
        <v>-69.706806517636849</v>
      </c>
    </row>
    <row r="640" spans="1:20" x14ac:dyDescent="0.25">
      <c r="A640" s="5">
        <v>43950</v>
      </c>
      <c r="B640">
        <v>2.72E-4</v>
      </c>
      <c r="C640">
        <v>2.9999999999999997E-4</v>
      </c>
      <c r="D640">
        <v>2.7099999999999997E-4</v>
      </c>
      <c r="E640">
        <v>2.81E-4</v>
      </c>
      <c r="F640">
        <v>1013631195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-0.31034482758620507</v>
      </c>
      <c r="Q640">
        <f t="shared" si="990"/>
        <v>-314575198.44827402</v>
      </c>
      <c r="R640">
        <f t="shared" si="991"/>
        <v>-6690431263.9989805</v>
      </c>
      <c r="S640">
        <f t="shared" si="992"/>
        <v>-66904.312639989803</v>
      </c>
      <c r="T640">
        <f t="shared" si="993"/>
        <v>-66.904312639989797</v>
      </c>
    </row>
    <row r="641" spans="1:20" x14ac:dyDescent="0.25">
      <c r="A641" s="5">
        <v>43949</v>
      </c>
      <c r="B641">
        <v>2.6800000000000001E-4</v>
      </c>
      <c r="C641">
        <v>2.7500000000000002E-4</v>
      </c>
      <c r="D641">
        <v>2.6699999999999998E-4</v>
      </c>
      <c r="E641">
        <v>2.72E-4</v>
      </c>
      <c r="F641">
        <v>209649546</v>
      </c>
      <c r="G641">
        <v>0</v>
      </c>
      <c r="L641" t="s">
        <v>8</v>
      </c>
      <c r="M641" t="s">
        <v>7</v>
      </c>
      <c r="N641" t="s">
        <v>8</v>
      </c>
      <c r="P641">
        <f t="shared" si="989"/>
        <v>0.24999999999999831</v>
      </c>
      <c r="Q641">
        <f t="shared" si="990"/>
        <v>52412386.499999642</v>
      </c>
      <c r="R641">
        <f t="shared" si="991"/>
        <v>-6375856065.5507069</v>
      </c>
      <c r="S641">
        <f t="shared" si="992"/>
        <v>-63758.56065550707</v>
      </c>
      <c r="T641">
        <f t="shared" si="993"/>
        <v>-63.758560655507068</v>
      </c>
    </row>
    <row r="642" spans="1:20" x14ac:dyDescent="0.25">
      <c r="A642" s="5">
        <v>43948</v>
      </c>
      <c r="B642">
        <v>2.6699999999999998E-4</v>
      </c>
      <c r="C642">
        <v>2.7799999999999998E-4</v>
      </c>
      <c r="D642">
        <v>2.6600000000000001E-4</v>
      </c>
      <c r="E642">
        <v>2.6899999999999998E-4</v>
      </c>
      <c r="F642">
        <v>501409139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-0.50000000000000455</v>
      </c>
      <c r="Q642">
        <f t="shared" si="990"/>
        <v>-250704569.50000229</v>
      </c>
      <c r="R642">
        <f t="shared" si="991"/>
        <v>-6428268452.0507069</v>
      </c>
      <c r="S642">
        <f t="shared" si="992"/>
        <v>-64282.684520507071</v>
      </c>
      <c r="T642">
        <f t="shared" si="993"/>
        <v>-64.282684520507075</v>
      </c>
    </row>
    <row r="643" spans="1:20" x14ac:dyDescent="0.25">
      <c r="A643" s="5">
        <v>43947</v>
      </c>
      <c r="B643">
        <v>2.6800000000000001E-4</v>
      </c>
      <c r="C643">
        <v>2.7099999999999997E-4</v>
      </c>
      <c r="D643">
        <v>2.6600000000000001E-4</v>
      </c>
      <c r="E643">
        <v>2.6800000000000001E-4</v>
      </c>
      <c r="F643">
        <v>447653314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-0.19999999999999565</v>
      </c>
      <c r="Q643">
        <f t="shared" si="990"/>
        <v>-89530662.79999806</v>
      </c>
      <c r="R643">
        <f t="shared" si="991"/>
        <v>-6177563882.550705</v>
      </c>
      <c r="S643">
        <f t="shared" si="992"/>
        <v>-61775.638825507049</v>
      </c>
      <c r="T643">
        <f t="shared" si="993"/>
        <v>-61.775638825507052</v>
      </c>
    </row>
    <row r="644" spans="1:20" x14ac:dyDescent="0.25">
      <c r="A644" s="5">
        <v>43946</v>
      </c>
      <c r="B644">
        <v>2.7099999999999997E-4</v>
      </c>
      <c r="C644">
        <v>2.72E-4</v>
      </c>
      <c r="D644">
        <v>2.6400000000000002E-4</v>
      </c>
      <c r="E644">
        <v>2.6600000000000001E-4</v>
      </c>
      <c r="F644">
        <v>722224594</v>
      </c>
      <c r="G644">
        <v>0</v>
      </c>
      <c r="L644" t="s">
        <v>7</v>
      </c>
      <c r="M644" t="s">
        <v>7</v>
      </c>
      <c r="N644" t="s">
        <v>8</v>
      </c>
      <c r="P644">
        <f t="shared" si="989"/>
        <v>-0.5</v>
      </c>
      <c r="Q644">
        <f t="shared" si="990"/>
        <v>-361112297</v>
      </c>
      <c r="R644">
        <f t="shared" si="991"/>
        <v>-6088033219.7507067</v>
      </c>
      <c r="S644">
        <f t="shared" si="992"/>
        <v>-60880.332197507065</v>
      </c>
      <c r="T644">
        <f t="shared" si="993"/>
        <v>-60.880332197507066</v>
      </c>
    </row>
    <row r="645" spans="1:20" x14ac:dyDescent="0.25">
      <c r="A645" s="5">
        <v>43945</v>
      </c>
      <c r="B645">
        <v>2.7300000000000002E-4</v>
      </c>
      <c r="C645">
        <v>2.8499999999999999E-4</v>
      </c>
      <c r="D645">
        <v>2.5000000000000001E-4</v>
      </c>
      <c r="E645">
        <v>2.7099999999999997E-4</v>
      </c>
      <c r="F645">
        <v>1117432870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0.19999999999999876</v>
      </c>
      <c r="Q645">
        <f t="shared" si="990"/>
        <v>223486573.99999863</v>
      </c>
      <c r="R645">
        <f t="shared" si="991"/>
        <v>-5726920922.7507067</v>
      </c>
      <c r="S645">
        <f t="shared" si="992"/>
        <v>-57269.209227507068</v>
      </c>
      <c r="T645">
        <f t="shared" si="993"/>
        <v>-57.269209227507069</v>
      </c>
    </row>
    <row r="646" spans="1:20" x14ac:dyDescent="0.25">
      <c r="A646" s="5">
        <v>43944</v>
      </c>
      <c r="B646">
        <v>2.7999999999999998E-4</v>
      </c>
      <c r="C646">
        <v>2.99E-4</v>
      </c>
      <c r="D646">
        <v>2.5599999999999999E-4</v>
      </c>
      <c r="E646">
        <v>2.7300000000000002E-4</v>
      </c>
      <c r="F646">
        <v>1331331258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-0.20930232558139406</v>
      </c>
      <c r="Q646">
        <f t="shared" ref="Q646:Q709" si="995">F646*P646</f>
        <v>-278650728.41860294</v>
      </c>
      <c r="R646">
        <f t="shared" ref="R646:R709" si="996">R647+Q646</f>
        <v>-5950407496.7507057</v>
      </c>
      <c r="S646">
        <f t="shared" ref="S646:S709" si="997">R646/100000</f>
        <v>-59504.074967507055</v>
      </c>
      <c r="T646">
        <f t="shared" ref="T646:T709" si="998">S646/1000</f>
        <v>-59.504074967507051</v>
      </c>
    </row>
    <row r="647" spans="1:20" x14ac:dyDescent="0.25">
      <c r="A647" s="5">
        <v>43943</v>
      </c>
      <c r="B647">
        <v>2.7300000000000002E-4</v>
      </c>
      <c r="C647">
        <v>2.8400000000000002E-4</v>
      </c>
      <c r="D647">
        <v>2.72E-4</v>
      </c>
      <c r="E647">
        <v>2.7999999999999998E-4</v>
      </c>
      <c r="F647">
        <v>224830507</v>
      </c>
      <c r="G647">
        <v>0</v>
      </c>
      <c r="L647" t="s">
        <v>8</v>
      </c>
      <c r="M647" t="s">
        <v>7</v>
      </c>
      <c r="N647" t="s">
        <v>8</v>
      </c>
      <c r="P647">
        <f t="shared" si="994"/>
        <v>0.33333333333332732</v>
      </c>
      <c r="Q647">
        <f t="shared" si="995"/>
        <v>74943502.333331987</v>
      </c>
      <c r="R647">
        <f t="shared" si="996"/>
        <v>-5671756768.3321028</v>
      </c>
      <c r="S647">
        <f t="shared" si="997"/>
        <v>-56717.567683321031</v>
      </c>
      <c r="T647">
        <f t="shared" si="998"/>
        <v>-56.717567683321029</v>
      </c>
    </row>
    <row r="648" spans="1:20" x14ac:dyDescent="0.25">
      <c r="A648" s="5">
        <v>43942</v>
      </c>
      <c r="B648">
        <v>2.7399999999999999E-4</v>
      </c>
      <c r="C648">
        <v>2.7799999999999998E-4</v>
      </c>
      <c r="D648">
        <v>2.6899999999999998E-4</v>
      </c>
      <c r="E648">
        <v>2.72E-4</v>
      </c>
      <c r="F648">
        <v>124785031</v>
      </c>
      <c r="G648">
        <v>0</v>
      </c>
      <c r="L648" t="s">
        <v>7</v>
      </c>
      <c r="M648" t="s">
        <v>7</v>
      </c>
      <c r="N648" t="s">
        <v>8</v>
      </c>
      <c r="P648">
        <f t="shared" si="994"/>
        <v>-0.33333333333332932</v>
      </c>
      <c r="Q648">
        <f t="shared" si="995"/>
        <v>-41595010.333332829</v>
      </c>
      <c r="R648">
        <f t="shared" si="996"/>
        <v>-5746700270.6654348</v>
      </c>
      <c r="S648">
        <f t="shared" si="997"/>
        <v>-57467.002706654348</v>
      </c>
      <c r="T648">
        <f t="shared" si="998"/>
        <v>-57.467002706654348</v>
      </c>
    </row>
    <row r="649" spans="1:20" x14ac:dyDescent="0.25">
      <c r="A649" s="5">
        <v>43941</v>
      </c>
      <c r="B649">
        <v>2.8400000000000002E-4</v>
      </c>
      <c r="C649">
        <v>2.9E-4</v>
      </c>
      <c r="D649">
        <v>2.7E-4</v>
      </c>
      <c r="E649">
        <v>2.7300000000000002E-4</v>
      </c>
      <c r="F649">
        <v>340242455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-0.69999999999999807</v>
      </c>
      <c r="Q649">
        <f t="shared" si="995"/>
        <v>-238169718.49999934</v>
      </c>
      <c r="R649">
        <f t="shared" si="996"/>
        <v>-5705105260.3321018</v>
      </c>
      <c r="S649">
        <f t="shared" si="997"/>
        <v>-57051.052603321019</v>
      </c>
      <c r="T649">
        <f t="shared" si="998"/>
        <v>-57.051052603321018</v>
      </c>
    </row>
    <row r="650" spans="1:20" x14ac:dyDescent="0.25">
      <c r="A650" s="5">
        <v>43940</v>
      </c>
      <c r="B650">
        <v>2.99E-4</v>
      </c>
      <c r="C650">
        <v>3.0400000000000002E-4</v>
      </c>
      <c r="D650">
        <v>2.8200000000000002E-4</v>
      </c>
      <c r="E650">
        <v>2.8499999999999999E-4</v>
      </c>
      <c r="F650">
        <v>339252308</v>
      </c>
      <c r="G650">
        <v>0</v>
      </c>
      <c r="L650" t="s">
        <v>7</v>
      </c>
      <c r="M650" t="s">
        <v>7</v>
      </c>
      <c r="N650" t="s">
        <v>8</v>
      </c>
      <c r="P650">
        <f t="shared" si="994"/>
        <v>-0.7272727272727304</v>
      </c>
      <c r="Q650">
        <f t="shared" si="995"/>
        <v>-246728951.27272832</v>
      </c>
      <c r="R650">
        <f t="shared" si="996"/>
        <v>-5466935541.8321028</v>
      </c>
      <c r="S650">
        <f t="shared" si="997"/>
        <v>-54669.355418321029</v>
      </c>
      <c r="T650">
        <f t="shared" si="998"/>
        <v>-54.669355418321032</v>
      </c>
    </row>
    <row r="651" spans="1:20" x14ac:dyDescent="0.25">
      <c r="A651" s="5">
        <v>43939</v>
      </c>
      <c r="B651">
        <v>2.8499999999999999E-4</v>
      </c>
      <c r="C651">
        <v>3.1799999999999998E-4</v>
      </c>
      <c r="D651">
        <v>2.81E-4</v>
      </c>
      <c r="E651">
        <v>3.01E-4</v>
      </c>
      <c r="F651">
        <v>1050914930</v>
      </c>
      <c r="G651">
        <v>0</v>
      </c>
      <c r="L651" t="s">
        <v>8</v>
      </c>
      <c r="M651" t="s">
        <v>7</v>
      </c>
      <c r="N651" t="s">
        <v>8</v>
      </c>
      <c r="P651">
        <f t="shared" si="994"/>
        <v>8.1081081081081641E-2</v>
      </c>
      <c r="Q651">
        <f t="shared" si="995"/>
        <v>85209318.648649231</v>
      </c>
      <c r="R651">
        <f t="shared" si="996"/>
        <v>-5220206590.5593748</v>
      </c>
      <c r="S651">
        <f t="shared" si="997"/>
        <v>-52202.06590559375</v>
      </c>
      <c r="T651">
        <f t="shared" si="998"/>
        <v>-52.202065905593749</v>
      </c>
    </row>
    <row r="652" spans="1:20" x14ac:dyDescent="0.25">
      <c r="A652" s="5">
        <v>43938</v>
      </c>
      <c r="B652">
        <v>2.5000000000000001E-4</v>
      </c>
      <c r="C652">
        <v>3.3500000000000001E-4</v>
      </c>
      <c r="D652">
        <v>2.4699999999999999E-4</v>
      </c>
      <c r="E652">
        <v>2.8499999999999999E-4</v>
      </c>
      <c r="F652">
        <v>1902427499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-0.13636363636363655</v>
      </c>
      <c r="Q652">
        <f t="shared" si="995"/>
        <v>-259421931.68181854</v>
      </c>
      <c r="R652">
        <f t="shared" si="996"/>
        <v>-5305415909.208024</v>
      </c>
      <c r="S652">
        <f t="shared" si="997"/>
        <v>-53054.159092080241</v>
      </c>
      <c r="T652">
        <f t="shared" si="998"/>
        <v>-53.054159092080241</v>
      </c>
    </row>
    <row r="653" spans="1:20" x14ac:dyDescent="0.25">
      <c r="A653" s="5">
        <v>43937</v>
      </c>
      <c r="B653">
        <v>2.4000000000000001E-4</v>
      </c>
      <c r="C653">
        <v>2.5999999999999998E-4</v>
      </c>
      <c r="D653">
        <v>2.3499999999999999E-4</v>
      </c>
      <c r="E653">
        <v>2.5000000000000001E-4</v>
      </c>
      <c r="F653">
        <v>312477312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0.20000000000000173</v>
      </c>
      <c r="Q653">
        <f t="shared" si="995"/>
        <v>62495462.400000542</v>
      </c>
      <c r="R653">
        <f t="shared" si="996"/>
        <v>-5045993977.5262051</v>
      </c>
      <c r="S653">
        <f t="shared" si="997"/>
        <v>-50459.93977526205</v>
      </c>
      <c r="T653">
        <f t="shared" si="998"/>
        <v>-50.45993977526205</v>
      </c>
    </row>
    <row r="654" spans="1:20" x14ac:dyDescent="0.25">
      <c r="A654" s="5">
        <v>43936</v>
      </c>
      <c r="B654">
        <v>2.4800000000000001E-4</v>
      </c>
      <c r="C654">
        <v>2.5799999999999998E-4</v>
      </c>
      <c r="D654">
        <v>2.4000000000000001E-4</v>
      </c>
      <c r="E654">
        <v>2.4000000000000001E-4</v>
      </c>
      <c r="F654">
        <v>143657191</v>
      </c>
      <c r="G654">
        <v>0</v>
      </c>
      <c r="L654" t="s">
        <v>7</v>
      </c>
      <c r="M654" t="s">
        <v>7</v>
      </c>
      <c r="N654" t="s">
        <v>7</v>
      </c>
      <c r="P654">
        <f t="shared" si="994"/>
        <v>-1</v>
      </c>
      <c r="Q654">
        <f t="shared" si="995"/>
        <v>-143657191</v>
      </c>
      <c r="R654">
        <f t="shared" si="996"/>
        <v>-5108489439.9262056</v>
      </c>
      <c r="S654">
        <f t="shared" si="997"/>
        <v>-51084.894399262055</v>
      </c>
      <c r="T654">
        <f t="shared" si="998"/>
        <v>-51.084894399262055</v>
      </c>
    </row>
    <row r="655" spans="1:20" x14ac:dyDescent="0.25">
      <c r="A655" s="5">
        <v>43935</v>
      </c>
      <c r="B655">
        <v>2.5099999999999998E-4</v>
      </c>
      <c r="C655">
        <v>2.5999999999999998E-4</v>
      </c>
      <c r="D655">
        <v>2.43E-4</v>
      </c>
      <c r="E655">
        <v>2.4899999999999998E-4</v>
      </c>
      <c r="F655">
        <v>161574187</v>
      </c>
      <c r="G655">
        <v>0</v>
      </c>
      <c r="L655" t="s">
        <v>8</v>
      </c>
      <c r="M655" t="s">
        <v>7</v>
      </c>
      <c r="N655" t="s">
        <v>7</v>
      </c>
      <c r="P655">
        <f t="shared" si="994"/>
        <v>-0.29411764705882465</v>
      </c>
      <c r="Q655">
        <f t="shared" si="995"/>
        <v>-47521819.705882534</v>
      </c>
      <c r="R655">
        <f t="shared" si="996"/>
        <v>-4964832248.9262056</v>
      </c>
      <c r="S655">
        <f t="shared" si="997"/>
        <v>-49648.322489262056</v>
      </c>
      <c r="T655">
        <f t="shared" si="998"/>
        <v>-49.648322489262057</v>
      </c>
    </row>
    <row r="656" spans="1:20" x14ac:dyDescent="0.25">
      <c r="A656" s="5">
        <v>43934</v>
      </c>
      <c r="B656">
        <v>2.4499999999999999E-4</v>
      </c>
      <c r="C656">
        <v>2.5099999999999998E-4</v>
      </c>
      <c r="D656">
        <v>2.4000000000000001E-4</v>
      </c>
      <c r="E656">
        <v>2.5000000000000001E-4</v>
      </c>
      <c r="F656">
        <v>157367012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0.81818181818182312</v>
      </c>
      <c r="Q656">
        <f t="shared" si="995"/>
        <v>128754828.00000077</v>
      </c>
      <c r="R656">
        <f t="shared" si="996"/>
        <v>-4917310429.2203236</v>
      </c>
      <c r="S656">
        <f t="shared" si="997"/>
        <v>-49173.104292203236</v>
      </c>
      <c r="T656">
        <f t="shared" si="998"/>
        <v>-49.173104292203234</v>
      </c>
    </row>
    <row r="657" spans="1:20" x14ac:dyDescent="0.25">
      <c r="A657" s="5">
        <v>43933</v>
      </c>
      <c r="B657">
        <v>2.4399999999999999E-4</v>
      </c>
      <c r="C657">
        <v>2.5099999999999998E-4</v>
      </c>
      <c r="D657">
        <v>2.4399999999999999E-4</v>
      </c>
      <c r="E657">
        <v>2.4499999999999999E-4</v>
      </c>
      <c r="F657">
        <v>132013749</v>
      </c>
      <c r="G657">
        <v>0</v>
      </c>
      <c r="L657" t="s">
        <v>8</v>
      </c>
      <c r="M657" t="s">
        <v>7</v>
      </c>
      <c r="N657" t="s">
        <v>7</v>
      </c>
      <c r="P657">
        <f t="shared" si="994"/>
        <v>-0.7142857142857143</v>
      </c>
      <c r="Q657">
        <f t="shared" si="995"/>
        <v>-94295535</v>
      </c>
      <c r="R657">
        <f t="shared" si="996"/>
        <v>-5046065257.2203245</v>
      </c>
      <c r="S657">
        <f t="shared" si="997"/>
        <v>-50460.652572203246</v>
      </c>
      <c r="T657">
        <f t="shared" si="998"/>
        <v>-50.460652572203244</v>
      </c>
    </row>
    <row r="658" spans="1:20" x14ac:dyDescent="0.25">
      <c r="A658" s="5">
        <v>43932</v>
      </c>
      <c r="B658">
        <v>2.4399999999999999E-4</v>
      </c>
      <c r="C658">
        <v>2.5399999999999999E-4</v>
      </c>
      <c r="D658">
        <v>2.3800000000000001E-4</v>
      </c>
      <c r="E658">
        <v>2.4399999999999999E-4</v>
      </c>
      <c r="F658">
        <v>255294359</v>
      </c>
      <c r="G658">
        <v>0</v>
      </c>
      <c r="L658" t="s">
        <v>7</v>
      </c>
      <c r="M658" t="s">
        <v>7</v>
      </c>
      <c r="N658" t="s">
        <v>7</v>
      </c>
      <c r="P658">
        <f t="shared" si="994"/>
        <v>-0.25000000000000128</v>
      </c>
      <c r="Q658">
        <f t="shared" si="995"/>
        <v>-63823589.750000328</v>
      </c>
      <c r="R658">
        <f t="shared" si="996"/>
        <v>-4951769722.2203245</v>
      </c>
      <c r="S658">
        <f t="shared" si="997"/>
        <v>-49517.697222203242</v>
      </c>
      <c r="T658">
        <f t="shared" si="998"/>
        <v>-49.517697222203239</v>
      </c>
    </row>
    <row r="659" spans="1:20" x14ac:dyDescent="0.25">
      <c r="A659" s="5">
        <v>43931</v>
      </c>
      <c r="B659">
        <v>2.5500000000000002E-4</v>
      </c>
      <c r="C659">
        <v>2.5900000000000001E-4</v>
      </c>
      <c r="D659">
        <v>2.42E-4</v>
      </c>
      <c r="E659">
        <v>2.43E-4</v>
      </c>
      <c r="F659">
        <v>237669648</v>
      </c>
      <c r="G659">
        <v>0</v>
      </c>
      <c r="L659" t="s">
        <v>8</v>
      </c>
      <c r="M659" t="s">
        <v>7</v>
      </c>
      <c r="N659" t="s">
        <v>7</v>
      </c>
      <c r="P659">
        <f t="shared" si="994"/>
        <v>-0.88235294117647101</v>
      </c>
      <c r="Q659">
        <f t="shared" si="995"/>
        <v>-209708512.94117656</v>
      </c>
      <c r="R659">
        <f t="shared" si="996"/>
        <v>-4887946132.4703245</v>
      </c>
      <c r="S659">
        <f t="shared" si="997"/>
        <v>-48879.461324703247</v>
      </c>
      <c r="T659">
        <f t="shared" si="998"/>
        <v>-48.87946132470325</v>
      </c>
    </row>
    <row r="660" spans="1:20" x14ac:dyDescent="0.25">
      <c r="A660" s="5">
        <v>43930</v>
      </c>
      <c r="B660">
        <v>2.61E-4</v>
      </c>
      <c r="C660">
        <v>2.63E-4</v>
      </c>
      <c r="D660">
        <v>2.52E-4</v>
      </c>
      <c r="E660">
        <v>2.5500000000000002E-4</v>
      </c>
      <c r="F660">
        <v>272192060</v>
      </c>
      <c r="G660">
        <v>0</v>
      </c>
      <c r="L660" t="s">
        <v>7</v>
      </c>
      <c r="M660" t="s">
        <v>7</v>
      </c>
      <c r="N660" t="s">
        <v>7</v>
      </c>
      <c r="P660">
        <f t="shared" si="994"/>
        <v>-0.45454545454545098</v>
      </c>
      <c r="Q660">
        <f t="shared" si="995"/>
        <v>-123723663.63636267</v>
      </c>
      <c r="R660">
        <f t="shared" si="996"/>
        <v>-4678237619.5291481</v>
      </c>
      <c r="S660">
        <f t="shared" si="997"/>
        <v>-46782.376195291479</v>
      </c>
      <c r="T660">
        <f t="shared" si="998"/>
        <v>-46.782376195291477</v>
      </c>
    </row>
    <row r="661" spans="1:20" x14ac:dyDescent="0.25">
      <c r="A661" s="5">
        <v>43929</v>
      </c>
      <c r="B661">
        <v>2.63E-4</v>
      </c>
      <c r="C661">
        <v>2.6600000000000001E-4</v>
      </c>
      <c r="D661">
        <v>2.5000000000000001E-4</v>
      </c>
      <c r="E661">
        <v>2.61E-4</v>
      </c>
      <c r="F661">
        <v>422959601</v>
      </c>
      <c r="G661">
        <v>0</v>
      </c>
      <c r="L661" t="s">
        <v>8</v>
      </c>
      <c r="M661" t="s">
        <v>7</v>
      </c>
      <c r="N661" t="s">
        <v>7</v>
      </c>
      <c r="P661">
        <f t="shared" si="994"/>
        <v>0.37499999999999872</v>
      </c>
      <c r="Q661">
        <f t="shared" si="995"/>
        <v>158609850.37499946</v>
      </c>
      <c r="R661">
        <f t="shared" si="996"/>
        <v>-4554513955.8927851</v>
      </c>
      <c r="S661">
        <f t="shared" si="997"/>
        <v>-45545.139558927847</v>
      </c>
      <c r="T661">
        <f t="shared" si="998"/>
        <v>-45.54513955892785</v>
      </c>
    </row>
    <row r="662" spans="1:20" x14ac:dyDescent="0.25">
      <c r="A662" s="5">
        <v>43928</v>
      </c>
      <c r="B662">
        <v>2.6699999999999998E-4</v>
      </c>
      <c r="C662">
        <v>2.7300000000000002E-4</v>
      </c>
      <c r="D662">
        <v>2.6200000000000003E-4</v>
      </c>
      <c r="E662">
        <v>2.6400000000000002E-4</v>
      </c>
      <c r="F662">
        <v>291094751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-0.63636363636363724</v>
      </c>
      <c r="Q662">
        <f t="shared" si="995"/>
        <v>-185242114.27272752</v>
      </c>
      <c r="R662">
        <f t="shared" si="996"/>
        <v>-4713123806.2677841</v>
      </c>
      <c r="S662">
        <f t="shared" si="997"/>
        <v>-47131.238062677839</v>
      </c>
      <c r="T662">
        <f t="shared" si="998"/>
        <v>-47.131238062677838</v>
      </c>
    </row>
    <row r="663" spans="1:20" x14ac:dyDescent="0.25">
      <c r="A663" s="5">
        <v>43927</v>
      </c>
      <c r="B663">
        <v>2.5300000000000002E-4</v>
      </c>
      <c r="C663">
        <v>2.7E-4</v>
      </c>
      <c r="D663">
        <v>2.5300000000000002E-4</v>
      </c>
      <c r="E663">
        <v>2.6699999999999998E-4</v>
      </c>
      <c r="F663">
        <v>357195104</v>
      </c>
      <c r="G663">
        <v>0</v>
      </c>
      <c r="L663" t="s">
        <v>8</v>
      </c>
      <c r="M663" t="s">
        <v>7</v>
      </c>
      <c r="N663" t="s">
        <v>7</v>
      </c>
      <c r="P663">
        <f t="shared" si="994"/>
        <v>0.64705882352940913</v>
      </c>
      <c r="Q663">
        <f t="shared" si="995"/>
        <v>231126243.76470494</v>
      </c>
      <c r="R663">
        <f t="shared" si="996"/>
        <v>-4527881691.9950562</v>
      </c>
      <c r="S663">
        <f t="shared" si="997"/>
        <v>-45278.816919950565</v>
      </c>
      <c r="T663">
        <f t="shared" si="998"/>
        <v>-45.278816919950565</v>
      </c>
    </row>
    <row r="664" spans="1:20" x14ac:dyDescent="0.25">
      <c r="A664" s="5">
        <v>43926</v>
      </c>
      <c r="B664">
        <v>2.6200000000000003E-4</v>
      </c>
      <c r="C664">
        <v>2.6400000000000002E-4</v>
      </c>
      <c r="D664">
        <v>2.52E-4</v>
      </c>
      <c r="E664">
        <v>2.5300000000000002E-4</v>
      </c>
      <c r="F664">
        <v>192423513</v>
      </c>
      <c r="G664">
        <v>0</v>
      </c>
      <c r="L664" t="s">
        <v>7</v>
      </c>
      <c r="M664" t="s">
        <v>7</v>
      </c>
      <c r="N664" t="s">
        <v>7</v>
      </c>
      <c r="P664">
        <f t="shared" si="994"/>
        <v>-0.8333333333333296</v>
      </c>
      <c r="Q664">
        <f t="shared" si="995"/>
        <v>-160352927.49999928</v>
      </c>
      <c r="R664">
        <f t="shared" si="996"/>
        <v>-4759007935.7597609</v>
      </c>
      <c r="S664">
        <f t="shared" si="997"/>
        <v>-47590.079357597606</v>
      </c>
      <c r="T664">
        <f t="shared" si="998"/>
        <v>-47.590079357597602</v>
      </c>
    </row>
    <row r="665" spans="1:20" x14ac:dyDescent="0.25">
      <c r="A665" s="5">
        <v>43925</v>
      </c>
      <c r="B665">
        <v>2.63E-4</v>
      </c>
      <c r="C665">
        <v>2.72E-4</v>
      </c>
      <c r="D665">
        <v>2.5900000000000001E-4</v>
      </c>
      <c r="E665">
        <v>2.6200000000000003E-4</v>
      </c>
      <c r="F665">
        <v>200062543</v>
      </c>
      <c r="G665">
        <v>0</v>
      </c>
      <c r="L665" t="s">
        <v>8</v>
      </c>
      <c r="M665" t="s">
        <v>7</v>
      </c>
      <c r="N665" t="s">
        <v>7</v>
      </c>
      <c r="P665">
        <f t="shared" si="994"/>
        <v>-0.53846153846153522</v>
      </c>
      <c r="Q665">
        <f t="shared" si="995"/>
        <v>-107725984.69230704</v>
      </c>
      <c r="R665">
        <f t="shared" si="996"/>
        <v>-4598655008.2597618</v>
      </c>
      <c r="S665">
        <f t="shared" si="997"/>
        <v>-45986.55008259762</v>
      </c>
      <c r="T665">
        <f t="shared" si="998"/>
        <v>-45.986550082597617</v>
      </c>
    </row>
    <row r="666" spans="1:20" x14ac:dyDescent="0.25">
      <c r="A666" s="5">
        <v>43924</v>
      </c>
      <c r="B666">
        <v>2.7300000000000002E-4</v>
      </c>
      <c r="C666">
        <v>2.7599999999999999E-4</v>
      </c>
      <c r="D666">
        <v>2.43E-4</v>
      </c>
      <c r="E666">
        <v>2.63E-4</v>
      </c>
      <c r="F666">
        <v>1073452252</v>
      </c>
      <c r="G666">
        <v>0</v>
      </c>
      <c r="L666" t="s">
        <v>7</v>
      </c>
      <c r="M666" t="s">
        <v>7</v>
      </c>
      <c r="N666" t="s">
        <v>7</v>
      </c>
      <c r="P666">
        <f t="shared" si="994"/>
        <v>0.21212121212121243</v>
      </c>
      <c r="Q666">
        <f t="shared" si="995"/>
        <v>227701992.84848517</v>
      </c>
      <c r="R666">
        <f t="shared" si="996"/>
        <v>-4490929023.5674543</v>
      </c>
      <c r="S666">
        <f t="shared" si="997"/>
        <v>-44909.29023567454</v>
      </c>
      <c r="T666">
        <f t="shared" si="998"/>
        <v>-44.90929023567454</v>
      </c>
    </row>
    <row r="667" spans="1:20" x14ac:dyDescent="0.25">
      <c r="A667" s="5">
        <v>43923</v>
      </c>
      <c r="B667">
        <v>2.7300000000000002E-4</v>
      </c>
      <c r="C667">
        <v>2.9300000000000002E-4</v>
      </c>
      <c r="D667">
        <v>2.6699999999999998E-4</v>
      </c>
      <c r="E667">
        <v>2.7099999999999997E-4</v>
      </c>
      <c r="F667">
        <v>397361020</v>
      </c>
      <c r="G667">
        <v>0</v>
      </c>
      <c r="L667" t="s">
        <v>8</v>
      </c>
      <c r="M667" t="s">
        <v>7</v>
      </c>
      <c r="N667" t="s">
        <v>7</v>
      </c>
      <c r="P667">
        <f t="shared" si="994"/>
        <v>-0.69230769230769362</v>
      </c>
      <c r="Q667">
        <f t="shared" si="995"/>
        <v>-275096090.76923132</v>
      </c>
      <c r="R667">
        <f t="shared" si="996"/>
        <v>-4718631016.4159393</v>
      </c>
      <c r="S667">
        <f t="shared" si="997"/>
        <v>-47186.310164159397</v>
      </c>
      <c r="T667">
        <f t="shared" si="998"/>
        <v>-47.186310164159394</v>
      </c>
    </row>
    <row r="668" spans="1:20" x14ac:dyDescent="0.25">
      <c r="A668" s="5">
        <v>43922</v>
      </c>
      <c r="B668">
        <v>2.7E-4</v>
      </c>
      <c r="C668">
        <v>2.7399999999999999E-4</v>
      </c>
      <c r="D668">
        <v>2.5999999999999998E-4</v>
      </c>
      <c r="E668">
        <v>2.7300000000000002E-4</v>
      </c>
      <c r="F668">
        <v>129924652</v>
      </c>
      <c r="G668">
        <v>0</v>
      </c>
      <c r="L668" t="s">
        <v>7</v>
      </c>
      <c r="M668" t="s">
        <v>7</v>
      </c>
      <c r="N668" t="s">
        <v>7</v>
      </c>
      <c r="P668">
        <f t="shared" si="994"/>
        <v>0.85714285714286154</v>
      </c>
      <c r="Q668">
        <f t="shared" si="995"/>
        <v>111363987.428572</v>
      </c>
      <c r="R668">
        <f t="shared" si="996"/>
        <v>-4443534925.6467085</v>
      </c>
      <c r="S668">
        <f t="shared" si="997"/>
        <v>-44435.349256467081</v>
      </c>
      <c r="T668">
        <f t="shared" si="998"/>
        <v>-44.435349256467084</v>
      </c>
    </row>
    <row r="669" spans="1:20" x14ac:dyDescent="0.25">
      <c r="A669" s="5">
        <v>43921</v>
      </c>
      <c r="B669">
        <v>2.72E-4</v>
      </c>
      <c r="C669">
        <v>2.7700000000000001E-4</v>
      </c>
      <c r="D669">
        <v>2.6200000000000003E-4</v>
      </c>
      <c r="E669">
        <v>2.7E-4</v>
      </c>
      <c r="F669">
        <v>147184514</v>
      </c>
      <c r="G669">
        <v>0</v>
      </c>
      <c r="L669" t="s">
        <v>8</v>
      </c>
      <c r="M669" t="s">
        <v>7</v>
      </c>
      <c r="N669" t="s">
        <v>7</v>
      </c>
      <c r="P669">
        <f t="shared" si="994"/>
        <v>6.6666666666664737E-2</v>
      </c>
      <c r="Q669">
        <f t="shared" si="995"/>
        <v>9812300.9333330486</v>
      </c>
      <c r="R669">
        <f t="shared" si="996"/>
        <v>-4554898913.0752802</v>
      </c>
      <c r="S669">
        <f t="shared" si="997"/>
        <v>-45548.989130752801</v>
      </c>
      <c r="T669">
        <f t="shared" si="998"/>
        <v>-45.548989130752801</v>
      </c>
    </row>
    <row r="670" spans="1:20" x14ac:dyDescent="0.25">
      <c r="A670" s="5">
        <v>43920</v>
      </c>
      <c r="B670">
        <v>2.5599999999999999E-4</v>
      </c>
      <c r="C670">
        <v>2.7999999999999998E-4</v>
      </c>
      <c r="D670">
        <v>2.5300000000000002E-4</v>
      </c>
      <c r="E670">
        <v>2.72E-4</v>
      </c>
      <c r="F670">
        <v>277705227</v>
      </c>
      <c r="G670">
        <v>0</v>
      </c>
      <c r="L670" t="s">
        <v>7</v>
      </c>
      <c r="M670" t="s">
        <v>7</v>
      </c>
      <c r="N670" t="s">
        <v>7</v>
      </c>
      <c r="P670">
        <f t="shared" si="994"/>
        <v>0.407407407407408</v>
      </c>
      <c r="Q670">
        <f t="shared" si="995"/>
        <v>113139166.55555572</v>
      </c>
      <c r="R670">
        <f t="shared" si="996"/>
        <v>-4564711214.0086136</v>
      </c>
      <c r="S670">
        <f t="shared" si="997"/>
        <v>-45647.112140086138</v>
      </c>
      <c r="T670">
        <f t="shared" si="998"/>
        <v>-45.647112140086136</v>
      </c>
    </row>
    <row r="671" spans="1:20" x14ac:dyDescent="0.25">
      <c r="A671" s="5">
        <v>43919</v>
      </c>
      <c r="B671">
        <v>2.63E-4</v>
      </c>
      <c r="C671">
        <v>2.6600000000000001E-4</v>
      </c>
      <c r="D671">
        <v>2.5500000000000002E-4</v>
      </c>
      <c r="E671">
        <v>2.5599999999999999E-4</v>
      </c>
      <c r="F671">
        <v>138910368</v>
      </c>
      <c r="G671">
        <v>0</v>
      </c>
      <c r="L671" t="s">
        <v>8</v>
      </c>
      <c r="M671" t="s">
        <v>7</v>
      </c>
      <c r="N671" t="s">
        <v>7</v>
      </c>
      <c r="P671">
        <f t="shared" si="994"/>
        <v>-0.81818181818182356</v>
      </c>
      <c r="Q671">
        <f t="shared" si="995"/>
        <v>-113653937.4545462</v>
      </c>
      <c r="R671">
        <f t="shared" si="996"/>
        <v>-4677850380.5641689</v>
      </c>
      <c r="S671">
        <f t="shared" si="997"/>
        <v>-46778.503805641689</v>
      </c>
      <c r="T671">
        <f t="shared" si="998"/>
        <v>-46.778503805641691</v>
      </c>
    </row>
    <row r="672" spans="1:20" x14ac:dyDescent="0.25">
      <c r="A672" s="5">
        <v>43918</v>
      </c>
      <c r="B672">
        <v>2.7700000000000001E-4</v>
      </c>
      <c r="C672">
        <v>2.7999999999999998E-4</v>
      </c>
      <c r="D672">
        <v>2.5000000000000001E-4</v>
      </c>
      <c r="E672">
        <v>2.63E-4</v>
      </c>
      <c r="F672">
        <v>257025557</v>
      </c>
      <c r="G672">
        <v>0</v>
      </c>
      <c r="L672" t="s">
        <v>7</v>
      </c>
      <c r="M672" t="s">
        <v>7</v>
      </c>
      <c r="N672" t="s">
        <v>7</v>
      </c>
      <c r="P672">
        <f t="shared" si="994"/>
        <v>-0.13333333333333308</v>
      </c>
      <c r="Q672">
        <f t="shared" si="995"/>
        <v>-34270074.266666599</v>
      </c>
      <c r="R672">
        <f t="shared" si="996"/>
        <v>-4564196443.109623</v>
      </c>
      <c r="S672">
        <f t="shared" si="997"/>
        <v>-45641.964431096232</v>
      </c>
      <c r="T672">
        <f t="shared" si="998"/>
        <v>-45.641964431096234</v>
      </c>
    </row>
    <row r="673" spans="1:20" x14ac:dyDescent="0.25">
      <c r="A673" s="5">
        <v>43917</v>
      </c>
      <c r="B673">
        <v>2.81E-4</v>
      </c>
      <c r="C673">
        <v>2.9E-4</v>
      </c>
      <c r="D673">
        <v>2.7399999999999999E-4</v>
      </c>
      <c r="E673">
        <v>2.7700000000000001E-4</v>
      </c>
      <c r="F673">
        <v>183595432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-0.62499999999999789</v>
      </c>
      <c r="Q673">
        <f t="shared" si="995"/>
        <v>-114747144.99999961</v>
      </c>
      <c r="R673">
        <f t="shared" si="996"/>
        <v>-4529926368.8429565</v>
      </c>
      <c r="S673">
        <f t="shared" si="997"/>
        <v>-45299.263688429564</v>
      </c>
      <c r="T673">
        <f t="shared" si="998"/>
        <v>-45.299263688429562</v>
      </c>
    </row>
    <row r="674" spans="1:20" x14ac:dyDescent="0.25">
      <c r="A674" s="5">
        <v>43916</v>
      </c>
      <c r="B674">
        <v>2.8200000000000002E-4</v>
      </c>
      <c r="C674">
        <v>2.8400000000000002E-4</v>
      </c>
      <c r="D674">
        <v>2.6800000000000001E-4</v>
      </c>
      <c r="E674">
        <v>2.81E-4</v>
      </c>
      <c r="F674">
        <v>214042567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0.62499999999999789</v>
      </c>
      <c r="Q674">
        <f t="shared" si="995"/>
        <v>133776604.37499955</v>
      </c>
      <c r="R674">
        <f t="shared" si="996"/>
        <v>-4415179223.8429565</v>
      </c>
      <c r="S674">
        <f t="shared" si="997"/>
        <v>-44151.792238429567</v>
      </c>
      <c r="T674">
        <f t="shared" si="998"/>
        <v>-44.151792238429564</v>
      </c>
    </row>
    <row r="675" spans="1:20" x14ac:dyDescent="0.25">
      <c r="A675" s="5">
        <v>43915</v>
      </c>
      <c r="B675">
        <v>2.92E-4</v>
      </c>
      <c r="C675">
        <v>3.0699999999999998E-4</v>
      </c>
      <c r="D675">
        <v>2.7599999999999999E-4</v>
      </c>
      <c r="E675">
        <v>2.81E-4</v>
      </c>
      <c r="F675">
        <v>263701783</v>
      </c>
      <c r="G675">
        <v>0</v>
      </c>
      <c r="L675" t="s">
        <v>8</v>
      </c>
      <c r="M675" t="s">
        <v>8</v>
      </c>
      <c r="N675" t="s">
        <v>7</v>
      </c>
      <c r="P675">
        <f t="shared" si="994"/>
        <v>-0.67741935483870874</v>
      </c>
      <c r="Q675">
        <f t="shared" si="995"/>
        <v>-178636691.70967716</v>
      </c>
      <c r="R675">
        <f t="shared" si="996"/>
        <v>-4548955828.2179565</v>
      </c>
      <c r="S675">
        <f t="shared" si="997"/>
        <v>-45489.558282179569</v>
      </c>
      <c r="T675">
        <f t="shared" si="998"/>
        <v>-45.489558282179566</v>
      </c>
    </row>
    <row r="676" spans="1:20" x14ac:dyDescent="0.25">
      <c r="A676" s="5">
        <v>43914</v>
      </c>
      <c r="B676">
        <v>2.92E-4</v>
      </c>
      <c r="C676">
        <v>3.2000000000000003E-4</v>
      </c>
      <c r="D676">
        <v>2.7900000000000001E-4</v>
      </c>
      <c r="E676">
        <v>2.9300000000000002E-4</v>
      </c>
      <c r="F676">
        <v>262082568</v>
      </c>
      <c r="G676">
        <v>0</v>
      </c>
      <c r="L676" t="s">
        <v>7</v>
      </c>
      <c r="M676" t="s">
        <v>8</v>
      </c>
      <c r="N676" t="s">
        <v>7</v>
      </c>
      <c r="P676">
        <f t="shared" si="994"/>
        <v>-0.31707317073170693</v>
      </c>
      <c r="Q676">
        <f t="shared" si="995"/>
        <v>-83099350.829268187</v>
      </c>
      <c r="R676">
        <f t="shared" si="996"/>
        <v>-4370319136.5082798</v>
      </c>
      <c r="S676">
        <f t="shared" si="997"/>
        <v>-43703.191365082799</v>
      </c>
      <c r="T676">
        <f t="shared" si="998"/>
        <v>-43.703191365082802</v>
      </c>
    </row>
    <row r="677" spans="1:20" x14ac:dyDescent="0.25">
      <c r="A677" s="5">
        <v>43913</v>
      </c>
      <c r="B677">
        <v>2.63E-4</v>
      </c>
      <c r="C677">
        <v>3.01E-4</v>
      </c>
      <c r="D677">
        <v>2.61E-4</v>
      </c>
      <c r="E677">
        <v>2.9300000000000002E-4</v>
      </c>
      <c r="F677">
        <v>194087584</v>
      </c>
      <c r="G677">
        <v>0</v>
      </c>
      <c r="L677" t="s">
        <v>8</v>
      </c>
      <c r="M677" t="s">
        <v>7</v>
      </c>
      <c r="N677" t="s">
        <v>7</v>
      </c>
      <c r="P677">
        <f t="shared" si="994"/>
        <v>0.60000000000000109</v>
      </c>
      <c r="Q677">
        <f t="shared" si="995"/>
        <v>116452550.40000021</v>
      </c>
      <c r="R677">
        <f t="shared" si="996"/>
        <v>-4287219785.6790118</v>
      </c>
      <c r="S677">
        <f t="shared" si="997"/>
        <v>-42872.197856790117</v>
      </c>
      <c r="T677">
        <f t="shared" si="998"/>
        <v>-42.872197856790116</v>
      </c>
    </row>
    <row r="678" spans="1:20" x14ac:dyDescent="0.25">
      <c r="A678" s="5">
        <v>43912</v>
      </c>
      <c r="B678">
        <v>3.0699999999999998E-4</v>
      </c>
      <c r="C678">
        <v>3.1700000000000001E-4</v>
      </c>
      <c r="D678">
        <v>2.61E-4</v>
      </c>
      <c r="E678">
        <v>2.6400000000000002E-4</v>
      </c>
      <c r="F678">
        <v>374387872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-0.89285714285714224</v>
      </c>
      <c r="Q678">
        <f t="shared" si="995"/>
        <v>-334274885.71428549</v>
      </c>
      <c r="R678">
        <f t="shared" si="996"/>
        <v>-4403672336.0790119</v>
      </c>
      <c r="S678">
        <f t="shared" si="997"/>
        <v>-44036.723360790122</v>
      </c>
      <c r="T678">
        <f t="shared" si="998"/>
        <v>-44.03672336079012</v>
      </c>
    </row>
    <row r="679" spans="1:20" x14ac:dyDescent="0.25">
      <c r="A679" s="5">
        <v>43911</v>
      </c>
      <c r="B679">
        <v>2.81E-4</v>
      </c>
      <c r="C679">
        <v>3.19E-4</v>
      </c>
      <c r="D679">
        <v>2.7500000000000002E-4</v>
      </c>
      <c r="E679">
        <v>3.0699999999999998E-4</v>
      </c>
      <c r="F679">
        <v>285101647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0.45454545454545342</v>
      </c>
      <c r="Q679">
        <f t="shared" si="995"/>
        <v>129591657.72727241</v>
      </c>
      <c r="R679">
        <f t="shared" si="996"/>
        <v>-4069397450.3647265</v>
      </c>
      <c r="S679">
        <f t="shared" si="997"/>
        <v>-40693.974503647267</v>
      </c>
      <c r="T679">
        <f t="shared" si="998"/>
        <v>-40.693974503647269</v>
      </c>
    </row>
    <row r="680" spans="1:20" x14ac:dyDescent="0.25">
      <c r="A680" s="5">
        <v>43910</v>
      </c>
      <c r="B680">
        <v>3.1199999999999999E-4</v>
      </c>
      <c r="C680">
        <v>3.77E-4</v>
      </c>
      <c r="D680">
        <v>2.5000000000000001E-4</v>
      </c>
      <c r="E680">
        <v>2.7799999999999998E-4</v>
      </c>
      <c r="F680">
        <v>1167288196</v>
      </c>
      <c r="G680">
        <v>0</v>
      </c>
      <c r="L680" t="s">
        <v>7</v>
      </c>
      <c r="M680" t="s">
        <v>8</v>
      </c>
      <c r="N680" t="s">
        <v>8</v>
      </c>
      <c r="P680">
        <f t="shared" si="994"/>
        <v>-0.55905511811023656</v>
      </c>
      <c r="Q680">
        <f t="shared" si="995"/>
        <v>-652578440.28346491</v>
      </c>
      <c r="R680">
        <f t="shared" si="996"/>
        <v>-4198989108.0919991</v>
      </c>
      <c r="S680">
        <f t="shared" si="997"/>
        <v>-41989.891080919988</v>
      </c>
      <c r="T680">
        <f t="shared" si="998"/>
        <v>-41.989891080919989</v>
      </c>
    </row>
    <row r="681" spans="1:20" x14ac:dyDescent="0.25">
      <c r="A681" s="5">
        <v>43909</v>
      </c>
      <c r="B681">
        <v>2.2100000000000001E-4</v>
      </c>
      <c r="C681">
        <v>3.21E-4</v>
      </c>
      <c r="D681">
        <v>2.2100000000000001E-4</v>
      </c>
      <c r="E681">
        <v>3.1300000000000002E-4</v>
      </c>
      <c r="F681">
        <v>451274479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0.84000000000000041</v>
      </c>
      <c r="Q681">
        <f t="shared" si="995"/>
        <v>379070562.36000019</v>
      </c>
      <c r="R681">
        <f t="shared" si="996"/>
        <v>-3546410667.8085341</v>
      </c>
      <c r="S681">
        <f t="shared" si="997"/>
        <v>-35464.106678085343</v>
      </c>
      <c r="T681">
        <f t="shared" si="998"/>
        <v>-35.464106678085344</v>
      </c>
    </row>
    <row r="682" spans="1:20" x14ac:dyDescent="0.25">
      <c r="A682" s="5">
        <v>43908</v>
      </c>
      <c r="B682">
        <v>2.23E-4</v>
      </c>
      <c r="C682">
        <v>2.3800000000000001E-4</v>
      </c>
      <c r="D682">
        <v>2.1000000000000001E-4</v>
      </c>
      <c r="E682">
        <v>2.2100000000000001E-4</v>
      </c>
      <c r="F682">
        <v>179893583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-0.21428571428571463</v>
      </c>
      <c r="Q682">
        <f t="shared" si="995"/>
        <v>-38548624.928571492</v>
      </c>
      <c r="R682">
        <f t="shared" si="996"/>
        <v>-3925481230.1685343</v>
      </c>
      <c r="S682">
        <f t="shared" si="997"/>
        <v>-39254.812301685342</v>
      </c>
      <c r="T682">
        <f t="shared" si="998"/>
        <v>-39.254812301685341</v>
      </c>
    </row>
    <row r="683" spans="1:20" x14ac:dyDescent="0.25">
      <c r="A683" s="5">
        <v>43907</v>
      </c>
      <c r="B683">
        <v>2.1699999999999999E-4</v>
      </c>
      <c r="C683">
        <v>2.42E-4</v>
      </c>
      <c r="D683">
        <v>2.04E-4</v>
      </c>
      <c r="E683">
        <v>2.24E-4</v>
      </c>
      <c r="F683">
        <v>337299098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5.2631578947368272E-2</v>
      </c>
      <c r="Q683">
        <f t="shared" si="995"/>
        <v>17752584.105263107</v>
      </c>
      <c r="R683">
        <f t="shared" si="996"/>
        <v>-3886932605.2399626</v>
      </c>
      <c r="S683">
        <f t="shared" si="997"/>
        <v>-38869.326052399629</v>
      </c>
      <c r="T683">
        <f t="shared" si="998"/>
        <v>-38.869326052399629</v>
      </c>
    </row>
    <row r="684" spans="1:20" x14ac:dyDescent="0.25">
      <c r="A684" s="5">
        <v>43906</v>
      </c>
      <c r="B684">
        <v>2.43E-4</v>
      </c>
      <c r="C684">
        <v>2.4800000000000001E-4</v>
      </c>
      <c r="D684">
        <v>1.8799999999999999E-4</v>
      </c>
      <c r="E684">
        <v>2.1699999999999999E-4</v>
      </c>
      <c r="F684">
        <v>235404135</v>
      </c>
      <c r="G684">
        <v>0</v>
      </c>
      <c r="L684" t="s">
        <v>7</v>
      </c>
      <c r="M684" t="s">
        <v>7</v>
      </c>
      <c r="N684" t="s">
        <v>8</v>
      </c>
      <c r="P684">
        <f t="shared" si="994"/>
        <v>-3.333333333333368E-2</v>
      </c>
      <c r="Q684">
        <f t="shared" si="995"/>
        <v>-7846804.500000082</v>
      </c>
      <c r="R684">
        <f t="shared" si="996"/>
        <v>-3904685189.3452258</v>
      </c>
      <c r="S684">
        <f t="shared" si="997"/>
        <v>-39046.851893452258</v>
      </c>
      <c r="T684">
        <f t="shared" si="998"/>
        <v>-39.046851893452256</v>
      </c>
    </row>
    <row r="685" spans="1:20" x14ac:dyDescent="0.25">
      <c r="A685" s="5">
        <v>43905</v>
      </c>
      <c r="B685">
        <v>2.3900000000000001E-4</v>
      </c>
      <c r="C685">
        <v>2.5900000000000001E-4</v>
      </c>
      <c r="D685">
        <v>2.3499999999999999E-4</v>
      </c>
      <c r="E685">
        <v>2.43E-4</v>
      </c>
      <c r="F685">
        <v>171425062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-0.33333333333333331</v>
      </c>
      <c r="Q685">
        <f t="shared" si="995"/>
        <v>-57141687.333333328</v>
      </c>
      <c r="R685">
        <f t="shared" si="996"/>
        <v>-3896838384.8452258</v>
      </c>
      <c r="S685">
        <f t="shared" si="997"/>
        <v>-38968.383848452257</v>
      </c>
      <c r="T685">
        <f t="shared" si="998"/>
        <v>-38.968383848452255</v>
      </c>
    </row>
    <row r="686" spans="1:20" x14ac:dyDescent="0.25">
      <c r="A686" s="5">
        <v>43904</v>
      </c>
      <c r="B686">
        <v>2.4399999999999999E-4</v>
      </c>
      <c r="C686">
        <v>2.6899999999999998E-4</v>
      </c>
      <c r="D686">
        <v>2.34E-4</v>
      </c>
      <c r="E686">
        <v>2.3900000000000001E-4</v>
      </c>
      <c r="F686">
        <v>238496724</v>
      </c>
      <c r="G686">
        <v>0</v>
      </c>
      <c r="L686" t="s">
        <v>7</v>
      </c>
      <c r="M686" t="s">
        <v>8</v>
      </c>
      <c r="N686" t="s">
        <v>8</v>
      </c>
      <c r="P686">
        <f t="shared" si="994"/>
        <v>-0.71428571428571341</v>
      </c>
      <c r="Q686">
        <f t="shared" si="995"/>
        <v>-170354802.85714266</v>
      </c>
      <c r="R686">
        <f t="shared" si="996"/>
        <v>-3839696697.5118923</v>
      </c>
      <c r="S686">
        <f t="shared" si="997"/>
        <v>-38396.966975118921</v>
      </c>
      <c r="T686">
        <f t="shared" si="998"/>
        <v>-38.396966975118922</v>
      </c>
    </row>
    <row r="687" spans="1:20" x14ac:dyDescent="0.25">
      <c r="A687" s="5">
        <v>43903</v>
      </c>
      <c r="B687">
        <v>2.1900000000000001E-4</v>
      </c>
      <c r="C687">
        <v>2.7500000000000002E-4</v>
      </c>
      <c r="D687">
        <v>1.7100000000000001E-4</v>
      </c>
      <c r="E687">
        <v>2.43E-4</v>
      </c>
      <c r="F687">
        <v>516515750</v>
      </c>
      <c r="G687">
        <v>0</v>
      </c>
      <c r="L687" t="s">
        <v>8</v>
      </c>
      <c r="M687" t="s">
        <v>7</v>
      </c>
      <c r="N687" t="s">
        <v>7</v>
      </c>
      <c r="P687">
        <f t="shared" si="994"/>
        <v>0.3846153846153843</v>
      </c>
      <c r="Q687">
        <f t="shared" si="995"/>
        <v>198659903.84615368</v>
      </c>
      <c r="R687">
        <f t="shared" si="996"/>
        <v>-3669341894.6547499</v>
      </c>
      <c r="S687">
        <f t="shared" si="997"/>
        <v>-36693.418946547499</v>
      </c>
      <c r="T687">
        <f t="shared" si="998"/>
        <v>-36.693418946547496</v>
      </c>
    </row>
    <row r="688" spans="1:20" x14ac:dyDescent="0.25">
      <c r="A688" s="5">
        <v>43902</v>
      </c>
      <c r="B688">
        <v>3.9199999999999999E-4</v>
      </c>
      <c r="C688">
        <v>3.9300000000000001E-4</v>
      </c>
      <c r="D688">
        <v>2.1499999999999999E-4</v>
      </c>
      <c r="E688">
        <v>2.1800000000000001E-4</v>
      </c>
      <c r="F688">
        <v>972840218</v>
      </c>
      <c r="G688">
        <v>0</v>
      </c>
      <c r="L688" t="s">
        <v>7</v>
      </c>
      <c r="M688" t="s">
        <v>7</v>
      </c>
      <c r="N688" t="s">
        <v>7</v>
      </c>
      <c r="P688">
        <f t="shared" si="994"/>
        <v>-0.96629213483146048</v>
      </c>
      <c r="Q688">
        <f t="shared" si="995"/>
        <v>-940047851.10112345</v>
      </c>
      <c r="R688">
        <f t="shared" si="996"/>
        <v>-3868001798.5009036</v>
      </c>
      <c r="S688">
        <f t="shared" si="997"/>
        <v>-38680.017985009035</v>
      </c>
      <c r="T688">
        <f t="shared" si="998"/>
        <v>-38.680017985009037</v>
      </c>
    </row>
    <row r="689" spans="1:20" x14ac:dyDescent="0.25">
      <c r="A689" s="5">
        <v>43901</v>
      </c>
      <c r="B689">
        <v>4.06E-4</v>
      </c>
      <c r="C689">
        <v>4.1100000000000002E-4</v>
      </c>
      <c r="D689">
        <v>3.7800000000000003E-4</v>
      </c>
      <c r="E689">
        <v>3.9199999999999999E-4</v>
      </c>
      <c r="F689">
        <v>357819350</v>
      </c>
      <c r="G689">
        <v>0</v>
      </c>
      <c r="L689" t="s">
        <v>8</v>
      </c>
      <c r="M689" t="s">
        <v>7</v>
      </c>
      <c r="N689" t="s">
        <v>7</v>
      </c>
      <c r="P689">
        <f t="shared" si="994"/>
        <v>-0.1515151515151536</v>
      </c>
      <c r="Q689">
        <f t="shared" si="995"/>
        <v>-54215053.030303776</v>
      </c>
      <c r="R689">
        <f t="shared" si="996"/>
        <v>-2927953947.3997803</v>
      </c>
      <c r="S689">
        <f t="shared" si="997"/>
        <v>-29279.539473997804</v>
      </c>
      <c r="T689">
        <f t="shared" si="998"/>
        <v>-29.279539473997804</v>
      </c>
    </row>
    <row r="690" spans="1:20" x14ac:dyDescent="0.25">
      <c r="A690" s="5">
        <v>43900</v>
      </c>
      <c r="B690">
        <v>4.0900000000000002E-4</v>
      </c>
      <c r="C690">
        <v>4.26E-4</v>
      </c>
      <c r="D690">
        <v>3.9800000000000002E-4</v>
      </c>
      <c r="E690">
        <v>4.08E-4</v>
      </c>
      <c r="F690">
        <v>214083868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-0.28571428571428709</v>
      </c>
      <c r="Q690">
        <f t="shared" si="995"/>
        <v>-61166819.428571723</v>
      </c>
      <c r="R690">
        <f t="shared" si="996"/>
        <v>-2873738894.3694763</v>
      </c>
      <c r="S690">
        <f t="shared" si="997"/>
        <v>-28737.388943694765</v>
      </c>
      <c r="T690">
        <f t="shared" si="998"/>
        <v>-28.737388943694764</v>
      </c>
    </row>
    <row r="691" spans="1:20" x14ac:dyDescent="0.25">
      <c r="A691" s="5">
        <v>43899</v>
      </c>
      <c r="B691">
        <v>4.0400000000000001E-4</v>
      </c>
      <c r="C691">
        <v>4.15E-4</v>
      </c>
      <c r="D691">
        <v>3.8999999999999999E-4</v>
      </c>
      <c r="E691">
        <v>4.0900000000000002E-4</v>
      </c>
      <c r="F691">
        <v>1424536503</v>
      </c>
      <c r="G691">
        <v>0</v>
      </c>
      <c r="L691" t="s">
        <v>8</v>
      </c>
      <c r="M691" t="s">
        <v>7</v>
      </c>
      <c r="N691" t="s">
        <v>7</v>
      </c>
      <c r="P691">
        <f t="shared" si="994"/>
        <v>0.52000000000000157</v>
      </c>
      <c r="Q691">
        <f t="shared" si="995"/>
        <v>740758981.56000221</v>
      </c>
      <c r="R691">
        <f t="shared" si="996"/>
        <v>-2812572074.9409046</v>
      </c>
      <c r="S691">
        <f t="shared" si="997"/>
        <v>-28125.720749409047</v>
      </c>
      <c r="T691">
        <f t="shared" si="998"/>
        <v>-28.125720749409048</v>
      </c>
    </row>
    <row r="692" spans="1:20" x14ac:dyDescent="0.25">
      <c r="A692" s="5">
        <v>43898</v>
      </c>
      <c r="B692">
        <v>4.5600000000000003E-4</v>
      </c>
      <c r="C692">
        <v>4.5800000000000002E-4</v>
      </c>
      <c r="D692">
        <v>4.0000000000000002E-4</v>
      </c>
      <c r="E692">
        <v>4.0000000000000002E-4</v>
      </c>
      <c r="F692">
        <v>420909445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-1</v>
      </c>
      <c r="Q692">
        <f t="shared" si="995"/>
        <v>-420909445</v>
      </c>
      <c r="R692">
        <f t="shared" si="996"/>
        <v>-3553331056.5009069</v>
      </c>
      <c r="S692">
        <f t="shared" si="997"/>
        <v>-35533.310565009073</v>
      </c>
      <c r="T692">
        <f t="shared" si="998"/>
        <v>-35.533310565009074</v>
      </c>
    </row>
    <row r="693" spans="1:20" x14ac:dyDescent="0.25">
      <c r="A693" s="5">
        <v>43897</v>
      </c>
      <c r="B693">
        <v>4.6799999999999999E-4</v>
      </c>
      <c r="C693">
        <v>4.86E-4</v>
      </c>
      <c r="D693">
        <v>4.4999999999999999E-4</v>
      </c>
      <c r="E693">
        <v>4.5600000000000003E-4</v>
      </c>
      <c r="F693">
        <v>231305627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-0.66666666666666463</v>
      </c>
      <c r="Q693">
        <f t="shared" si="995"/>
        <v>-154203751.33333287</v>
      </c>
      <c r="R693">
        <f t="shared" si="996"/>
        <v>-3132421611.5009069</v>
      </c>
      <c r="S693">
        <f t="shared" si="997"/>
        <v>-31324.216115009069</v>
      </c>
      <c r="T693">
        <f t="shared" si="998"/>
        <v>-31.324216115009069</v>
      </c>
    </row>
    <row r="694" spans="1:20" x14ac:dyDescent="0.25">
      <c r="A694" s="5">
        <v>43896</v>
      </c>
      <c r="B694">
        <v>4.66E-4</v>
      </c>
      <c r="C694">
        <v>4.9100000000000001E-4</v>
      </c>
      <c r="D694">
        <v>4.6200000000000001E-4</v>
      </c>
      <c r="E694">
        <v>4.6799999999999999E-4</v>
      </c>
      <c r="F694">
        <v>278049806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-0.58620689655172531</v>
      </c>
      <c r="Q694">
        <f t="shared" si="995"/>
        <v>-162994713.86206928</v>
      </c>
      <c r="R694">
        <f t="shared" si="996"/>
        <v>-2978217860.1675739</v>
      </c>
      <c r="S694">
        <f t="shared" si="997"/>
        <v>-29782.17860167574</v>
      </c>
      <c r="T694">
        <f t="shared" si="998"/>
        <v>-29.782178601675739</v>
      </c>
    </row>
    <row r="695" spans="1:20" x14ac:dyDescent="0.25">
      <c r="A695" s="5">
        <v>43895</v>
      </c>
      <c r="B695">
        <v>4.5199999999999998E-4</v>
      </c>
      <c r="C695">
        <v>4.7199999999999998E-4</v>
      </c>
      <c r="D695">
        <v>4.4799999999999999E-4</v>
      </c>
      <c r="E695">
        <v>4.6700000000000002E-4</v>
      </c>
      <c r="F695">
        <v>192586414</v>
      </c>
      <c r="G695">
        <v>0</v>
      </c>
      <c r="L695" t="s">
        <v>8</v>
      </c>
      <c r="M695" t="s">
        <v>7</v>
      </c>
      <c r="N695" t="s">
        <v>7</v>
      </c>
      <c r="P695">
        <f t="shared" si="994"/>
        <v>0.58333333333333648</v>
      </c>
      <c r="Q695">
        <f t="shared" si="995"/>
        <v>112342074.83333394</v>
      </c>
      <c r="R695">
        <f t="shared" si="996"/>
        <v>-2815223146.3055048</v>
      </c>
      <c r="S695">
        <f t="shared" si="997"/>
        <v>-28152.231463055046</v>
      </c>
      <c r="T695">
        <f t="shared" si="998"/>
        <v>-28.152231463055045</v>
      </c>
    </row>
    <row r="696" spans="1:20" x14ac:dyDescent="0.25">
      <c r="A696" s="5">
        <v>43894</v>
      </c>
      <c r="B696">
        <v>4.55E-4</v>
      </c>
      <c r="C696">
        <v>4.5899999999999999E-4</v>
      </c>
      <c r="D696">
        <v>4.4099999999999999E-4</v>
      </c>
      <c r="E696">
        <v>4.5300000000000001E-4</v>
      </c>
      <c r="F696">
        <v>296289240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0.33333333333333537</v>
      </c>
      <c r="Q696">
        <f t="shared" si="995"/>
        <v>98763080.000000596</v>
      </c>
      <c r="R696">
        <f t="shared" si="996"/>
        <v>-2927565221.1388388</v>
      </c>
      <c r="S696">
        <f t="shared" si="997"/>
        <v>-29275.652211388388</v>
      </c>
      <c r="T696">
        <f t="shared" si="998"/>
        <v>-29.275652211388387</v>
      </c>
    </row>
    <row r="697" spans="1:20" x14ac:dyDescent="0.25">
      <c r="A697" s="5">
        <v>43893</v>
      </c>
      <c r="B697">
        <v>4.5800000000000002E-4</v>
      </c>
      <c r="C697">
        <v>4.6700000000000002E-4</v>
      </c>
      <c r="D697">
        <v>4.4200000000000001E-4</v>
      </c>
      <c r="E697">
        <v>4.5399999999999998E-4</v>
      </c>
      <c r="F697">
        <v>234567035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-4.0000000000003123E-2</v>
      </c>
      <c r="Q697">
        <f t="shared" si="995"/>
        <v>-9382681.4000007324</v>
      </c>
      <c r="R697">
        <f t="shared" si="996"/>
        <v>-3026328301.1388392</v>
      </c>
      <c r="S697">
        <f t="shared" si="997"/>
        <v>-30263.283011388394</v>
      </c>
      <c r="T697">
        <f t="shared" si="998"/>
        <v>-30.263283011388395</v>
      </c>
    </row>
    <row r="698" spans="1:20" x14ac:dyDescent="0.25">
      <c r="A698" s="5">
        <v>43892</v>
      </c>
      <c r="B698">
        <v>4.4799999999999999E-4</v>
      </c>
      <c r="C698">
        <v>4.64E-4</v>
      </c>
      <c r="D698">
        <v>4.4000000000000002E-4</v>
      </c>
      <c r="E698">
        <v>4.5800000000000002E-4</v>
      </c>
      <c r="F698">
        <v>308315805</v>
      </c>
      <c r="G698">
        <v>0</v>
      </c>
      <c r="L698" t="s">
        <v>7</v>
      </c>
      <c r="M698" t="s">
        <v>7</v>
      </c>
      <c r="N698" t="s">
        <v>7</v>
      </c>
      <c r="P698">
        <f t="shared" si="994"/>
        <v>0.50000000000000111</v>
      </c>
      <c r="Q698">
        <f t="shared" si="995"/>
        <v>154157902.50000033</v>
      </c>
      <c r="R698">
        <f t="shared" si="996"/>
        <v>-3016945619.7388387</v>
      </c>
      <c r="S698">
        <f t="shared" si="997"/>
        <v>-30169.456197388386</v>
      </c>
      <c r="T698">
        <f t="shared" si="998"/>
        <v>-30.169456197388385</v>
      </c>
    </row>
    <row r="699" spans="1:20" x14ac:dyDescent="0.25">
      <c r="A699" s="5">
        <v>43891</v>
      </c>
      <c r="B699">
        <v>4.6200000000000001E-4</v>
      </c>
      <c r="C699">
        <v>4.66E-4</v>
      </c>
      <c r="D699">
        <v>4.35E-4</v>
      </c>
      <c r="E699">
        <v>4.4799999999999999E-4</v>
      </c>
      <c r="F699">
        <v>246741363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-0.1612903225806456</v>
      </c>
      <c r="Q699">
        <f t="shared" si="995"/>
        <v>-39796994.032258175</v>
      </c>
      <c r="R699">
        <f t="shared" si="996"/>
        <v>-3171103522.2388391</v>
      </c>
      <c r="S699">
        <f t="shared" si="997"/>
        <v>-31711.035222388393</v>
      </c>
      <c r="T699">
        <f t="shared" si="998"/>
        <v>-31.711035222388393</v>
      </c>
    </row>
    <row r="700" spans="1:20" x14ac:dyDescent="0.25">
      <c r="A700" s="5">
        <v>43890</v>
      </c>
      <c r="B700">
        <v>4.86E-4</v>
      </c>
      <c r="C700">
        <v>4.9100000000000001E-4</v>
      </c>
      <c r="D700">
        <v>4.5300000000000001E-4</v>
      </c>
      <c r="E700">
        <v>4.6299999999999998E-4</v>
      </c>
      <c r="F700">
        <v>191955487</v>
      </c>
      <c r="G700">
        <v>0</v>
      </c>
      <c r="L700" t="s">
        <v>7</v>
      </c>
      <c r="M700" t="s">
        <v>7</v>
      </c>
      <c r="N700" t="s">
        <v>7</v>
      </c>
      <c r="P700">
        <f t="shared" si="994"/>
        <v>-0.47368421052631732</v>
      </c>
      <c r="Q700">
        <f t="shared" si="995"/>
        <v>-90926283.315789774</v>
      </c>
      <c r="R700">
        <f t="shared" si="996"/>
        <v>-3131306528.2065811</v>
      </c>
      <c r="S700">
        <f t="shared" si="997"/>
        <v>-31313.065282065811</v>
      </c>
      <c r="T700">
        <f t="shared" si="998"/>
        <v>-31.313065282065811</v>
      </c>
    </row>
    <row r="701" spans="1:20" x14ac:dyDescent="0.25">
      <c r="A701" s="5">
        <v>43889</v>
      </c>
      <c r="B701">
        <v>5.0299999999999997E-4</v>
      </c>
      <c r="C701">
        <v>5.1500000000000005E-4</v>
      </c>
      <c r="D701">
        <v>4.7199999999999998E-4</v>
      </c>
      <c r="E701">
        <v>4.8700000000000002E-4</v>
      </c>
      <c r="F701">
        <v>347478492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-0.30232558139534815</v>
      </c>
      <c r="Q701">
        <f t="shared" si="995"/>
        <v>-105051637.11627883</v>
      </c>
      <c r="R701">
        <f t="shared" si="996"/>
        <v>-3040380244.8907914</v>
      </c>
      <c r="S701">
        <f t="shared" si="997"/>
        <v>-30403.802448907914</v>
      </c>
      <c r="T701">
        <f t="shared" si="998"/>
        <v>-30.403802448907914</v>
      </c>
    </row>
    <row r="702" spans="1:20" x14ac:dyDescent="0.25">
      <c r="A702" s="5">
        <v>43888</v>
      </c>
      <c r="B702">
        <v>4.44E-4</v>
      </c>
      <c r="C702">
        <v>5.2700000000000002E-4</v>
      </c>
      <c r="D702">
        <v>4.2999999999999999E-4</v>
      </c>
      <c r="E702">
        <v>5.0000000000000001E-4</v>
      </c>
      <c r="F702">
        <v>569828545</v>
      </c>
      <c r="G702">
        <v>0</v>
      </c>
      <c r="L702" t="s">
        <v>7</v>
      </c>
      <c r="M702" t="s">
        <v>8</v>
      </c>
      <c r="N702" t="s">
        <v>7</v>
      </c>
      <c r="P702">
        <f t="shared" si="994"/>
        <v>0.44329896907216498</v>
      </c>
      <c r="Q702">
        <f t="shared" si="995"/>
        <v>252604406.54639179</v>
      </c>
      <c r="R702">
        <f t="shared" si="996"/>
        <v>-2935328607.7745128</v>
      </c>
      <c r="S702">
        <f t="shared" si="997"/>
        <v>-29353.286077745128</v>
      </c>
      <c r="T702">
        <f t="shared" si="998"/>
        <v>-29.353286077745128</v>
      </c>
    </row>
    <row r="703" spans="1:20" x14ac:dyDescent="0.25">
      <c r="A703" s="5">
        <v>43887</v>
      </c>
      <c r="B703">
        <v>4.8000000000000001E-4</v>
      </c>
      <c r="C703">
        <v>4.9100000000000001E-4</v>
      </c>
      <c r="D703">
        <v>4.2000000000000002E-4</v>
      </c>
      <c r="E703">
        <v>4.44E-4</v>
      </c>
      <c r="F703">
        <v>1046294007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-0.32394366197183128</v>
      </c>
      <c r="Q703">
        <f t="shared" si="995"/>
        <v>-338940312.12676084</v>
      </c>
      <c r="R703">
        <f t="shared" si="996"/>
        <v>-3187933014.3209047</v>
      </c>
      <c r="S703">
        <f t="shared" si="997"/>
        <v>-31879.330143209048</v>
      </c>
      <c r="T703">
        <f t="shared" si="998"/>
        <v>-31.879330143209049</v>
      </c>
    </row>
    <row r="704" spans="1:20" x14ac:dyDescent="0.25">
      <c r="A704" s="5">
        <v>43886</v>
      </c>
      <c r="B704">
        <v>4.9799999999999996E-4</v>
      </c>
      <c r="C704">
        <v>5.0000000000000001E-4</v>
      </c>
      <c r="D704">
        <v>4.6900000000000002E-4</v>
      </c>
      <c r="E704">
        <v>4.8099999999999998E-4</v>
      </c>
      <c r="F704">
        <v>402291246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-0.22580645161290525</v>
      </c>
      <c r="Q704">
        <f t="shared" si="995"/>
        <v>-90839958.77419436</v>
      </c>
      <c r="R704">
        <f t="shared" si="996"/>
        <v>-2848992702.1941438</v>
      </c>
      <c r="S704">
        <f t="shared" si="997"/>
        <v>-28489.927021941439</v>
      </c>
      <c r="T704">
        <f t="shared" si="998"/>
        <v>-28.48992702194144</v>
      </c>
    </row>
    <row r="705" spans="1:20" x14ac:dyDescent="0.25">
      <c r="A705" s="5">
        <v>43885</v>
      </c>
      <c r="B705">
        <v>5.1199999999999998E-4</v>
      </c>
      <c r="C705">
        <v>5.2499999999999997E-4</v>
      </c>
      <c r="D705">
        <v>4.7699999999999999E-4</v>
      </c>
      <c r="E705">
        <v>4.9700000000000005E-4</v>
      </c>
      <c r="F705">
        <v>416903045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-0.16666666666666402</v>
      </c>
      <c r="Q705">
        <f t="shared" si="995"/>
        <v>-69483840.833332226</v>
      </c>
      <c r="R705">
        <f t="shared" si="996"/>
        <v>-2758152743.4199495</v>
      </c>
      <c r="S705">
        <f t="shared" si="997"/>
        <v>-27581.527434199495</v>
      </c>
      <c r="T705">
        <f t="shared" si="998"/>
        <v>-27.581527434199497</v>
      </c>
    </row>
    <row r="706" spans="1:20" x14ac:dyDescent="0.25">
      <c r="A706" s="5">
        <v>43884</v>
      </c>
      <c r="B706">
        <v>5.0100000000000003E-4</v>
      </c>
      <c r="C706">
        <v>5.1699999999999999E-4</v>
      </c>
      <c r="D706">
        <v>4.9700000000000005E-4</v>
      </c>
      <c r="E706">
        <v>5.1599999999999997E-4</v>
      </c>
      <c r="F706">
        <v>511755361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0.89999999999999725</v>
      </c>
      <c r="Q706">
        <f t="shared" si="995"/>
        <v>460579824.89999861</v>
      </c>
      <c r="R706">
        <f t="shared" si="996"/>
        <v>-2688668902.5866175</v>
      </c>
      <c r="S706">
        <f t="shared" si="997"/>
        <v>-26886.689025866173</v>
      </c>
      <c r="T706">
        <f t="shared" si="998"/>
        <v>-26.886689025866172</v>
      </c>
    </row>
    <row r="707" spans="1:20" x14ac:dyDescent="0.25">
      <c r="A707" s="5">
        <v>43883</v>
      </c>
      <c r="B707">
        <v>5.1500000000000005E-4</v>
      </c>
      <c r="C707">
        <v>5.1699999999999999E-4</v>
      </c>
      <c r="D707">
        <v>4.6500000000000003E-4</v>
      </c>
      <c r="E707">
        <v>5.0100000000000003E-4</v>
      </c>
      <c r="F707">
        <v>446572920</v>
      </c>
      <c r="G707">
        <v>0</v>
      </c>
      <c r="L707" t="s">
        <v>8</v>
      </c>
      <c r="M707" t="s">
        <v>7</v>
      </c>
      <c r="N707" t="s">
        <v>7</v>
      </c>
      <c r="P707">
        <f t="shared" si="994"/>
        <v>0.38461538461538591</v>
      </c>
      <c r="Q707">
        <f t="shared" si="995"/>
        <v>171758815.38461596</v>
      </c>
      <c r="R707">
        <f t="shared" si="996"/>
        <v>-3149248727.4866161</v>
      </c>
      <c r="S707">
        <f t="shared" si="997"/>
        <v>-31492.487274866162</v>
      </c>
      <c r="T707">
        <f t="shared" si="998"/>
        <v>-31.492487274866161</v>
      </c>
    </row>
    <row r="708" spans="1:20" x14ac:dyDescent="0.25">
      <c r="A708" s="5">
        <v>43882</v>
      </c>
      <c r="B708">
        <v>5.1099999999999995E-4</v>
      </c>
      <c r="C708">
        <v>5.4699999999999996E-4</v>
      </c>
      <c r="D708">
        <v>4.9600000000000002E-4</v>
      </c>
      <c r="E708">
        <v>5.1800000000000001E-4</v>
      </c>
      <c r="F708">
        <v>840539820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-0.13725490196078358</v>
      </c>
      <c r="Q708">
        <f t="shared" si="995"/>
        <v>-115368210.58823468</v>
      </c>
      <c r="R708">
        <f t="shared" si="996"/>
        <v>-3321007542.871232</v>
      </c>
      <c r="S708">
        <f t="shared" si="997"/>
        <v>-33210.07542871232</v>
      </c>
      <c r="T708">
        <f t="shared" si="998"/>
        <v>-33.210075428712322</v>
      </c>
    </row>
    <row r="709" spans="1:20" x14ac:dyDescent="0.25">
      <c r="A709" s="5">
        <v>43881</v>
      </c>
      <c r="B709">
        <v>5.5599999999999996E-4</v>
      </c>
      <c r="C709">
        <v>5.6700000000000001E-4</v>
      </c>
      <c r="D709">
        <v>4.8000000000000001E-4</v>
      </c>
      <c r="E709">
        <v>5.0900000000000001E-4</v>
      </c>
      <c r="F709">
        <v>1515102557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-0.33333333333333331</v>
      </c>
      <c r="Q709">
        <f t="shared" si="995"/>
        <v>-505034185.66666663</v>
      </c>
      <c r="R709">
        <f t="shared" si="996"/>
        <v>-3205639332.2829971</v>
      </c>
      <c r="S709">
        <f t="shared" si="997"/>
        <v>-32056.393322829972</v>
      </c>
      <c r="T709">
        <f t="shared" si="998"/>
        <v>-32.056393322829969</v>
      </c>
    </row>
    <row r="710" spans="1:20" x14ac:dyDescent="0.25">
      <c r="A710" s="5">
        <v>43880</v>
      </c>
      <c r="B710">
        <v>6.7299999999999999E-4</v>
      </c>
      <c r="C710">
        <v>6.78E-4</v>
      </c>
      <c r="D710">
        <v>5.4799999999999998E-4</v>
      </c>
      <c r="E710">
        <v>5.5599999999999996E-4</v>
      </c>
      <c r="F710">
        <v>1677416752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-0.87692307692307725</v>
      </c>
      <c r="Q710">
        <f t="shared" ref="Q710:Q766" si="1000">F710*P710</f>
        <v>-1470965459.4461544</v>
      </c>
      <c r="R710">
        <f t="shared" ref="R710:R766" si="1001">R711+Q710</f>
        <v>-2700605146.6163306</v>
      </c>
      <c r="S710">
        <f t="shared" ref="S710:S766" si="1002">R710/100000</f>
        <v>-27006.051466163306</v>
      </c>
      <c r="T710">
        <f t="shared" ref="T710:T766" si="1003">S710/1000</f>
        <v>-27.006051466163306</v>
      </c>
    </row>
    <row r="711" spans="1:20" x14ac:dyDescent="0.25">
      <c r="A711" s="5">
        <v>43879</v>
      </c>
      <c r="B711">
        <v>6.8400000000000004E-4</v>
      </c>
      <c r="C711">
        <v>7.0100000000000002E-4</v>
      </c>
      <c r="D711">
        <v>6.4000000000000005E-4</v>
      </c>
      <c r="E711">
        <v>6.6799999999999997E-4</v>
      </c>
      <c r="F711">
        <v>406176722</v>
      </c>
      <c r="G711">
        <v>0</v>
      </c>
      <c r="L711" t="s">
        <v>8</v>
      </c>
      <c r="M711" t="s">
        <v>8</v>
      </c>
      <c r="N711" t="s">
        <v>8</v>
      </c>
      <c r="P711">
        <f t="shared" si="999"/>
        <v>-8.1967213114756132E-2</v>
      </c>
      <c r="Q711">
        <f t="shared" si="1000"/>
        <v>-33293173.934427056</v>
      </c>
      <c r="R711">
        <f t="shared" si="1001"/>
        <v>-1229639687.1701763</v>
      </c>
      <c r="S711">
        <f t="shared" si="1002"/>
        <v>-12296.396871701763</v>
      </c>
      <c r="T711">
        <f t="shared" si="1003"/>
        <v>-12.296396871701763</v>
      </c>
    </row>
    <row r="712" spans="1:20" x14ac:dyDescent="0.25">
      <c r="A712" s="5">
        <v>43878</v>
      </c>
      <c r="B712">
        <v>6.8800000000000003E-4</v>
      </c>
      <c r="C712">
        <v>6.9800000000000005E-4</v>
      </c>
      <c r="D712">
        <v>5.7399999999999997E-4</v>
      </c>
      <c r="E712">
        <v>6.8599999999999998E-4</v>
      </c>
      <c r="F712">
        <v>603051044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0.80645161290322476</v>
      </c>
      <c r="Q712">
        <f t="shared" si="1000"/>
        <v>486331487.09677356</v>
      </c>
      <c r="R712">
        <f t="shared" si="1001"/>
        <v>-1196346513.2357492</v>
      </c>
      <c r="S712">
        <f t="shared" si="1002"/>
        <v>-11963.465132357493</v>
      </c>
      <c r="T712">
        <f t="shared" si="1003"/>
        <v>-11.963465132357493</v>
      </c>
    </row>
    <row r="713" spans="1:20" x14ac:dyDescent="0.25">
      <c r="A713" s="5">
        <v>43877</v>
      </c>
      <c r="B713">
        <v>6.9800000000000005E-4</v>
      </c>
      <c r="C713">
        <v>7.3200000000000001E-4</v>
      </c>
      <c r="D713">
        <v>6.2100000000000002E-4</v>
      </c>
      <c r="E713">
        <v>6.8499999999999995E-4</v>
      </c>
      <c r="F713">
        <v>282802947</v>
      </c>
      <c r="G713">
        <v>0</v>
      </c>
      <c r="L713" t="s">
        <v>8</v>
      </c>
      <c r="M713" t="s">
        <v>7</v>
      </c>
      <c r="N713" t="s">
        <v>8</v>
      </c>
      <c r="P713">
        <f t="shared" si="999"/>
        <v>0.15315315315315201</v>
      </c>
      <c r="Q713">
        <f t="shared" si="1000"/>
        <v>43312163.054053731</v>
      </c>
      <c r="R713">
        <f t="shared" si="1001"/>
        <v>-1682678000.3325229</v>
      </c>
      <c r="S713">
        <f t="shared" si="1002"/>
        <v>-16826.780003325228</v>
      </c>
      <c r="T713">
        <f t="shared" si="1003"/>
        <v>-16.826780003325229</v>
      </c>
    </row>
    <row r="714" spans="1:20" x14ac:dyDescent="0.25">
      <c r="A714" s="5">
        <v>43876</v>
      </c>
      <c r="B714">
        <v>7.4899999999999999E-4</v>
      </c>
      <c r="C714">
        <v>7.6199999999999998E-4</v>
      </c>
      <c r="D714">
        <v>6.8199999999999999E-4</v>
      </c>
      <c r="E714">
        <v>6.9700000000000003E-4</v>
      </c>
      <c r="F714">
        <v>575323938</v>
      </c>
      <c r="G714">
        <v>0</v>
      </c>
      <c r="L714" t="s">
        <v>7</v>
      </c>
      <c r="M714" t="s">
        <v>8</v>
      </c>
      <c r="N714" t="s">
        <v>8</v>
      </c>
      <c r="P714">
        <f t="shared" si="999"/>
        <v>-0.624999999999999</v>
      </c>
      <c r="Q714">
        <f t="shared" si="1000"/>
        <v>-359577461.2499994</v>
      </c>
      <c r="R714">
        <f t="shared" si="1001"/>
        <v>-1725990163.3865767</v>
      </c>
      <c r="S714">
        <f t="shared" si="1002"/>
        <v>-17259.901633865768</v>
      </c>
      <c r="T714">
        <f t="shared" si="1003"/>
        <v>-17.259901633865766</v>
      </c>
    </row>
    <row r="715" spans="1:20" x14ac:dyDescent="0.25">
      <c r="A715" s="5">
        <v>43875</v>
      </c>
      <c r="B715">
        <v>6.9399999999999996E-4</v>
      </c>
      <c r="C715">
        <v>7.6300000000000001E-4</v>
      </c>
      <c r="D715">
        <v>6.9200000000000002E-4</v>
      </c>
      <c r="E715">
        <v>7.5500000000000003E-4</v>
      </c>
      <c r="F715">
        <v>470414212</v>
      </c>
      <c r="G715">
        <v>0</v>
      </c>
      <c r="L715" t="s">
        <v>8</v>
      </c>
      <c r="M715" t="s">
        <v>8</v>
      </c>
      <c r="N715" t="s">
        <v>8</v>
      </c>
      <c r="P715">
        <f t="shared" si="999"/>
        <v>0.7746478873239443</v>
      </c>
      <c r="Q715">
        <f t="shared" si="1000"/>
        <v>364405375.49295807</v>
      </c>
      <c r="R715">
        <f t="shared" si="1001"/>
        <v>-1366412702.1365771</v>
      </c>
      <c r="S715">
        <f t="shared" si="1002"/>
        <v>-13664.127021365772</v>
      </c>
      <c r="T715">
        <f t="shared" si="1003"/>
        <v>-13.664127021365772</v>
      </c>
    </row>
    <row r="716" spans="1:20" x14ac:dyDescent="0.25">
      <c r="A716" s="5">
        <v>43874</v>
      </c>
      <c r="B716">
        <v>7.0200000000000004E-4</v>
      </c>
      <c r="C716">
        <v>7.2999999999999996E-4</v>
      </c>
      <c r="D716">
        <v>6.7299999999999999E-4</v>
      </c>
      <c r="E716">
        <v>6.9399999999999996E-4</v>
      </c>
      <c r="F716">
        <v>563099281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-0.26315789473684292</v>
      </c>
      <c r="Q716">
        <f t="shared" si="1000"/>
        <v>-148184021.31578994</v>
      </c>
      <c r="R716">
        <f t="shared" si="1001"/>
        <v>-1730818077.6295352</v>
      </c>
      <c r="S716">
        <f t="shared" si="1002"/>
        <v>-17308.18077629535</v>
      </c>
      <c r="T716">
        <f t="shared" si="1003"/>
        <v>-17.308180776295352</v>
      </c>
    </row>
    <row r="717" spans="1:20" x14ac:dyDescent="0.25">
      <c r="A717" s="5">
        <v>43873</v>
      </c>
      <c r="B717">
        <v>6.5899999999999997E-4</v>
      </c>
      <c r="C717">
        <v>7.3899999999999997E-4</v>
      </c>
      <c r="D717">
        <v>6.5899999999999997E-4</v>
      </c>
      <c r="E717">
        <v>7.0200000000000004E-4</v>
      </c>
      <c r="F717">
        <v>513887104</v>
      </c>
      <c r="G717">
        <v>0</v>
      </c>
      <c r="L717" t="s">
        <v>8</v>
      </c>
      <c r="M717" t="s">
        <v>7</v>
      </c>
      <c r="N717" t="s">
        <v>8</v>
      </c>
      <c r="P717">
        <f t="shared" si="999"/>
        <v>7.5000000000001829E-2</v>
      </c>
      <c r="Q717">
        <f t="shared" si="1000"/>
        <v>38541532.800000943</v>
      </c>
      <c r="R717">
        <f t="shared" si="1001"/>
        <v>-1582634056.3137453</v>
      </c>
      <c r="S717">
        <f t="shared" si="1002"/>
        <v>-15826.340563137454</v>
      </c>
      <c r="T717">
        <f t="shared" si="1003"/>
        <v>-15.826340563137453</v>
      </c>
    </row>
    <row r="718" spans="1:20" x14ac:dyDescent="0.25">
      <c r="A718" s="5">
        <v>43872</v>
      </c>
      <c r="B718">
        <v>6.4099999999999997E-4</v>
      </c>
      <c r="C718">
        <v>6.8000000000000005E-4</v>
      </c>
      <c r="D718">
        <v>6.29E-4</v>
      </c>
      <c r="E718">
        <v>6.6299999999999996E-4</v>
      </c>
      <c r="F718">
        <v>340988925</v>
      </c>
      <c r="G718">
        <v>0</v>
      </c>
      <c r="L718" t="s">
        <v>7</v>
      </c>
      <c r="M718" t="s">
        <v>7</v>
      </c>
      <c r="N718" t="s">
        <v>8</v>
      </c>
      <c r="P718">
        <f t="shared" si="999"/>
        <v>0.33333333333333048</v>
      </c>
      <c r="Q718">
        <f t="shared" si="1000"/>
        <v>113662974.99999903</v>
      </c>
      <c r="R718">
        <f t="shared" si="1001"/>
        <v>-1621175589.1137462</v>
      </c>
      <c r="S718">
        <f t="shared" si="1002"/>
        <v>-16211.755891137462</v>
      </c>
      <c r="T718">
        <f t="shared" si="1003"/>
        <v>-16.211755891137461</v>
      </c>
    </row>
    <row r="719" spans="1:20" x14ac:dyDescent="0.25">
      <c r="A719" s="5">
        <v>43871</v>
      </c>
      <c r="B719">
        <v>6.69E-4</v>
      </c>
      <c r="C719">
        <v>7.0399999999999998E-4</v>
      </c>
      <c r="D719">
        <v>6.2E-4</v>
      </c>
      <c r="E719">
        <v>6.4099999999999997E-4</v>
      </c>
      <c r="F719">
        <v>437004131</v>
      </c>
      <c r="G719">
        <v>0</v>
      </c>
      <c r="L719" t="s">
        <v>8</v>
      </c>
      <c r="M719" t="s">
        <v>7</v>
      </c>
      <c r="N719" t="s">
        <v>8</v>
      </c>
      <c r="P719">
        <f t="shared" si="999"/>
        <v>-0.50000000000000067</v>
      </c>
      <c r="Q719">
        <f t="shared" si="1000"/>
        <v>-218502065.5000003</v>
      </c>
      <c r="R719">
        <f t="shared" si="1001"/>
        <v>-1734838564.1137452</v>
      </c>
      <c r="S719">
        <f t="shared" si="1002"/>
        <v>-17348.385641137451</v>
      </c>
      <c r="T719">
        <f t="shared" si="1003"/>
        <v>-17.348385641137451</v>
      </c>
    </row>
    <row r="720" spans="1:20" x14ac:dyDescent="0.25">
      <c r="A720" s="5">
        <v>43870</v>
      </c>
      <c r="B720">
        <v>6.7299999999999999E-4</v>
      </c>
      <c r="C720">
        <v>7.2199999999999999E-4</v>
      </c>
      <c r="D720">
        <v>6.5099999999999999E-4</v>
      </c>
      <c r="E720">
        <v>6.69E-4</v>
      </c>
      <c r="F720">
        <v>604328764</v>
      </c>
      <c r="G720">
        <v>0</v>
      </c>
      <c r="L720" t="s">
        <v>7</v>
      </c>
      <c r="M720" t="s">
        <v>8</v>
      </c>
      <c r="N720" t="s">
        <v>8</v>
      </c>
      <c r="P720">
        <f t="shared" si="999"/>
        <v>-0.49295774647887308</v>
      </c>
      <c r="Q720">
        <f t="shared" si="1000"/>
        <v>-297908545.63380271</v>
      </c>
      <c r="R720">
        <f t="shared" si="1001"/>
        <v>-1516336498.613745</v>
      </c>
      <c r="S720">
        <f t="shared" si="1002"/>
        <v>-15163.364986137451</v>
      </c>
      <c r="T720">
        <f t="shared" si="1003"/>
        <v>-15.16336498613745</v>
      </c>
    </row>
    <row r="721" spans="1:20" x14ac:dyDescent="0.25">
      <c r="A721" s="5">
        <v>43869</v>
      </c>
      <c r="B721">
        <v>7.1000000000000002E-4</v>
      </c>
      <c r="C721">
        <v>7.1000000000000002E-4</v>
      </c>
      <c r="D721">
        <v>6.5399999999999996E-4</v>
      </c>
      <c r="E721">
        <v>6.7299999999999999E-4</v>
      </c>
      <c r="F721">
        <v>500689197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-0.32142857142857117</v>
      </c>
      <c r="Q721">
        <f t="shared" si="1000"/>
        <v>-160935813.32142845</v>
      </c>
      <c r="R721">
        <f t="shared" si="1001"/>
        <v>-1218427952.9799423</v>
      </c>
      <c r="S721">
        <f t="shared" si="1002"/>
        <v>-12184.279529799423</v>
      </c>
      <c r="T721">
        <f t="shared" si="1003"/>
        <v>-12.184279529799424</v>
      </c>
    </row>
    <row r="722" spans="1:20" x14ac:dyDescent="0.25">
      <c r="A722" s="5">
        <v>43868</v>
      </c>
      <c r="B722">
        <v>6.2100000000000002E-4</v>
      </c>
      <c r="C722">
        <v>7.5000000000000002E-4</v>
      </c>
      <c r="D722">
        <v>6.2100000000000002E-4</v>
      </c>
      <c r="E722">
        <v>7.1400000000000001E-4</v>
      </c>
      <c r="F722">
        <v>592855772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0.44186046511627891</v>
      </c>
      <c r="Q722">
        <f t="shared" si="1000"/>
        <v>261959527.1627906</v>
      </c>
      <c r="R722">
        <f t="shared" si="1001"/>
        <v>-1057492139.6585138</v>
      </c>
      <c r="S722">
        <f t="shared" si="1002"/>
        <v>-10574.921396585138</v>
      </c>
      <c r="T722">
        <f t="shared" si="1003"/>
        <v>-10.574921396585138</v>
      </c>
    </row>
    <row r="723" spans="1:20" x14ac:dyDescent="0.25">
      <c r="A723" s="5">
        <v>43867</v>
      </c>
      <c r="B723">
        <v>5.9900000000000003E-4</v>
      </c>
      <c r="C723">
        <v>6.3699999999999998E-4</v>
      </c>
      <c r="D723">
        <v>5.9299999999999999E-4</v>
      </c>
      <c r="E723">
        <v>6.2100000000000002E-4</v>
      </c>
      <c r="F723">
        <v>392100429</v>
      </c>
      <c r="G723">
        <v>0</v>
      </c>
      <c r="L723" t="s">
        <v>8</v>
      </c>
      <c r="M723" t="s">
        <v>8</v>
      </c>
      <c r="N723" t="s">
        <v>7</v>
      </c>
      <c r="P723">
        <f t="shared" si="999"/>
        <v>0.27272727272727454</v>
      </c>
      <c r="Q723">
        <f t="shared" si="1000"/>
        <v>106936480.63636434</v>
      </c>
      <c r="R723">
        <f t="shared" si="1001"/>
        <v>-1319451666.8213043</v>
      </c>
      <c r="S723">
        <f t="shared" si="1002"/>
        <v>-13194.516668213044</v>
      </c>
      <c r="T723">
        <f t="shared" si="1003"/>
        <v>-13.194516668213044</v>
      </c>
    </row>
    <row r="724" spans="1:20" x14ac:dyDescent="0.25">
      <c r="A724" s="5">
        <v>43866</v>
      </c>
      <c r="B724">
        <v>5.7499999999999999E-4</v>
      </c>
      <c r="C724">
        <v>6.4999999999999997E-4</v>
      </c>
      <c r="D724">
        <v>5.6400000000000005E-4</v>
      </c>
      <c r="E724">
        <v>5.9999999999999995E-4</v>
      </c>
      <c r="F724">
        <v>531027395</v>
      </c>
      <c r="G724">
        <v>0</v>
      </c>
      <c r="L724" t="s">
        <v>7</v>
      </c>
      <c r="M724" t="s">
        <v>8</v>
      </c>
      <c r="N724" t="s">
        <v>7</v>
      </c>
      <c r="P724">
        <f t="shared" si="999"/>
        <v>-0.1627906976744202</v>
      </c>
      <c r="Q724">
        <f t="shared" si="1000"/>
        <v>-86446320.116279915</v>
      </c>
      <c r="R724">
        <f t="shared" si="1001"/>
        <v>-1426388147.4576685</v>
      </c>
      <c r="S724">
        <f t="shared" si="1002"/>
        <v>-14263.881474576685</v>
      </c>
      <c r="T724">
        <f t="shared" si="1003"/>
        <v>-14.263881474576685</v>
      </c>
    </row>
    <row r="725" spans="1:20" x14ac:dyDescent="0.25">
      <c r="A725" s="5">
        <v>43865</v>
      </c>
      <c r="B725">
        <v>6.0300000000000002E-4</v>
      </c>
      <c r="C725">
        <v>6.6E-4</v>
      </c>
      <c r="D725">
        <v>5.5000000000000003E-4</v>
      </c>
      <c r="E725">
        <v>5.7600000000000001E-4</v>
      </c>
      <c r="F725">
        <v>643175268</v>
      </c>
      <c r="G725">
        <v>0</v>
      </c>
      <c r="L725" t="s">
        <v>8</v>
      </c>
      <c r="M725" t="s">
        <v>8</v>
      </c>
      <c r="N725" t="s">
        <v>7</v>
      </c>
      <c r="P725">
        <f t="shared" si="999"/>
        <v>-0.52727272727272745</v>
      </c>
      <c r="Q725">
        <f t="shared" si="1000"/>
        <v>-339128777.67272741</v>
      </c>
      <c r="R725">
        <f t="shared" si="1001"/>
        <v>-1339941827.3413887</v>
      </c>
      <c r="S725">
        <f t="shared" si="1002"/>
        <v>-13399.418273413887</v>
      </c>
      <c r="T725">
        <f t="shared" si="1003"/>
        <v>-13.399418273413886</v>
      </c>
    </row>
    <row r="726" spans="1:20" x14ac:dyDescent="0.25">
      <c r="A726" s="5">
        <v>43864</v>
      </c>
      <c r="B726">
        <v>5.1099999999999995E-4</v>
      </c>
      <c r="C726">
        <v>6.3299999999999999E-4</v>
      </c>
      <c r="D726">
        <v>4.9399999999999997E-4</v>
      </c>
      <c r="E726">
        <v>6.0400000000000004E-4</v>
      </c>
      <c r="F726">
        <v>597645663</v>
      </c>
      <c r="G726">
        <v>0</v>
      </c>
      <c r="L726" t="s">
        <v>7</v>
      </c>
      <c r="M726" t="s">
        <v>8</v>
      </c>
      <c r="N726" t="s">
        <v>7</v>
      </c>
      <c r="P726">
        <f t="shared" si="999"/>
        <v>0.58273381294964111</v>
      </c>
      <c r="Q726">
        <f t="shared" si="1000"/>
        <v>348268335.99280626</v>
      </c>
      <c r="R726">
        <f t="shared" si="1001"/>
        <v>-1000813049.6686614</v>
      </c>
      <c r="S726">
        <f t="shared" si="1002"/>
        <v>-10008.130496686614</v>
      </c>
      <c r="T726">
        <f t="shared" si="1003"/>
        <v>-10.008130496686613</v>
      </c>
    </row>
    <row r="727" spans="1:20" x14ac:dyDescent="0.25">
      <c r="A727" s="5">
        <v>43863</v>
      </c>
      <c r="B727">
        <v>5.0600000000000005E-4</v>
      </c>
      <c r="C727">
        <v>5.1900000000000004E-4</v>
      </c>
      <c r="D727">
        <v>5.0299999999999997E-4</v>
      </c>
      <c r="E727">
        <v>5.1099999999999995E-4</v>
      </c>
      <c r="F727">
        <v>345982859</v>
      </c>
      <c r="G727">
        <v>0</v>
      </c>
      <c r="L727" t="s">
        <v>8</v>
      </c>
      <c r="M727" t="s">
        <v>7</v>
      </c>
      <c r="N727" t="s">
        <v>7</v>
      </c>
      <c r="P727">
        <f t="shared" si="999"/>
        <v>-6.7762635780343759E-15</v>
      </c>
      <c r="Q727">
        <f t="shared" si="1000"/>
        <v>-2.3444710460659029E-6</v>
      </c>
      <c r="R727">
        <f t="shared" si="1001"/>
        <v>-1349081385.6614676</v>
      </c>
      <c r="S727">
        <f t="shared" si="1002"/>
        <v>-13490.813856614675</v>
      </c>
      <c r="T727">
        <f t="shared" si="1003"/>
        <v>-13.490813856614675</v>
      </c>
    </row>
    <row r="728" spans="1:20" x14ac:dyDescent="0.25">
      <c r="A728" s="5">
        <v>43862</v>
      </c>
      <c r="B728">
        <v>4.9899999999999999E-4</v>
      </c>
      <c r="C728">
        <v>5.2499999999999997E-4</v>
      </c>
      <c r="D728">
        <v>4.9700000000000005E-4</v>
      </c>
      <c r="E728">
        <v>5.13E-4</v>
      </c>
      <c r="F728">
        <v>304500358</v>
      </c>
      <c r="G728">
        <v>0</v>
      </c>
      <c r="L728" t="s">
        <v>7</v>
      </c>
      <c r="M728" t="s">
        <v>7</v>
      </c>
      <c r="N728" t="s">
        <v>7</v>
      </c>
      <c r="P728">
        <f t="shared" si="999"/>
        <v>0.14285714285714285</v>
      </c>
      <c r="Q728">
        <f t="shared" si="1000"/>
        <v>43500051.142857142</v>
      </c>
      <c r="R728">
        <f t="shared" si="1001"/>
        <v>-1349081385.6614652</v>
      </c>
      <c r="S728">
        <f t="shared" si="1002"/>
        <v>-13490.813856614652</v>
      </c>
      <c r="T728">
        <f t="shared" si="1003"/>
        <v>-13.490813856614652</v>
      </c>
    </row>
    <row r="729" spans="1:20" x14ac:dyDescent="0.25">
      <c r="A729" s="5">
        <v>43861</v>
      </c>
      <c r="B729">
        <v>4.95E-4</v>
      </c>
      <c r="C729">
        <v>5.1099999999999995E-4</v>
      </c>
      <c r="D729">
        <v>4.8700000000000002E-4</v>
      </c>
      <c r="E729">
        <v>4.9700000000000005E-4</v>
      </c>
      <c r="F729">
        <v>267109501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-0.16666666666666216</v>
      </c>
      <c r="Q729">
        <f t="shared" si="1000"/>
        <v>-44518250.166665465</v>
      </c>
      <c r="R729">
        <f t="shared" si="1001"/>
        <v>-1392581436.8043222</v>
      </c>
      <c r="S729">
        <f t="shared" si="1002"/>
        <v>-13925.814368043222</v>
      </c>
      <c r="T729">
        <f t="shared" si="1003"/>
        <v>-13.925814368043222</v>
      </c>
    </row>
    <row r="730" spans="1:20" x14ac:dyDescent="0.25">
      <c r="A730" s="5">
        <v>43860</v>
      </c>
      <c r="B730">
        <v>5.0199999999999995E-4</v>
      </c>
      <c r="C730">
        <v>5.1500000000000005E-4</v>
      </c>
      <c r="D730">
        <v>4.9100000000000001E-4</v>
      </c>
      <c r="E730">
        <v>4.9200000000000003E-4</v>
      </c>
      <c r="F730">
        <v>274124176</v>
      </c>
      <c r="G730">
        <v>0</v>
      </c>
      <c r="L730" t="s">
        <v>7</v>
      </c>
      <c r="M730" t="s">
        <v>7</v>
      </c>
      <c r="N730" t="s">
        <v>7</v>
      </c>
      <c r="P730">
        <f t="shared" si="999"/>
        <v>-0.91666666666666474</v>
      </c>
      <c r="Q730">
        <f t="shared" si="1000"/>
        <v>-251280494.66666615</v>
      </c>
      <c r="R730">
        <f t="shared" si="1001"/>
        <v>-1348063186.6376567</v>
      </c>
      <c r="S730">
        <f t="shared" si="1002"/>
        <v>-13480.631866376567</v>
      </c>
      <c r="T730">
        <f t="shared" si="1003"/>
        <v>-13.480631866376568</v>
      </c>
    </row>
    <row r="731" spans="1:20" x14ac:dyDescent="0.25">
      <c r="A731" s="5">
        <v>43859</v>
      </c>
      <c r="B731">
        <v>5.3399999999999997E-4</v>
      </c>
      <c r="C731">
        <v>5.3399999999999997E-4</v>
      </c>
      <c r="D731">
        <v>5.0199999999999995E-4</v>
      </c>
      <c r="E731">
        <v>5.0299999999999997E-4</v>
      </c>
      <c r="F731">
        <v>251309080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-0.93749999999999856</v>
      </c>
      <c r="Q731">
        <f t="shared" si="1000"/>
        <v>-235602262.49999964</v>
      </c>
      <c r="R731">
        <f t="shared" si="1001"/>
        <v>-1096782691.9709907</v>
      </c>
      <c r="S731">
        <f t="shared" si="1002"/>
        <v>-10967.826919709907</v>
      </c>
      <c r="T731">
        <f t="shared" si="1003"/>
        <v>-10.967826919709907</v>
      </c>
    </row>
    <row r="732" spans="1:20" x14ac:dyDescent="0.25">
      <c r="A732" s="5">
        <v>43858</v>
      </c>
      <c r="B732">
        <v>5.4299999999999997E-4</v>
      </c>
      <c r="C732">
        <v>5.5699999999999999E-4</v>
      </c>
      <c r="D732">
        <v>5.2899999999999996E-4</v>
      </c>
      <c r="E732">
        <v>5.3399999999999997E-4</v>
      </c>
      <c r="F732">
        <v>118891192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-0.64285714285714235</v>
      </c>
      <c r="Q732">
        <f t="shared" si="1000"/>
        <v>-76430051.99999994</v>
      </c>
      <c r="R732">
        <f t="shared" si="1001"/>
        <v>-861180429.47099113</v>
      </c>
      <c r="S732">
        <f t="shared" si="1002"/>
        <v>-8611.8042947099111</v>
      </c>
      <c r="T732">
        <f t="shared" si="1003"/>
        <v>-8.6118042947099109</v>
      </c>
    </row>
    <row r="733" spans="1:20" x14ac:dyDescent="0.25">
      <c r="A733" s="5">
        <v>43857</v>
      </c>
      <c r="B733">
        <v>5.3600000000000002E-4</v>
      </c>
      <c r="C733">
        <v>5.44E-4</v>
      </c>
      <c r="D733">
        <v>5.2999999999999998E-4</v>
      </c>
      <c r="E733">
        <v>5.4299999999999997E-4</v>
      </c>
      <c r="F733">
        <v>146418899</v>
      </c>
      <c r="G733">
        <v>0</v>
      </c>
      <c r="L733" t="s">
        <v>8</v>
      </c>
      <c r="M733" t="s">
        <v>7</v>
      </c>
      <c r="N733" t="s">
        <v>7</v>
      </c>
      <c r="P733">
        <f t="shared" si="999"/>
        <v>0.85714285714285388</v>
      </c>
      <c r="Q733">
        <f t="shared" si="1000"/>
        <v>125501913.42857096</v>
      </c>
      <c r="R733">
        <f t="shared" si="1001"/>
        <v>-784750377.47099125</v>
      </c>
      <c r="S733">
        <f t="shared" si="1002"/>
        <v>-7847.5037747099122</v>
      </c>
      <c r="T733">
        <f t="shared" si="1003"/>
        <v>-7.8475037747099119</v>
      </c>
    </row>
    <row r="734" spans="1:20" x14ac:dyDescent="0.25">
      <c r="A734" s="5">
        <v>43856</v>
      </c>
      <c r="B734">
        <v>5.3899999999999998E-4</v>
      </c>
      <c r="C734">
        <v>5.4299999999999997E-4</v>
      </c>
      <c r="D734">
        <v>5.31E-4</v>
      </c>
      <c r="E734">
        <v>5.3600000000000002E-4</v>
      </c>
      <c r="F734">
        <v>77093116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-0.16666666666666216</v>
      </c>
      <c r="Q734">
        <f t="shared" si="1000"/>
        <v>-12848852.66666632</v>
      </c>
      <c r="R734">
        <f t="shared" si="1001"/>
        <v>-910252290.89956224</v>
      </c>
      <c r="S734">
        <f t="shared" si="1002"/>
        <v>-9102.5229089956229</v>
      </c>
      <c r="T734">
        <f t="shared" si="1003"/>
        <v>-9.1025229089956223</v>
      </c>
    </row>
    <row r="735" spans="1:20" x14ac:dyDescent="0.25">
      <c r="A735" s="5">
        <v>43855</v>
      </c>
      <c r="B735">
        <v>5.4199999999999995E-4</v>
      </c>
      <c r="C735">
        <v>5.44E-4</v>
      </c>
      <c r="D735">
        <v>5.2300000000000003E-4</v>
      </c>
      <c r="E735">
        <v>5.3799999999999996E-4</v>
      </c>
      <c r="F735">
        <v>53344618</v>
      </c>
      <c r="G735">
        <v>0</v>
      </c>
      <c r="L735" t="s">
        <v>8</v>
      </c>
      <c r="M735" t="s">
        <v>7</v>
      </c>
      <c r="N735" t="s">
        <v>7</v>
      </c>
      <c r="P735">
        <f t="shared" si="999"/>
        <v>0.42857142857142416</v>
      </c>
      <c r="Q735">
        <f t="shared" si="1000"/>
        <v>22861979.142856907</v>
      </c>
      <c r="R735">
        <f t="shared" si="1001"/>
        <v>-897403438.23289597</v>
      </c>
      <c r="S735">
        <f t="shared" si="1002"/>
        <v>-8974.0343823289604</v>
      </c>
      <c r="T735">
        <f t="shared" si="1003"/>
        <v>-8.974034382328961</v>
      </c>
    </row>
    <row r="736" spans="1:20" x14ac:dyDescent="0.25">
      <c r="A736" s="5">
        <v>43854</v>
      </c>
      <c r="B736">
        <v>5.3700000000000004E-4</v>
      </c>
      <c r="C736">
        <v>5.5199999999999997E-4</v>
      </c>
      <c r="D736">
        <v>5.22E-4</v>
      </c>
      <c r="E736">
        <v>5.4199999999999995E-4</v>
      </c>
      <c r="F736">
        <v>56998059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0.33333333333333093</v>
      </c>
      <c r="Q736">
        <f t="shared" si="1000"/>
        <v>18999352.999999862</v>
      </c>
      <c r="R736">
        <f t="shared" si="1001"/>
        <v>-920265417.37575293</v>
      </c>
      <c r="S736">
        <f t="shared" si="1002"/>
        <v>-9202.6541737575299</v>
      </c>
      <c r="T736">
        <f t="shared" si="1003"/>
        <v>-9.20265417375753</v>
      </c>
    </row>
    <row r="737" spans="1:20" x14ac:dyDescent="0.25">
      <c r="A737" s="5">
        <v>43853</v>
      </c>
      <c r="B737">
        <v>5.6099999999999998E-4</v>
      </c>
      <c r="C737">
        <v>5.62E-4</v>
      </c>
      <c r="D737">
        <v>5.2999999999999998E-4</v>
      </c>
      <c r="E737">
        <v>5.3899999999999998E-4</v>
      </c>
      <c r="F737">
        <v>497518074</v>
      </c>
      <c r="G737">
        <v>0</v>
      </c>
      <c r="L737" t="s">
        <v>8</v>
      </c>
      <c r="M737" t="s">
        <v>7</v>
      </c>
      <c r="N737" t="s">
        <v>7</v>
      </c>
      <c r="P737">
        <f t="shared" si="999"/>
        <v>-0.43750000000000022</v>
      </c>
      <c r="Q737">
        <f t="shared" si="1000"/>
        <v>-217664157.37500012</v>
      </c>
      <c r="R737">
        <f t="shared" si="1001"/>
        <v>-939264770.37575281</v>
      </c>
      <c r="S737">
        <f t="shared" si="1002"/>
        <v>-9392.6477037575278</v>
      </c>
      <c r="T737">
        <f t="shared" si="1003"/>
        <v>-9.3926477037575271</v>
      </c>
    </row>
    <row r="738" spans="1:20" x14ac:dyDescent="0.25">
      <c r="A738" s="5">
        <v>43852</v>
      </c>
      <c r="B738">
        <v>5.5900000000000004E-4</v>
      </c>
      <c r="C738">
        <v>5.6899999999999995E-4</v>
      </c>
      <c r="D738">
        <v>5.5000000000000003E-4</v>
      </c>
      <c r="E738">
        <v>5.5999999999999995E-4</v>
      </c>
      <c r="F738">
        <v>221481205</v>
      </c>
      <c r="G738">
        <v>0</v>
      </c>
      <c r="L738" t="s">
        <v>7</v>
      </c>
      <c r="M738" t="s">
        <v>7</v>
      </c>
      <c r="N738" t="s">
        <v>7</v>
      </c>
      <c r="P738">
        <f t="shared" si="999"/>
        <v>5.2631578947364213E-2</v>
      </c>
      <c r="Q738">
        <f t="shared" si="1000"/>
        <v>11656905.526314858</v>
      </c>
      <c r="R738">
        <f t="shared" si="1001"/>
        <v>-721600613.00075269</v>
      </c>
      <c r="S738">
        <f t="shared" si="1002"/>
        <v>-7216.0061300075267</v>
      </c>
      <c r="T738">
        <f t="shared" si="1003"/>
        <v>-7.2160061300075267</v>
      </c>
    </row>
    <row r="739" spans="1:20" x14ac:dyDescent="0.25">
      <c r="A739" s="5">
        <v>43851</v>
      </c>
      <c r="B739">
        <v>5.5599999999999996E-4</v>
      </c>
      <c r="C739">
        <v>5.8900000000000001E-4</v>
      </c>
      <c r="D739">
        <v>5.4900000000000001E-4</v>
      </c>
      <c r="E739">
        <v>5.5900000000000004E-4</v>
      </c>
      <c r="F739">
        <v>367039536</v>
      </c>
      <c r="G739">
        <v>0</v>
      </c>
      <c r="L739" t="s">
        <v>8</v>
      </c>
      <c r="M739" t="s">
        <v>7</v>
      </c>
      <c r="N739" t="s">
        <v>7</v>
      </c>
      <c r="P739">
        <f t="shared" si="999"/>
        <v>-0.49999999999999867</v>
      </c>
      <c r="Q739">
        <f t="shared" si="1000"/>
        <v>-183519767.99999952</v>
      </c>
      <c r="R739">
        <f t="shared" si="1001"/>
        <v>-733257518.52706754</v>
      </c>
      <c r="S739">
        <f t="shared" si="1002"/>
        <v>-7332.5751852706753</v>
      </c>
      <c r="T739">
        <f t="shared" si="1003"/>
        <v>-7.3325751852706755</v>
      </c>
    </row>
    <row r="740" spans="1:20" x14ac:dyDescent="0.25">
      <c r="A740" s="5">
        <v>43850</v>
      </c>
      <c r="B740">
        <v>5.6300000000000002E-4</v>
      </c>
      <c r="C740">
        <v>5.6599999999999999E-4</v>
      </c>
      <c r="D740">
        <v>5.5400000000000002E-4</v>
      </c>
      <c r="E740">
        <v>5.5599999999999996E-4</v>
      </c>
      <c r="F740">
        <v>193736578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-0.66666666666667573</v>
      </c>
      <c r="Q740">
        <f t="shared" si="1000"/>
        <v>-129157718.66666843</v>
      </c>
      <c r="R740">
        <f t="shared" si="1001"/>
        <v>-549737750.52706802</v>
      </c>
      <c r="S740">
        <f t="shared" si="1002"/>
        <v>-5497.3775052706806</v>
      </c>
      <c r="T740">
        <f t="shared" si="1003"/>
        <v>-5.4973775052706806</v>
      </c>
    </row>
    <row r="741" spans="1:20" x14ac:dyDescent="0.25">
      <c r="A741" s="5">
        <v>43849</v>
      </c>
      <c r="B741">
        <v>5.9199999999999997E-4</v>
      </c>
      <c r="C741">
        <v>5.9500000000000004E-4</v>
      </c>
      <c r="D741">
        <v>5.4500000000000002E-4</v>
      </c>
      <c r="E741">
        <v>5.6499999999999996E-4</v>
      </c>
      <c r="F741">
        <v>168504357</v>
      </c>
      <c r="G741">
        <v>0</v>
      </c>
      <c r="L741" t="s">
        <v>8</v>
      </c>
      <c r="M741" t="s">
        <v>7</v>
      </c>
      <c r="N741" t="s">
        <v>7</v>
      </c>
      <c r="P741">
        <f t="shared" si="999"/>
        <v>-0.20000000000000259</v>
      </c>
      <c r="Q741">
        <f t="shared" si="1000"/>
        <v>-33700871.400000438</v>
      </c>
      <c r="R741">
        <f t="shared" si="1001"/>
        <v>-420580031.8603996</v>
      </c>
      <c r="S741">
        <f t="shared" si="1002"/>
        <v>-4205.8003186039959</v>
      </c>
      <c r="T741">
        <f t="shared" si="1003"/>
        <v>-4.2058003186039956</v>
      </c>
    </row>
    <row r="742" spans="1:20" x14ac:dyDescent="0.25">
      <c r="A742" s="5">
        <v>43848</v>
      </c>
      <c r="B742">
        <v>6.0800000000000003E-4</v>
      </c>
      <c r="C742">
        <v>6.29E-4</v>
      </c>
      <c r="D742">
        <v>5.7600000000000001E-4</v>
      </c>
      <c r="E742">
        <v>5.9599999999999996E-4</v>
      </c>
      <c r="F742">
        <v>321394343</v>
      </c>
      <c r="G742">
        <v>0</v>
      </c>
      <c r="L742" t="s">
        <v>7</v>
      </c>
      <c r="M742" t="s">
        <v>8</v>
      </c>
      <c r="N742" t="s">
        <v>7</v>
      </c>
      <c r="P742">
        <f t="shared" si="999"/>
        <v>-0.24528301886792644</v>
      </c>
      <c r="Q742">
        <f t="shared" si="1000"/>
        <v>-78832574.698113829</v>
      </c>
      <c r="R742">
        <f t="shared" si="1001"/>
        <v>-386879160.46039915</v>
      </c>
      <c r="S742">
        <f t="shared" si="1002"/>
        <v>-3868.7916046039913</v>
      </c>
      <c r="T742">
        <f t="shared" si="1003"/>
        <v>-3.8687916046039912</v>
      </c>
    </row>
    <row r="743" spans="1:20" x14ac:dyDescent="0.25">
      <c r="A743" s="5">
        <v>43847</v>
      </c>
      <c r="B743">
        <v>6.1399999999999996E-4</v>
      </c>
      <c r="C743">
        <v>6.29E-4</v>
      </c>
      <c r="D743">
        <v>5.9000000000000003E-4</v>
      </c>
      <c r="E743">
        <v>6.0899999999999995E-4</v>
      </c>
      <c r="F743">
        <v>316355865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-2.5641025641029061E-2</v>
      </c>
      <c r="Q743">
        <f t="shared" si="1000"/>
        <v>-8111688.8461549282</v>
      </c>
      <c r="R743">
        <f t="shared" si="1001"/>
        <v>-308046585.76228529</v>
      </c>
      <c r="S743">
        <f t="shared" si="1002"/>
        <v>-3080.465857622853</v>
      </c>
      <c r="T743">
        <f t="shared" si="1003"/>
        <v>-3.080465857622853</v>
      </c>
    </row>
    <row r="744" spans="1:20" x14ac:dyDescent="0.25">
      <c r="A744" s="5">
        <v>43846</v>
      </c>
      <c r="B744">
        <v>6.2500000000000001E-4</v>
      </c>
      <c r="C744">
        <v>6.3500000000000004E-4</v>
      </c>
      <c r="D744">
        <v>5.7799999999999995E-4</v>
      </c>
      <c r="E744">
        <v>6.1300000000000005E-4</v>
      </c>
      <c r="F744">
        <v>213794577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0.22807017543859789</v>
      </c>
      <c r="Q744">
        <f t="shared" si="1000"/>
        <v>48760166.684210829</v>
      </c>
      <c r="R744">
        <f t="shared" si="1001"/>
        <v>-299934896.91613036</v>
      </c>
      <c r="S744">
        <f t="shared" si="1002"/>
        <v>-2999.3489691613036</v>
      </c>
      <c r="T744">
        <f t="shared" si="1003"/>
        <v>-2.9993489691613036</v>
      </c>
    </row>
    <row r="745" spans="1:20" x14ac:dyDescent="0.25">
      <c r="A745" s="5">
        <v>43845</v>
      </c>
      <c r="B745">
        <v>5.6300000000000002E-4</v>
      </c>
      <c r="C745">
        <v>6.4999999999999997E-4</v>
      </c>
      <c r="D745">
        <v>5.5999999999999995E-4</v>
      </c>
      <c r="E745">
        <v>6.2200000000000005E-4</v>
      </c>
      <c r="F745">
        <v>444122358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0.37777777777777966</v>
      </c>
      <c r="Q745">
        <f t="shared" si="1000"/>
        <v>167779557.4666675</v>
      </c>
      <c r="R745">
        <f t="shared" si="1001"/>
        <v>-348695063.6003412</v>
      </c>
      <c r="S745">
        <f t="shared" si="1002"/>
        <v>-3486.950636003412</v>
      </c>
      <c r="T745">
        <f t="shared" si="1003"/>
        <v>-3.4869506360034119</v>
      </c>
    </row>
    <row r="746" spans="1:20" x14ac:dyDescent="0.25">
      <c r="A746" s="5">
        <v>43844</v>
      </c>
      <c r="B746">
        <v>5.6300000000000002E-4</v>
      </c>
      <c r="C746">
        <v>5.8500000000000002E-4</v>
      </c>
      <c r="D746">
        <v>5.3499999999999999E-4</v>
      </c>
      <c r="E746">
        <v>5.62E-4</v>
      </c>
      <c r="F746">
        <v>394311028</v>
      </c>
      <c r="G746">
        <v>0</v>
      </c>
      <c r="L746" t="s">
        <v>7</v>
      </c>
      <c r="M746" t="s">
        <v>7</v>
      </c>
      <c r="N746" t="s">
        <v>7</v>
      </c>
      <c r="P746">
        <f t="shared" si="999"/>
        <v>7.9999999999999738E-2</v>
      </c>
      <c r="Q746">
        <f t="shared" si="1000"/>
        <v>31544882.239999898</v>
      </c>
      <c r="R746">
        <f t="shared" si="1001"/>
        <v>-516474621.06700873</v>
      </c>
      <c r="S746">
        <f t="shared" si="1002"/>
        <v>-5164.7462106700877</v>
      </c>
      <c r="T746">
        <f t="shared" si="1003"/>
        <v>-5.1647462106700877</v>
      </c>
    </row>
    <row r="747" spans="1:20" x14ac:dyDescent="0.25">
      <c r="A747" s="5">
        <v>43843</v>
      </c>
      <c r="B747">
        <v>5.7600000000000001E-4</v>
      </c>
      <c r="C747">
        <v>5.7700000000000004E-4</v>
      </c>
      <c r="D747">
        <v>5.5500000000000005E-4</v>
      </c>
      <c r="E747">
        <v>5.62E-4</v>
      </c>
      <c r="F747">
        <v>308707259</v>
      </c>
      <c r="G747">
        <v>0</v>
      </c>
      <c r="L747" t="s">
        <v>8</v>
      </c>
      <c r="M747" t="s">
        <v>7</v>
      </c>
      <c r="N747" t="s">
        <v>7</v>
      </c>
      <c r="P747">
        <f t="shared" si="999"/>
        <v>-0.36363636363636764</v>
      </c>
      <c r="Q747">
        <f t="shared" si="1000"/>
        <v>-112257185.09091033</v>
      </c>
      <c r="R747">
        <f t="shared" si="1001"/>
        <v>-548019503.30700862</v>
      </c>
      <c r="S747">
        <f t="shared" si="1002"/>
        <v>-5480.1950330700865</v>
      </c>
      <c r="T747">
        <f t="shared" si="1003"/>
        <v>-5.4801950330700864</v>
      </c>
    </row>
    <row r="748" spans="1:20" x14ac:dyDescent="0.25">
      <c r="A748" s="5">
        <v>43842</v>
      </c>
      <c r="B748">
        <v>5.7200000000000003E-4</v>
      </c>
      <c r="C748">
        <v>5.8100000000000003E-4</v>
      </c>
      <c r="D748">
        <v>5.5699999999999999E-4</v>
      </c>
      <c r="E748">
        <v>5.7600000000000001E-4</v>
      </c>
      <c r="F748">
        <v>287277780</v>
      </c>
      <c r="G748">
        <v>0</v>
      </c>
      <c r="L748" t="s">
        <v>7</v>
      </c>
      <c r="M748" t="s">
        <v>7</v>
      </c>
      <c r="N748" t="s">
        <v>7</v>
      </c>
      <c r="P748">
        <f t="shared" si="999"/>
        <v>0.58333333333333293</v>
      </c>
      <c r="Q748">
        <f t="shared" si="1000"/>
        <v>167578704.99999988</v>
      </c>
      <c r="R748">
        <f t="shared" si="1001"/>
        <v>-435762318.21609831</v>
      </c>
      <c r="S748">
        <f t="shared" si="1002"/>
        <v>-4357.6231821609827</v>
      </c>
      <c r="T748">
        <f t="shared" si="1003"/>
        <v>-4.3576231821609825</v>
      </c>
    </row>
    <row r="749" spans="1:20" x14ac:dyDescent="0.25">
      <c r="A749" s="5">
        <v>43841</v>
      </c>
      <c r="B749">
        <v>5.7600000000000001E-4</v>
      </c>
      <c r="C749">
        <v>5.8500000000000002E-4</v>
      </c>
      <c r="D749">
        <v>5.6700000000000001E-4</v>
      </c>
      <c r="E749">
        <v>5.7300000000000005E-4</v>
      </c>
      <c r="F749">
        <v>52591139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-0.33333333333332932</v>
      </c>
      <c r="Q749">
        <f t="shared" si="1000"/>
        <v>-17530379.666666456</v>
      </c>
      <c r="R749">
        <f t="shared" si="1001"/>
        <v>-603341023.21609819</v>
      </c>
      <c r="S749">
        <f t="shared" si="1002"/>
        <v>-6033.4102321609816</v>
      </c>
      <c r="T749">
        <f t="shared" si="1003"/>
        <v>-6.0334102321609819</v>
      </c>
    </row>
    <row r="750" spans="1:20" x14ac:dyDescent="0.25">
      <c r="A750" s="5">
        <v>43840</v>
      </c>
      <c r="B750">
        <v>5.53E-4</v>
      </c>
      <c r="C750">
        <v>5.7499999999999999E-4</v>
      </c>
      <c r="D750">
        <v>5.4000000000000001E-4</v>
      </c>
      <c r="E750">
        <v>5.7499999999999999E-4</v>
      </c>
      <c r="F750">
        <v>232225637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1</v>
      </c>
      <c r="Q750">
        <f t="shared" si="1000"/>
        <v>232225637</v>
      </c>
      <c r="R750">
        <f t="shared" si="1001"/>
        <v>-585810643.54943168</v>
      </c>
      <c r="S750">
        <f t="shared" si="1002"/>
        <v>-5858.1064354943164</v>
      </c>
      <c r="T750">
        <f t="shared" si="1003"/>
        <v>-5.8581064354943164</v>
      </c>
    </row>
    <row r="751" spans="1:20" x14ac:dyDescent="0.25">
      <c r="A751" s="5">
        <v>43839</v>
      </c>
      <c r="B751">
        <v>5.6800000000000004E-4</v>
      </c>
      <c r="C751">
        <v>5.6999999999999998E-4</v>
      </c>
      <c r="D751">
        <v>5.4799999999999998E-4</v>
      </c>
      <c r="E751">
        <v>5.5500000000000005E-4</v>
      </c>
      <c r="F751">
        <v>333013517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-0.36363636363635782</v>
      </c>
      <c r="Q751">
        <f t="shared" si="1000"/>
        <v>-121095824.36363442</v>
      </c>
      <c r="R751">
        <f t="shared" si="1001"/>
        <v>-818036280.54943168</v>
      </c>
      <c r="S751">
        <f t="shared" si="1002"/>
        <v>-8180.3628054943165</v>
      </c>
      <c r="T751">
        <f t="shared" si="1003"/>
        <v>-8.1803628054943172</v>
      </c>
    </row>
    <row r="752" spans="1:20" x14ac:dyDescent="0.25">
      <c r="A752" s="5">
        <v>43838</v>
      </c>
      <c r="B752">
        <v>5.8100000000000003E-4</v>
      </c>
      <c r="C752">
        <v>6.1899999999999998E-4</v>
      </c>
      <c r="D752">
        <v>5.5699999999999999E-4</v>
      </c>
      <c r="E752">
        <v>5.6899999999999995E-4</v>
      </c>
      <c r="F752">
        <v>392598411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-0.61290322580645262</v>
      </c>
      <c r="Q752">
        <f t="shared" si="1000"/>
        <v>-240624832.5483875</v>
      </c>
      <c r="R752">
        <f t="shared" si="1001"/>
        <v>-696940456.18579721</v>
      </c>
      <c r="S752">
        <f t="shared" si="1002"/>
        <v>-6969.4045618579721</v>
      </c>
      <c r="T752">
        <f t="shared" si="1003"/>
        <v>-6.9694045618579725</v>
      </c>
    </row>
    <row r="753" spans="1:20" x14ac:dyDescent="0.25">
      <c r="A753" s="5">
        <v>43837</v>
      </c>
      <c r="B753">
        <v>5.7799999999999995E-4</v>
      </c>
      <c r="C753">
        <v>6.1799999999999995E-4</v>
      </c>
      <c r="D753">
        <v>5.6999999999999998E-4</v>
      </c>
      <c r="E753">
        <v>5.8E-4</v>
      </c>
      <c r="F753">
        <v>494004672</v>
      </c>
      <c r="G753">
        <v>0</v>
      </c>
      <c r="L753" t="s">
        <v>8</v>
      </c>
      <c r="M753" t="s">
        <v>7</v>
      </c>
      <c r="N753" t="s">
        <v>7</v>
      </c>
      <c r="P753">
        <f t="shared" si="999"/>
        <v>-0.58333333333333204</v>
      </c>
      <c r="Q753">
        <f t="shared" si="1000"/>
        <v>-288169391.99999934</v>
      </c>
      <c r="R753">
        <f t="shared" si="1001"/>
        <v>-456315623.63740975</v>
      </c>
      <c r="S753">
        <f t="shared" si="1002"/>
        <v>-4563.1562363740977</v>
      </c>
      <c r="T753">
        <f t="shared" si="1003"/>
        <v>-4.5631562363740974</v>
      </c>
    </row>
    <row r="754" spans="1:20" x14ac:dyDescent="0.25">
      <c r="A754" s="5">
        <v>43836</v>
      </c>
      <c r="B754">
        <v>5.8E-4</v>
      </c>
      <c r="C754">
        <v>5.9299999999999999E-4</v>
      </c>
      <c r="D754">
        <v>5.6999999999999998E-4</v>
      </c>
      <c r="E754">
        <v>5.7799999999999995E-4</v>
      </c>
      <c r="F754">
        <v>446637995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-0.30434782608695898</v>
      </c>
      <c r="Q754">
        <f t="shared" si="1000"/>
        <v>-135933302.82608807</v>
      </c>
      <c r="R754">
        <f t="shared" si="1001"/>
        <v>-168146231.6374104</v>
      </c>
      <c r="S754">
        <f t="shared" si="1002"/>
        <v>-1681.4623163741039</v>
      </c>
      <c r="T754">
        <f t="shared" si="1003"/>
        <v>-1.6814623163741038</v>
      </c>
    </row>
    <row r="755" spans="1:20" x14ac:dyDescent="0.25">
      <c r="A755" s="5">
        <v>43835</v>
      </c>
      <c r="B755">
        <v>5.9100000000000005E-4</v>
      </c>
      <c r="C755">
        <v>6.0099999999999997E-4</v>
      </c>
      <c r="D755">
        <v>5.7499999999999999E-4</v>
      </c>
      <c r="E755">
        <v>5.8E-4</v>
      </c>
      <c r="F755">
        <v>121796419</v>
      </c>
      <c r="G755">
        <v>0</v>
      </c>
      <c r="L755" t="s">
        <v>8</v>
      </c>
      <c r="M755" t="s">
        <v>7</v>
      </c>
      <c r="N755" t="s">
        <v>7</v>
      </c>
      <c r="P755">
        <f t="shared" si="999"/>
        <v>-0.61538461538461409</v>
      </c>
      <c r="Q755">
        <f t="shared" si="1000"/>
        <v>-74951642.4615383</v>
      </c>
      <c r="R755">
        <f t="shared" si="1001"/>
        <v>-32212928.811322339</v>
      </c>
      <c r="S755">
        <f t="shared" si="1002"/>
        <v>-322.12928811322337</v>
      </c>
      <c r="T755">
        <f t="shared" si="1003"/>
        <v>-0.32212928811322339</v>
      </c>
    </row>
    <row r="756" spans="1:20" x14ac:dyDescent="0.25">
      <c r="A756" s="5">
        <v>43834</v>
      </c>
      <c r="B756">
        <v>5.8799999999999998E-4</v>
      </c>
      <c r="C756">
        <v>6.02E-4</v>
      </c>
      <c r="D756">
        <v>5.8E-4</v>
      </c>
      <c r="E756">
        <v>5.8900000000000001E-4</v>
      </c>
      <c r="F756">
        <v>324264559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-0.18181818181818138</v>
      </c>
      <c r="Q756">
        <f t="shared" si="1000"/>
        <v>-58957192.545454405</v>
      </c>
      <c r="R756">
        <f t="shared" si="1001"/>
        <v>42738713.650215961</v>
      </c>
      <c r="S756">
        <f t="shared" si="1002"/>
        <v>427.38713650215959</v>
      </c>
      <c r="T756">
        <f t="shared" si="1003"/>
        <v>0.42738713650215959</v>
      </c>
    </row>
    <row r="757" spans="1:20" x14ac:dyDescent="0.25">
      <c r="A757" s="5">
        <v>43833</v>
      </c>
      <c r="B757">
        <v>5.5099999999999995E-4</v>
      </c>
      <c r="C757">
        <v>5.9599999999999996E-4</v>
      </c>
      <c r="D757">
        <v>5.4100000000000003E-4</v>
      </c>
      <c r="E757">
        <v>5.8900000000000001E-4</v>
      </c>
      <c r="F757">
        <v>372237516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0.74545454545454681</v>
      </c>
      <c r="Q757">
        <f t="shared" si="1000"/>
        <v>277486148.29090959</v>
      </c>
      <c r="R757">
        <f t="shared" si="1001"/>
        <v>101695906.19567037</v>
      </c>
      <c r="S757">
        <f t="shared" si="1002"/>
        <v>1016.9590619567036</v>
      </c>
      <c r="T757">
        <f t="shared" si="1003"/>
        <v>1.0169590619567037</v>
      </c>
    </row>
    <row r="758" spans="1:20" x14ac:dyDescent="0.25">
      <c r="A758" s="5">
        <v>43832</v>
      </c>
      <c r="B758">
        <v>5.6599999999999999E-4</v>
      </c>
      <c r="C758">
        <v>5.8200000000000005E-4</v>
      </c>
      <c r="D758">
        <v>5.4000000000000001E-4</v>
      </c>
      <c r="E758">
        <v>5.5099999999999995E-4</v>
      </c>
      <c r="F758">
        <v>267799962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-0.47619047619047949</v>
      </c>
      <c r="Q758">
        <f t="shared" si="1000"/>
        <v>-127523791.42857231</v>
      </c>
      <c r="R758">
        <f t="shared" si="1001"/>
        <v>-175790242.09523922</v>
      </c>
      <c r="S758">
        <f t="shared" si="1002"/>
        <v>-1757.9024209523923</v>
      </c>
      <c r="T758">
        <f t="shared" si="1003"/>
        <v>-1.7579024209523924</v>
      </c>
    </row>
    <row r="759" spans="1:20" x14ac:dyDescent="0.25">
      <c r="A759" s="5">
        <v>43831</v>
      </c>
      <c r="B759">
        <v>5.71E-4</v>
      </c>
      <c r="C759">
        <v>5.9100000000000005E-4</v>
      </c>
      <c r="D759">
        <v>5.6400000000000005E-4</v>
      </c>
      <c r="E759">
        <v>5.6599999999999999E-4</v>
      </c>
      <c r="F759">
        <v>56660616</v>
      </c>
      <c r="G759">
        <v>0</v>
      </c>
      <c r="P759">
        <f t="shared" si="999"/>
        <v>-0.8518518518518563</v>
      </c>
      <c r="Q759">
        <f t="shared" si="1000"/>
        <v>-48266450.666666918</v>
      </c>
      <c r="R759">
        <f t="shared" si="1001"/>
        <v>-48266450.666666918</v>
      </c>
      <c r="S759">
        <f t="shared" si="1002"/>
        <v>-482.66450666666918</v>
      </c>
      <c r="T759">
        <f t="shared" si="1003"/>
        <v>-0.48266450666666916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WD584" sqref="WD58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$A$583</v>
      </c>
      <c r="D111" s="1" t="str">
        <f>ADDRESS(C121-1,D121,1,1)</f>
        <v>$WD$583</v>
      </c>
      <c r="E111"/>
    </row>
    <row r="112" spans="1:5" x14ac:dyDescent="0.25">
      <c r="A112" s="7">
        <v>12164.144957890772</v>
      </c>
      <c r="C112" s="1" t="str">
        <f>ADDRESS(C121,1,1,1)</f>
        <v>$A$584</v>
      </c>
      <c r="D112" s="1" t="str">
        <f>ADDRESS(C121,D121-1,1,1)</f>
        <v>$WC$584</v>
      </c>
      <c r="E112"/>
    </row>
    <row r="113" spans="1:5" x14ac:dyDescent="0.25">
      <c r="A113" s="7">
        <v>11925.63231165762</v>
      </c>
      <c r="C113" s="1" t="str">
        <f>ADDRESS(C121+1,1,1,1)</f>
        <v>$A$585</v>
      </c>
      <c r="D113" s="1" t="str">
        <f>ADDRESS(C121-1,D121+1,1,1)</f>
        <v>$WE$583</v>
      </c>
    </row>
    <row r="114" spans="1:5" x14ac:dyDescent="0.25">
      <c r="A114" s="7">
        <v>11691.796383978059</v>
      </c>
      <c r="C114" s="1" t="str">
        <f>ADDRESS(C121,D121,1,1)</f>
        <v>$WD$584</v>
      </c>
      <c r="D114" s="1" t="str">
        <f>ADDRESS(C121+1,D121+1,1,1)</f>
        <v>$WE$585</v>
      </c>
    </row>
    <row r="115" spans="1:5" x14ac:dyDescent="0.25">
      <c r="A115" s="7">
        <v>11462.545474488292</v>
      </c>
      <c r="C115" s="1" t="str">
        <f>ADDRESS(C121+1,D121,1,1)</f>
        <v>$WD$585</v>
      </c>
    </row>
    <row r="116" spans="1:5" x14ac:dyDescent="0.25">
      <c r="A116" s="7">
        <v>11237.789680870874</v>
      </c>
      <c r="C116" s="1">
        <f>C117-1</f>
        <v>583</v>
      </c>
    </row>
    <row r="117" spans="1:5" x14ac:dyDescent="0.25">
      <c r="A117" s="7">
        <v>11017.440863598895</v>
      </c>
      <c r="C117" s="1">
        <f>C121</f>
        <v>584</v>
      </c>
      <c r="D117" s="1">
        <f>D121</f>
        <v>602</v>
      </c>
    </row>
    <row r="118" spans="1:5" x14ac:dyDescent="0.25">
      <c r="A118" s="7">
        <v>10801.412611371465</v>
      </c>
      <c r="C118" s="1">
        <f>C117+1</f>
        <v>585</v>
      </c>
      <c r="D118" s="1">
        <f>D117+1</f>
        <v>603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584</v>
      </c>
      <c r="D121" s="19">
        <v>602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R584</v>
      </c>
      <c r="D123" s="1" t="str">
        <f>"C"&amp;D121</f>
        <v>C602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1.0612079999999999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68" x14ac:dyDescent="0.25">
      <c r="A481" s="7">
        <v>8.1586481992426112</v>
      </c>
      <c r="B481"/>
      <c r="C481"/>
      <c r="D481"/>
      <c r="E481"/>
    </row>
    <row r="482" spans="1:568" x14ac:dyDescent="0.25">
      <c r="A482" s="7">
        <v>7.9986747051398144</v>
      </c>
      <c r="B482"/>
      <c r="C482"/>
      <c r="D482"/>
      <c r="E482"/>
    </row>
    <row r="483" spans="1:568" x14ac:dyDescent="0.25">
      <c r="A483" s="7">
        <v>7.8418379462155041</v>
      </c>
      <c r="B483"/>
      <c r="C483"/>
      <c r="D483"/>
      <c r="E483"/>
    </row>
    <row r="484" spans="1:568" x14ac:dyDescent="0.25">
      <c r="A484" s="7">
        <v>7.688076417858337</v>
      </c>
      <c r="B484"/>
      <c r="C484"/>
      <c r="D484"/>
      <c r="E484"/>
    </row>
    <row r="485" spans="1:568" x14ac:dyDescent="0.25">
      <c r="A485" s="7">
        <v>7.5373298214297417</v>
      </c>
      <c r="B485"/>
      <c r="C485"/>
      <c r="D485"/>
      <c r="E485"/>
    </row>
    <row r="486" spans="1:568" x14ac:dyDescent="0.25">
      <c r="A486" s="7">
        <v>7.389539040617394</v>
      </c>
      <c r="B486"/>
      <c r="C486"/>
      <c r="D486"/>
      <c r="E486"/>
    </row>
    <row r="487" spans="1:568" x14ac:dyDescent="0.25">
      <c r="A487" s="7">
        <v>7.2446461182523469</v>
      </c>
      <c r="B487"/>
      <c r="C487"/>
      <c r="D487"/>
      <c r="E487"/>
    </row>
    <row r="488" spans="1:568" x14ac:dyDescent="0.25">
      <c r="A488" s="7">
        <v>7.1025942335807324</v>
      </c>
      <c r="B488"/>
      <c r="C488"/>
      <c r="D488"/>
      <c r="E488"/>
    </row>
    <row r="489" spans="1:568" x14ac:dyDescent="0.25">
      <c r="A489" s="7">
        <v>6.9633276799811101</v>
      </c>
      <c r="B489"/>
      <c r="C489"/>
      <c r="D489"/>
      <c r="E489"/>
    </row>
    <row r="490" spans="1:568" x14ac:dyDescent="0.25">
      <c r="A490" s="7">
        <v>6.8267918431187349</v>
      </c>
      <c r="B490"/>
      <c r="C490"/>
      <c r="D490"/>
      <c r="E490"/>
    </row>
    <row r="491" spans="1:568" x14ac:dyDescent="0.25">
      <c r="A491" s="7">
        <v>6.692933179528171</v>
      </c>
      <c r="B491"/>
      <c r="C491"/>
      <c r="D491"/>
      <c r="E491"/>
    </row>
    <row r="492" spans="1:568" x14ac:dyDescent="0.25">
      <c r="A492" s="7">
        <v>6.5616991956158541</v>
      </c>
      <c r="B492"/>
      <c r="C492"/>
      <c r="D492"/>
      <c r="E492"/>
    </row>
    <row r="493" spans="1:568" x14ac:dyDescent="0.25">
      <c r="A493" s="7">
        <v>6.4330384270743668</v>
      </c>
      <c r="B493"/>
      <c r="C493"/>
      <c r="D493"/>
      <c r="E493"/>
      <c r="UU493" s="27" t="s">
        <v>8</v>
      </c>
    </row>
    <row r="494" spans="1:568" x14ac:dyDescent="0.25">
      <c r="A494" s="7">
        <v>6.3069004187003594</v>
      </c>
      <c r="B494"/>
      <c r="C494"/>
      <c r="D494"/>
      <c r="E494"/>
      <c r="UU494" s="27" t="s">
        <v>8</v>
      </c>
      <c r="UV494" s="27" t="s">
        <v>7</v>
      </c>
    </row>
    <row r="495" spans="1:568" x14ac:dyDescent="0.25">
      <c r="A495" s="7">
        <v>6.1832357046081956</v>
      </c>
      <c r="B495"/>
      <c r="C495"/>
      <c r="D495"/>
      <c r="E495"/>
      <c r="UU495" s="27" t="s">
        <v>8</v>
      </c>
      <c r="UV495" s="27" t="s">
        <v>7</v>
      </c>
    </row>
    <row r="496" spans="1:568" x14ac:dyDescent="0.25">
      <c r="A496" s="7">
        <v>6.0619957888315641</v>
      </c>
      <c r="B496"/>
      <c r="C496"/>
      <c r="D496"/>
      <c r="E496"/>
      <c r="UU496" s="27" t="s">
        <v>8</v>
      </c>
      <c r="UV496" s="27" t="s">
        <v>7</v>
      </c>
    </row>
    <row r="497" spans="1:570" x14ac:dyDescent="0.25">
      <c r="A497" s="7">
        <v>5.9431331263054545</v>
      </c>
      <c r="B497"/>
      <c r="C497"/>
      <c r="D497"/>
      <c r="E497"/>
      <c r="UU497" s="27" t="s">
        <v>8</v>
      </c>
      <c r="UV497" s="27" t="s">
        <v>7</v>
      </c>
    </row>
    <row r="498" spans="1:570" x14ac:dyDescent="0.25">
      <c r="A498" s="7">
        <v>5.8266011042210337</v>
      </c>
      <c r="B498"/>
      <c r="C498"/>
      <c r="D498"/>
      <c r="E498"/>
      <c r="UU498" s="27" t="s">
        <v>8</v>
      </c>
      <c r="UV498" s="27" t="s">
        <v>7</v>
      </c>
    </row>
    <row r="499" spans="1:570" x14ac:dyDescent="0.25">
      <c r="A499" s="7">
        <v>5.7123540237461112</v>
      </c>
      <c r="B499"/>
      <c r="C499"/>
      <c r="D499"/>
      <c r="E499"/>
      <c r="UU499" s="27" t="s">
        <v>8</v>
      </c>
      <c r="UV499" s="27" t="s">
        <v>7</v>
      </c>
    </row>
    <row r="500" spans="1:570" x14ac:dyDescent="0.25">
      <c r="A500" s="7">
        <v>5.6003470821040304</v>
      </c>
      <c r="B500"/>
      <c r="C500"/>
      <c r="D500"/>
      <c r="E500"/>
      <c r="UU500" s="27" t="s">
        <v>8</v>
      </c>
      <c r="UV500" s="27" t="s">
        <v>7</v>
      </c>
    </row>
    <row r="501" spans="1:570" x14ac:dyDescent="0.25">
      <c r="A501" s="7">
        <v>5.4905363550039512</v>
      </c>
      <c r="B501"/>
      <c r="C501"/>
      <c r="D501"/>
      <c r="E501"/>
      <c r="UU501" s="27" t="s">
        <v>8</v>
      </c>
      <c r="UV501" s="27" t="s">
        <v>7</v>
      </c>
    </row>
    <row r="502" spans="1:570" x14ac:dyDescent="0.25">
      <c r="A502" s="7">
        <v>5.3828787794156385</v>
      </c>
      <c r="B502"/>
      <c r="C502"/>
      <c r="D502"/>
      <c r="E502"/>
      <c r="UU502" s="27" t="s">
        <v>8</v>
      </c>
      <c r="UV502" s="27" t="s">
        <v>7</v>
      </c>
    </row>
    <row r="503" spans="1:570" x14ac:dyDescent="0.25">
      <c r="A503" s="7">
        <v>5.2773321366819985</v>
      </c>
      <c r="B503"/>
      <c r="C503"/>
      <c r="D503"/>
      <c r="E503"/>
      <c r="UU503" s="27" t="s">
        <v>8</v>
      </c>
      <c r="UV503" s="27" t="s">
        <v>7</v>
      </c>
      <c r="UW503" s="27" t="s">
        <v>8</v>
      </c>
    </row>
    <row r="504" spans="1:570" x14ac:dyDescent="0.25">
      <c r="A504" s="7">
        <v>5.1738550359627435</v>
      </c>
      <c r="B504"/>
      <c r="C504"/>
      <c r="D504"/>
      <c r="E504"/>
      <c r="UU504" s="27" t="s">
        <v>8</v>
      </c>
      <c r="UV504" s="27" t="s">
        <v>7</v>
      </c>
      <c r="UW504" s="27" t="s">
        <v>8</v>
      </c>
      <c r="UX504" s="27" t="s">
        <v>7</v>
      </c>
    </row>
    <row r="505" spans="1:570" x14ac:dyDescent="0.25">
      <c r="A505" s="7">
        <v>5.07240689800269</v>
      </c>
      <c r="B505"/>
      <c r="C505"/>
      <c r="D505"/>
      <c r="E505"/>
      <c r="UU505" s="27" t="s">
        <v>8</v>
      </c>
      <c r="UV505" s="27" t="s">
        <v>7</v>
      </c>
      <c r="UW505" s="27" t="s">
        <v>8</v>
      </c>
      <c r="UX505" s="27" t="s">
        <v>7</v>
      </c>
    </row>
    <row r="506" spans="1:570" x14ac:dyDescent="0.25">
      <c r="A506" s="7">
        <v>4.9729479392183231</v>
      </c>
      <c r="B506"/>
      <c r="C506"/>
      <c r="D506"/>
      <c r="E506"/>
      <c r="UU506" s="27" t="s">
        <v>8</v>
      </c>
      <c r="UV506" s="27" t="s">
        <v>7</v>
      </c>
      <c r="UW506" s="27" t="s">
        <v>8</v>
      </c>
      <c r="UX506" s="27" t="s">
        <v>7</v>
      </c>
    </row>
    <row r="507" spans="1:570" x14ac:dyDescent="0.25">
      <c r="A507" s="7">
        <v>4.8754391560963954</v>
      </c>
      <c r="B507"/>
      <c r="C507"/>
      <c r="D507"/>
      <c r="E507"/>
      <c r="UU507" s="27" t="s">
        <v>8</v>
      </c>
      <c r="UV507" s="27" t="s">
        <v>7</v>
      </c>
      <c r="UW507" s="27" t="s">
        <v>8</v>
      </c>
      <c r="UX507" s="27" t="s">
        <v>7</v>
      </c>
    </row>
    <row r="508" spans="1:570" x14ac:dyDescent="0.25">
      <c r="A508" s="7">
        <v>4.7798423098984264</v>
      </c>
      <c r="B508"/>
      <c r="C508"/>
      <c r="D508"/>
      <c r="E508"/>
      <c r="UU508" s="27" t="s">
        <v>8</v>
      </c>
      <c r="UV508" s="27" t="s">
        <v>7</v>
      </c>
      <c r="UW508" s="27" t="s">
        <v>8</v>
      </c>
      <c r="UX508" s="27" t="s">
        <v>7</v>
      </c>
    </row>
    <row r="509" spans="1:570" x14ac:dyDescent="0.25">
      <c r="A509" s="7">
        <v>4.6861199116651235</v>
      </c>
      <c r="B509"/>
      <c r="C509"/>
      <c r="D509"/>
      <c r="E509"/>
      <c r="UU509" s="27" t="s">
        <v>8</v>
      </c>
      <c r="UV509" s="27" t="s">
        <v>7</v>
      </c>
      <c r="UW509" s="27" t="s">
        <v>8</v>
      </c>
      <c r="UX509" s="27" t="s">
        <v>7</v>
      </c>
    </row>
    <row r="510" spans="1:570" x14ac:dyDescent="0.25">
      <c r="A510" s="7">
        <v>4.5942352075148269</v>
      </c>
      <c r="B510"/>
      <c r="C510"/>
      <c r="D510"/>
      <c r="E510"/>
      <c r="UU510" s="27" t="s">
        <v>8</v>
      </c>
      <c r="UV510" s="27" t="s">
        <v>7</v>
      </c>
      <c r="UW510" s="27" t="s">
        <v>8</v>
      </c>
      <c r="UX510" s="27" t="s">
        <v>7</v>
      </c>
    </row>
    <row r="511" spans="1:570" x14ac:dyDescent="0.25">
      <c r="A511" s="7">
        <v>4.5041521642302227</v>
      </c>
      <c r="B511"/>
      <c r="C511"/>
      <c r="D511"/>
      <c r="E511"/>
      <c r="UU511" s="27" t="s">
        <v>8</v>
      </c>
      <c r="UV511" s="27" t="s">
        <v>7</v>
      </c>
      <c r="UW511" s="27" t="s">
        <v>8</v>
      </c>
      <c r="UX511" s="27" t="s">
        <v>7</v>
      </c>
    </row>
    <row r="512" spans="1:570" x14ac:dyDescent="0.25">
      <c r="A512" s="7">
        <v>4.4158354551276693</v>
      </c>
      <c r="B512"/>
      <c r="C512"/>
      <c r="D512"/>
      <c r="E512"/>
      <c r="UU512" s="27" t="s">
        <v>8</v>
      </c>
      <c r="UV512" s="27" t="s">
        <v>7</v>
      </c>
      <c r="UW512" s="27" t="s">
        <v>8</v>
      </c>
      <c r="UX512" s="27" t="s">
        <v>7</v>
      </c>
    </row>
    <row r="513" spans="1:575" x14ac:dyDescent="0.25">
      <c r="A513" s="7">
        <v>4.3292504462035977</v>
      </c>
      <c r="B513"/>
      <c r="C513"/>
      <c r="D513"/>
      <c r="E513"/>
      <c r="UU513" s="27" t="s">
        <v>8</v>
      </c>
      <c r="UV513" s="27" t="s">
        <v>7</v>
      </c>
      <c r="UW513" s="27" t="s">
        <v>8</v>
      </c>
      <c r="UX513" s="27" t="s">
        <v>7</v>
      </c>
      <c r="UY513" s="27" t="s">
        <v>8</v>
      </c>
    </row>
    <row r="514" spans="1:575" x14ac:dyDescent="0.25">
      <c r="A514" s="7">
        <v>4.2443631825525463</v>
      </c>
      <c r="B514"/>
      <c r="C514"/>
      <c r="D514"/>
      <c r="E514"/>
      <c r="UU514" s="27" t="s">
        <v>8</v>
      </c>
      <c r="UV514" s="27" t="s">
        <v>7</v>
      </c>
      <c r="UW514" s="27" t="s">
        <v>8</v>
      </c>
      <c r="UX514" s="27" t="s">
        <v>7</v>
      </c>
      <c r="UY514" s="27" t="s">
        <v>8</v>
      </c>
      <c r="UZ514" s="27" t="s">
        <v>7</v>
      </c>
    </row>
    <row r="515" spans="1:575" x14ac:dyDescent="0.25">
      <c r="A515" s="7">
        <v>4.1611403750515157</v>
      </c>
      <c r="B515"/>
      <c r="C515"/>
      <c r="D515"/>
      <c r="E515"/>
      <c r="UU515" s="27" t="s">
        <v>8</v>
      </c>
      <c r="UV515" s="27" t="s">
        <v>7</v>
      </c>
      <c r="UW515" s="27" t="s">
        <v>8</v>
      </c>
      <c r="UX515" s="27" t="s">
        <v>7</v>
      </c>
      <c r="UY515" s="27" t="s">
        <v>8</v>
      </c>
      <c r="UZ515" s="27" t="s">
        <v>7</v>
      </c>
    </row>
    <row r="516" spans="1:575" x14ac:dyDescent="0.25">
      <c r="A516" s="7">
        <v>4.0795493873054074</v>
      </c>
      <c r="B516"/>
      <c r="C516"/>
      <c r="D516"/>
      <c r="E516"/>
      <c r="UU516" s="27" t="s">
        <v>8</v>
      </c>
      <c r="UV516" s="27" t="s">
        <v>7</v>
      </c>
      <c r="UW516" s="27" t="s">
        <v>8</v>
      </c>
      <c r="UX516" s="27" t="s">
        <v>7</v>
      </c>
      <c r="UY516" s="27" t="s">
        <v>8</v>
      </c>
      <c r="UZ516" s="27" t="s">
        <v>7</v>
      </c>
    </row>
    <row r="517" spans="1:575" x14ac:dyDescent="0.25">
      <c r="A517" s="7">
        <v>3.9995582228484383</v>
      </c>
      <c r="B517"/>
      <c r="C517"/>
      <c r="D517"/>
      <c r="E517"/>
      <c r="UU517" s="27" t="s">
        <v>8</v>
      </c>
      <c r="UV517" s="27" t="s">
        <v>7</v>
      </c>
      <c r="UW517" s="27" t="s">
        <v>8</v>
      </c>
      <c r="UX517" s="27" t="s">
        <v>7</v>
      </c>
      <c r="UY517" s="27" t="s">
        <v>8</v>
      </c>
      <c r="UZ517" s="27" t="s">
        <v>7</v>
      </c>
    </row>
    <row r="518" spans="1:575" x14ac:dyDescent="0.25">
      <c r="A518" s="7">
        <v>3.9211355125965079</v>
      </c>
      <c r="B518"/>
      <c r="C518"/>
      <c r="D518"/>
      <c r="E518"/>
      <c r="UU518" s="27" t="s">
        <v>8</v>
      </c>
      <c r="UV518" s="27" t="s">
        <v>7</v>
      </c>
      <c r="UW518" s="27" t="s">
        <v>8</v>
      </c>
      <c r="UX518" s="27" t="s">
        <v>7</v>
      </c>
      <c r="UY518" s="27" t="s">
        <v>8</v>
      </c>
      <c r="UZ518" s="27" t="s">
        <v>7</v>
      </c>
    </row>
    <row r="519" spans="1:575" x14ac:dyDescent="0.25">
      <c r="A519" s="7">
        <v>3.844250502545596</v>
      </c>
      <c r="B519"/>
      <c r="C519"/>
      <c r="D519"/>
      <c r="E519"/>
      <c r="UU519" s="27" t="s">
        <v>8</v>
      </c>
      <c r="UV519" s="27" t="s">
        <v>7</v>
      </c>
      <c r="UW519" s="27" t="s">
        <v>8</v>
      </c>
      <c r="UX519" s="27" t="s">
        <v>7</v>
      </c>
      <c r="UY519" s="27" t="s">
        <v>8</v>
      </c>
      <c r="UZ519" s="27" t="s">
        <v>7</v>
      </c>
    </row>
    <row r="520" spans="1:575" x14ac:dyDescent="0.25">
      <c r="A520" s="7">
        <v>3.7688730417113687</v>
      </c>
      <c r="B520"/>
      <c r="C520"/>
      <c r="D520"/>
      <c r="E520"/>
      <c r="UU520" s="27" t="s">
        <v>8</v>
      </c>
      <c r="UV520" s="27" t="s">
        <v>7</v>
      </c>
      <c r="UW520" s="27" t="s">
        <v>8</v>
      </c>
      <c r="UX520" s="27" t="s">
        <v>7</v>
      </c>
      <c r="UY520" s="27" t="s">
        <v>8</v>
      </c>
      <c r="UZ520" s="27" t="s">
        <v>7</v>
      </c>
    </row>
    <row r="521" spans="1:575" x14ac:dyDescent="0.25">
      <c r="A521" s="7">
        <v>3.6949735703052635</v>
      </c>
      <c r="B521"/>
      <c r="C521"/>
      <c r="D521"/>
      <c r="E521"/>
      <c r="UU521" s="27" t="s">
        <v>8</v>
      </c>
      <c r="UV521" s="27" t="s">
        <v>7</v>
      </c>
      <c r="UW521" s="27" t="s">
        <v>8</v>
      </c>
      <c r="UX521" s="27" t="s">
        <v>7</v>
      </c>
      <c r="UY521" s="27" t="s">
        <v>8</v>
      </c>
      <c r="UZ521" s="27" t="s">
        <v>7</v>
      </c>
    </row>
    <row r="522" spans="1:575" x14ac:dyDescent="0.25">
      <c r="A522" s="7">
        <v>3.6225231081424152</v>
      </c>
      <c r="B522"/>
      <c r="C522"/>
      <c r="D522"/>
      <c r="E522"/>
      <c r="UU522" s="27" t="s">
        <v>8</v>
      </c>
      <c r="UV522" s="27" t="s">
        <v>7</v>
      </c>
      <c r="UW522" s="27" t="s">
        <v>8</v>
      </c>
      <c r="UX522" s="27" t="s">
        <v>7</v>
      </c>
      <c r="UY522" s="27" t="s">
        <v>8</v>
      </c>
      <c r="UZ522" s="27" t="s">
        <v>7</v>
      </c>
    </row>
    <row r="523" spans="1:575" x14ac:dyDescent="0.25">
      <c r="A523" s="7">
        <v>3.5514932432768775</v>
      </c>
      <c r="B523"/>
      <c r="C523"/>
      <c r="D523"/>
      <c r="E523"/>
      <c r="UU523" s="27" t="s">
        <v>8</v>
      </c>
      <c r="UV523" s="27" t="s">
        <v>7</v>
      </c>
      <c r="UW523" s="27" t="s">
        <v>8</v>
      </c>
      <c r="UX523" s="27" t="s">
        <v>7</v>
      </c>
      <c r="UY523" s="27" t="s">
        <v>8</v>
      </c>
      <c r="UZ523" s="27" t="s">
        <v>7</v>
      </c>
    </row>
    <row r="524" spans="1:575" x14ac:dyDescent="0.25">
      <c r="A524" s="7">
        <v>3.4818561208596837</v>
      </c>
      <c r="B524"/>
      <c r="C524"/>
      <c r="D524"/>
      <c r="E524"/>
      <c r="UU524" s="27" t="s">
        <v>8</v>
      </c>
      <c r="UV524" s="27" t="s">
        <v>7</v>
      </c>
      <c r="UW524" s="27" t="s">
        <v>8</v>
      </c>
      <c r="UX524" s="27" t="s">
        <v>7</v>
      </c>
      <c r="UY524" s="27" t="s">
        <v>8</v>
      </c>
      <c r="UZ524" s="27" t="s">
        <v>7</v>
      </c>
    </row>
    <row r="525" spans="1:575" x14ac:dyDescent="0.25">
      <c r="A525" s="7">
        <v>3.4135844322153761</v>
      </c>
      <c r="B525"/>
      <c r="C525"/>
      <c r="D525"/>
      <c r="E525"/>
      <c r="UU525" s="27" t="s">
        <v>8</v>
      </c>
      <c r="UV525" s="27" t="s">
        <v>7</v>
      </c>
      <c r="UW525" s="27" t="s">
        <v>8</v>
      </c>
      <c r="UX525" s="27" t="s">
        <v>7</v>
      </c>
      <c r="UY525" s="27" t="s">
        <v>8</v>
      </c>
      <c r="UZ525" s="27" t="s">
        <v>7</v>
      </c>
    </row>
    <row r="526" spans="1:575" x14ac:dyDescent="0.25">
      <c r="A526" s="7">
        <v>3.3466514041327216</v>
      </c>
      <c r="B526"/>
      <c r="C526"/>
      <c r="D526"/>
      <c r="E526"/>
      <c r="UU526" s="27" t="s">
        <v>8</v>
      </c>
      <c r="UV526" s="27" t="s">
        <v>7</v>
      </c>
      <c r="UW526" s="27" t="s">
        <v>8</v>
      </c>
      <c r="UX526" s="27" t="s">
        <v>7</v>
      </c>
      <c r="UY526" s="27" t="s">
        <v>8</v>
      </c>
      <c r="UZ526" s="27" t="s">
        <v>7</v>
      </c>
    </row>
    <row r="527" spans="1:575" x14ac:dyDescent="0.25">
      <c r="A527" s="7">
        <v>3.2810307883654133</v>
      </c>
      <c r="B527"/>
      <c r="C527"/>
      <c r="D527"/>
      <c r="E527"/>
      <c r="UU527" s="27" t="s">
        <v>8</v>
      </c>
      <c r="UV527" s="27" t="s">
        <v>7</v>
      </c>
      <c r="UW527" s="27" t="s">
        <v>8</v>
      </c>
      <c r="UX527" s="27" t="s">
        <v>7</v>
      </c>
      <c r="UY527" s="27" t="s">
        <v>8</v>
      </c>
      <c r="UZ527" s="27" t="s">
        <v>7</v>
      </c>
    </row>
    <row r="528" spans="1:575" x14ac:dyDescent="0.25">
      <c r="A528" s="7">
        <v>3.2166968513386403</v>
      </c>
      <c r="B528"/>
      <c r="C528"/>
      <c r="D528"/>
      <c r="E528"/>
      <c r="UU528" s="27" t="s">
        <v>8</v>
      </c>
      <c r="UV528" s="27" t="s">
        <v>7</v>
      </c>
      <c r="UW528" s="27" t="s">
        <v>8</v>
      </c>
      <c r="UX528" s="27" t="s">
        <v>7</v>
      </c>
      <c r="UY528" s="27" t="s">
        <v>8</v>
      </c>
      <c r="UZ528" s="27" t="s">
        <v>7</v>
      </c>
      <c r="VC528" s="27" t="s">
        <v>8</v>
      </c>
    </row>
    <row r="529" spans="1:592" x14ac:dyDescent="0.25">
      <c r="A529" s="7">
        <v>3.1536243640574906</v>
      </c>
      <c r="B529"/>
      <c r="C529"/>
      <c r="D529"/>
      <c r="E529"/>
      <c r="UU529" s="27" t="s">
        <v>8</v>
      </c>
      <c r="UV529" s="27" t="s">
        <v>7</v>
      </c>
      <c r="UW529" s="27" t="s">
        <v>8</v>
      </c>
      <c r="UX529" s="27" t="s">
        <v>7</v>
      </c>
      <c r="UZ529" s="27" t="s">
        <v>7</v>
      </c>
      <c r="VC529" s="27" t="s">
        <v>8</v>
      </c>
      <c r="VD529" s="27" t="s">
        <v>7</v>
      </c>
    </row>
    <row r="530" spans="1:592" x14ac:dyDescent="0.25">
      <c r="A530" s="7">
        <v>3.0917885922132262</v>
      </c>
      <c r="B530"/>
      <c r="C530"/>
      <c r="D530"/>
      <c r="E530"/>
      <c r="UU530" s="27" t="s">
        <v>8</v>
      </c>
      <c r="UV530" s="27" t="s">
        <v>7</v>
      </c>
      <c r="UW530" s="27" t="s">
        <v>8</v>
      </c>
      <c r="UZ530" s="27" t="s">
        <v>7</v>
      </c>
      <c r="VC530" s="27" t="s">
        <v>8</v>
      </c>
      <c r="VD530" s="27" t="s">
        <v>7</v>
      </c>
    </row>
    <row r="531" spans="1:592" x14ac:dyDescent="0.25">
      <c r="A531" s="7">
        <v>3.0311652864835552</v>
      </c>
      <c r="B531"/>
      <c r="C531"/>
      <c r="D531"/>
      <c r="E531"/>
      <c r="UU531" s="27" t="s">
        <v>8</v>
      </c>
      <c r="UV531" s="27" t="s">
        <v>7</v>
      </c>
      <c r="UW531" s="27" t="s">
        <v>8</v>
      </c>
      <c r="UZ531" s="27" t="s">
        <v>7</v>
      </c>
      <c r="VC531" s="27" t="s">
        <v>8</v>
      </c>
      <c r="VD531" s="27" t="s">
        <v>7</v>
      </c>
    </row>
    <row r="532" spans="1:592" x14ac:dyDescent="0.25">
      <c r="A532" s="7">
        <v>2.9717306730230932</v>
      </c>
      <c r="B532"/>
      <c r="C532"/>
      <c r="D532"/>
      <c r="E532"/>
      <c r="UU532" s="27" t="s">
        <v>8</v>
      </c>
      <c r="UV532" s="27" t="s">
        <v>7</v>
      </c>
      <c r="UW532" s="27" t="s">
        <v>8</v>
      </c>
      <c r="UZ532" s="27" t="s">
        <v>7</v>
      </c>
      <c r="VC532" s="27" t="s">
        <v>8</v>
      </c>
      <c r="VD532" s="27" t="s">
        <v>7</v>
      </c>
    </row>
    <row r="533" spans="1:592" x14ac:dyDescent="0.25">
      <c r="A533" s="7">
        <v>2.9134614441402875</v>
      </c>
      <c r="B533"/>
      <c r="C533"/>
      <c r="D533"/>
      <c r="E533"/>
      <c r="UU533" s="27" t="s">
        <v>8</v>
      </c>
      <c r="UV533" s="27" t="s">
        <v>7</v>
      </c>
      <c r="UW533" s="27" t="s">
        <v>8</v>
      </c>
      <c r="UZ533" s="27" t="s">
        <v>7</v>
      </c>
      <c r="VC533" s="27" t="s">
        <v>8</v>
      </c>
      <c r="VD533" s="27" t="s">
        <v>7</v>
      </c>
    </row>
    <row r="534" spans="1:592" x14ac:dyDescent="0.25">
      <c r="A534" s="7">
        <v>2.8563347491571447</v>
      </c>
      <c r="B534"/>
      <c r="C534"/>
      <c r="D534"/>
      <c r="E534"/>
      <c r="UU534" s="27" t="s">
        <v>8</v>
      </c>
      <c r="UV534" s="27" t="s">
        <v>7</v>
      </c>
      <c r="UW534" s="27" t="s">
        <v>8</v>
      </c>
      <c r="UZ534" s="27" t="s">
        <v>7</v>
      </c>
      <c r="VC534" s="27" t="s">
        <v>8</v>
      </c>
      <c r="VD534" s="27" t="s">
        <v>7</v>
      </c>
    </row>
    <row r="535" spans="1:592" x14ac:dyDescent="0.25">
      <c r="A535" s="7">
        <v>2.8003281854481812</v>
      </c>
      <c r="B535"/>
      <c r="C535"/>
      <c r="D535"/>
      <c r="E535"/>
      <c r="UU535" s="27" t="s">
        <v>8</v>
      </c>
      <c r="UV535" s="27" t="s">
        <v>7</v>
      </c>
      <c r="UW535" s="27" t="s">
        <v>8</v>
      </c>
      <c r="UZ535" s="27" t="s">
        <v>7</v>
      </c>
      <c r="VC535" s="27" t="s">
        <v>8</v>
      </c>
      <c r="VD535" s="27" t="s">
        <v>7</v>
      </c>
    </row>
    <row r="536" spans="1:592" x14ac:dyDescent="0.25">
      <c r="A536" s="7">
        <v>2.7454197896550796</v>
      </c>
      <c r="B536"/>
      <c r="C536"/>
      <c r="D536"/>
      <c r="E536"/>
      <c r="UU536" s="27" t="s">
        <v>8</v>
      </c>
      <c r="UV536" s="27" t="s">
        <v>7</v>
      </c>
      <c r="UW536" s="27" t="s">
        <v>8</v>
      </c>
      <c r="UZ536" s="27" t="s">
        <v>7</v>
      </c>
      <c r="VC536" s="27" t="s">
        <v>8</v>
      </c>
      <c r="VD536" s="27" t="s">
        <v>7</v>
      </c>
    </row>
    <row r="537" spans="1:592" x14ac:dyDescent="0.25">
      <c r="A537" s="7">
        <v>2.6915880290736074</v>
      </c>
      <c r="B537"/>
      <c r="C537"/>
      <c r="D537"/>
      <c r="E537"/>
      <c r="UU537" s="27" t="s">
        <v>8</v>
      </c>
      <c r="UV537" s="27" t="s">
        <v>7</v>
      </c>
      <c r="UW537" s="27" t="s">
        <v>8</v>
      </c>
      <c r="UZ537" s="27" t="s">
        <v>7</v>
      </c>
      <c r="VC537" s="27" t="s">
        <v>8</v>
      </c>
      <c r="VD537" s="27" t="s">
        <v>7</v>
      </c>
      <c r="VG537" s="27" t="s">
        <v>8</v>
      </c>
      <c r="VI537" s="27" t="s">
        <v>8</v>
      </c>
      <c r="VM537" s="27" t="s">
        <v>8</v>
      </c>
    </row>
    <row r="538" spans="1:592" x14ac:dyDescent="0.25">
      <c r="A538" s="7">
        <v>2.6388117932094191</v>
      </c>
      <c r="B538"/>
      <c r="C538"/>
      <c r="D538"/>
      <c r="E538"/>
      <c r="UU538" s="27" t="s">
        <v>8</v>
      </c>
      <c r="UV538" s="27" t="s">
        <v>7</v>
      </c>
      <c r="UZ538" s="27" t="s">
        <v>7</v>
      </c>
      <c r="VC538" s="27" t="s">
        <v>8</v>
      </c>
      <c r="VD538" s="27" t="s">
        <v>7</v>
      </c>
      <c r="VG538" s="27" t="s">
        <v>8</v>
      </c>
      <c r="VH538" s="27" t="s">
        <v>7</v>
      </c>
      <c r="VI538" s="27" t="s">
        <v>8</v>
      </c>
      <c r="VJ538" s="27" t="s">
        <v>7</v>
      </c>
      <c r="VM538" s="27" t="s">
        <v>8</v>
      </c>
      <c r="VN538" s="27" t="s">
        <v>7</v>
      </c>
    </row>
    <row r="539" spans="1:592" x14ac:dyDescent="0.25">
      <c r="A539" s="7">
        <v>2.5870703854994304</v>
      </c>
      <c r="B539"/>
      <c r="C539"/>
      <c r="D539"/>
      <c r="E539"/>
      <c r="UU539" s="27" t="s">
        <v>8</v>
      </c>
      <c r="UZ539" s="27" t="s">
        <v>7</v>
      </c>
      <c r="VC539" s="27" t="s">
        <v>8</v>
      </c>
      <c r="VD539" s="27" t="s">
        <v>7</v>
      </c>
      <c r="VG539" s="27" t="s">
        <v>8</v>
      </c>
      <c r="VH539" s="27" t="s">
        <v>7</v>
      </c>
      <c r="VI539" s="27" t="s">
        <v>8</v>
      </c>
      <c r="VJ539" s="27" t="s">
        <v>7</v>
      </c>
      <c r="VM539" s="27" t="s">
        <v>8</v>
      </c>
      <c r="VN539" s="27" t="s">
        <v>7</v>
      </c>
    </row>
    <row r="540" spans="1:592" x14ac:dyDescent="0.25">
      <c r="A540" s="7">
        <v>2.53634351519552</v>
      </c>
      <c r="B540"/>
      <c r="C540"/>
      <c r="D540"/>
      <c r="E540"/>
      <c r="UU540" s="27" t="s">
        <v>8</v>
      </c>
      <c r="UZ540" s="27" t="s">
        <v>7</v>
      </c>
      <c r="VA540" s="27" t="s">
        <v>8</v>
      </c>
      <c r="VC540" s="27" t="s">
        <v>8</v>
      </c>
      <c r="VD540" s="27" t="s">
        <v>7</v>
      </c>
      <c r="VG540" s="27" t="s">
        <v>8</v>
      </c>
      <c r="VH540" s="27" t="s">
        <v>7</v>
      </c>
      <c r="VI540" s="27" t="s">
        <v>8</v>
      </c>
      <c r="VJ540" s="27" t="s">
        <v>7</v>
      </c>
      <c r="VK540" s="27" t="s">
        <v>8</v>
      </c>
      <c r="VM540" s="27" t="s">
        <v>8</v>
      </c>
      <c r="VN540" s="27" t="s">
        <v>7</v>
      </c>
    </row>
    <row r="541" spans="1:592" x14ac:dyDescent="0.25">
      <c r="A541" s="7">
        <v>2.4866112894073726</v>
      </c>
      <c r="B541"/>
      <c r="C541"/>
      <c r="D541"/>
      <c r="E541"/>
      <c r="UU541" s="27" t="s">
        <v>8</v>
      </c>
      <c r="UZ541" s="27" t="s">
        <v>7</v>
      </c>
      <c r="VA541" s="27" t="s">
        <v>8</v>
      </c>
      <c r="VB541" s="27" t="s">
        <v>7</v>
      </c>
      <c r="VC541" s="27" t="s">
        <v>8</v>
      </c>
      <c r="VD541" s="27" t="s">
        <v>7</v>
      </c>
      <c r="VE541" s="27" t="s">
        <v>8</v>
      </c>
      <c r="VG541" s="27" t="s">
        <v>8</v>
      </c>
      <c r="VH541" s="27" t="s">
        <v>7</v>
      </c>
      <c r="VI541" s="27" t="s">
        <v>8</v>
      </c>
      <c r="VJ541" s="27" t="s">
        <v>7</v>
      </c>
      <c r="VK541" s="27" t="s">
        <v>8</v>
      </c>
      <c r="VL541" s="27" t="s">
        <v>7</v>
      </c>
      <c r="VM541" s="27" t="s">
        <v>8</v>
      </c>
      <c r="VN541" s="27" t="s">
        <v>7</v>
      </c>
      <c r="VO541" s="27" t="s">
        <v>8</v>
      </c>
    </row>
    <row r="542" spans="1:592" x14ac:dyDescent="0.25">
      <c r="A542" s="7">
        <v>2.4378542053013459</v>
      </c>
      <c r="B542"/>
      <c r="C542"/>
      <c r="D542"/>
      <c r="E542"/>
      <c r="UU542" s="27" t="s">
        <v>8</v>
      </c>
      <c r="UZ542" s="27" t="s">
        <v>7</v>
      </c>
      <c r="VA542" s="27" t="s">
        <v>8</v>
      </c>
      <c r="VB542" s="27" t="s">
        <v>7</v>
      </c>
      <c r="VC542" s="27" t="s">
        <v>8</v>
      </c>
      <c r="VD542" s="27" t="s">
        <v>7</v>
      </c>
      <c r="VE542" s="27" t="s">
        <v>8</v>
      </c>
      <c r="VF542" s="27" t="s">
        <v>7</v>
      </c>
      <c r="VG542" s="27" t="s">
        <v>8</v>
      </c>
      <c r="VH542" s="27" t="s">
        <v>7</v>
      </c>
      <c r="VI542" s="27" t="s">
        <v>8</v>
      </c>
      <c r="VJ542" s="27" t="s">
        <v>7</v>
      </c>
      <c r="VK542" s="27" t="s">
        <v>8</v>
      </c>
      <c r="VL542" s="27" t="s">
        <v>7</v>
      </c>
      <c r="VM542" s="27" t="s">
        <v>8</v>
      </c>
      <c r="VN542" s="27" t="s">
        <v>7</v>
      </c>
      <c r="VO542" s="27" t="s">
        <v>8</v>
      </c>
      <c r="VP542" s="27" t="s">
        <v>7</v>
      </c>
    </row>
    <row r="543" spans="1:592" x14ac:dyDescent="0.25">
      <c r="A543" s="7">
        <v>2.3900531424522997</v>
      </c>
      <c r="B543"/>
      <c r="C543"/>
      <c r="D543"/>
      <c r="E543"/>
      <c r="UU543" s="27" t="s">
        <v>8</v>
      </c>
      <c r="UZ543" s="27" t="s">
        <v>7</v>
      </c>
      <c r="VA543" s="27" t="s">
        <v>8</v>
      </c>
      <c r="VB543" s="27" t="s">
        <v>7</v>
      </c>
      <c r="VC543" s="27" t="s">
        <v>8</v>
      </c>
      <c r="VD543" s="27" t="s">
        <v>7</v>
      </c>
      <c r="VE543" s="27" t="s">
        <v>8</v>
      </c>
      <c r="VF543" s="27" t="s">
        <v>7</v>
      </c>
      <c r="VG543" s="27" t="s">
        <v>8</v>
      </c>
      <c r="VH543" s="27" t="s">
        <v>7</v>
      </c>
      <c r="VI543" s="27" t="s">
        <v>8</v>
      </c>
      <c r="VJ543" s="27" t="s">
        <v>7</v>
      </c>
      <c r="VK543" s="27" t="s">
        <v>8</v>
      </c>
      <c r="VL543" s="27" t="s">
        <v>7</v>
      </c>
      <c r="VM543" s="27" t="s">
        <v>8</v>
      </c>
      <c r="VN543" s="27" t="s">
        <v>7</v>
      </c>
      <c r="VO543" s="27" t="s">
        <v>8</v>
      </c>
      <c r="VP543" s="27" t="s">
        <v>7</v>
      </c>
      <c r="VS543" s="27" t="s">
        <v>8</v>
      </c>
    </row>
    <row r="544" spans="1:592" x14ac:dyDescent="0.25">
      <c r="A544" s="7">
        <v>2.343189355345392</v>
      </c>
      <c r="B544"/>
      <c r="C544"/>
      <c r="D544"/>
      <c r="E544"/>
      <c r="UU544" s="27" t="s">
        <v>8</v>
      </c>
      <c r="UZ544" s="27" t="s">
        <v>7</v>
      </c>
      <c r="VA544" s="27" t="s">
        <v>8</v>
      </c>
      <c r="VB544" s="27" t="s">
        <v>7</v>
      </c>
      <c r="VC544" s="27" t="s">
        <v>8</v>
      </c>
      <c r="VD544" s="27" t="s">
        <v>7</v>
      </c>
      <c r="VE544" s="27" t="s">
        <v>8</v>
      </c>
      <c r="VF544" s="27" t="s">
        <v>7</v>
      </c>
      <c r="VG544" s="27" t="s">
        <v>8</v>
      </c>
      <c r="VH544" s="27" t="s">
        <v>7</v>
      </c>
      <c r="VI544" s="27" t="s">
        <v>8</v>
      </c>
      <c r="VJ544" s="27" t="s">
        <v>7</v>
      </c>
      <c r="VK544" s="27" t="s">
        <v>8</v>
      </c>
      <c r="VL544" s="27" t="s">
        <v>7</v>
      </c>
      <c r="VM544" s="27" t="s">
        <v>8</v>
      </c>
      <c r="VN544" s="27" t="s">
        <v>7</v>
      </c>
      <c r="VO544" s="27" t="s">
        <v>8</v>
      </c>
      <c r="VP544" s="27" t="s">
        <v>7</v>
      </c>
      <c r="VS544" s="27" t="s">
        <v>8</v>
      </c>
      <c r="VT544" s="27" t="s">
        <v>7</v>
      </c>
    </row>
    <row r="545" spans="1:598" x14ac:dyDescent="0.25">
      <c r="A545" s="7">
        <v>2.2972444660248938</v>
      </c>
      <c r="B545"/>
      <c r="C545"/>
      <c r="D545"/>
      <c r="E545"/>
      <c r="UU545" s="27" t="s">
        <v>8</v>
      </c>
      <c r="UZ545" s="27" t="s">
        <v>7</v>
      </c>
      <c r="VA545" s="27" t="s">
        <v>8</v>
      </c>
      <c r="VB545" s="27" t="s">
        <v>7</v>
      </c>
      <c r="VC545" s="27" t="s">
        <v>8</v>
      </c>
      <c r="VD545" s="27" t="s">
        <v>7</v>
      </c>
      <c r="VE545" s="27" t="s">
        <v>8</v>
      </c>
      <c r="VF545" s="27" t="s">
        <v>7</v>
      </c>
      <c r="VG545" s="27" t="s">
        <v>8</v>
      </c>
      <c r="VH545" s="27" t="s">
        <v>7</v>
      </c>
      <c r="VI545" s="27" t="s">
        <v>8</v>
      </c>
      <c r="VJ545" s="27" t="s">
        <v>7</v>
      </c>
      <c r="VK545" s="27" t="s">
        <v>8</v>
      </c>
      <c r="VL545" s="27" t="s">
        <v>7</v>
      </c>
      <c r="VN545" s="27" t="s">
        <v>7</v>
      </c>
      <c r="VO545" s="27" t="s">
        <v>8</v>
      </c>
      <c r="VP545" s="27" t="s">
        <v>7</v>
      </c>
      <c r="VS545" s="27" t="s">
        <v>8</v>
      </c>
      <c r="VT545" s="27" t="s">
        <v>7</v>
      </c>
    </row>
    <row r="546" spans="1:598" x14ac:dyDescent="0.25">
      <c r="A546" s="7">
        <v>2.252200456887151</v>
      </c>
      <c r="B546"/>
      <c r="C546"/>
      <c r="D546"/>
      <c r="E546"/>
      <c r="UU546" s="27" t="s">
        <v>8</v>
      </c>
      <c r="UZ546" s="27" t="s">
        <v>7</v>
      </c>
      <c r="VA546" s="27" t="s">
        <v>8</v>
      </c>
      <c r="VB546" s="27" t="s">
        <v>7</v>
      </c>
      <c r="VC546" s="27" t="s">
        <v>8</v>
      </c>
      <c r="VD546" s="27" t="s">
        <v>7</v>
      </c>
      <c r="VE546" s="27" t="s">
        <v>8</v>
      </c>
      <c r="VF546" s="27" t="s">
        <v>7</v>
      </c>
      <c r="VG546" s="27" t="s">
        <v>8</v>
      </c>
      <c r="VH546" s="27" t="s">
        <v>7</v>
      </c>
      <c r="VI546" s="27" t="s">
        <v>8</v>
      </c>
      <c r="VJ546" s="27" t="s">
        <v>7</v>
      </c>
      <c r="VN546" s="27" t="s">
        <v>7</v>
      </c>
      <c r="VP546" s="27" t="s">
        <v>7</v>
      </c>
      <c r="VS546" s="27" t="s">
        <v>8</v>
      </c>
      <c r="VT546" s="27" t="s">
        <v>7</v>
      </c>
    </row>
    <row r="547" spans="1:598" x14ac:dyDescent="0.25">
      <c r="A547" s="7">
        <v>2.208039663614854</v>
      </c>
      <c r="B547"/>
      <c r="C547"/>
      <c r="D547"/>
      <c r="E547"/>
      <c r="UU547" s="27" t="s">
        <v>8</v>
      </c>
      <c r="UZ547" s="27" t="s">
        <v>7</v>
      </c>
      <c r="VA547" s="27" t="s">
        <v>8</v>
      </c>
      <c r="VB547" s="27" t="s">
        <v>7</v>
      </c>
      <c r="VC547" s="27" t="s">
        <v>8</v>
      </c>
      <c r="VD547" s="27" t="s">
        <v>7</v>
      </c>
      <c r="VE547" s="27" t="s">
        <v>8</v>
      </c>
      <c r="VF547" s="27" t="s">
        <v>7</v>
      </c>
      <c r="VG547" s="27" t="s">
        <v>8</v>
      </c>
      <c r="VH547" s="27" t="s">
        <v>7</v>
      </c>
      <c r="VI547" s="27" t="s">
        <v>8</v>
      </c>
      <c r="VP547" s="27" t="s">
        <v>7</v>
      </c>
      <c r="VS547" s="27" t="s">
        <v>8</v>
      </c>
      <c r="VT547" s="27" t="s">
        <v>7</v>
      </c>
    </row>
    <row r="548" spans="1:598" x14ac:dyDescent="0.25">
      <c r="A548" s="7">
        <v>2.1647447682498568</v>
      </c>
      <c r="B548"/>
      <c r="C548"/>
      <c r="D548"/>
      <c r="E548"/>
      <c r="UU548" s="27" t="s">
        <v>8</v>
      </c>
      <c r="UZ548" s="27" t="s">
        <v>7</v>
      </c>
      <c r="VA548" s="27" t="s">
        <v>8</v>
      </c>
      <c r="VB548" s="27" t="s">
        <v>7</v>
      </c>
      <c r="VC548" s="27" t="s">
        <v>8</v>
      </c>
      <c r="VD548" s="27" t="s">
        <v>7</v>
      </c>
      <c r="VE548" s="27" t="s">
        <v>8</v>
      </c>
      <c r="VF548" s="27" t="s">
        <v>7</v>
      </c>
      <c r="VG548" s="27" t="s">
        <v>8</v>
      </c>
      <c r="VH548" s="27" t="s">
        <v>7</v>
      </c>
      <c r="VI548" s="27" t="s">
        <v>8</v>
      </c>
      <c r="VP548" s="27" t="s">
        <v>7</v>
      </c>
      <c r="VQ548" s="27" t="s">
        <v>8</v>
      </c>
      <c r="VS548" s="27" t="s">
        <v>8</v>
      </c>
      <c r="VT548" s="27" t="s">
        <v>7</v>
      </c>
    </row>
    <row r="549" spans="1:598" x14ac:dyDescent="0.25">
      <c r="A549" s="7">
        <v>2.1222987924018204</v>
      </c>
      <c r="B549"/>
      <c r="C549"/>
      <c r="D549"/>
      <c r="E549"/>
      <c r="UU549" s="27" t="s">
        <v>8</v>
      </c>
      <c r="UZ549" s="27" t="s">
        <v>7</v>
      </c>
      <c r="VA549" s="27" t="s">
        <v>8</v>
      </c>
      <c r="VB549" s="27" t="s">
        <v>7</v>
      </c>
      <c r="VC549" s="27" t="s">
        <v>8</v>
      </c>
      <c r="VD549" s="27" t="s">
        <v>7</v>
      </c>
      <c r="VF549" s="27" t="s">
        <v>7</v>
      </c>
      <c r="VG549" s="27" t="s">
        <v>8</v>
      </c>
      <c r="VH549" s="27" t="s">
        <v>7</v>
      </c>
      <c r="VP549" s="27" t="s">
        <v>7</v>
      </c>
      <c r="VQ549" s="27" t="s">
        <v>8</v>
      </c>
      <c r="VR549" s="27" t="s">
        <v>7</v>
      </c>
      <c r="VS549" s="27" t="s">
        <v>8</v>
      </c>
      <c r="VT549" s="27" t="s">
        <v>7</v>
      </c>
    </row>
    <row r="550" spans="1:598" x14ac:dyDescent="0.25">
      <c r="A550" s="7">
        <v>2.0806850905900198</v>
      </c>
      <c r="B550"/>
      <c r="C550"/>
      <c r="D550"/>
      <c r="E550"/>
      <c r="UU550" s="27" t="s">
        <v>8</v>
      </c>
      <c r="UZ550" s="27" t="s">
        <v>7</v>
      </c>
      <c r="VA550" s="27" t="s">
        <v>8</v>
      </c>
      <c r="VB550" s="27" t="s">
        <v>7</v>
      </c>
      <c r="VC550" s="27" t="s">
        <v>8</v>
      </c>
      <c r="VF550" s="27" t="s">
        <v>7</v>
      </c>
      <c r="VG550" s="27" t="s">
        <v>8</v>
      </c>
      <c r="VP550" s="27" t="s">
        <v>7</v>
      </c>
      <c r="VQ550" s="27" t="s">
        <v>8</v>
      </c>
      <c r="VR550" s="27" t="s">
        <v>7</v>
      </c>
      <c r="VS550" s="27" t="s">
        <v>8</v>
      </c>
      <c r="VT550" s="27" t="s">
        <v>7</v>
      </c>
    </row>
    <row r="551" spans="1:598" x14ac:dyDescent="0.25">
      <c r="A551" s="7">
        <v>2.0398873437157055</v>
      </c>
      <c r="B551"/>
      <c r="C551"/>
      <c r="D551"/>
      <c r="E551"/>
      <c r="UU551" s="27" t="s">
        <v>8</v>
      </c>
      <c r="UZ551" s="27" t="s">
        <v>7</v>
      </c>
      <c r="VA551" s="27" t="s">
        <v>8</v>
      </c>
      <c r="VB551" s="27" t="s">
        <v>7</v>
      </c>
      <c r="VC551" s="27" t="s">
        <v>8</v>
      </c>
      <c r="VF551" s="27" t="s">
        <v>7</v>
      </c>
      <c r="VG551" s="27" t="s">
        <v>8</v>
      </c>
      <c r="VP551" s="27" t="s">
        <v>7</v>
      </c>
      <c r="VR551" s="27" t="s">
        <v>7</v>
      </c>
      <c r="VT551" s="27" t="s">
        <v>7</v>
      </c>
    </row>
    <row r="552" spans="1:598" x14ac:dyDescent="0.25">
      <c r="A552" s="7">
        <v>1.9998895526624565</v>
      </c>
      <c r="B552"/>
      <c r="C552"/>
      <c r="D552"/>
      <c r="E552"/>
      <c r="UU552" s="27" t="s">
        <v>8</v>
      </c>
      <c r="UZ552" s="27" t="s">
        <v>7</v>
      </c>
      <c r="VA552" s="27" t="s">
        <v>8</v>
      </c>
      <c r="VB552" s="27" t="s">
        <v>7</v>
      </c>
      <c r="VC552" s="27" t="s">
        <v>8</v>
      </c>
      <c r="VF552" s="27" t="s">
        <v>7</v>
      </c>
      <c r="VG552" s="27" t="s">
        <v>8</v>
      </c>
      <c r="VT552" s="27" t="s">
        <v>7</v>
      </c>
    </row>
    <row r="553" spans="1:598" x14ac:dyDescent="0.25">
      <c r="A553" s="7">
        <v>1.9606760320220162</v>
      </c>
      <c r="B553"/>
      <c r="C553"/>
      <c r="D553"/>
      <c r="E553"/>
      <c r="UU553" s="27" t="s">
        <v>8</v>
      </c>
      <c r="UZ553" s="27" t="s">
        <v>7</v>
      </c>
      <c r="VA553" s="27" t="s">
        <v>8</v>
      </c>
      <c r="VB553" s="27" t="s">
        <v>7</v>
      </c>
      <c r="VC553" s="27" t="s">
        <v>8</v>
      </c>
      <c r="VF553" s="27" t="s">
        <v>7</v>
      </c>
      <c r="VG553" s="27" t="s">
        <v>8</v>
      </c>
      <c r="VT553" s="27" t="s">
        <v>7</v>
      </c>
    </row>
    <row r="554" spans="1:598" x14ac:dyDescent="0.25">
      <c r="A554" s="7">
        <v>1.9222314039431532</v>
      </c>
      <c r="B554"/>
      <c r="C554"/>
      <c r="D554"/>
      <c r="E554"/>
      <c r="UU554" s="27" t="s">
        <v>8</v>
      </c>
      <c r="UZ554" s="27" t="s">
        <v>7</v>
      </c>
      <c r="VB554" s="27" t="s">
        <v>7</v>
      </c>
      <c r="VC554" s="27" t="s">
        <v>8</v>
      </c>
      <c r="VF554" s="27" t="s">
        <v>7</v>
      </c>
      <c r="VG554" s="27" t="s">
        <v>8</v>
      </c>
      <c r="VT554" s="27" t="s">
        <v>7</v>
      </c>
    </row>
    <row r="555" spans="1:598" x14ac:dyDescent="0.25">
      <c r="A555" s="7">
        <v>1.8845405921011305</v>
      </c>
      <c r="B555"/>
      <c r="C555"/>
      <c r="D555"/>
      <c r="E555"/>
      <c r="UU555" s="27" t="s">
        <v>8</v>
      </c>
      <c r="VB555" s="27" t="s">
        <v>7</v>
      </c>
      <c r="VC555" s="27" t="s">
        <v>8</v>
      </c>
      <c r="VF555" s="27" t="s">
        <v>7</v>
      </c>
      <c r="VG555" s="27" t="s">
        <v>8</v>
      </c>
      <c r="VT555" s="27" t="s">
        <v>7</v>
      </c>
      <c r="VW555" s="27" t="s">
        <v>8</v>
      </c>
      <c r="VY555" s="27" t="s">
        <v>8</v>
      </c>
    </row>
    <row r="556" spans="1:598" x14ac:dyDescent="0.25">
      <c r="A556" s="7">
        <v>1.8475888157854219</v>
      </c>
      <c r="B556"/>
      <c r="C556"/>
      <c r="D556"/>
      <c r="E556"/>
      <c r="PC556" s="27" t="s">
        <v>8</v>
      </c>
      <c r="UU556" s="27" t="s">
        <v>8</v>
      </c>
      <c r="VB556" s="27" t="s">
        <v>7</v>
      </c>
      <c r="VC556" s="27" t="s">
        <v>8</v>
      </c>
      <c r="VF556" s="27" t="s">
        <v>7</v>
      </c>
      <c r="VG556" s="27" t="s">
        <v>8</v>
      </c>
      <c r="VT556" s="27" t="s">
        <v>7</v>
      </c>
      <c r="VW556" s="27" t="s">
        <v>8</v>
      </c>
      <c r="VX556" s="27" t="s">
        <v>7</v>
      </c>
      <c r="VY556" s="27" t="s">
        <v>8</v>
      </c>
      <c r="VZ556" s="27" t="s">
        <v>7</v>
      </c>
    </row>
    <row r="557" spans="1:598" x14ac:dyDescent="0.25">
      <c r="A557" s="7">
        <v>1.8113615841033548</v>
      </c>
      <c r="B557"/>
      <c r="C557"/>
      <c r="D557"/>
      <c r="E557"/>
      <c r="PC557" s="27" t="s">
        <v>8</v>
      </c>
      <c r="PD557" s="27" t="s">
        <v>7</v>
      </c>
      <c r="PE557" s="27" t="s">
        <v>8</v>
      </c>
      <c r="UU557" s="27" t="s">
        <v>8</v>
      </c>
      <c r="VB557" s="27" t="s">
        <v>7</v>
      </c>
      <c r="VF557" s="27" t="s">
        <v>7</v>
      </c>
      <c r="VT557" s="27" t="s">
        <v>7</v>
      </c>
      <c r="VU557" s="27" t="s">
        <v>8</v>
      </c>
      <c r="VW557" s="27" t="s">
        <v>8</v>
      </c>
      <c r="VX557" s="27" t="s">
        <v>7</v>
      </c>
      <c r="VY557" s="27" t="s">
        <v>8</v>
      </c>
      <c r="VZ557" s="27" t="s">
        <v>7</v>
      </c>
    </row>
    <row r="558" spans="1:598" x14ac:dyDescent="0.25">
      <c r="A558" s="7">
        <v>1.7758446902974065</v>
      </c>
      <c r="B558"/>
      <c r="C558"/>
      <c r="D558"/>
      <c r="E558"/>
      <c r="PC558" s="27" t="s">
        <v>8</v>
      </c>
      <c r="PD558" s="27" t="s">
        <v>7</v>
      </c>
      <c r="PE558" s="27" t="s">
        <v>8</v>
      </c>
      <c r="PF558" s="27" t="s">
        <v>7</v>
      </c>
      <c r="PO558" s="27" t="s">
        <v>8</v>
      </c>
      <c r="UU558" s="27" t="s">
        <v>8</v>
      </c>
      <c r="VT558" s="27" t="s">
        <v>7</v>
      </c>
      <c r="VU558" s="27" t="s">
        <v>8</v>
      </c>
      <c r="VV558" s="27" t="s">
        <v>7</v>
      </c>
      <c r="VW558" s="27" t="s">
        <v>8</v>
      </c>
      <c r="VX558" s="27" t="s">
        <v>7</v>
      </c>
      <c r="VY558" s="27" t="s">
        <v>8</v>
      </c>
      <c r="VZ558" s="27" t="s">
        <v>7</v>
      </c>
    </row>
    <row r="559" spans="1:598" x14ac:dyDescent="0.25">
      <c r="A559" s="7">
        <v>1.7410242061739281</v>
      </c>
      <c r="B559"/>
      <c r="C559"/>
      <c r="D559"/>
      <c r="E559"/>
      <c r="PC559" s="27" t="s">
        <v>8</v>
      </c>
      <c r="PD559" s="27" t="s">
        <v>7</v>
      </c>
      <c r="PE559" s="27" t="s">
        <v>8</v>
      </c>
      <c r="PF559" s="27" t="s">
        <v>7</v>
      </c>
      <c r="PO559" s="27" t="s">
        <v>8</v>
      </c>
      <c r="PP559" s="27" t="s">
        <v>7</v>
      </c>
      <c r="UU559" s="27" t="s">
        <v>8</v>
      </c>
      <c r="VT559" s="27" t="s">
        <v>7</v>
      </c>
      <c r="VU559" s="27" t="s">
        <v>8</v>
      </c>
      <c r="VV559" s="27" t="s">
        <v>7</v>
      </c>
      <c r="VW559" s="27" t="s">
        <v>8</v>
      </c>
      <c r="VX559" s="27" t="s">
        <v>7</v>
      </c>
      <c r="VY559" s="27" t="s">
        <v>8</v>
      </c>
      <c r="VZ559" s="27" t="s">
        <v>7</v>
      </c>
    </row>
    <row r="560" spans="1:598" x14ac:dyDescent="0.25">
      <c r="A560" s="7">
        <v>1.7068864766411058</v>
      </c>
      <c r="B560"/>
      <c r="C560"/>
      <c r="D560"/>
      <c r="E560"/>
      <c r="PC560" s="27" t="s">
        <v>8</v>
      </c>
      <c r="PD560" s="27" t="s">
        <v>7</v>
      </c>
      <c r="PE560" s="27" t="s">
        <v>8</v>
      </c>
      <c r="PF560" s="27" t="s">
        <v>7</v>
      </c>
      <c r="PO560" s="27" t="s">
        <v>8</v>
      </c>
      <c r="PP560" s="27" t="s">
        <v>7</v>
      </c>
      <c r="UU560" s="27" t="s">
        <v>8</v>
      </c>
      <c r="VT560" s="27" t="s">
        <v>7</v>
      </c>
      <c r="VU560" s="27" t="s">
        <v>8</v>
      </c>
      <c r="VV560" s="27" t="s">
        <v>7</v>
      </c>
      <c r="VW560" s="27" t="s">
        <v>8</v>
      </c>
      <c r="VX560" s="27" t="s">
        <v>7</v>
      </c>
      <c r="VY560" s="27" t="s">
        <v>8</v>
      </c>
      <c r="VZ560" s="27" t="s">
        <v>7</v>
      </c>
    </row>
    <row r="561" spans="1:600" x14ac:dyDescent="0.25">
      <c r="A561" s="7">
        <v>1.6734181143540252</v>
      </c>
      <c r="B561"/>
      <c r="C561"/>
      <c r="D561"/>
      <c r="E561"/>
      <c r="PC561" s="27" t="s">
        <v>8</v>
      </c>
      <c r="PD561" s="27" t="s">
        <v>7</v>
      </c>
      <c r="PE561" s="27" t="s">
        <v>8</v>
      </c>
      <c r="PF561" s="27" t="s">
        <v>7</v>
      </c>
      <c r="PM561" s="27" t="s">
        <v>8</v>
      </c>
      <c r="PO561" s="27" t="s">
        <v>8</v>
      </c>
      <c r="PP561" s="27" t="s">
        <v>7</v>
      </c>
      <c r="UU561" s="27" t="s">
        <v>8</v>
      </c>
      <c r="VT561" s="27" t="s">
        <v>7</v>
      </c>
      <c r="VU561" s="27" t="s">
        <v>8</v>
      </c>
      <c r="VV561" s="27" t="s">
        <v>7</v>
      </c>
      <c r="VW561" s="27" t="s">
        <v>8</v>
      </c>
      <c r="VX561" s="27" t="s">
        <v>7</v>
      </c>
      <c r="VY561" s="27" t="s">
        <v>8</v>
      </c>
      <c r="VZ561" s="27" t="s">
        <v>7</v>
      </c>
    </row>
    <row r="562" spans="1:600" x14ac:dyDescent="0.25">
      <c r="A562" s="7">
        <v>1.6406059944647307</v>
      </c>
      <c r="B562"/>
      <c r="C562"/>
      <c r="D562"/>
      <c r="E562"/>
      <c r="PC562" s="27" t="s">
        <v>8</v>
      </c>
      <c r="PD562" s="27" t="s">
        <v>7</v>
      </c>
      <c r="PE562" s="27" t="s">
        <v>8</v>
      </c>
      <c r="PF562" s="27" t="s">
        <v>7</v>
      </c>
      <c r="PM562" s="27" t="s">
        <v>8</v>
      </c>
      <c r="PN562" s="27" t="s">
        <v>7</v>
      </c>
      <c r="PO562" s="27" t="s">
        <v>8</v>
      </c>
      <c r="PP562" s="27" t="s">
        <v>7</v>
      </c>
      <c r="UU562" s="27" t="s">
        <v>8</v>
      </c>
      <c r="VT562" s="27" t="s">
        <v>7</v>
      </c>
      <c r="VU562" s="27" t="s">
        <v>8</v>
      </c>
      <c r="VV562" s="27" t="s">
        <v>7</v>
      </c>
      <c r="VW562" s="27" t="s">
        <v>8</v>
      </c>
      <c r="VX562" s="27" t="s">
        <v>7</v>
      </c>
      <c r="VY562" s="27" t="s">
        <v>8</v>
      </c>
      <c r="VZ562" s="27" t="s">
        <v>7</v>
      </c>
    </row>
    <row r="563" spans="1:600" x14ac:dyDescent="0.25">
      <c r="A563" s="7">
        <v>1.6084372494752261</v>
      </c>
      <c r="B563"/>
      <c r="C563"/>
      <c r="D563"/>
      <c r="E563"/>
      <c r="PC563" s="27" t="s">
        <v>8</v>
      </c>
      <c r="PD563" s="27" t="s">
        <v>7</v>
      </c>
      <c r="PE563" s="27" t="s">
        <v>8</v>
      </c>
      <c r="PF563" s="27" t="s">
        <v>7</v>
      </c>
      <c r="PK563" s="27" t="s">
        <v>8</v>
      </c>
      <c r="PM563" s="27" t="s">
        <v>8</v>
      </c>
      <c r="PN563" s="27" t="s">
        <v>7</v>
      </c>
      <c r="PO563" s="27" t="s">
        <v>8</v>
      </c>
      <c r="PP563" s="27" t="s">
        <v>7</v>
      </c>
      <c r="PS563" s="27" t="s">
        <v>8</v>
      </c>
      <c r="UU563" s="27" t="s">
        <v>8</v>
      </c>
      <c r="VT563" s="27" t="s">
        <v>7</v>
      </c>
      <c r="VU563" s="27" t="s">
        <v>8</v>
      </c>
      <c r="VV563" s="27" t="s">
        <v>7</v>
      </c>
      <c r="VX563" s="27" t="s">
        <v>7</v>
      </c>
      <c r="VY563" s="27" t="s">
        <v>8</v>
      </c>
      <c r="VZ563" s="27" t="s">
        <v>7</v>
      </c>
    </row>
    <row r="564" spans="1:600" x14ac:dyDescent="0.25">
      <c r="A564" s="7">
        <v>1.5768992641913981</v>
      </c>
      <c r="B564"/>
      <c r="C564"/>
      <c r="D564"/>
      <c r="E564"/>
      <c r="PC564" s="27" t="s">
        <v>8</v>
      </c>
      <c r="PD564" s="27" t="s">
        <v>7</v>
      </c>
      <c r="PE564" s="27" t="s">
        <v>8</v>
      </c>
      <c r="PF564" s="27" t="s">
        <v>7</v>
      </c>
      <c r="PG564" s="27" t="s">
        <v>8</v>
      </c>
      <c r="PK564" s="27" t="s">
        <v>8</v>
      </c>
      <c r="PL564" s="27" t="s">
        <v>7</v>
      </c>
      <c r="PM564" s="27" t="s">
        <v>8</v>
      </c>
      <c r="PN564" s="27" t="s">
        <v>7</v>
      </c>
      <c r="PO564" s="27" t="s">
        <v>8</v>
      </c>
      <c r="PP564" s="27" t="s">
        <v>7</v>
      </c>
      <c r="PS564" s="27" t="s">
        <v>8</v>
      </c>
      <c r="PT564" s="27" t="s">
        <v>7</v>
      </c>
      <c r="UU564" s="27" t="s">
        <v>8</v>
      </c>
      <c r="VT564" s="27" t="s">
        <v>7</v>
      </c>
      <c r="VX564" s="27" t="s">
        <v>7</v>
      </c>
      <c r="VY564" s="27" t="s">
        <v>8</v>
      </c>
      <c r="VZ564" s="27" t="s">
        <v>7</v>
      </c>
    </row>
    <row r="565" spans="1:600" x14ac:dyDescent="0.25">
      <c r="A565" s="7">
        <v>1.5459796707758806</v>
      </c>
      <c r="B565"/>
      <c r="C565"/>
      <c r="D565"/>
      <c r="E565"/>
      <c r="PC565" s="27" t="s">
        <v>8</v>
      </c>
      <c r="PD565" s="27" t="s">
        <v>7</v>
      </c>
      <c r="PE565" s="27" t="s">
        <v>8</v>
      </c>
      <c r="PF565" s="27" t="s">
        <v>7</v>
      </c>
      <c r="PG565" s="27" t="s">
        <v>8</v>
      </c>
      <c r="PH565" s="27" t="s">
        <v>7</v>
      </c>
      <c r="PK565" s="27" t="s">
        <v>8</v>
      </c>
      <c r="PL565" s="27" t="s">
        <v>7</v>
      </c>
      <c r="PM565" s="27" t="s">
        <v>8</v>
      </c>
      <c r="PN565" s="27" t="s">
        <v>7</v>
      </c>
      <c r="PO565" s="27" t="s">
        <v>8</v>
      </c>
      <c r="PP565" s="27" t="s">
        <v>7</v>
      </c>
      <c r="PS565" s="27" t="s">
        <v>8</v>
      </c>
      <c r="PT565" s="27" t="s">
        <v>7</v>
      </c>
      <c r="UU565" s="27" t="s">
        <v>8</v>
      </c>
      <c r="VX565" s="27" t="s">
        <v>7</v>
      </c>
      <c r="VY565" s="27" t="s">
        <v>8</v>
      </c>
      <c r="VZ565" s="27" t="s">
        <v>7</v>
      </c>
    </row>
    <row r="566" spans="1:600" x14ac:dyDescent="0.25">
      <c r="A566" s="7">
        <v>1.5156663438979221</v>
      </c>
      <c r="B566"/>
      <c r="C566"/>
      <c r="D566"/>
      <c r="E566"/>
      <c r="PC566" s="27" t="s">
        <v>8</v>
      </c>
      <c r="PD566" s="27" t="s">
        <v>7</v>
      </c>
      <c r="PE566" s="27" t="s">
        <v>8</v>
      </c>
      <c r="PF566" s="27" t="s">
        <v>7</v>
      </c>
      <c r="PG566" s="27" t="s">
        <v>8</v>
      </c>
      <c r="PH566" s="27" t="s">
        <v>7</v>
      </c>
      <c r="PK566" s="27" t="s">
        <v>8</v>
      </c>
      <c r="PL566" s="27" t="s">
        <v>7</v>
      </c>
      <c r="PM566" s="27" t="s">
        <v>8</v>
      </c>
      <c r="PN566" s="27" t="s">
        <v>7</v>
      </c>
      <c r="PO566" s="27" t="s">
        <v>8</v>
      </c>
      <c r="PP566" s="27" t="s">
        <v>7</v>
      </c>
      <c r="PQ566" s="27" t="s">
        <v>8</v>
      </c>
      <c r="PS566" s="27" t="s">
        <v>8</v>
      </c>
      <c r="PT566" s="27" t="s">
        <v>7</v>
      </c>
      <c r="UU566" s="27" t="s">
        <v>8</v>
      </c>
      <c r="VX566" s="27" t="s">
        <v>7</v>
      </c>
      <c r="VY566" s="27" t="s">
        <v>8</v>
      </c>
      <c r="VZ566" s="27" t="s">
        <v>7</v>
      </c>
    </row>
    <row r="567" spans="1:600" x14ac:dyDescent="0.25">
      <c r="A567" s="7">
        <v>1.4859473959783549</v>
      </c>
      <c r="B567"/>
      <c r="C567"/>
      <c r="D567"/>
      <c r="E567"/>
      <c r="PC567" s="27" t="s">
        <v>8</v>
      </c>
      <c r="PD567" s="27" t="s">
        <v>7</v>
      </c>
      <c r="PE567" s="27" t="s">
        <v>8</v>
      </c>
      <c r="PF567" s="27" t="s">
        <v>7</v>
      </c>
      <c r="PG567" s="27" t="s">
        <v>8</v>
      </c>
      <c r="PH567" s="27" t="s">
        <v>7</v>
      </c>
      <c r="PI567" s="27" t="s">
        <v>8</v>
      </c>
      <c r="PK567" s="27" t="s">
        <v>8</v>
      </c>
      <c r="PL567" s="27" t="s">
        <v>7</v>
      </c>
      <c r="PM567" s="27" t="s">
        <v>8</v>
      </c>
      <c r="PN567" s="27" t="s">
        <v>7</v>
      </c>
      <c r="PO567" s="27" t="s">
        <v>8</v>
      </c>
      <c r="PP567" s="27" t="s">
        <v>7</v>
      </c>
      <c r="PQ567" s="27" t="s">
        <v>8</v>
      </c>
      <c r="PR567" s="27" t="s">
        <v>7</v>
      </c>
      <c r="PS567" s="27" t="s">
        <v>8</v>
      </c>
      <c r="PT567" s="27" t="s">
        <v>7</v>
      </c>
      <c r="PU567" s="27" t="s">
        <v>8</v>
      </c>
      <c r="UU567" s="27" t="s">
        <v>8</v>
      </c>
      <c r="VX567" s="27" t="s">
        <v>7</v>
      </c>
      <c r="VY567" s="27" t="s">
        <v>8</v>
      </c>
      <c r="VZ567" s="27" t="s">
        <v>7</v>
      </c>
    </row>
    <row r="568" spans="1:600" x14ac:dyDescent="0.25">
      <c r="A568" s="7">
        <v>1.4568111725277988</v>
      </c>
      <c r="B568"/>
      <c r="C568"/>
      <c r="D568"/>
      <c r="E568"/>
      <c r="PC568" s="27" t="s">
        <v>8</v>
      </c>
      <c r="PD568" s="27" t="s">
        <v>7</v>
      </c>
      <c r="PE568" s="27" t="s">
        <v>8</v>
      </c>
      <c r="PF568" s="27" t="s">
        <v>7</v>
      </c>
      <c r="PG568" s="27" t="s">
        <v>8</v>
      </c>
      <c r="PH568" s="27" t="s">
        <v>7</v>
      </c>
      <c r="PI568" s="27" t="s">
        <v>8</v>
      </c>
      <c r="PJ568" s="27" t="s">
        <v>7</v>
      </c>
      <c r="PK568" s="27" t="s">
        <v>8</v>
      </c>
      <c r="PL568" s="27" t="s">
        <v>7</v>
      </c>
      <c r="PM568" s="27" t="s">
        <v>8</v>
      </c>
      <c r="PN568" s="27" t="s">
        <v>7</v>
      </c>
      <c r="PO568" s="27" t="s">
        <v>8</v>
      </c>
      <c r="PP568" s="27" t="s">
        <v>7</v>
      </c>
      <c r="PQ568" s="27" t="s">
        <v>8</v>
      </c>
      <c r="PR568" s="27" t="s">
        <v>7</v>
      </c>
      <c r="PS568" s="27" t="s">
        <v>8</v>
      </c>
      <c r="PT568" s="27" t="s">
        <v>7</v>
      </c>
      <c r="PU568" s="27" t="s">
        <v>8</v>
      </c>
      <c r="PV568" s="27" t="s">
        <v>7</v>
      </c>
      <c r="QK568" s="27" t="s">
        <v>8</v>
      </c>
      <c r="QM568" s="27" t="s">
        <v>8</v>
      </c>
      <c r="UU568" s="27" t="s">
        <v>8</v>
      </c>
      <c r="VX568" s="27" t="s">
        <v>7</v>
      </c>
      <c r="VY568" s="27" t="s">
        <v>8</v>
      </c>
      <c r="VZ568" s="27" t="s">
        <v>7</v>
      </c>
    </row>
    <row r="569" spans="1:600" x14ac:dyDescent="0.25">
      <c r="A569" s="7">
        <v>1.4282462475762734</v>
      </c>
      <c r="B569"/>
      <c r="C569"/>
      <c r="D569"/>
      <c r="E569"/>
      <c r="OK569" s="27" t="s">
        <v>8</v>
      </c>
      <c r="PC569" s="27" t="s">
        <v>8</v>
      </c>
      <c r="PD569" s="27" t="s">
        <v>7</v>
      </c>
      <c r="PF569" s="27" t="s">
        <v>7</v>
      </c>
      <c r="PG569" s="27" t="s">
        <v>8</v>
      </c>
      <c r="PH569" s="27" t="s">
        <v>7</v>
      </c>
      <c r="PI569" s="27" t="s">
        <v>8</v>
      </c>
      <c r="PJ569" s="27" t="s">
        <v>7</v>
      </c>
      <c r="PK569" s="27" t="s">
        <v>8</v>
      </c>
      <c r="PL569" s="27" t="s">
        <v>7</v>
      </c>
      <c r="PM569" s="27" t="s">
        <v>8</v>
      </c>
      <c r="PN569" s="27" t="s">
        <v>7</v>
      </c>
      <c r="PO569" s="27" t="s">
        <v>8</v>
      </c>
      <c r="PP569" s="27" t="s">
        <v>7</v>
      </c>
      <c r="PR569" s="27" t="s">
        <v>7</v>
      </c>
      <c r="PS569" s="27" t="s">
        <v>8</v>
      </c>
      <c r="PT569" s="27" t="s">
        <v>7</v>
      </c>
      <c r="PU569" s="27" t="s">
        <v>8</v>
      </c>
      <c r="PV569" s="27" t="s">
        <v>7</v>
      </c>
      <c r="QK569" s="27" t="s">
        <v>8</v>
      </c>
      <c r="QL569" s="27" t="s">
        <v>7</v>
      </c>
      <c r="QM569" s="27" t="s">
        <v>8</v>
      </c>
      <c r="QN569" s="27" t="s">
        <v>7</v>
      </c>
      <c r="UU569" s="27" t="s">
        <v>8</v>
      </c>
      <c r="VX569" s="27" t="s">
        <v>7</v>
      </c>
      <c r="VZ569" s="27" t="s">
        <v>7</v>
      </c>
    </row>
    <row r="570" spans="1:600" x14ac:dyDescent="0.25">
      <c r="A570" s="7">
        <v>1.4002414191924248</v>
      </c>
      <c r="B570"/>
      <c r="C570"/>
      <c r="D570"/>
      <c r="E570"/>
      <c r="OK570" s="27" t="s">
        <v>8</v>
      </c>
      <c r="OL570" s="27" t="s">
        <v>7</v>
      </c>
      <c r="PC570" s="27" t="s">
        <v>8</v>
      </c>
      <c r="PF570" s="27" t="s">
        <v>7</v>
      </c>
      <c r="PG570" s="27" t="s">
        <v>8</v>
      </c>
      <c r="PH570" s="27" t="s">
        <v>7</v>
      </c>
      <c r="PI570" s="27" t="s">
        <v>8</v>
      </c>
      <c r="PJ570" s="27" t="s">
        <v>7</v>
      </c>
      <c r="PK570" s="27" t="s">
        <v>8</v>
      </c>
      <c r="PL570" s="27" t="s">
        <v>7</v>
      </c>
      <c r="PM570" s="27" t="s">
        <v>8</v>
      </c>
      <c r="PN570" s="27" t="s">
        <v>7</v>
      </c>
      <c r="PO570" s="27" t="s">
        <v>8</v>
      </c>
      <c r="PR570" s="27" t="s">
        <v>7</v>
      </c>
      <c r="PS570" s="27" t="s">
        <v>8</v>
      </c>
      <c r="PT570" s="27" t="s">
        <v>7</v>
      </c>
      <c r="PU570" s="27" t="s">
        <v>8</v>
      </c>
      <c r="PV570" s="27" t="s">
        <v>7</v>
      </c>
      <c r="QK570" s="27" t="s">
        <v>8</v>
      </c>
      <c r="QL570" s="27" t="s">
        <v>7</v>
      </c>
      <c r="QM570" s="27" t="s">
        <v>8</v>
      </c>
      <c r="QN570" s="27" t="s">
        <v>7</v>
      </c>
      <c r="UU570" s="27" t="s">
        <v>8</v>
      </c>
      <c r="VZ570" s="27" t="s">
        <v>7</v>
      </c>
    </row>
    <row r="571" spans="1:600" x14ac:dyDescent="0.25">
      <c r="A571" s="7">
        <v>1.3727857050906125</v>
      </c>
      <c r="B571"/>
      <c r="C571"/>
      <c r="D571"/>
      <c r="E571"/>
      <c r="OK571" s="27" t="s">
        <v>8</v>
      </c>
      <c r="OL571" s="27" t="s">
        <v>7</v>
      </c>
      <c r="PA571" s="27" t="s">
        <v>8</v>
      </c>
      <c r="PC571" s="27" t="s">
        <v>8</v>
      </c>
      <c r="PF571" s="27" t="s">
        <v>7</v>
      </c>
      <c r="PG571" s="27" t="s">
        <v>8</v>
      </c>
      <c r="PH571" s="27" t="s">
        <v>7</v>
      </c>
      <c r="PI571" s="27" t="s">
        <v>8</v>
      </c>
      <c r="PJ571" s="27" t="s">
        <v>7</v>
      </c>
      <c r="PK571" s="27" t="s">
        <v>8</v>
      </c>
      <c r="PL571" s="27" t="s">
        <v>7</v>
      </c>
      <c r="PN571" s="27" t="s">
        <v>7</v>
      </c>
      <c r="PO571" s="27" t="s">
        <v>8</v>
      </c>
      <c r="PR571" s="27" t="s">
        <v>7</v>
      </c>
      <c r="PS571" s="27" t="s">
        <v>8</v>
      </c>
      <c r="PT571" s="27" t="s">
        <v>7</v>
      </c>
      <c r="PU571" s="27" t="s">
        <v>8</v>
      </c>
      <c r="PV571" s="27" t="s">
        <v>7</v>
      </c>
      <c r="QK571" s="27" t="s">
        <v>8</v>
      </c>
      <c r="QL571" s="27" t="s">
        <v>7</v>
      </c>
      <c r="QM571" s="27" t="s">
        <v>8</v>
      </c>
      <c r="QN571" s="27" t="s">
        <v>7</v>
      </c>
      <c r="UU571" s="27" t="s">
        <v>8</v>
      </c>
      <c r="VZ571" s="27" t="s">
        <v>7</v>
      </c>
    </row>
    <row r="572" spans="1:600" x14ac:dyDescent="0.25">
      <c r="A572" s="7">
        <v>1.3458683383241299</v>
      </c>
      <c r="B572"/>
      <c r="C572"/>
      <c r="D572"/>
      <c r="E572"/>
      <c r="OK572" s="27" t="s">
        <v>8</v>
      </c>
      <c r="OL572" s="27" t="s">
        <v>7</v>
      </c>
      <c r="PA572" s="27" t="s">
        <v>8</v>
      </c>
      <c r="PB572" s="27" t="s">
        <v>7</v>
      </c>
      <c r="PC572" s="27" t="s">
        <v>8</v>
      </c>
      <c r="PF572" s="27" t="s">
        <v>7</v>
      </c>
      <c r="PG572" s="27" t="s">
        <v>8</v>
      </c>
      <c r="PH572" s="27" t="s">
        <v>7</v>
      </c>
      <c r="PI572" s="27" t="s">
        <v>8</v>
      </c>
      <c r="PJ572" s="27" t="s">
        <v>7</v>
      </c>
      <c r="PK572" s="27" t="s">
        <v>8</v>
      </c>
      <c r="PN572" s="27" t="s">
        <v>7</v>
      </c>
      <c r="PO572" s="27" t="s">
        <v>8</v>
      </c>
      <c r="PR572" s="27" t="s">
        <v>7</v>
      </c>
      <c r="PS572" s="27" t="s">
        <v>8</v>
      </c>
      <c r="PT572" s="27" t="s">
        <v>7</v>
      </c>
      <c r="PU572" s="27" t="s">
        <v>8</v>
      </c>
      <c r="PV572" s="27" t="s">
        <v>7</v>
      </c>
      <c r="QK572" s="27" t="s">
        <v>8</v>
      </c>
      <c r="QL572" s="27" t="s">
        <v>7</v>
      </c>
      <c r="QM572" s="27" t="s">
        <v>8</v>
      </c>
      <c r="QN572" s="27" t="s">
        <v>7</v>
      </c>
      <c r="UU572" s="27" t="s">
        <v>8</v>
      </c>
      <c r="VZ572" s="27" t="s">
        <v>7</v>
      </c>
    </row>
    <row r="573" spans="1:600" x14ac:dyDescent="0.25">
      <c r="A573" s="7">
        <v>1.3194787630628724</v>
      </c>
      <c r="B573"/>
      <c r="C573"/>
      <c r="D573"/>
      <c r="E573"/>
      <c r="OK573" s="27" t="s">
        <v>8</v>
      </c>
      <c r="OL573" s="27" t="s">
        <v>7</v>
      </c>
      <c r="PA573" s="27" t="s">
        <v>8</v>
      </c>
      <c r="PB573" s="27" t="s">
        <v>7</v>
      </c>
      <c r="PC573" s="27" t="s">
        <v>8</v>
      </c>
      <c r="PF573" s="27" t="s">
        <v>7</v>
      </c>
      <c r="PG573" s="27" t="s">
        <v>8</v>
      </c>
      <c r="PH573" s="27" t="s">
        <v>7</v>
      </c>
      <c r="PI573" s="27" t="s">
        <v>8</v>
      </c>
      <c r="PJ573" s="27" t="s">
        <v>7</v>
      </c>
      <c r="PK573" s="27" t="s">
        <v>8</v>
      </c>
      <c r="PN573" s="27" t="s">
        <v>7</v>
      </c>
      <c r="PO573" s="27" t="s">
        <v>8</v>
      </c>
      <c r="PR573" s="27" t="s">
        <v>7</v>
      </c>
      <c r="PT573" s="27" t="s">
        <v>7</v>
      </c>
      <c r="PU573" s="27" t="s">
        <v>8</v>
      </c>
      <c r="PV573" s="27" t="s">
        <v>7</v>
      </c>
      <c r="PW573" s="27" t="s">
        <v>8</v>
      </c>
      <c r="QK573" s="27" t="s">
        <v>8</v>
      </c>
      <c r="QL573" s="27" t="s">
        <v>7</v>
      </c>
      <c r="QM573" s="27" t="s">
        <v>8</v>
      </c>
      <c r="QN573" s="27" t="s">
        <v>7</v>
      </c>
      <c r="UU573" s="27" t="s">
        <v>8</v>
      </c>
      <c r="VZ573" s="27" t="s">
        <v>7</v>
      </c>
      <c r="WA573" s="27" t="s">
        <v>8</v>
      </c>
    </row>
    <row r="574" spans="1:600" x14ac:dyDescent="0.25">
      <c r="A574" s="7">
        <v>1.2936066304537963</v>
      </c>
      <c r="B574"/>
      <c r="C574"/>
      <c r="D574"/>
      <c r="E574"/>
      <c r="OK574" s="27" t="s">
        <v>8</v>
      </c>
      <c r="OL574" s="27" t="s">
        <v>7</v>
      </c>
      <c r="PA574" s="27" t="s">
        <v>8</v>
      </c>
      <c r="PB574" s="27" t="s">
        <v>7</v>
      </c>
      <c r="PC574" s="27" t="s">
        <v>8</v>
      </c>
      <c r="PF574" s="27" t="s">
        <v>7</v>
      </c>
      <c r="PG574" s="27" t="s">
        <v>8</v>
      </c>
      <c r="PH574" s="27" t="s">
        <v>7</v>
      </c>
      <c r="PJ574" s="27" t="s">
        <v>7</v>
      </c>
      <c r="PN574" s="27" t="s">
        <v>7</v>
      </c>
      <c r="PO574" s="27" t="s">
        <v>8</v>
      </c>
      <c r="PT574" s="27" t="s">
        <v>7</v>
      </c>
      <c r="PU574" s="27" t="s">
        <v>8</v>
      </c>
      <c r="PV574" s="27" t="s">
        <v>7</v>
      </c>
      <c r="PW574" s="27" t="s">
        <v>8</v>
      </c>
      <c r="PX574" s="27" t="s">
        <v>7</v>
      </c>
      <c r="QI574" s="27" t="s">
        <v>8</v>
      </c>
      <c r="QK574" s="27" t="s">
        <v>8</v>
      </c>
      <c r="QL574" s="27" t="s">
        <v>7</v>
      </c>
      <c r="QM574" s="27" t="s">
        <v>8</v>
      </c>
      <c r="QN574" s="27" t="s">
        <v>7</v>
      </c>
      <c r="UU574" s="27" t="s">
        <v>8</v>
      </c>
      <c r="VZ574" s="27" t="s">
        <v>7</v>
      </c>
      <c r="WA574" s="27" t="s">
        <v>8</v>
      </c>
      <c r="WB574" s="27" t="s">
        <v>7</v>
      </c>
    </row>
    <row r="575" spans="1:600" x14ac:dyDescent="0.25">
      <c r="A575" s="7">
        <v>1.2682417945625455</v>
      </c>
      <c r="B575"/>
      <c r="C575"/>
      <c r="D575"/>
      <c r="E575"/>
      <c r="OK575" s="27" t="s">
        <v>8</v>
      </c>
      <c r="OL575" s="27" t="s">
        <v>7</v>
      </c>
      <c r="PA575" s="27" t="s">
        <v>8</v>
      </c>
      <c r="PB575" s="27" t="s">
        <v>7</v>
      </c>
      <c r="PC575" s="27" t="s">
        <v>8</v>
      </c>
      <c r="PF575" s="27" t="s">
        <v>7</v>
      </c>
      <c r="PG575" s="27" t="s">
        <v>8</v>
      </c>
      <c r="PN575" s="27" t="s">
        <v>7</v>
      </c>
      <c r="PO575" s="27" t="s">
        <v>8</v>
      </c>
      <c r="PT575" s="27" t="s">
        <v>7</v>
      </c>
      <c r="PU575" s="27" t="s">
        <v>8</v>
      </c>
      <c r="PV575" s="27" t="s">
        <v>7</v>
      </c>
      <c r="PW575" s="27" t="s">
        <v>8</v>
      </c>
      <c r="PX575" s="27" t="s">
        <v>7</v>
      </c>
      <c r="PY575" s="27" t="s">
        <v>8</v>
      </c>
      <c r="QA575" s="27" t="s">
        <v>8</v>
      </c>
      <c r="QI575" s="27" t="s">
        <v>8</v>
      </c>
      <c r="QJ575" s="27" t="s">
        <v>7</v>
      </c>
      <c r="QK575" s="27" t="s">
        <v>8</v>
      </c>
      <c r="QL575" s="27" t="s">
        <v>7</v>
      </c>
      <c r="QM575" s="27" t="s">
        <v>8</v>
      </c>
      <c r="QN575" s="27" t="s">
        <v>7</v>
      </c>
      <c r="UU575" s="27" t="s">
        <v>8</v>
      </c>
      <c r="VZ575" s="27" t="s">
        <v>7</v>
      </c>
      <c r="WA575" s="27" t="s">
        <v>8</v>
      </c>
      <c r="WB575" s="27" t="s">
        <v>7</v>
      </c>
    </row>
    <row r="576" spans="1:600" x14ac:dyDescent="0.25">
      <c r="A576" s="7">
        <v>1.2433743083946525</v>
      </c>
      <c r="B576"/>
      <c r="C576"/>
      <c r="D576"/>
      <c r="E576"/>
      <c r="OK576" s="27" t="s">
        <v>8</v>
      </c>
      <c r="OL576" s="27" t="s">
        <v>7</v>
      </c>
      <c r="PA576" s="27" t="s">
        <v>8</v>
      </c>
      <c r="PB576" s="27" t="s">
        <v>7</v>
      </c>
      <c r="PC576" s="27" t="s">
        <v>8</v>
      </c>
      <c r="PF576" s="27" t="s">
        <v>7</v>
      </c>
      <c r="PG576" s="27" t="s">
        <v>8</v>
      </c>
      <c r="PN576" s="27" t="s">
        <v>7</v>
      </c>
      <c r="PO576" s="27" t="s">
        <v>8</v>
      </c>
      <c r="PT576" s="27" t="s">
        <v>7</v>
      </c>
      <c r="PU576" s="27" t="s">
        <v>8</v>
      </c>
      <c r="PV576" s="27" t="s">
        <v>7</v>
      </c>
      <c r="PX576" s="27" t="s">
        <v>7</v>
      </c>
      <c r="PY576" s="27" t="s">
        <v>8</v>
      </c>
      <c r="PZ576" s="27" t="s">
        <v>7</v>
      </c>
      <c r="QA576" s="27" t="s">
        <v>8</v>
      </c>
      <c r="QB576" s="27" t="s">
        <v>7</v>
      </c>
      <c r="QI576" s="27" t="s">
        <v>8</v>
      </c>
      <c r="QJ576" s="27" t="s">
        <v>7</v>
      </c>
      <c r="QK576" s="27" t="s">
        <v>8</v>
      </c>
      <c r="QL576" s="27" t="s">
        <v>7</v>
      </c>
      <c r="QM576" s="27" t="s">
        <v>8</v>
      </c>
      <c r="QN576" s="27" t="s">
        <v>7</v>
      </c>
      <c r="QO576" s="27" t="s">
        <v>8</v>
      </c>
      <c r="UU576" s="27" t="s">
        <v>8</v>
      </c>
      <c r="VZ576" s="27" t="s">
        <v>7</v>
      </c>
      <c r="WA576" s="27" t="s">
        <v>8</v>
      </c>
      <c r="WB576" s="27" t="s">
        <v>7</v>
      </c>
    </row>
    <row r="577" spans="1:602" x14ac:dyDescent="0.25">
      <c r="A577" s="7">
        <v>1.2189944199947573</v>
      </c>
      <c r="B577"/>
      <c r="C577"/>
      <c r="D577"/>
      <c r="E577"/>
      <c r="OK577" s="27" t="s">
        <v>8</v>
      </c>
      <c r="OL577" s="27" t="s">
        <v>7</v>
      </c>
      <c r="PA577" s="27" t="s">
        <v>8</v>
      </c>
      <c r="PB577" s="27" t="s">
        <v>7</v>
      </c>
      <c r="PC577" s="27" t="s">
        <v>8</v>
      </c>
      <c r="PF577" s="27" t="s">
        <v>7</v>
      </c>
      <c r="PN577" s="27" t="s">
        <v>7</v>
      </c>
      <c r="PO577" s="27" t="s">
        <v>8</v>
      </c>
      <c r="PT577" s="27" t="s">
        <v>7</v>
      </c>
      <c r="PX577" s="27" t="s">
        <v>7</v>
      </c>
      <c r="PY577" s="27" t="s">
        <v>8</v>
      </c>
      <c r="PZ577" s="27" t="s">
        <v>7</v>
      </c>
      <c r="QA577" s="27" t="s">
        <v>8</v>
      </c>
      <c r="QB577" s="27" t="s">
        <v>7</v>
      </c>
      <c r="QI577" s="27" t="s">
        <v>8</v>
      </c>
      <c r="QJ577" s="27" t="s">
        <v>7</v>
      </c>
      <c r="QK577" s="27" t="s">
        <v>8</v>
      </c>
      <c r="QL577" s="27" t="s">
        <v>7</v>
      </c>
      <c r="QM577" s="27" t="s">
        <v>8</v>
      </c>
      <c r="QN577" s="27" t="s">
        <v>7</v>
      </c>
      <c r="QO577" s="27" t="s">
        <v>8</v>
      </c>
      <c r="QP577" s="27" t="s">
        <v>7</v>
      </c>
      <c r="UU577" s="27" t="s">
        <v>8</v>
      </c>
      <c r="VZ577" s="27" t="s">
        <v>7</v>
      </c>
      <c r="WA577" s="27" t="s">
        <v>8</v>
      </c>
      <c r="WB577" s="27" t="s">
        <v>7</v>
      </c>
    </row>
    <row r="578" spans="1:602" x14ac:dyDescent="0.25">
      <c r="A578" s="7">
        <v>1.1950925686223111</v>
      </c>
      <c r="B578"/>
      <c r="C578"/>
      <c r="D578"/>
      <c r="E578"/>
      <c r="NY578" s="27" t="s">
        <v>8</v>
      </c>
      <c r="OK578" s="27" t="s">
        <v>8</v>
      </c>
      <c r="OL578" s="27" t="s">
        <v>7</v>
      </c>
      <c r="PA578" s="27" t="s">
        <v>8</v>
      </c>
      <c r="PB578" s="27" t="s">
        <v>7</v>
      </c>
      <c r="PC578" s="27" t="s">
        <v>8</v>
      </c>
      <c r="PN578" s="27" t="s">
        <v>7</v>
      </c>
      <c r="PO578" s="27" t="s">
        <v>8</v>
      </c>
      <c r="PX578" s="27" t="s">
        <v>7</v>
      </c>
      <c r="PY578" s="27" t="s">
        <v>8</v>
      </c>
      <c r="PZ578" s="27" t="s">
        <v>7</v>
      </c>
      <c r="QA578" s="27" t="s">
        <v>8</v>
      </c>
      <c r="QB578" s="27" t="s">
        <v>7</v>
      </c>
      <c r="QI578" s="27" t="s">
        <v>8</v>
      </c>
      <c r="QJ578" s="27" t="s">
        <v>7</v>
      </c>
      <c r="QK578" s="27" t="s">
        <v>8</v>
      </c>
      <c r="QL578" s="27" t="s">
        <v>7</v>
      </c>
      <c r="QM578" s="27" t="s">
        <v>8</v>
      </c>
      <c r="QN578" s="27" t="s">
        <v>7</v>
      </c>
      <c r="QO578" s="27" t="s">
        <v>8</v>
      </c>
      <c r="QP578" s="27" t="s">
        <v>7</v>
      </c>
      <c r="UU578" s="27" t="s">
        <v>8</v>
      </c>
      <c r="VZ578" s="27" t="s">
        <v>7</v>
      </c>
      <c r="WA578" s="27" t="s">
        <v>8</v>
      </c>
      <c r="WB578" s="27" t="s">
        <v>7</v>
      </c>
      <c r="WC578" s="27" t="s">
        <v>8</v>
      </c>
    </row>
    <row r="579" spans="1:602" x14ac:dyDescent="0.25">
      <c r="A579" s="7">
        <v>1.1716593810022657</v>
      </c>
      <c r="B579"/>
      <c r="C579"/>
      <c r="D579"/>
      <c r="E579"/>
      <c r="NY579" s="27" t="s">
        <v>8</v>
      </c>
      <c r="NZ579" s="27" t="s">
        <v>7</v>
      </c>
      <c r="OK579" s="27" t="s">
        <v>8</v>
      </c>
      <c r="OL579" s="27" t="s">
        <v>7</v>
      </c>
      <c r="PA579" s="27" t="s">
        <v>8</v>
      </c>
      <c r="PB579" s="27" t="s">
        <v>7</v>
      </c>
      <c r="PC579" s="27" t="s">
        <v>8</v>
      </c>
      <c r="PN579" s="27" t="s">
        <v>7</v>
      </c>
      <c r="PO579" s="27" t="s">
        <v>8</v>
      </c>
      <c r="PX579" s="27" t="s">
        <v>7</v>
      </c>
      <c r="PZ579" s="27" t="s">
        <v>7</v>
      </c>
      <c r="QB579" s="27" t="s">
        <v>7</v>
      </c>
      <c r="QI579" s="27" t="s">
        <v>8</v>
      </c>
      <c r="QJ579" s="27" t="s">
        <v>7</v>
      </c>
      <c r="QK579" s="27" t="s">
        <v>8</v>
      </c>
      <c r="QL579" s="27" t="s">
        <v>7</v>
      </c>
      <c r="QN579" s="27" t="s">
        <v>7</v>
      </c>
      <c r="QO579" s="27" t="s">
        <v>8</v>
      </c>
      <c r="QP579" s="27" t="s">
        <v>7</v>
      </c>
      <c r="UU579" s="27" t="s">
        <v>8</v>
      </c>
      <c r="VZ579" s="27" t="s">
        <v>7</v>
      </c>
      <c r="WA579" s="27" t="s">
        <v>8</v>
      </c>
      <c r="WB579" s="27" t="s">
        <v>7</v>
      </c>
      <c r="WC579" s="27" t="s">
        <v>8</v>
      </c>
      <c r="WD579" s="27" t="s">
        <v>7</v>
      </c>
    </row>
    <row r="580" spans="1:602" x14ac:dyDescent="0.25">
      <c r="A580" s="7">
        <v>1.14868566764928</v>
      </c>
      <c r="B580"/>
      <c r="C580"/>
      <c r="D580"/>
      <c r="E580"/>
      <c r="NY580" s="27" t="s">
        <v>8</v>
      </c>
      <c r="NZ580" s="27" t="s">
        <v>7</v>
      </c>
      <c r="OK580" s="27" t="s">
        <v>8</v>
      </c>
      <c r="OL580" s="27" t="s">
        <v>7</v>
      </c>
      <c r="OM580" s="27" t="s">
        <v>8</v>
      </c>
      <c r="PA580" s="27" t="s">
        <v>8</v>
      </c>
      <c r="PB580" s="27" t="s">
        <v>7</v>
      </c>
      <c r="PC580" s="27" t="s">
        <v>8</v>
      </c>
      <c r="PN580" s="27" t="s">
        <v>7</v>
      </c>
      <c r="PO580" s="27" t="s">
        <v>8</v>
      </c>
      <c r="QB580" s="27" t="s">
        <v>7</v>
      </c>
      <c r="QC580" s="27" t="s">
        <v>8</v>
      </c>
      <c r="QI580" s="27" t="s">
        <v>8</v>
      </c>
      <c r="QJ580" s="27" t="s">
        <v>7</v>
      </c>
      <c r="QK580" s="27" t="s">
        <v>8</v>
      </c>
      <c r="QN580" s="27" t="s">
        <v>7</v>
      </c>
      <c r="QO580" s="27" t="s">
        <v>8</v>
      </c>
      <c r="QP580" s="27" t="s">
        <v>7</v>
      </c>
      <c r="QQ580" s="27" t="s">
        <v>8</v>
      </c>
      <c r="UU580" s="27" t="s">
        <v>8</v>
      </c>
      <c r="VZ580" s="27" t="s">
        <v>7</v>
      </c>
      <c r="WA580" s="27" t="s">
        <v>8</v>
      </c>
      <c r="WB580" s="27" t="s">
        <v>7</v>
      </c>
      <c r="WC580" s="27" t="s">
        <v>8</v>
      </c>
      <c r="WD580" s="27" t="s">
        <v>7</v>
      </c>
    </row>
    <row r="581" spans="1:602" x14ac:dyDescent="0.25">
      <c r="A581" s="7">
        <v>1.1261624192640001</v>
      </c>
      <c r="B581"/>
      <c r="C581"/>
      <c r="D581"/>
      <c r="E581"/>
      <c r="NY581" s="27" t="s">
        <v>8</v>
      </c>
      <c r="NZ581" s="27" t="s">
        <v>7</v>
      </c>
      <c r="OK581" s="27" t="s">
        <v>8</v>
      </c>
      <c r="OL581" s="27" t="s">
        <v>7</v>
      </c>
      <c r="OM581" s="27" t="s">
        <v>8</v>
      </c>
      <c r="ON581" s="27" t="s">
        <v>7</v>
      </c>
      <c r="OO581" s="27" t="s">
        <v>8</v>
      </c>
      <c r="PA581" s="27" t="s">
        <v>8</v>
      </c>
      <c r="PB581" s="27" t="s">
        <v>7</v>
      </c>
      <c r="PC581" s="27" t="s">
        <v>8</v>
      </c>
      <c r="PN581" s="27" t="s">
        <v>7</v>
      </c>
      <c r="PO581" s="27" t="s">
        <v>8</v>
      </c>
      <c r="QB581" s="27" t="s">
        <v>7</v>
      </c>
      <c r="QC581" s="27" t="s">
        <v>8</v>
      </c>
      <c r="QD581" s="27" t="s">
        <v>7</v>
      </c>
      <c r="QI581" s="27" t="s">
        <v>8</v>
      </c>
      <c r="QJ581" s="27" t="s">
        <v>7</v>
      </c>
      <c r="QK581" s="27" t="s">
        <v>8</v>
      </c>
      <c r="QN581" s="27" t="s">
        <v>7</v>
      </c>
      <c r="QP581" s="27" t="s">
        <v>7</v>
      </c>
      <c r="QQ581" s="27" t="s">
        <v>8</v>
      </c>
      <c r="QR581" s="27" t="s">
        <v>7</v>
      </c>
      <c r="QS581" s="27" t="s">
        <v>8</v>
      </c>
      <c r="UK581" s="27" t="s">
        <v>8</v>
      </c>
      <c r="UU581" s="27" t="s">
        <v>8</v>
      </c>
      <c r="VZ581" s="27" t="s">
        <v>7</v>
      </c>
      <c r="WA581" s="27" t="s">
        <v>8</v>
      </c>
      <c r="WB581" s="27" t="s">
        <v>7</v>
      </c>
      <c r="WC581" s="27" t="s">
        <v>8</v>
      </c>
      <c r="WD581" s="27" t="s">
        <v>7</v>
      </c>
    </row>
    <row r="582" spans="1:602" x14ac:dyDescent="0.25">
      <c r="A582" s="7">
        <v>1.1040808032</v>
      </c>
      <c r="B582"/>
      <c r="C582"/>
      <c r="D582"/>
      <c r="E582"/>
      <c r="NY582" s="27" t="s">
        <v>8</v>
      </c>
      <c r="NZ582" s="27" t="s">
        <v>7</v>
      </c>
      <c r="OK582" s="27" t="s">
        <v>8</v>
      </c>
      <c r="OL582" s="27" t="s">
        <v>7</v>
      </c>
      <c r="OM582" s="27" t="s">
        <v>8</v>
      </c>
      <c r="ON582" s="27" t="s">
        <v>7</v>
      </c>
      <c r="OO582" s="27" t="s">
        <v>8</v>
      </c>
      <c r="OP582" s="27" t="s">
        <v>7</v>
      </c>
      <c r="OW582" s="27" t="s">
        <v>8</v>
      </c>
      <c r="PA582" s="27" t="s">
        <v>8</v>
      </c>
      <c r="PB582" s="27" t="s">
        <v>7</v>
      </c>
      <c r="PC582" s="27" t="s">
        <v>8</v>
      </c>
      <c r="PN582" s="27" t="s">
        <v>7</v>
      </c>
      <c r="PO582" s="27" t="s">
        <v>8</v>
      </c>
      <c r="QB582" s="27" t="s">
        <v>7</v>
      </c>
      <c r="QC582" s="27" t="s">
        <v>8</v>
      </c>
      <c r="QD582" s="27" t="s">
        <v>7</v>
      </c>
      <c r="QI582" s="27" t="s">
        <v>8</v>
      </c>
      <c r="QJ582" s="27" t="s">
        <v>7</v>
      </c>
      <c r="QK582" s="27" t="s">
        <v>8</v>
      </c>
      <c r="QP582" s="27" t="s">
        <v>7</v>
      </c>
      <c r="QQ582" s="27" t="s">
        <v>8</v>
      </c>
      <c r="QR582" s="27" t="s">
        <v>7</v>
      </c>
      <c r="QS582" s="27" t="s">
        <v>8</v>
      </c>
      <c r="QT582" s="27" t="s">
        <v>7</v>
      </c>
      <c r="UK582" s="27" t="s">
        <v>8</v>
      </c>
      <c r="UL582" s="27" t="s">
        <v>7</v>
      </c>
      <c r="UU582" s="27" t="s">
        <v>8</v>
      </c>
      <c r="VZ582" s="27" t="s">
        <v>7</v>
      </c>
      <c r="WA582" s="27" t="s">
        <v>8</v>
      </c>
      <c r="WB582" s="27" t="s">
        <v>7</v>
      </c>
      <c r="WC582" s="27" t="s">
        <v>8</v>
      </c>
      <c r="WD582" s="27" t="s">
        <v>7</v>
      </c>
    </row>
    <row r="583" spans="1:602" x14ac:dyDescent="0.25">
      <c r="A583" s="7">
        <v>1.08243216</v>
      </c>
      <c r="B583"/>
      <c r="C583"/>
      <c r="D583"/>
      <c r="E583"/>
      <c r="NY583" s="27" t="s">
        <v>8</v>
      </c>
      <c r="NZ583" s="27" t="s">
        <v>7</v>
      </c>
      <c r="OK583" s="27" t="s">
        <v>8</v>
      </c>
      <c r="OL583" s="27" t="s">
        <v>7</v>
      </c>
      <c r="OM583" s="27" t="s">
        <v>8</v>
      </c>
      <c r="ON583" s="27" t="s">
        <v>7</v>
      </c>
      <c r="OO583" s="27" t="s">
        <v>8</v>
      </c>
      <c r="OP583" s="27" t="s">
        <v>7</v>
      </c>
      <c r="OW583" s="27" t="s">
        <v>8</v>
      </c>
      <c r="OX583" s="27" t="s">
        <v>7</v>
      </c>
      <c r="PA583" s="27" t="s">
        <v>8</v>
      </c>
      <c r="PB583" s="27" t="s">
        <v>7</v>
      </c>
      <c r="PC583" s="27" t="s">
        <v>8</v>
      </c>
      <c r="PN583" s="27" t="s">
        <v>7</v>
      </c>
      <c r="PO583" s="27" t="s">
        <v>8</v>
      </c>
      <c r="QB583" s="27" t="s">
        <v>7</v>
      </c>
      <c r="QC583" s="27" t="s">
        <v>8</v>
      </c>
      <c r="QD583" s="27" t="s">
        <v>7</v>
      </c>
      <c r="QI583" s="27" t="s">
        <v>8</v>
      </c>
      <c r="QJ583" s="27" t="s">
        <v>7</v>
      </c>
      <c r="QK583" s="27" t="s">
        <v>8</v>
      </c>
      <c r="QP583" s="27" t="s">
        <v>7</v>
      </c>
      <c r="QR583" s="27" t="s">
        <v>7</v>
      </c>
      <c r="QS583" s="27" t="s">
        <v>8</v>
      </c>
      <c r="QT583" s="27" t="s">
        <v>7</v>
      </c>
      <c r="UK583" s="27" t="s">
        <v>8</v>
      </c>
      <c r="UL583" s="27" t="s">
        <v>7</v>
      </c>
      <c r="UU583" s="27" t="s">
        <v>8</v>
      </c>
      <c r="VZ583" s="27" t="s">
        <v>7</v>
      </c>
      <c r="WA583" s="27" t="s">
        <v>8</v>
      </c>
      <c r="WB583" s="27" t="s">
        <v>7</v>
      </c>
      <c r="WC583" s="27" t="s">
        <v>8</v>
      </c>
      <c r="WD583" s="27" t="s">
        <v>7</v>
      </c>
    </row>
    <row r="584" spans="1:602" x14ac:dyDescent="0.25">
      <c r="A584" s="7">
        <v>1.0612079999999999</v>
      </c>
      <c r="B584"/>
      <c r="C584"/>
      <c r="D584"/>
      <c r="E584"/>
      <c r="NY584" s="27" t="s">
        <v>8</v>
      </c>
      <c r="NZ584" s="27" t="s">
        <v>7</v>
      </c>
      <c r="OK584" s="27" t="s">
        <v>8</v>
      </c>
      <c r="OL584" s="27" t="s">
        <v>7</v>
      </c>
      <c r="OM584" s="27" t="s">
        <v>8</v>
      </c>
      <c r="ON584" s="27" t="s">
        <v>7</v>
      </c>
      <c r="OO584" s="27" t="s">
        <v>8</v>
      </c>
      <c r="OP584" s="27" t="s">
        <v>7</v>
      </c>
      <c r="OW584" s="27" t="s">
        <v>8</v>
      </c>
      <c r="OX584" s="27" t="s">
        <v>7</v>
      </c>
      <c r="PA584" s="27" t="s">
        <v>8</v>
      </c>
      <c r="PB584" s="27" t="s">
        <v>7</v>
      </c>
      <c r="PC584" s="27" t="s">
        <v>8</v>
      </c>
      <c r="PN584" s="27" t="s">
        <v>7</v>
      </c>
      <c r="QB584" s="27" t="s">
        <v>7</v>
      </c>
      <c r="QC584" s="27" t="s">
        <v>8</v>
      </c>
      <c r="QD584" s="27" t="s">
        <v>7</v>
      </c>
      <c r="QE584" s="27" t="s">
        <v>8</v>
      </c>
      <c r="QI584" s="27" t="s">
        <v>8</v>
      </c>
      <c r="QJ584" s="27" t="s">
        <v>7</v>
      </c>
      <c r="QK584" s="27" t="s">
        <v>8</v>
      </c>
      <c r="QR584" s="27" t="s">
        <v>7</v>
      </c>
      <c r="QS584" s="27" t="s">
        <v>8</v>
      </c>
      <c r="QT584" s="27" t="s">
        <v>7</v>
      </c>
      <c r="UK584" s="27" t="s">
        <v>8</v>
      </c>
      <c r="UL584" s="27" t="s">
        <v>7</v>
      </c>
      <c r="UU584" s="27" t="s">
        <v>8</v>
      </c>
      <c r="VZ584" s="27" t="s">
        <v>7</v>
      </c>
      <c r="WA584" s="27" t="s">
        <v>8</v>
      </c>
      <c r="WB584" s="27" t="s">
        <v>7</v>
      </c>
      <c r="WC584" s="27" t="s">
        <v>8</v>
      </c>
      <c r="WD584" s="27" t="s">
        <v>7</v>
      </c>
    </row>
    <row r="585" spans="1:602" x14ac:dyDescent="0.25">
      <c r="A585" s="7">
        <v>1.0404</v>
      </c>
      <c r="B585"/>
      <c r="C585"/>
      <c r="D585"/>
      <c r="E585"/>
      <c r="NY585" s="27" t="s">
        <v>8</v>
      </c>
      <c r="NZ585" s="27" t="s">
        <v>7</v>
      </c>
      <c r="OK585" s="27" t="s">
        <v>8</v>
      </c>
      <c r="OL585" s="27" t="s">
        <v>7</v>
      </c>
      <c r="OM585" s="27" t="s">
        <v>8</v>
      </c>
      <c r="ON585" s="27" t="s">
        <v>7</v>
      </c>
      <c r="OO585" s="27" t="s">
        <v>8</v>
      </c>
      <c r="OP585" s="27" t="s">
        <v>7</v>
      </c>
      <c r="OW585" s="27" t="s">
        <v>8</v>
      </c>
      <c r="OX585" s="27" t="s">
        <v>7</v>
      </c>
      <c r="PA585" s="27" t="s">
        <v>8</v>
      </c>
      <c r="PB585" s="27" t="s">
        <v>7</v>
      </c>
      <c r="QB585" s="27" t="s">
        <v>7</v>
      </c>
      <c r="QC585" s="27" t="s">
        <v>8</v>
      </c>
      <c r="QD585" s="27" t="s">
        <v>7</v>
      </c>
      <c r="QE585" s="27" t="s">
        <v>8</v>
      </c>
      <c r="QF585" s="27" t="s">
        <v>7</v>
      </c>
      <c r="QI585" s="27" t="s">
        <v>8</v>
      </c>
      <c r="QJ585" s="27" t="s">
        <v>7</v>
      </c>
      <c r="QK585" s="27" t="s">
        <v>8</v>
      </c>
      <c r="QR585" s="27" t="s">
        <v>7</v>
      </c>
      <c r="QS585" s="27" t="s">
        <v>8</v>
      </c>
      <c r="QT585" s="27" t="s">
        <v>7</v>
      </c>
      <c r="TI585" s="27" t="s">
        <v>8</v>
      </c>
      <c r="UK585" s="27" t="s">
        <v>8</v>
      </c>
      <c r="UL585" s="27" t="s">
        <v>7</v>
      </c>
      <c r="UU585" s="27" t="s">
        <v>8</v>
      </c>
      <c r="VZ585" s="27" t="s">
        <v>7</v>
      </c>
      <c r="WB585" s="27" t="s">
        <v>7</v>
      </c>
      <c r="WC585" s="27" t="s">
        <v>8</v>
      </c>
    </row>
    <row r="586" spans="1:602" x14ac:dyDescent="0.25">
      <c r="A586" s="7">
        <v>1.02</v>
      </c>
      <c r="B586"/>
      <c r="C586"/>
      <c r="D586"/>
      <c r="E586"/>
      <c r="NY586" s="27" t="s">
        <v>8</v>
      </c>
      <c r="NZ586" s="27" t="s">
        <v>7</v>
      </c>
      <c r="OK586" s="27" t="s">
        <v>8</v>
      </c>
      <c r="OL586" s="27" t="s">
        <v>7</v>
      </c>
      <c r="ON586" s="27" t="s">
        <v>7</v>
      </c>
      <c r="OO586" s="27" t="s">
        <v>8</v>
      </c>
      <c r="OP586" s="27" t="s">
        <v>7</v>
      </c>
      <c r="OW586" s="27" t="s">
        <v>8</v>
      </c>
      <c r="OX586" s="27" t="s">
        <v>7</v>
      </c>
      <c r="OY586" s="27" t="s">
        <v>8</v>
      </c>
      <c r="PA586" s="27" t="s">
        <v>8</v>
      </c>
      <c r="QB586" s="27" t="s">
        <v>7</v>
      </c>
      <c r="QC586" s="27" t="s">
        <v>8</v>
      </c>
      <c r="QD586" s="27" t="s">
        <v>7</v>
      </c>
      <c r="QE586" s="27" t="s">
        <v>8</v>
      </c>
      <c r="QF586" s="27" t="s">
        <v>7</v>
      </c>
      <c r="QI586" s="27" t="s">
        <v>8</v>
      </c>
      <c r="QJ586" s="27" t="s">
        <v>7</v>
      </c>
      <c r="QR586" s="27" t="s">
        <v>7</v>
      </c>
      <c r="QS586" s="27" t="s">
        <v>8</v>
      </c>
      <c r="QT586" s="27" t="s">
        <v>7</v>
      </c>
      <c r="TI586" s="27" t="s">
        <v>8</v>
      </c>
      <c r="TJ586" s="27" t="s">
        <v>7</v>
      </c>
      <c r="UK586" s="27" t="s">
        <v>8</v>
      </c>
      <c r="UL586" s="27" t="s">
        <v>7</v>
      </c>
      <c r="UU586" s="27" t="s">
        <v>8</v>
      </c>
      <c r="WB586" s="27" t="s">
        <v>7</v>
      </c>
      <c r="WC586" s="27" t="s">
        <v>8</v>
      </c>
    </row>
    <row r="587" spans="1:602" x14ac:dyDescent="0.25">
      <c r="A587" s="7">
        <v>1</v>
      </c>
      <c r="B587"/>
      <c r="C587"/>
      <c r="D587"/>
      <c r="E587" s="29" t="s">
        <v>8</v>
      </c>
      <c r="NY587" s="27" t="s">
        <v>8</v>
      </c>
      <c r="NZ587" s="27" t="s">
        <v>7</v>
      </c>
      <c r="OK587" s="27" t="s">
        <v>8</v>
      </c>
      <c r="ON587" s="27" t="s">
        <v>7</v>
      </c>
      <c r="OO587" s="27" t="s">
        <v>8</v>
      </c>
      <c r="OP587" s="27" t="s">
        <v>7</v>
      </c>
      <c r="OW587" s="27" t="s">
        <v>8</v>
      </c>
      <c r="OX587" s="27" t="s">
        <v>7</v>
      </c>
      <c r="OY587" s="27" t="s">
        <v>8</v>
      </c>
      <c r="OZ587" s="27" t="s">
        <v>7</v>
      </c>
      <c r="PA587" s="27" t="s">
        <v>8</v>
      </c>
      <c r="QB587" s="27" t="s">
        <v>7</v>
      </c>
      <c r="QC587" s="27" t="s">
        <v>8</v>
      </c>
      <c r="QD587" s="27" t="s">
        <v>7</v>
      </c>
      <c r="QE587" s="27" t="s">
        <v>8</v>
      </c>
      <c r="QF587" s="27" t="s">
        <v>7</v>
      </c>
      <c r="QI587" s="27" t="s">
        <v>8</v>
      </c>
      <c r="QR587" s="27" t="s">
        <v>7</v>
      </c>
      <c r="QS587" s="27" t="s">
        <v>8</v>
      </c>
      <c r="QT587" s="27" t="s">
        <v>7</v>
      </c>
      <c r="TI587" s="27" t="s">
        <v>8</v>
      </c>
      <c r="TJ587" s="27" t="s">
        <v>7</v>
      </c>
      <c r="UK587" s="27" t="s">
        <v>8</v>
      </c>
      <c r="UL587" s="27" t="s">
        <v>7</v>
      </c>
      <c r="UU587" s="27" t="s">
        <v>8</v>
      </c>
      <c r="WB587" s="27" t="s">
        <v>7</v>
      </c>
    </row>
    <row r="588" spans="1:602" x14ac:dyDescent="0.25">
      <c r="A588" s="7">
        <v>0.98039215686274506</v>
      </c>
      <c r="B588"/>
      <c r="C588"/>
      <c r="D588"/>
      <c r="E588"/>
      <c r="F588" s="27" t="s">
        <v>7</v>
      </c>
      <c r="NY588" s="27" t="s">
        <v>8</v>
      </c>
      <c r="NZ588" s="27" t="s">
        <v>7</v>
      </c>
      <c r="OK588" s="27" t="s">
        <v>8</v>
      </c>
      <c r="ON588" s="27" t="s">
        <v>7</v>
      </c>
      <c r="OO588" s="27" t="s">
        <v>8</v>
      </c>
      <c r="OP588" s="27" t="s">
        <v>7</v>
      </c>
      <c r="OW588" s="27" t="s">
        <v>8</v>
      </c>
      <c r="OX588" s="27" t="s">
        <v>7</v>
      </c>
      <c r="OY588" s="27" t="s">
        <v>8</v>
      </c>
      <c r="OZ588" s="27" t="s">
        <v>7</v>
      </c>
      <c r="PA588" s="27" t="s">
        <v>8</v>
      </c>
      <c r="QB588" s="27" t="s">
        <v>7</v>
      </c>
      <c r="QD588" s="27" t="s">
        <v>7</v>
      </c>
      <c r="QE588" s="27" t="s">
        <v>8</v>
      </c>
      <c r="QF588" s="27" t="s">
        <v>7</v>
      </c>
      <c r="QI588" s="27" t="s">
        <v>8</v>
      </c>
      <c r="QR588" s="27" t="s">
        <v>7</v>
      </c>
      <c r="QS588" s="27" t="s">
        <v>8</v>
      </c>
      <c r="QT588" s="27" t="s">
        <v>7</v>
      </c>
      <c r="QU588" s="27" t="s">
        <v>8</v>
      </c>
      <c r="TI588" s="27" t="s">
        <v>8</v>
      </c>
      <c r="TJ588" s="27" t="s">
        <v>7</v>
      </c>
      <c r="UK588" s="27" t="s">
        <v>8</v>
      </c>
      <c r="UL588" s="27" t="s">
        <v>7</v>
      </c>
      <c r="UU588" s="27" t="s">
        <v>8</v>
      </c>
    </row>
    <row r="589" spans="1:602" x14ac:dyDescent="0.25">
      <c r="A589" s="7">
        <v>0.96116878123798544</v>
      </c>
      <c r="B589"/>
      <c r="C589"/>
      <c r="D589"/>
      <c r="E589"/>
      <c r="F589" s="27" t="s">
        <v>7</v>
      </c>
      <c r="NY589" s="27" t="s">
        <v>8</v>
      </c>
      <c r="NZ589" s="27" t="s">
        <v>7</v>
      </c>
      <c r="OK589" s="27" t="s">
        <v>8</v>
      </c>
      <c r="ON589" s="27" t="s">
        <v>7</v>
      </c>
      <c r="OO589" s="27" t="s">
        <v>8</v>
      </c>
      <c r="OP589" s="27" t="s">
        <v>7</v>
      </c>
      <c r="OU589" s="27" t="s">
        <v>8</v>
      </c>
      <c r="OW589" s="27" t="s">
        <v>8</v>
      </c>
      <c r="OX589" s="27" t="s">
        <v>7</v>
      </c>
      <c r="OY589" s="27" t="s">
        <v>8</v>
      </c>
      <c r="OZ589" s="27" t="s">
        <v>7</v>
      </c>
      <c r="PA589" s="27" t="s">
        <v>8</v>
      </c>
      <c r="QD589" s="27" t="s">
        <v>7</v>
      </c>
      <c r="QF589" s="27" t="s">
        <v>7</v>
      </c>
      <c r="QI589" s="27" t="s">
        <v>8</v>
      </c>
      <c r="QR589" s="27" t="s">
        <v>7</v>
      </c>
      <c r="QS589" s="27" t="s">
        <v>8</v>
      </c>
      <c r="QT589" s="27" t="s">
        <v>7</v>
      </c>
      <c r="QU589" s="27" t="s">
        <v>8</v>
      </c>
      <c r="QV589" s="27" t="s">
        <v>7</v>
      </c>
      <c r="TI589" s="27" t="s">
        <v>8</v>
      </c>
      <c r="TJ589" s="27" t="s">
        <v>7</v>
      </c>
      <c r="UK589" s="27" t="s">
        <v>8</v>
      </c>
      <c r="UL589" s="27" t="s">
        <v>7</v>
      </c>
      <c r="UU589" s="27" t="s">
        <v>8</v>
      </c>
    </row>
    <row r="590" spans="1:602" x14ac:dyDescent="0.25">
      <c r="A590" s="7">
        <v>0.94232233454704462</v>
      </c>
      <c r="B590"/>
      <c r="C590"/>
      <c r="D590"/>
      <c r="E590"/>
      <c r="F590" s="27" t="s">
        <v>7</v>
      </c>
      <c r="NY590" s="27" t="s">
        <v>8</v>
      </c>
      <c r="NZ590" s="27" t="s">
        <v>7</v>
      </c>
      <c r="OK590" s="27" t="s">
        <v>8</v>
      </c>
      <c r="ON590" s="27" t="s">
        <v>7</v>
      </c>
      <c r="OP590" s="27" t="s">
        <v>7</v>
      </c>
      <c r="OU590" s="27" t="s">
        <v>8</v>
      </c>
      <c r="OV590" s="27" t="s">
        <v>7</v>
      </c>
      <c r="OW590" s="27" t="s">
        <v>8</v>
      </c>
      <c r="OX590" s="27" t="s">
        <v>7</v>
      </c>
      <c r="OY590" s="27" t="s">
        <v>8</v>
      </c>
      <c r="OZ590" s="27" t="s">
        <v>7</v>
      </c>
      <c r="PA590" s="27" t="s">
        <v>8</v>
      </c>
      <c r="QF590" s="27" t="s">
        <v>7</v>
      </c>
      <c r="QI590" s="27" t="s">
        <v>8</v>
      </c>
      <c r="QR590" s="27" t="s">
        <v>7</v>
      </c>
      <c r="QS590" s="27" t="s">
        <v>8</v>
      </c>
      <c r="QT590" s="27" t="s">
        <v>7</v>
      </c>
      <c r="QU590" s="27" t="s">
        <v>8</v>
      </c>
      <c r="QV590" s="27" t="s">
        <v>7</v>
      </c>
      <c r="SG590" s="27" t="s">
        <v>8</v>
      </c>
      <c r="SU590" s="27" t="s">
        <v>8</v>
      </c>
      <c r="TI590" s="27" t="s">
        <v>8</v>
      </c>
      <c r="TJ590" s="27" t="s">
        <v>7</v>
      </c>
      <c r="UK590" s="27" t="s">
        <v>8</v>
      </c>
      <c r="UL590" s="27" t="s">
        <v>7</v>
      </c>
      <c r="UU590" s="27" t="s">
        <v>8</v>
      </c>
    </row>
    <row r="591" spans="1:602" x14ac:dyDescent="0.25">
      <c r="A591" s="7">
        <v>0.92384542602651432</v>
      </c>
      <c r="B591"/>
      <c r="C591"/>
      <c r="D591"/>
      <c r="E591"/>
      <c r="F591" s="27" t="s">
        <v>7</v>
      </c>
      <c r="NY591" s="27" t="s">
        <v>8</v>
      </c>
      <c r="NZ591" s="27" t="s">
        <v>7</v>
      </c>
      <c r="OI591" s="27" t="s">
        <v>8</v>
      </c>
      <c r="OK591" s="27" t="s">
        <v>8</v>
      </c>
      <c r="OP591" s="27" t="s">
        <v>7</v>
      </c>
      <c r="OU591" s="27" t="s">
        <v>8</v>
      </c>
      <c r="OV591" s="27" t="s">
        <v>7</v>
      </c>
      <c r="OW591" s="27" t="s">
        <v>8</v>
      </c>
      <c r="OX591" s="27" t="s">
        <v>7</v>
      </c>
      <c r="OY591" s="27" t="s">
        <v>8</v>
      </c>
      <c r="OZ591" s="27" t="s">
        <v>7</v>
      </c>
      <c r="PA591" s="27" t="s">
        <v>8</v>
      </c>
      <c r="QF591" s="27" t="s">
        <v>7</v>
      </c>
      <c r="QI591" s="27" t="s">
        <v>8</v>
      </c>
      <c r="QR591" s="27" t="s">
        <v>7</v>
      </c>
      <c r="QS591" s="27" t="s">
        <v>8</v>
      </c>
      <c r="QT591" s="27" t="s">
        <v>7</v>
      </c>
      <c r="QU591" s="27" t="s">
        <v>8</v>
      </c>
      <c r="QV591" s="27" t="s">
        <v>7</v>
      </c>
      <c r="SG591" s="27" t="s">
        <v>8</v>
      </c>
      <c r="SH591" s="27" t="s">
        <v>7</v>
      </c>
      <c r="SU591" s="27" t="s">
        <v>8</v>
      </c>
      <c r="SV591" s="27" t="s">
        <v>7</v>
      </c>
      <c r="TI591" s="27" t="s">
        <v>8</v>
      </c>
      <c r="TJ591" s="27" t="s">
        <v>7</v>
      </c>
      <c r="TK591" s="27" t="s">
        <v>8</v>
      </c>
      <c r="UK591" s="27" t="s">
        <v>8</v>
      </c>
      <c r="UL591" s="27" t="s">
        <v>7</v>
      </c>
      <c r="UU591" s="27" t="s">
        <v>8</v>
      </c>
    </row>
    <row r="592" spans="1:602" x14ac:dyDescent="0.25">
      <c r="A592" s="7">
        <v>0.90573080982991594</v>
      </c>
      <c r="B592"/>
      <c r="C592"/>
      <c r="D592"/>
      <c r="E592"/>
      <c r="F592" s="27" t="s">
        <v>7</v>
      </c>
      <c r="NY592" s="27" t="s">
        <v>8</v>
      </c>
      <c r="NZ592" s="27" t="s">
        <v>7</v>
      </c>
      <c r="OI592" s="27" t="s">
        <v>8</v>
      </c>
      <c r="OJ592" s="27" t="s">
        <v>7</v>
      </c>
      <c r="OK592" s="27" t="s">
        <v>8</v>
      </c>
      <c r="OP592" s="27" t="s">
        <v>7</v>
      </c>
      <c r="OU592" s="27" t="s">
        <v>8</v>
      </c>
      <c r="OV592" s="27" t="s">
        <v>7</v>
      </c>
      <c r="OW592" s="27" t="s">
        <v>8</v>
      </c>
      <c r="OX592" s="27" t="s">
        <v>7</v>
      </c>
      <c r="OY592" s="27" t="s">
        <v>8</v>
      </c>
      <c r="OZ592" s="27" t="s">
        <v>7</v>
      </c>
      <c r="PA592" s="27" t="s">
        <v>8</v>
      </c>
      <c r="QF592" s="27" t="s">
        <v>7</v>
      </c>
      <c r="QI592" s="27" t="s">
        <v>8</v>
      </c>
      <c r="QR592" s="27" t="s">
        <v>7</v>
      </c>
      <c r="QT592" s="27" t="s">
        <v>7</v>
      </c>
      <c r="QU592" s="27" t="s">
        <v>8</v>
      </c>
      <c r="QV592" s="27" t="s">
        <v>7</v>
      </c>
      <c r="SG592" s="27" t="s">
        <v>8</v>
      </c>
      <c r="SH592" s="27" t="s">
        <v>7</v>
      </c>
      <c r="SU592" s="27" t="s">
        <v>8</v>
      </c>
      <c r="SV592" s="27" t="s">
        <v>7</v>
      </c>
      <c r="SY592" s="27" t="s">
        <v>8</v>
      </c>
      <c r="TI592" s="27" t="s">
        <v>8</v>
      </c>
      <c r="TJ592" s="27" t="s">
        <v>7</v>
      </c>
      <c r="TK592" s="27" t="s">
        <v>8</v>
      </c>
      <c r="TL592" s="27" t="s">
        <v>7</v>
      </c>
      <c r="UK592" s="27" t="s">
        <v>8</v>
      </c>
      <c r="UL592" s="27" t="s">
        <v>7</v>
      </c>
      <c r="UU592" s="27" t="s">
        <v>8</v>
      </c>
    </row>
    <row r="593" spans="1:567" x14ac:dyDescent="0.25">
      <c r="A593" s="7">
        <v>0.8879713821861922</v>
      </c>
      <c r="B593"/>
      <c r="C593"/>
      <c r="D593"/>
      <c r="E593"/>
      <c r="F593" s="27" t="s">
        <v>7</v>
      </c>
      <c r="NY593" s="27" t="s">
        <v>8</v>
      </c>
      <c r="NZ593" s="27" t="s">
        <v>7</v>
      </c>
      <c r="OI593" s="27" t="s">
        <v>8</v>
      </c>
      <c r="OJ593" s="27" t="s">
        <v>7</v>
      </c>
      <c r="OK593" s="27" t="s">
        <v>8</v>
      </c>
      <c r="OP593" s="27" t="s">
        <v>7</v>
      </c>
      <c r="OQ593" s="27" t="s">
        <v>8</v>
      </c>
      <c r="OU593" s="27" t="s">
        <v>8</v>
      </c>
      <c r="OV593" s="27" t="s">
        <v>7</v>
      </c>
      <c r="OW593" s="27" t="s">
        <v>8</v>
      </c>
      <c r="OX593" s="27" t="s">
        <v>7</v>
      </c>
      <c r="OY593" s="27" t="s">
        <v>8</v>
      </c>
      <c r="OZ593" s="27" t="s">
        <v>7</v>
      </c>
      <c r="QF593" s="27" t="s">
        <v>7</v>
      </c>
      <c r="QI593" s="27" t="s">
        <v>8</v>
      </c>
      <c r="QT593" s="27" t="s">
        <v>7</v>
      </c>
      <c r="QU593" s="27" t="s">
        <v>8</v>
      </c>
      <c r="QV593" s="27" t="s">
        <v>7</v>
      </c>
      <c r="SG593" s="27" t="s">
        <v>8</v>
      </c>
      <c r="SH593" s="27" t="s">
        <v>7</v>
      </c>
      <c r="SU593" s="27" t="s">
        <v>8</v>
      </c>
      <c r="SV593" s="27" t="s">
        <v>7</v>
      </c>
      <c r="SW593" s="27" t="s">
        <v>8</v>
      </c>
      <c r="SY593" s="27" t="s">
        <v>8</v>
      </c>
      <c r="SZ593" s="27" t="s">
        <v>7</v>
      </c>
      <c r="TI593" s="27" t="s">
        <v>8</v>
      </c>
      <c r="TJ593" s="27" t="s">
        <v>7</v>
      </c>
      <c r="TK593" s="27" t="s">
        <v>8</v>
      </c>
      <c r="TL593" s="27" t="s">
        <v>7</v>
      </c>
      <c r="UK593" s="27" t="s">
        <v>8</v>
      </c>
      <c r="UL593" s="27" t="s">
        <v>7</v>
      </c>
      <c r="UQ593" s="27" t="s">
        <v>8</v>
      </c>
      <c r="UU593" s="27" t="s">
        <v>8</v>
      </c>
    </row>
    <row r="594" spans="1:567" x14ac:dyDescent="0.25">
      <c r="A594" s="7">
        <v>0.87056017861391399</v>
      </c>
      <c r="B594"/>
      <c r="C594"/>
      <c r="D594"/>
      <c r="E594"/>
      <c r="F594" s="27" t="s">
        <v>7</v>
      </c>
      <c r="NY594" s="27" t="s">
        <v>8</v>
      </c>
      <c r="NZ594" s="27" t="s">
        <v>7</v>
      </c>
      <c r="OI594" s="27" t="s">
        <v>8</v>
      </c>
      <c r="OJ594" s="27" t="s">
        <v>7</v>
      </c>
      <c r="OK594" s="27" t="s">
        <v>8</v>
      </c>
      <c r="OP594" s="27" t="s">
        <v>7</v>
      </c>
      <c r="OQ594" s="27" t="s">
        <v>8</v>
      </c>
      <c r="OR594" s="27" t="s">
        <v>7</v>
      </c>
      <c r="OU594" s="27" t="s">
        <v>8</v>
      </c>
      <c r="OV594" s="27" t="s">
        <v>7</v>
      </c>
      <c r="OW594" s="27" t="s">
        <v>8</v>
      </c>
      <c r="OX594" s="27" t="s">
        <v>7</v>
      </c>
      <c r="OY594" s="27" t="s">
        <v>8</v>
      </c>
      <c r="QF594" s="27" t="s">
        <v>7</v>
      </c>
      <c r="QG594" s="27" t="s">
        <v>8</v>
      </c>
      <c r="QI594" s="27" t="s">
        <v>8</v>
      </c>
      <c r="QT594" s="27" t="s">
        <v>7</v>
      </c>
      <c r="QU594" s="27" t="s">
        <v>8</v>
      </c>
      <c r="QV594" s="27" t="s">
        <v>7</v>
      </c>
      <c r="QW594" s="27" t="s">
        <v>8</v>
      </c>
      <c r="SG594" s="27" t="s">
        <v>8</v>
      </c>
      <c r="SH594" s="27" t="s">
        <v>7</v>
      </c>
      <c r="SM594" s="27" t="s">
        <v>8</v>
      </c>
      <c r="SU594" s="27" t="s">
        <v>8</v>
      </c>
      <c r="SV594" s="27" t="s">
        <v>7</v>
      </c>
      <c r="SW594" s="27" t="s">
        <v>8</v>
      </c>
      <c r="SX594" s="27" t="s">
        <v>7</v>
      </c>
      <c r="SY594" s="27" t="s">
        <v>8</v>
      </c>
      <c r="SZ594" s="27" t="s">
        <v>7</v>
      </c>
      <c r="TI594" s="27" t="s">
        <v>8</v>
      </c>
      <c r="TJ594" s="27" t="s">
        <v>7</v>
      </c>
      <c r="TK594" s="27" t="s">
        <v>8</v>
      </c>
      <c r="TL594" s="27" t="s">
        <v>7</v>
      </c>
      <c r="UG594" s="27" t="s">
        <v>8</v>
      </c>
      <c r="UK594" s="27" t="s">
        <v>8</v>
      </c>
      <c r="UL594" s="27" t="s">
        <v>7</v>
      </c>
      <c r="UQ594" s="27" t="s">
        <v>8</v>
      </c>
      <c r="UR594" s="27" t="s">
        <v>7</v>
      </c>
      <c r="UU594" s="27" t="s">
        <v>8</v>
      </c>
    </row>
    <row r="595" spans="1:567" x14ac:dyDescent="0.25">
      <c r="A595" s="7">
        <v>0.85349037119011173</v>
      </c>
      <c r="B595"/>
      <c r="C595"/>
      <c r="D595"/>
      <c r="E595"/>
      <c r="F595" s="27" t="s">
        <v>7</v>
      </c>
      <c r="NY595" s="27" t="s">
        <v>8</v>
      </c>
      <c r="NZ595" s="27" t="s">
        <v>7</v>
      </c>
      <c r="OI595" s="27" t="s">
        <v>8</v>
      </c>
      <c r="OJ595" s="27" t="s">
        <v>7</v>
      </c>
      <c r="OK595" s="27" t="s">
        <v>8</v>
      </c>
      <c r="OP595" s="27" t="s">
        <v>7</v>
      </c>
      <c r="OQ595" s="27" t="s">
        <v>8</v>
      </c>
      <c r="OR595" s="27" t="s">
        <v>7</v>
      </c>
      <c r="OU595" s="27" t="s">
        <v>8</v>
      </c>
      <c r="OV595" s="27" t="s">
        <v>7</v>
      </c>
      <c r="OW595" s="27" t="s">
        <v>8</v>
      </c>
      <c r="OX595" s="27" t="s">
        <v>7</v>
      </c>
      <c r="OY595" s="27" t="s">
        <v>8</v>
      </c>
      <c r="QF595" s="27" t="s">
        <v>7</v>
      </c>
      <c r="QG595" s="27" t="s">
        <v>8</v>
      </c>
      <c r="QH595" s="27" t="s">
        <v>7</v>
      </c>
      <c r="QI595" s="27" t="s">
        <v>8</v>
      </c>
      <c r="QT595" s="27" t="s">
        <v>7</v>
      </c>
      <c r="QU595" s="27" t="s">
        <v>8</v>
      </c>
      <c r="QV595" s="27" t="s">
        <v>7</v>
      </c>
      <c r="QW595" s="27" t="s">
        <v>8</v>
      </c>
      <c r="QX595" s="27" t="s">
        <v>7</v>
      </c>
      <c r="SG595" s="27" t="s">
        <v>8</v>
      </c>
      <c r="SH595" s="27" t="s">
        <v>7</v>
      </c>
      <c r="SM595" s="27" t="s">
        <v>8</v>
      </c>
      <c r="SN595" s="27" t="s">
        <v>7</v>
      </c>
      <c r="SU595" s="27" t="s">
        <v>8</v>
      </c>
      <c r="SV595" s="27" t="s">
        <v>7</v>
      </c>
      <c r="SW595" s="27" t="s">
        <v>8</v>
      </c>
      <c r="SX595" s="27" t="s">
        <v>7</v>
      </c>
      <c r="SY595" s="27" t="s">
        <v>8</v>
      </c>
      <c r="SZ595" s="27" t="s">
        <v>7</v>
      </c>
      <c r="TI595" s="27" t="s">
        <v>8</v>
      </c>
      <c r="TJ595" s="27" t="s">
        <v>7</v>
      </c>
      <c r="TK595" s="27" t="s">
        <v>8</v>
      </c>
      <c r="TL595" s="27" t="s">
        <v>7</v>
      </c>
      <c r="UG595" s="27" t="s">
        <v>8</v>
      </c>
      <c r="UH595" s="27" t="s">
        <v>7</v>
      </c>
      <c r="UK595" s="27" t="s">
        <v>8</v>
      </c>
      <c r="UL595" s="27" t="s">
        <v>7</v>
      </c>
      <c r="UQ595" s="27" t="s">
        <v>8</v>
      </c>
      <c r="UR595" s="27" t="s">
        <v>7</v>
      </c>
      <c r="UU595" s="27" t="s">
        <v>8</v>
      </c>
    </row>
    <row r="596" spans="1:567" x14ac:dyDescent="0.25">
      <c r="A596" s="7">
        <v>0.83675526587265858</v>
      </c>
      <c r="B596"/>
      <c r="C596"/>
      <c r="D596"/>
      <c r="E596"/>
      <c r="F596" s="27" t="s">
        <v>7</v>
      </c>
      <c r="NY596" s="27" t="s">
        <v>8</v>
      </c>
      <c r="NZ596" s="27" t="s">
        <v>7</v>
      </c>
      <c r="OI596" s="27" t="s">
        <v>8</v>
      </c>
      <c r="OJ596" s="27" t="s">
        <v>7</v>
      </c>
      <c r="OK596" s="27" t="s">
        <v>8</v>
      </c>
      <c r="OP596" s="27" t="s">
        <v>7</v>
      </c>
      <c r="OQ596" s="27" t="s">
        <v>8</v>
      </c>
      <c r="OR596" s="27" t="s">
        <v>7</v>
      </c>
      <c r="OU596" s="27" t="s">
        <v>8</v>
      </c>
      <c r="OV596" s="27" t="s">
        <v>7</v>
      </c>
      <c r="OW596" s="27" t="s">
        <v>8</v>
      </c>
      <c r="OX596" s="27" t="s">
        <v>7</v>
      </c>
      <c r="QF596" s="27" t="s">
        <v>7</v>
      </c>
      <c r="QG596" s="27" t="s">
        <v>8</v>
      </c>
      <c r="QH596" s="27" t="s">
        <v>7</v>
      </c>
      <c r="QI596" s="27" t="s">
        <v>8</v>
      </c>
      <c r="QT596" s="27" t="s">
        <v>7</v>
      </c>
      <c r="QU596" s="27" t="s">
        <v>8</v>
      </c>
      <c r="QV596" s="27" t="s">
        <v>7</v>
      </c>
      <c r="QW596" s="27" t="s">
        <v>8</v>
      </c>
      <c r="QX596" s="27" t="s">
        <v>7</v>
      </c>
      <c r="RK596" s="27" t="s">
        <v>8</v>
      </c>
      <c r="SG596" s="27" t="s">
        <v>8</v>
      </c>
      <c r="SH596" s="27" t="s">
        <v>7</v>
      </c>
      <c r="SM596" s="27" t="s">
        <v>8</v>
      </c>
      <c r="SN596" s="27" t="s">
        <v>7</v>
      </c>
      <c r="SU596" s="27" t="s">
        <v>8</v>
      </c>
      <c r="SV596" s="27" t="s">
        <v>7</v>
      </c>
      <c r="SW596" s="27" t="s">
        <v>8</v>
      </c>
      <c r="SX596" s="27" t="s">
        <v>7</v>
      </c>
      <c r="SY596" s="27" t="s">
        <v>8</v>
      </c>
      <c r="SZ596" s="27" t="s">
        <v>7</v>
      </c>
      <c r="TA596" s="27" t="s">
        <v>8</v>
      </c>
      <c r="TI596" s="27" t="s">
        <v>8</v>
      </c>
      <c r="TJ596" s="27" t="s">
        <v>7</v>
      </c>
      <c r="TK596" s="27" t="s">
        <v>8</v>
      </c>
      <c r="TL596" s="27" t="s">
        <v>7</v>
      </c>
      <c r="TM596" s="27" t="s">
        <v>8</v>
      </c>
      <c r="UG596" s="27" t="s">
        <v>8</v>
      </c>
      <c r="UH596" s="27" t="s">
        <v>7</v>
      </c>
      <c r="UK596" s="27" t="s">
        <v>8</v>
      </c>
      <c r="UL596" s="27" t="s">
        <v>7</v>
      </c>
      <c r="UQ596" s="27" t="s">
        <v>8</v>
      </c>
      <c r="UR596" s="27" t="s">
        <v>7</v>
      </c>
      <c r="US596" s="27" t="s">
        <v>8</v>
      </c>
      <c r="UU596" s="27" t="s">
        <v>8</v>
      </c>
    </row>
    <row r="597" spans="1:567" x14ac:dyDescent="0.25">
      <c r="A597" s="7">
        <v>0.82034829987515545</v>
      </c>
      <c r="B597"/>
      <c r="C597"/>
      <c r="D597"/>
      <c r="E597"/>
      <c r="F597" s="27" t="s">
        <v>7</v>
      </c>
      <c r="NY597" s="27" t="s">
        <v>8</v>
      </c>
      <c r="NZ597" s="27" t="s">
        <v>7</v>
      </c>
      <c r="OI597" s="27" t="s">
        <v>8</v>
      </c>
      <c r="OJ597" s="27" t="s">
        <v>7</v>
      </c>
      <c r="OK597" s="27" t="s">
        <v>8</v>
      </c>
      <c r="OP597" s="27" t="s">
        <v>7</v>
      </c>
      <c r="OQ597" s="27" t="s">
        <v>8</v>
      </c>
      <c r="OR597" s="27" t="s">
        <v>7</v>
      </c>
      <c r="OU597" s="27" t="s">
        <v>8</v>
      </c>
      <c r="OV597" s="27" t="s">
        <v>7</v>
      </c>
      <c r="OW597" s="27" t="s">
        <v>8</v>
      </c>
      <c r="QF597" s="27" t="s">
        <v>7</v>
      </c>
      <c r="QG597" s="27" t="s">
        <v>8</v>
      </c>
      <c r="QH597" s="27" t="s">
        <v>7</v>
      </c>
      <c r="QI597" s="27" t="s">
        <v>8</v>
      </c>
      <c r="QT597" s="27" t="s">
        <v>7</v>
      </c>
      <c r="QU597" s="27" t="s">
        <v>8</v>
      </c>
      <c r="QV597" s="27" t="s">
        <v>7</v>
      </c>
      <c r="QW597" s="27" t="s">
        <v>8</v>
      </c>
      <c r="QX597" s="27" t="s">
        <v>7</v>
      </c>
      <c r="RK597" s="27" t="s">
        <v>8</v>
      </c>
      <c r="RL597" s="27" t="s">
        <v>7</v>
      </c>
      <c r="SG597" s="27" t="s">
        <v>8</v>
      </c>
      <c r="SH597" s="27" t="s">
        <v>7</v>
      </c>
      <c r="SM597" s="27" t="s">
        <v>8</v>
      </c>
      <c r="SN597" s="27" t="s">
        <v>7</v>
      </c>
      <c r="SU597" s="27" t="s">
        <v>8</v>
      </c>
      <c r="SV597" s="27" t="s">
        <v>7</v>
      </c>
      <c r="SW597" s="27" t="s">
        <v>8</v>
      </c>
      <c r="SX597" s="27" t="s">
        <v>7</v>
      </c>
      <c r="SY597" s="27" t="s">
        <v>8</v>
      </c>
      <c r="SZ597" s="27" t="s">
        <v>7</v>
      </c>
      <c r="TA597" s="27" t="s">
        <v>8</v>
      </c>
      <c r="TB597" s="27" t="s">
        <v>7</v>
      </c>
      <c r="TC597" s="27" t="s">
        <v>8</v>
      </c>
      <c r="TI597" s="27" t="s">
        <v>8</v>
      </c>
      <c r="TJ597" s="27" t="s">
        <v>7</v>
      </c>
      <c r="TK597" s="27" t="s">
        <v>8</v>
      </c>
      <c r="TL597" s="27" t="s">
        <v>7</v>
      </c>
      <c r="TM597" s="27" t="s">
        <v>8</v>
      </c>
      <c r="TN597" s="27" t="s">
        <v>7</v>
      </c>
      <c r="TY597" s="27" t="s">
        <v>8</v>
      </c>
      <c r="UG597" s="27" t="s">
        <v>8</v>
      </c>
      <c r="UH597" s="27" t="s">
        <v>7</v>
      </c>
      <c r="UK597" s="27" t="s">
        <v>8</v>
      </c>
      <c r="UL597" s="27" t="s">
        <v>7</v>
      </c>
      <c r="UM597" s="27" t="s">
        <v>8</v>
      </c>
      <c r="UQ597" s="27" t="s">
        <v>8</v>
      </c>
      <c r="UR597" s="27" t="s">
        <v>7</v>
      </c>
      <c r="US597" s="27" t="s">
        <v>8</v>
      </c>
      <c r="UT597" s="27" t="s">
        <v>7</v>
      </c>
      <c r="UU597" s="27" t="s">
        <v>8</v>
      </c>
    </row>
    <row r="598" spans="1:567" x14ac:dyDescent="0.25">
      <c r="A598" s="7">
        <v>0.80426303909328967</v>
      </c>
      <c r="B598"/>
      <c r="C598"/>
      <c r="D598"/>
      <c r="E598"/>
      <c r="F598" s="27" t="s">
        <v>7</v>
      </c>
      <c r="NY598" s="27" t="s">
        <v>8</v>
      </c>
      <c r="NZ598" s="27" t="s">
        <v>7</v>
      </c>
      <c r="OI598" s="27" t="s">
        <v>8</v>
      </c>
      <c r="OJ598" s="27" t="s">
        <v>7</v>
      </c>
      <c r="OK598" s="27" t="s">
        <v>8</v>
      </c>
      <c r="OP598" s="27" t="s">
        <v>7</v>
      </c>
      <c r="OQ598" s="27" t="s">
        <v>8</v>
      </c>
      <c r="OR598" s="27" t="s">
        <v>7</v>
      </c>
      <c r="OU598" s="27" t="s">
        <v>8</v>
      </c>
      <c r="OV598" s="27" t="s">
        <v>7</v>
      </c>
      <c r="QF598" s="27" t="s">
        <v>7</v>
      </c>
      <c r="QG598" s="27" t="s">
        <v>8</v>
      </c>
      <c r="QH598" s="27" t="s">
        <v>7</v>
      </c>
      <c r="QI598" s="27" t="s">
        <v>8</v>
      </c>
      <c r="QT598" s="27" t="s">
        <v>7</v>
      </c>
      <c r="QV598" s="27" t="s">
        <v>7</v>
      </c>
      <c r="QW598" s="27" t="s">
        <v>8</v>
      </c>
      <c r="QX598" s="27" t="s">
        <v>7</v>
      </c>
      <c r="RK598" s="27" t="s">
        <v>8</v>
      </c>
      <c r="RL598" s="27" t="s">
        <v>7</v>
      </c>
      <c r="RM598" s="27" t="s">
        <v>8</v>
      </c>
      <c r="SG598" s="27" t="s">
        <v>8</v>
      </c>
      <c r="SH598" s="27" t="s">
        <v>7</v>
      </c>
      <c r="SM598" s="27" t="s">
        <v>8</v>
      </c>
      <c r="SN598" s="27" t="s">
        <v>7</v>
      </c>
      <c r="SU598" s="27" t="s">
        <v>8</v>
      </c>
      <c r="SV598" s="27" t="s">
        <v>7</v>
      </c>
      <c r="SW598" s="27" t="s">
        <v>8</v>
      </c>
      <c r="SX598" s="27" t="s">
        <v>7</v>
      </c>
      <c r="SY598" s="27" t="s">
        <v>8</v>
      </c>
      <c r="SZ598" s="27" t="s">
        <v>7</v>
      </c>
      <c r="TA598" s="27" t="s">
        <v>8</v>
      </c>
      <c r="TB598" s="27" t="s">
        <v>7</v>
      </c>
      <c r="TC598" s="27" t="s">
        <v>8</v>
      </c>
      <c r="TD598" s="27" t="s">
        <v>7</v>
      </c>
      <c r="TI598" s="27" t="s">
        <v>8</v>
      </c>
      <c r="TJ598" s="27" t="s">
        <v>7</v>
      </c>
      <c r="TK598" s="27" t="s">
        <v>8</v>
      </c>
      <c r="TL598" s="27" t="s">
        <v>7</v>
      </c>
      <c r="TM598" s="27" t="s">
        <v>8</v>
      </c>
      <c r="TN598" s="27" t="s">
        <v>7</v>
      </c>
      <c r="TY598" s="27" t="s">
        <v>8</v>
      </c>
      <c r="TZ598" s="27" t="s">
        <v>7</v>
      </c>
      <c r="UG598" s="27" t="s">
        <v>8</v>
      </c>
      <c r="UH598" s="27" t="s">
        <v>7</v>
      </c>
      <c r="UK598" s="27" t="s">
        <v>8</v>
      </c>
      <c r="UL598" s="27" t="s">
        <v>7</v>
      </c>
      <c r="UM598" s="27" t="s">
        <v>8</v>
      </c>
      <c r="UN598" s="27" t="s">
        <v>7</v>
      </c>
      <c r="UO598" s="27" t="s">
        <v>8</v>
      </c>
      <c r="UQ598" s="27" t="s">
        <v>8</v>
      </c>
      <c r="UR598" s="27" t="s">
        <v>7</v>
      </c>
      <c r="US598" s="27" t="s">
        <v>8</v>
      </c>
      <c r="UT598" s="27" t="s">
        <v>7</v>
      </c>
      <c r="UU598" s="27" t="s">
        <v>8</v>
      </c>
    </row>
    <row r="599" spans="1:567" x14ac:dyDescent="0.25">
      <c r="A599" s="7">
        <v>0.78849317558165644</v>
      </c>
      <c r="B599"/>
      <c r="C599"/>
      <c r="D599"/>
      <c r="E599"/>
      <c r="F599" s="27" t="s">
        <v>7</v>
      </c>
      <c r="NY599" s="27" t="s">
        <v>8</v>
      </c>
      <c r="NZ599" s="27" t="s">
        <v>7</v>
      </c>
      <c r="OI599" s="27" t="s">
        <v>8</v>
      </c>
      <c r="OJ599" s="27" t="s">
        <v>7</v>
      </c>
      <c r="OK599" s="27" t="s">
        <v>8</v>
      </c>
      <c r="OP599" s="27" t="s">
        <v>7</v>
      </c>
      <c r="OQ599" s="27" t="s">
        <v>8</v>
      </c>
      <c r="OR599" s="27" t="s">
        <v>7</v>
      </c>
      <c r="OU599" s="27" t="s">
        <v>8</v>
      </c>
      <c r="QF599" s="27" t="s">
        <v>7</v>
      </c>
      <c r="QG599" s="27" t="s">
        <v>8</v>
      </c>
      <c r="QH599" s="27" t="s">
        <v>7</v>
      </c>
      <c r="QI599" s="27" t="s">
        <v>8</v>
      </c>
      <c r="QV599" s="27" t="s">
        <v>7</v>
      </c>
      <c r="QW599" s="27" t="s">
        <v>8</v>
      </c>
      <c r="QX599" s="27" t="s">
        <v>7</v>
      </c>
      <c r="RK599" s="27" t="s">
        <v>8</v>
      </c>
      <c r="RL599" s="27" t="s">
        <v>7</v>
      </c>
      <c r="RM599" s="27" t="s">
        <v>8</v>
      </c>
      <c r="RN599" s="27" t="s">
        <v>7</v>
      </c>
      <c r="SG599" s="27" t="s">
        <v>8</v>
      </c>
      <c r="SH599" s="27" t="s">
        <v>7</v>
      </c>
      <c r="SM599" s="27" t="s">
        <v>8</v>
      </c>
      <c r="SN599" s="27" t="s">
        <v>7</v>
      </c>
      <c r="SU599" s="27" t="s">
        <v>8</v>
      </c>
      <c r="SV599" s="27" t="s">
        <v>7</v>
      </c>
      <c r="SX599" s="27" t="s">
        <v>7</v>
      </c>
      <c r="SY599" s="27" t="s">
        <v>8</v>
      </c>
      <c r="SZ599" s="27" t="s">
        <v>7</v>
      </c>
      <c r="TA599" s="27" t="s">
        <v>8</v>
      </c>
      <c r="TB599" s="27" t="s">
        <v>7</v>
      </c>
      <c r="TC599" s="27" t="s">
        <v>8</v>
      </c>
      <c r="TD599" s="27" t="s">
        <v>7</v>
      </c>
      <c r="TE599" s="27" t="s">
        <v>8</v>
      </c>
      <c r="TG599" s="27" t="s">
        <v>8</v>
      </c>
      <c r="TI599" s="27" t="s">
        <v>8</v>
      </c>
      <c r="TJ599" s="27" t="s">
        <v>7</v>
      </c>
      <c r="TK599" s="27" t="s">
        <v>8</v>
      </c>
      <c r="TL599" s="27" t="s">
        <v>7</v>
      </c>
      <c r="TM599" s="27" t="s">
        <v>8</v>
      </c>
      <c r="TN599" s="27" t="s">
        <v>7</v>
      </c>
      <c r="TY599" s="27" t="s">
        <v>8</v>
      </c>
      <c r="TZ599" s="27" t="s">
        <v>7</v>
      </c>
      <c r="UE599" s="27" t="s">
        <v>8</v>
      </c>
      <c r="UG599" s="27" t="s">
        <v>8</v>
      </c>
      <c r="UH599" s="27" t="s">
        <v>7</v>
      </c>
      <c r="UK599" s="27" t="s">
        <v>8</v>
      </c>
      <c r="UL599" s="27" t="s">
        <v>7</v>
      </c>
      <c r="UM599" s="27" t="s">
        <v>8</v>
      </c>
      <c r="UN599" s="27" t="s">
        <v>7</v>
      </c>
      <c r="UO599" s="27" t="s">
        <v>8</v>
      </c>
      <c r="UP599" s="27" t="s">
        <v>7</v>
      </c>
      <c r="UQ599" s="27" t="s">
        <v>8</v>
      </c>
      <c r="UR599" s="27" t="s">
        <v>7</v>
      </c>
      <c r="US599" s="27" t="s">
        <v>8</v>
      </c>
      <c r="UT599" s="27" t="s">
        <v>7</v>
      </c>
      <c r="UU599" s="27" t="s">
        <v>8</v>
      </c>
    </row>
    <row r="600" spans="1:567" x14ac:dyDescent="0.25">
      <c r="A600" s="7">
        <v>0.77303252508005538</v>
      </c>
      <c r="B600"/>
      <c r="C600"/>
      <c r="D600"/>
      <c r="E600"/>
      <c r="F600" s="27" t="s">
        <v>7</v>
      </c>
      <c r="NY600" s="27" t="s">
        <v>8</v>
      </c>
      <c r="NZ600" s="27" t="s">
        <v>7</v>
      </c>
      <c r="OI600" s="27" t="s">
        <v>8</v>
      </c>
      <c r="OJ600" s="27" t="s">
        <v>7</v>
      </c>
      <c r="OK600" s="27" t="s">
        <v>8</v>
      </c>
      <c r="OP600" s="27" t="s">
        <v>7</v>
      </c>
      <c r="OQ600" s="27" t="s">
        <v>8</v>
      </c>
      <c r="OR600" s="27" t="s">
        <v>7</v>
      </c>
      <c r="OU600" s="27" t="s">
        <v>8</v>
      </c>
      <c r="QF600" s="27" t="s">
        <v>7</v>
      </c>
      <c r="QG600" s="27" t="s">
        <v>8</v>
      </c>
      <c r="QH600" s="27" t="s">
        <v>7</v>
      </c>
      <c r="QI600" s="27" t="s">
        <v>8</v>
      </c>
      <c r="QV600" s="27" t="s">
        <v>7</v>
      </c>
      <c r="QX600" s="27" t="s">
        <v>7</v>
      </c>
      <c r="RK600" s="27" t="s">
        <v>8</v>
      </c>
      <c r="RL600" s="27" t="s">
        <v>7</v>
      </c>
      <c r="RM600" s="27" t="s">
        <v>8</v>
      </c>
      <c r="RN600" s="27" t="s">
        <v>7</v>
      </c>
      <c r="SG600" s="27" t="s">
        <v>8</v>
      </c>
      <c r="SH600" s="27" t="s">
        <v>7</v>
      </c>
      <c r="SM600" s="27" t="s">
        <v>8</v>
      </c>
      <c r="SN600" s="27" t="s">
        <v>7</v>
      </c>
      <c r="SO600" s="27" t="s">
        <v>8</v>
      </c>
      <c r="SS600" s="27" t="s">
        <v>8</v>
      </c>
      <c r="SU600" s="27" t="s">
        <v>8</v>
      </c>
      <c r="SX600" s="27" t="s">
        <v>7</v>
      </c>
      <c r="SY600" s="27" t="s">
        <v>8</v>
      </c>
      <c r="SZ600" s="27" t="s">
        <v>7</v>
      </c>
      <c r="TA600" s="27" t="s">
        <v>8</v>
      </c>
      <c r="TB600" s="27" t="s">
        <v>7</v>
      </c>
      <c r="TC600" s="27" t="s">
        <v>8</v>
      </c>
      <c r="TD600" s="27" t="s">
        <v>7</v>
      </c>
      <c r="TE600" s="27" t="s">
        <v>8</v>
      </c>
      <c r="TF600" s="27" t="s">
        <v>7</v>
      </c>
      <c r="TG600" s="27" t="s">
        <v>8</v>
      </c>
      <c r="TH600" s="27" t="s">
        <v>7</v>
      </c>
      <c r="TI600" s="27" t="s">
        <v>8</v>
      </c>
      <c r="TJ600" s="27" t="s">
        <v>7</v>
      </c>
      <c r="TK600" s="27" t="s">
        <v>8</v>
      </c>
      <c r="TL600" s="27" t="s">
        <v>7</v>
      </c>
      <c r="TM600" s="27" t="s">
        <v>8</v>
      </c>
      <c r="TN600" s="27" t="s">
        <v>7</v>
      </c>
      <c r="TO600" s="27" t="s">
        <v>8</v>
      </c>
      <c r="TY600" s="27" t="s">
        <v>8</v>
      </c>
      <c r="TZ600" s="27" t="s">
        <v>7</v>
      </c>
      <c r="UE600" s="27" t="s">
        <v>8</v>
      </c>
      <c r="UF600" s="27" t="s">
        <v>7</v>
      </c>
      <c r="UG600" s="27" t="s">
        <v>8</v>
      </c>
      <c r="UH600" s="27" t="s">
        <v>7</v>
      </c>
      <c r="UK600" s="27" t="s">
        <v>8</v>
      </c>
      <c r="UL600" s="27" t="s">
        <v>7</v>
      </c>
      <c r="UM600" s="27" t="s">
        <v>8</v>
      </c>
      <c r="UN600" s="27" t="s">
        <v>7</v>
      </c>
      <c r="UO600" s="27" t="s">
        <v>8</v>
      </c>
      <c r="UP600" s="27" t="s">
        <v>7</v>
      </c>
      <c r="UQ600" s="27" t="s">
        <v>8</v>
      </c>
      <c r="UR600" s="27" t="s">
        <v>7</v>
      </c>
      <c r="US600" s="27" t="s">
        <v>8</v>
      </c>
      <c r="UT600" s="27" t="s">
        <v>7</v>
      </c>
      <c r="UU600" s="27" t="s">
        <v>8</v>
      </c>
    </row>
    <row r="601" spans="1:567" x14ac:dyDescent="0.25">
      <c r="A601" s="7">
        <v>0.75787502458828959</v>
      </c>
      <c r="B601"/>
      <c r="C601"/>
      <c r="D601"/>
      <c r="E601"/>
      <c r="F601" s="27" t="s">
        <v>7</v>
      </c>
      <c r="NY601" s="27" t="s">
        <v>8</v>
      </c>
      <c r="NZ601" s="27" t="s">
        <v>7</v>
      </c>
      <c r="OI601" s="27" t="s">
        <v>8</v>
      </c>
      <c r="OJ601" s="27" t="s">
        <v>7</v>
      </c>
      <c r="OK601" s="27" t="s">
        <v>8</v>
      </c>
      <c r="OP601" s="27" t="s">
        <v>7</v>
      </c>
      <c r="OQ601" s="27" t="s">
        <v>8</v>
      </c>
      <c r="OR601" s="27" t="s">
        <v>7</v>
      </c>
      <c r="OU601" s="27" t="s">
        <v>8</v>
      </c>
      <c r="QF601" s="27" t="s">
        <v>7</v>
      </c>
      <c r="QG601" s="27" t="s">
        <v>8</v>
      </c>
      <c r="QH601" s="27" t="s">
        <v>7</v>
      </c>
      <c r="QI601" s="27" t="s">
        <v>8</v>
      </c>
      <c r="QX601" s="27" t="s">
        <v>7</v>
      </c>
      <c r="RK601" s="27" t="s">
        <v>8</v>
      </c>
      <c r="RL601" s="27" t="s">
        <v>7</v>
      </c>
      <c r="RM601" s="27" t="s">
        <v>8</v>
      </c>
      <c r="RN601" s="27" t="s">
        <v>7</v>
      </c>
      <c r="SG601" s="27" t="s">
        <v>8</v>
      </c>
      <c r="SH601" s="27" t="s">
        <v>7</v>
      </c>
      <c r="SM601" s="27" t="s">
        <v>8</v>
      </c>
      <c r="SN601" s="27" t="s">
        <v>7</v>
      </c>
      <c r="SO601" s="27" t="s">
        <v>8</v>
      </c>
      <c r="SP601" s="27" t="s">
        <v>7</v>
      </c>
      <c r="SQ601" s="27" t="s">
        <v>8</v>
      </c>
      <c r="SS601" s="27" t="s">
        <v>8</v>
      </c>
      <c r="ST601" s="27" t="s">
        <v>7</v>
      </c>
      <c r="SU601" s="27" t="s">
        <v>8</v>
      </c>
      <c r="SX601" s="27" t="s">
        <v>7</v>
      </c>
      <c r="SZ601" s="27" t="s">
        <v>7</v>
      </c>
      <c r="TA601" s="27" t="s">
        <v>8</v>
      </c>
      <c r="TB601" s="27" t="s">
        <v>7</v>
      </c>
      <c r="TC601" s="27" t="s">
        <v>8</v>
      </c>
      <c r="TD601" s="27" t="s">
        <v>7</v>
      </c>
      <c r="TE601" s="27" t="s">
        <v>8</v>
      </c>
      <c r="TF601" s="27" t="s">
        <v>7</v>
      </c>
      <c r="TG601" s="27" t="s">
        <v>8</v>
      </c>
      <c r="TH601" s="27" t="s">
        <v>7</v>
      </c>
      <c r="TI601" s="27" t="s">
        <v>8</v>
      </c>
      <c r="TJ601" s="27" t="s">
        <v>7</v>
      </c>
      <c r="TK601" s="27" t="s">
        <v>8</v>
      </c>
      <c r="TL601" s="27" t="s">
        <v>7</v>
      </c>
      <c r="TM601" s="27" t="s">
        <v>8</v>
      </c>
      <c r="TN601" s="27" t="s">
        <v>7</v>
      </c>
      <c r="TO601" s="27" t="s">
        <v>8</v>
      </c>
      <c r="TP601" s="27" t="s">
        <v>7</v>
      </c>
      <c r="TY601" s="27" t="s">
        <v>8</v>
      </c>
      <c r="TZ601" s="27" t="s">
        <v>7</v>
      </c>
      <c r="UE601" s="27" t="s">
        <v>8</v>
      </c>
      <c r="UF601" s="27" t="s">
        <v>7</v>
      </c>
      <c r="UG601" s="27" t="s">
        <v>8</v>
      </c>
      <c r="UH601" s="27" t="s">
        <v>7</v>
      </c>
      <c r="UK601" s="27" t="s">
        <v>8</v>
      </c>
      <c r="UL601" s="27" t="s">
        <v>7</v>
      </c>
      <c r="UN601" s="27" t="s">
        <v>7</v>
      </c>
      <c r="UO601" s="27" t="s">
        <v>8</v>
      </c>
      <c r="UP601" s="27" t="s">
        <v>7</v>
      </c>
      <c r="UR601" s="27" t="s">
        <v>7</v>
      </c>
      <c r="UT601" s="27" t="s">
        <v>7</v>
      </c>
      <c r="UU601" s="27" t="s">
        <v>8</v>
      </c>
    </row>
    <row r="602" spans="1:567" x14ac:dyDescent="0.25">
      <c r="A602" s="7">
        <v>0.74301472998851925</v>
      </c>
      <c r="B602"/>
      <c r="C602"/>
      <c r="D602"/>
      <c r="E602"/>
      <c r="F602" s="27" t="s">
        <v>7</v>
      </c>
      <c r="NY602" s="27" t="s">
        <v>8</v>
      </c>
      <c r="NZ602" s="27" t="s">
        <v>7</v>
      </c>
      <c r="OG602" s="27" t="s">
        <v>8</v>
      </c>
      <c r="OI602" s="27" t="s">
        <v>8</v>
      </c>
      <c r="OJ602" s="27" t="s">
        <v>7</v>
      </c>
      <c r="OK602" s="27" t="s">
        <v>8</v>
      </c>
      <c r="OP602" s="27" t="s">
        <v>7</v>
      </c>
      <c r="OQ602" s="27" t="s">
        <v>8</v>
      </c>
      <c r="OR602" s="27" t="s">
        <v>7</v>
      </c>
      <c r="OU602" s="27" t="s">
        <v>8</v>
      </c>
      <c r="QF602" s="27" t="s">
        <v>7</v>
      </c>
      <c r="QG602" s="27" t="s">
        <v>8</v>
      </c>
      <c r="QH602" s="27" t="s">
        <v>7</v>
      </c>
      <c r="QX602" s="27" t="s">
        <v>7</v>
      </c>
      <c r="RK602" s="27" t="s">
        <v>8</v>
      </c>
      <c r="RL602" s="27" t="s">
        <v>7</v>
      </c>
      <c r="RM602" s="27" t="s">
        <v>8</v>
      </c>
      <c r="RN602" s="27" t="s">
        <v>7</v>
      </c>
      <c r="SG602" s="27" t="s">
        <v>8</v>
      </c>
      <c r="SH602" s="27" t="s">
        <v>7</v>
      </c>
      <c r="SM602" s="27" t="s">
        <v>8</v>
      </c>
      <c r="SN602" s="27" t="s">
        <v>7</v>
      </c>
      <c r="SO602" s="27" t="s">
        <v>8</v>
      </c>
      <c r="SP602" s="27" t="s">
        <v>7</v>
      </c>
      <c r="SQ602" s="27" t="s">
        <v>8</v>
      </c>
      <c r="SR602" s="27" t="s">
        <v>7</v>
      </c>
      <c r="SS602" s="27" t="s">
        <v>8</v>
      </c>
      <c r="ST602" s="27" t="s">
        <v>7</v>
      </c>
      <c r="SU602" s="27" t="s">
        <v>8</v>
      </c>
      <c r="SZ602" s="27" t="s">
        <v>7</v>
      </c>
      <c r="TA602" s="27" t="s">
        <v>8</v>
      </c>
      <c r="TB602" s="27" t="s">
        <v>7</v>
      </c>
      <c r="TC602" s="27" t="s">
        <v>8</v>
      </c>
      <c r="TD602" s="27" t="s">
        <v>7</v>
      </c>
      <c r="TE602" s="27" t="s">
        <v>8</v>
      </c>
      <c r="TF602" s="27" t="s">
        <v>7</v>
      </c>
      <c r="TG602" s="27" t="s">
        <v>8</v>
      </c>
      <c r="TH602" s="27" t="s">
        <v>7</v>
      </c>
      <c r="TJ602" s="27" t="s">
        <v>7</v>
      </c>
      <c r="TK602" s="27" t="s">
        <v>8</v>
      </c>
      <c r="TL602" s="27" t="s">
        <v>7</v>
      </c>
      <c r="TM602" s="27" t="s">
        <v>8</v>
      </c>
      <c r="TN602" s="27" t="s">
        <v>7</v>
      </c>
      <c r="TO602" s="27" t="s">
        <v>8</v>
      </c>
      <c r="TP602" s="27" t="s">
        <v>7</v>
      </c>
      <c r="TY602" s="27" t="s">
        <v>8</v>
      </c>
      <c r="TZ602" s="27" t="s">
        <v>7</v>
      </c>
      <c r="UE602" s="27" t="s">
        <v>8</v>
      </c>
      <c r="UF602" s="27" t="s">
        <v>7</v>
      </c>
      <c r="UG602" s="27" t="s">
        <v>8</v>
      </c>
      <c r="UH602" s="27" t="s">
        <v>7</v>
      </c>
      <c r="UK602" s="27" t="s">
        <v>8</v>
      </c>
      <c r="UN602" s="27" t="s">
        <v>7</v>
      </c>
      <c r="UT602" s="27" t="s">
        <v>7</v>
      </c>
      <c r="UU602" s="27" t="s">
        <v>8</v>
      </c>
    </row>
    <row r="603" spans="1:567" x14ac:dyDescent="0.25">
      <c r="A603" s="7">
        <v>0.72844581371423456</v>
      </c>
      <c r="B603"/>
      <c r="C603"/>
      <c r="D603"/>
      <c r="E603"/>
      <c r="F603" s="27" t="s">
        <v>7</v>
      </c>
      <c r="NY603" s="27" t="s">
        <v>8</v>
      </c>
      <c r="NZ603" s="27" t="s">
        <v>7</v>
      </c>
      <c r="OG603" s="27" t="s">
        <v>8</v>
      </c>
      <c r="OH603" s="27" t="s">
        <v>7</v>
      </c>
      <c r="OI603" s="27" t="s">
        <v>8</v>
      </c>
      <c r="OJ603" s="27" t="s">
        <v>7</v>
      </c>
      <c r="OK603" s="27" t="s">
        <v>8</v>
      </c>
      <c r="OP603" s="27" t="s">
        <v>7</v>
      </c>
      <c r="OQ603" s="27" t="s">
        <v>8</v>
      </c>
      <c r="OR603" s="27" t="s">
        <v>7</v>
      </c>
      <c r="OS603" s="27" t="s">
        <v>8</v>
      </c>
      <c r="OU603" s="27" t="s">
        <v>8</v>
      </c>
      <c r="QF603" s="27" t="s">
        <v>7</v>
      </c>
      <c r="QG603" s="27" t="s">
        <v>8</v>
      </c>
      <c r="QX603" s="27" t="s">
        <v>7</v>
      </c>
      <c r="RK603" s="27" t="s">
        <v>8</v>
      </c>
      <c r="RL603" s="27" t="s">
        <v>7</v>
      </c>
      <c r="RM603" s="27" t="s">
        <v>8</v>
      </c>
      <c r="RN603" s="27" t="s">
        <v>7</v>
      </c>
      <c r="RO603" s="27" t="s">
        <v>8</v>
      </c>
      <c r="SG603" s="27" t="s">
        <v>8</v>
      </c>
      <c r="SH603" s="27" t="s">
        <v>7</v>
      </c>
      <c r="SM603" s="27" t="s">
        <v>8</v>
      </c>
      <c r="SN603" s="27" t="s">
        <v>7</v>
      </c>
      <c r="SO603" s="27" t="s">
        <v>8</v>
      </c>
      <c r="SP603" s="27" t="s">
        <v>7</v>
      </c>
      <c r="SQ603" s="27" t="s">
        <v>8</v>
      </c>
      <c r="SR603" s="27" t="s">
        <v>7</v>
      </c>
      <c r="SS603" s="27" t="s">
        <v>8</v>
      </c>
      <c r="ST603" s="27" t="s">
        <v>7</v>
      </c>
      <c r="SU603" s="27" t="s">
        <v>8</v>
      </c>
      <c r="SZ603" s="27" t="s">
        <v>7</v>
      </c>
      <c r="TA603" s="27" t="s">
        <v>8</v>
      </c>
      <c r="TB603" s="27" t="s">
        <v>7</v>
      </c>
      <c r="TC603" s="27" t="s">
        <v>8</v>
      </c>
      <c r="TD603" s="27" t="s">
        <v>7</v>
      </c>
      <c r="TE603" s="27" t="s">
        <v>8</v>
      </c>
      <c r="TF603" s="27" t="s">
        <v>7</v>
      </c>
      <c r="TG603" s="27" t="s">
        <v>8</v>
      </c>
      <c r="TJ603" s="27" t="s">
        <v>7</v>
      </c>
      <c r="TK603" s="27" t="s">
        <v>8</v>
      </c>
      <c r="TL603" s="27" t="s">
        <v>7</v>
      </c>
      <c r="TN603" s="27" t="s">
        <v>7</v>
      </c>
      <c r="TO603" s="27" t="s">
        <v>8</v>
      </c>
      <c r="TP603" s="27" t="s">
        <v>7</v>
      </c>
      <c r="TY603" s="27" t="s">
        <v>8</v>
      </c>
      <c r="TZ603" s="27" t="s">
        <v>7</v>
      </c>
      <c r="UE603" s="27" t="s">
        <v>8</v>
      </c>
      <c r="UF603" s="27" t="s">
        <v>7</v>
      </c>
      <c r="UG603" s="27" t="s">
        <v>8</v>
      </c>
      <c r="UH603" s="27" t="s">
        <v>7</v>
      </c>
      <c r="UI603" s="27" t="s">
        <v>8</v>
      </c>
      <c r="UK603" s="27" t="s">
        <v>8</v>
      </c>
      <c r="UT603" s="27" t="s">
        <v>7</v>
      </c>
      <c r="UU603" s="27" t="s">
        <v>8</v>
      </c>
    </row>
    <row r="604" spans="1:567" x14ac:dyDescent="0.25">
      <c r="A604" s="7">
        <v>0.71416256246493581</v>
      </c>
      <c r="B604"/>
      <c r="C604"/>
      <c r="D604"/>
      <c r="E604"/>
      <c r="F604" s="27" t="s">
        <v>7</v>
      </c>
      <c r="NY604" s="27" t="s">
        <v>8</v>
      </c>
      <c r="NZ604" s="27" t="s">
        <v>7</v>
      </c>
      <c r="OG604" s="27" t="s">
        <v>8</v>
      </c>
      <c r="OH604" s="27" t="s">
        <v>7</v>
      </c>
      <c r="OI604" s="27" t="s">
        <v>8</v>
      </c>
      <c r="OJ604" s="27" t="s">
        <v>7</v>
      </c>
      <c r="OP604" s="27" t="s">
        <v>7</v>
      </c>
      <c r="OQ604" s="27" t="s">
        <v>8</v>
      </c>
      <c r="OR604" s="27" t="s">
        <v>7</v>
      </c>
      <c r="OS604" s="27" t="s">
        <v>8</v>
      </c>
      <c r="OT604" s="27" t="s">
        <v>7</v>
      </c>
      <c r="OU604" s="27" t="s">
        <v>8</v>
      </c>
      <c r="QF604" s="27" t="s">
        <v>7</v>
      </c>
      <c r="QG604" s="27" t="s">
        <v>8</v>
      </c>
      <c r="QX604" s="27" t="s">
        <v>7</v>
      </c>
      <c r="RK604" s="27" t="s">
        <v>8</v>
      </c>
      <c r="RL604" s="27" t="s">
        <v>7</v>
      </c>
      <c r="RM604" s="27" t="s">
        <v>8</v>
      </c>
      <c r="RN604" s="27" t="s">
        <v>7</v>
      </c>
      <c r="RO604" s="27" t="s">
        <v>8</v>
      </c>
      <c r="RP604" s="27" t="s">
        <v>7</v>
      </c>
      <c r="SG604" s="27" t="s">
        <v>8</v>
      </c>
      <c r="SH604" s="27" t="s">
        <v>7</v>
      </c>
      <c r="SM604" s="27" t="s">
        <v>8</v>
      </c>
      <c r="SN604" s="27" t="s">
        <v>7</v>
      </c>
      <c r="SO604" s="27" t="s">
        <v>8</v>
      </c>
      <c r="SP604" s="27" t="s">
        <v>7</v>
      </c>
      <c r="SQ604" s="27" t="s">
        <v>8</v>
      </c>
      <c r="SR604" s="27" t="s">
        <v>7</v>
      </c>
      <c r="SS604" s="27" t="s">
        <v>8</v>
      </c>
      <c r="ST604" s="27" t="s">
        <v>7</v>
      </c>
      <c r="SU604" s="27" t="s">
        <v>8</v>
      </c>
      <c r="SZ604" s="27" t="s">
        <v>7</v>
      </c>
      <c r="TB604" s="27" t="s">
        <v>7</v>
      </c>
      <c r="TC604" s="27" t="s">
        <v>8</v>
      </c>
      <c r="TD604" s="27" t="s">
        <v>7</v>
      </c>
      <c r="TE604" s="27" t="s">
        <v>8</v>
      </c>
      <c r="TF604" s="27" t="s">
        <v>7</v>
      </c>
      <c r="TJ604" s="27" t="s">
        <v>7</v>
      </c>
      <c r="TK604" s="27" t="s">
        <v>8</v>
      </c>
      <c r="TN604" s="27" t="s">
        <v>7</v>
      </c>
      <c r="TP604" s="27" t="s">
        <v>7</v>
      </c>
      <c r="TY604" s="27" t="s">
        <v>8</v>
      </c>
      <c r="TZ604" s="27" t="s">
        <v>7</v>
      </c>
      <c r="UE604" s="27" t="s">
        <v>8</v>
      </c>
      <c r="UF604" s="27" t="s">
        <v>7</v>
      </c>
      <c r="UG604" s="27" t="s">
        <v>8</v>
      </c>
      <c r="UH604" s="27" t="s">
        <v>7</v>
      </c>
      <c r="UI604" s="27" t="s">
        <v>8</v>
      </c>
      <c r="UJ604" s="27" t="s">
        <v>7</v>
      </c>
      <c r="UK604" s="27" t="s">
        <v>8</v>
      </c>
      <c r="UT604" s="27" t="s">
        <v>7</v>
      </c>
      <c r="UU604" s="27" t="s">
        <v>8</v>
      </c>
    </row>
    <row r="605" spans="1:567" x14ac:dyDescent="0.25">
      <c r="A605" s="7">
        <v>0.7001593749656233</v>
      </c>
      <c r="B605"/>
      <c r="C605"/>
      <c r="D605"/>
      <c r="E605"/>
      <c r="F605" s="27" t="s">
        <v>7</v>
      </c>
      <c r="NY605" s="27" t="s">
        <v>8</v>
      </c>
      <c r="NZ605" s="27" t="s">
        <v>7</v>
      </c>
      <c r="OG605" s="27" t="s">
        <v>8</v>
      </c>
      <c r="OH605" s="27" t="s">
        <v>7</v>
      </c>
      <c r="OI605" s="27" t="s">
        <v>8</v>
      </c>
      <c r="OP605" s="27" t="s">
        <v>7</v>
      </c>
      <c r="OQ605" s="27" t="s">
        <v>8</v>
      </c>
      <c r="OR605" s="27" t="s">
        <v>7</v>
      </c>
      <c r="OS605" s="27" t="s">
        <v>8</v>
      </c>
      <c r="OT605" s="27" t="s">
        <v>7</v>
      </c>
      <c r="OU605" s="27" t="s">
        <v>8</v>
      </c>
      <c r="QF605" s="27" t="s">
        <v>7</v>
      </c>
      <c r="QG605" s="27" t="s">
        <v>8</v>
      </c>
      <c r="QX605" s="27" t="s">
        <v>7</v>
      </c>
      <c r="RK605" s="27" t="s">
        <v>8</v>
      </c>
      <c r="RL605" s="27" t="s">
        <v>7</v>
      </c>
      <c r="RM605" s="27" t="s">
        <v>8</v>
      </c>
      <c r="RN605" s="27" t="s">
        <v>7</v>
      </c>
      <c r="RO605" s="27" t="s">
        <v>8</v>
      </c>
      <c r="RP605" s="27" t="s">
        <v>7</v>
      </c>
      <c r="SG605" s="27" t="s">
        <v>8</v>
      </c>
      <c r="SH605" s="27" t="s">
        <v>7</v>
      </c>
      <c r="SM605" s="27" t="s">
        <v>8</v>
      </c>
      <c r="SN605" s="27" t="s">
        <v>7</v>
      </c>
      <c r="SP605" s="27" t="s">
        <v>7</v>
      </c>
      <c r="SQ605" s="27" t="s">
        <v>8</v>
      </c>
      <c r="SR605" s="27" t="s">
        <v>7</v>
      </c>
      <c r="SS605" s="27" t="s">
        <v>8</v>
      </c>
      <c r="ST605" s="27" t="s">
        <v>7</v>
      </c>
      <c r="TB605" s="27" t="s">
        <v>7</v>
      </c>
      <c r="TC605" s="27" t="s">
        <v>8</v>
      </c>
      <c r="TD605" s="27" t="s">
        <v>7</v>
      </c>
      <c r="TJ605" s="27" t="s">
        <v>7</v>
      </c>
      <c r="TK605" s="27" t="s">
        <v>8</v>
      </c>
      <c r="TP605" s="27" t="s">
        <v>7</v>
      </c>
      <c r="TY605" s="27" t="s">
        <v>8</v>
      </c>
      <c r="TZ605" s="27" t="s">
        <v>7</v>
      </c>
      <c r="UA605" s="27" t="s">
        <v>8</v>
      </c>
      <c r="UE605" s="27" t="s">
        <v>8</v>
      </c>
      <c r="UF605" s="27" t="s">
        <v>7</v>
      </c>
      <c r="UG605" s="27" t="s">
        <v>8</v>
      </c>
      <c r="UH605" s="27" t="s">
        <v>7</v>
      </c>
      <c r="UI605" s="27" t="s">
        <v>8</v>
      </c>
      <c r="UJ605" s="27" t="s">
        <v>7</v>
      </c>
      <c r="UK605" s="27" t="s">
        <v>8</v>
      </c>
      <c r="UT605" s="27" t="s">
        <v>7</v>
      </c>
      <c r="UU605" s="27" t="s">
        <v>8</v>
      </c>
    </row>
    <row r="606" spans="1:567" x14ac:dyDescent="0.25">
      <c r="A606" s="7">
        <v>0.68643075977021883</v>
      </c>
      <c r="B606"/>
      <c r="C606"/>
      <c r="D606"/>
      <c r="E606"/>
      <c r="F606" s="27" t="s">
        <v>7</v>
      </c>
      <c r="NY606" s="27" t="s">
        <v>8</v>
      </c>
      <c r="NZ606" s="27" t="s">
        <v>7</v>
      </c>
      <c r="OC606" s="27" t="s">
        <v>8</v>
      </c>
      <c r="OG606" s="27" t="s">
        <v>8</v>
      </c>
      <c r="OH606" s="27" t="s">
        <v>7</v>
      </c>
      <c r="OI606" s="27" t="s">
        <v>8</v>
      </c>
      <c r="OP606" s="27" t="s">
        <v>7</v>
      </c>
      <c r="OQ606" s="27" t="s">
        <v>8</v>
      </c>
      <c r="OR606" s="27" t="s">
        <v>7</v>
      </c>
      <c r="OS606" s="27" t="s">
        <v>8</v>
      </c>
      <c r="OT606" s="27" t="s">
        <v>7</v>
      </c>
      <c r="OU606" s="27" t="s">
        <v>8</v>
      </c>
      <c r="QF606" s="27" t="s">
        <v>7</v>
      </c>
      <c r="QG606" s="27" t="s">
        <v>8</v>
      </c>
      <c r="QX606" s="27" t="s">
        <v>7</v>
      </c>
      <c r="RK606" s="27" t="s">
        <v>8</v>
      </c>
      <c r="RL606" s="27" t="s">
        <v>7</v>
      </c>
      <c r="RM606" s="27" t="s">
        <v>8</v>
      </c>
      <c r="RN606" s="27" t="s">
        <v>7</v>
      </c>
      <c r="RO606" s="27" t="s">
        <v>8</v>
      </c>
      <c r="RP606" s="27" t="s">
        <v>7</v>
      </c>
      <c r="SG606" s="27" t="s">
        <v>8</v>
      </c>
      <c r="SH606" s="27" t="s">
        <v>7</v>
      </c>
      <c r="SI606" s="27" t="s">
        <v>8</v>
      </c>
      <c r="SK606" s="27" t="s">
        <v>8</v>
      </c>
      <c r="SM606" s="27" t="s">
        <v>8</v>
      </c>
      <c r="SP606" s="27" t="s">
        <v>7</v>
      </c>
      <c r="SR606" s="27" t="s">
        <v>7</v>
      </c>
      <c r="TB606" s="27" t="s">
        <v>7</v>
      </c>
      <c r="TJ606" s="27" t="s">
        <v>7</v>
      </c>
      <c r="TP606" s="27" t="s">
        <v>7</v>
      </c>
      <c r="TY606" s="27" t="s">
        <v>8</v>
      </c>
      <c r="TZ606" s="27" t="s">
        <v>7</v>
      </c>
      <c r="UA606" s="27" t="s">
        <v>8</v>
      </c>
      <c r="UB606" s="27" t="s">
        <v>7</v>
      </c>
      <c r="UE606" s="27" t="s">
        <v>8</v>
      </c>
      <c r="UF606" s="27" t="s">
        <v>7</v>
      </c>
      <c r="UG606" s="27" t="s">
        <v>8</v>
      </c>
      <c r="UH606" s="27" t="s">
        <v>7</v>
      </c>
      <c r="UJ606" s="27" t="s">
        <v>7</v>
      </c>
      <c r="UK606" s="27" t="s">
        <v>8</v>
      </c>
      <c r="UT606" s="27" t="s">
        <v>7</v>
      </c>
      <c r="UU606" s="27" t="s">
        <v>8</v>
      </c>
    </row>
    <row r="607" spans="1:567" x14ac:dyDescent="0.25">
      <c r="A607" s="7">
        <v>0.67297133310805768</v>
      </c>
      <c r="B607"/>
      <c r="C607"/>
      <c r="D607"/>
      <c r="E607"/>
      <c r="F607" s="27" t="s">
        <v>7</v>
      </c>
      <c r="NY607" s="27" t="s">
        <v>8</v>
      </c>
      <c r="NZ607" s="27" t="s">
        <v>7</v>
      </c>
      <c r="OC607" s="27" t="s">
        <v>8</v>
      </c>
      <c r="OD607" s="27" t="s">
        <v>7</v>
      </c>
      <c r="OG607" s="27" t="s">
        <v>8</v>
      </c>
      <c r="OH607" s="27" t="s">
        <v>7</v>
      </c>
      <c r="OI607" s="27" t="s">
        <v>8</v>
      </c>
      <c r="OP607" s="27" t="s">
        <v>7</v>
      </c>
      <c r="OQ607" s="27" t="s">
        <v>8</v>
      </c>
      <c r="OR607" s="27" t="s">
        <v>7</v>
      </c>
      <c r="OS607" s="27" t="s">
        <v>8</v>
      </c>
      <c r="OT607" s="27" t="s">
        <v>7</v>
      </c>
      <c r="OU607" s="27" t="s">
        <v>8</v>
      </c>
      <c r="QF607" s="27" t="s">
        <v>7</v>
      </c>
      <c r="QG607" s="27" t="s">
        <v>8</v>
      </c>
      <c r="QX607" s="27" t="s">
        <v>7</v>
      </c>
      <c r="QY607" s="27" t="s">
        <v>8</v>
      </c>
      <c r="RK607" s="27" t="s">
        <v>8</v>
      </c>
      <c r="RL607" s="27" t="s">
        <v>7</v>
      </c>
      <c r="RM607" s="27" t="s">
        <v>8</v>
      </c>
      <c r="RN607" s="27" t="s">
        <v>7</v>
      </c>
      <c r="RO607" s="27" t="s">
        <v>8</v>
      </c>
      <c r="RP607" s="27" t="s">
        <v>7</v>
      </c>
      <c r="SG607" s="27" t="s">
        <v>8</v>
      </c>
      <c r="SH607" s="27" t="s">
        <v>7</v>
      </c>
      <c r="SI607" s="27" t="s">
        <v>8</v>
      </c>
      <c r="SJ607" s="27" t="s">
        <v>7</v>
      </c>
      <c r="SK607" s="27" t="s">
        <v>8</v>
      </c>
      <c r="SL607" s="27" t="s">
        <v>7</v>
      </c>
      <c r="SM607" s="27" t="s">
        <v>8</v>
      </c>
      <c r="TP607" s="27" t="s">
        <v>7</v>
      </c>
      <c r="TY607" s="27" t="s">
        <v>8</v>
      </c>
      <c r="TZ607" s="27" t="s">
        <v>7</v>
      </c>
      <c r="UA607" s="27" t="s">
        <v>8</v>
      </c>
      <c r="UB607" s="27" t="s">
        <v>7</v>
      </c>
      <c r="UE607" s="27" t="s">
        <v>8</v>
      </c>
      <c r="UF607" s="27" t="s">
        <v>7</v>
      </c>
      <c r="UG607" s="27" t="s">
        <v>8</v>
      </c>
      <c r="UJ607" s="27" t="s">
        <v>7</v>
      </c>
      <c r="UK607" s="27" t="s">
        <v>8</v>
      </c>
      <c r="UT607" s="27" t="s">
        <v>7</v>
      </c>
    </row>
    <row r="608" spans="1:567" x14ac:dyDescent="0.25">
      <c r="A608" s="7">
        <v>0.65977581677260566</v>
      </c>
      <c r="B608"/>
      <c r="C608"/>
      <c r="D608"/>
      <c r="E608"/>
      <c r="F608" s="27" t="s">
        <v>7</v>
      </c>
      <c r="NY608" s="27" t="s">
        <v>8</v>
      </c>
      <c r="NZ608" s="27" t="s">
        <v>7</v>
      </c>
      <c r="OC608" s="27" t="s">
        <v>8</v>
      </c>
      <c r="OD608" s="27" t="s">
        <v>7</v>
      </c>
      <c r="OG608" s="27" t="s">
        <v>8</v>
      </c>
      <c r="OH608" s="27" t="s">
        <v>7</v>
      </c>
      <c r="OI608" s="27" t="s">
        <v>8</v>
      </c>
      <c r="OP608" s="27" t="s">
        <v>7</v>
      </c>
      <c r="OQ608" s="27" t="s">
        <v>8</v>
      </c>
      <c r="OR608" s="27" t="s">
        <v>7</v>
      </c>
      <c r="OS608" s="27" t="s">
        <v>8</v>
      </c>
      <c r="OT608" s="27" t="s">
        <v>7</v>
      </c>
      <c r="OU608" s="27" t="s">
        <v>8</v>
      </c>
      <c r="QF608" s="27" t="s">
        <v>7</v>
      </c>
      <c r="QX608" s="27" t="s">
        <v>7</v>
      </c>
      <c r="QY608" s="27" t="s">
        <v>8</v>
      </c>
      <c r="QZ608" s="27" t="s">
        <v>7</v>
      </c>
      <c r="RK608" s="27" t="s">
        <v>8</v>
      </c>
      <c r="RL608" s="27" t="s">
        <v>7</v>
      </c>
      <c r="RM608" s="27" t="s">
        <v>8</v>
      </c>
      <c r="RN608" s="27" t="s">
        <v>7</v>
      </c>
      <c r="RP608" s="27" t="s">
        <v>7</v>
      </c>
      <c r="SG608" s="27" t="s">
        <v>8</v>
      </c>
      <c r="SH608" s="27" t="s">
        <v>7</v>
      </c>
      <c r="SI608" s="27" t="s">
        <v>8</v>
      </c>
      <c r="SJ608" s="27" t="s">
        <v>7</v>
      </c>
      <c r="SK608" s="27" t="s">
        <v>8</v>
      </c>
      <c r="SL608" s="27" t="s">
        <v>7</v>
      </c>
      <c r="SM608" s="27" t="s">
        <v>8</v>
      </c>
      <c r="TP608" s="27" t="s">
        <v>7</v>
      </c>
      <c r="TQ608" s="27" t="s">
        <v>8</v>
      </c>
      <c r="TY608" s="27" t="s">
        <v>8</v>
      </c>
      <c r="TZ608" s="27" t="s">
        <v>7</v>
      </c>
      <c r="UB608" s="27" t="s">
        <v>7</v>
      </c>
      <c r="UC608" s="27" t="s">
        <v>8</v>
      </c>
      <c r="UE608" s="27" t="s">
        <v>8</v>
      </c>
      <c r="UF608" s="27" t="s">
        <v>7</v>
      </c>
      <c r="UG608" s="27" t="s">
        <v>8</v>
      </c>
      <c r="UJ608" s="27" t="s">
        <v>7</v>
      </c>
    </row>
    <row r="609" spans="1:553" x14ac:dyDescent="0.25">
      <c r="A609" s="7">
        <v>0.64683903605157422</v>
      </c>
      <c r="B609"/>
      <c r="C609"/>
      <c r="D609"/>
      <c r="E609"/>
      <c r="F609" s="27" t="s">
        <v>7</v>
      </c>
      <c r="NY609" s="27" t="s">
        <v>8</v>
      </c>
      <c r="NZ609" s="27" t="s">
        <v>7</v>
      </c>
      <c r="OC609" s="27" t="s">
        <v>8</v>
      </c>
      <c r="OD609" s="27" t="s">
        <v>7</v>
      </c>
      <c r="OG609" s="27" t="s">
        <v>8</v>
      </c>
      <c r="OH609" s="27" t="s">
        <v>7</v>
      </c>
      <c r="OI609" s="27" t="s">
        <v>8</v>
      </c>
      <c r="OP609" s="27" t="s">
        <v>7</v>
      </c>
      <c r="OQ609" s="27" t="s">
        <v>8</v>
      </c>
      <c r="OR609" s="27" t="s">
        <v>7</v>
      </c>
      <c r="OS609" s="27" t="s">
        <v>8</v>
      </c>
      <c r="OT609" s="27" t="s">
        <v>7</v>
      </c>
      <c r="OU609" s="27" t="s">
        <v>8</v>
      </c>
      <c r="QX609" s="27" t="s">
        <v>7</v>
      </c>
      <c r="QY609" s="27" t="s">
        <v>8</v>
      </c>
      <c r="QZ609" s="27" t="s">
        <v>7</v>
      </c>
      <c r="RK609" s="27" t="s">
        <v>8</v>
      </c>
      <c r="RL609" s="27" t="s">
        <v>7</v>
      </c>
      <c r="RM609" s="27" t="s">
        <v>8</v>
      </c>
      <c r="RP609" s="27" t="s">
        <v>7</v>
      </c>
      <c r="SG609" s="27" t="s">
        <v>8</v>
      </c>
      <c r="SH609" s="27" t="s">
        <v>7</v>
      </c>
      <c r="SI609" s="27" t="s">
        <v>8</v>
      </c>
      <c r="SJ609" s="27" t="s">
        <v>7</v>
      </c>
      <c r="SK609" s="27" t="s">
        <v>8</v>
      </c>
      <c r="SL609" s="27" t="s">
        <v>7</v>
      </c>
      <c r="SM609" s="27" t="s">
        <v>8</v>
      </c>
      <c r="TP609" s="27" t="s">
        <v>7</v>
      </c>
      <c r="TQ609" s="27" t="s">
        <v>8</v>
      </c>
      <c r="TR609" s="27" t="s">
        <v>7</v>
      </c>
      <c r="TY609" s="27" t="s">
        <v>8</v>
      </c>
      <c r="UB609" s="27" t="s">
        <v>7</v>
      </c>
      <c r="UC609" s="27" t="s">
        <v>8</v>
      </c>
      <c r="UD609" s="27" t="s">
        <v>7</v>
      </c>
      <c r="UE609" s="27" t="s">
        <v>8</v>
      </c>
      <c r="UF609" s="27" t="s">
        <v>7</v>
      </c>
      <c r="UG609" s="27" t="s">
        <v>8</v>
      </c>
    </row>
    <row r="610" spans="1:553" x14ac:dyDescent="0.25">
      <c r="A610" s="7">
        <v>0.63415591769762181</v>
      </c>
      <c r="B610"/>
      <c r="C610"/>
      <c r="D610"/>
      <c r="E610"/>
      <c r="F610" s="27" t="s">
        <v>7</v>
      </c>
      <c r="NY610" s="27" t="s">
        <v>8</v>
      </c>
      <c r="NZ610" s="27" t="s">
        <v>7</v>
      </c>
      <c r="OC610" s="27" t="s">
        <v>8</v>
      </c>
      <c r="OD610" s="27" t="s">
        <v>7</v>
      </c>
      <c r="OE610" s="27" t="s">
        <v>8</v>
      </c>
      <c r="OG610" s="27" t="s">
        <v>8</v>
      </c>
      <c r="OH610" s="27" t="s">
        <v>7</v>
      </c>
      <c r="OI610" s="27" t="s">
        <v>8</v>
      </c>
      <c r="OP610" s="27" t="s">
        <v>7</v>
      </c>
      <c r="OQ610" s="27" t="s">
        <v>8</v>
      </c>
      <c r="OR610" s="27" t="s">
        <v>7</v>
      </c>
      <c r="OT610" s="27" t="s">
        <v>7</v>
      </c>
      <c r="OU610" s="27" t="s">
        <v>8</v>
      </c>
      <c r="QX610" s="27" t="s">
        <v>7</v>
      </c>
      <c r="QY610" s="27" t="s">
        <v>8</v>
      </c>
      <c r="QZ610" s="27" t="s">
        <v>7</v>
      </c>
      <c r="RC610" s="27" t="s">
        <v>8</v>
      </c>
      <c r="RK610" s="27" t="s">
        <v>8</v>
      </c>
      <c r="RL610" s="27" t="s">
        <v>7</v>
      </c>
      <c r="RM610" s="27" t="s">
        <v>8</v>
      </c>
      <c r="RP610" s="27" t="s">
        <v>7</v>
      </c>
      <c r="RQ610" s="27" t="s">
        <v>8</v>
      </c>
      <c r="SG610" s="27" t="s">
        <v>8</v>
      </c>
      <c r="SH610" s="27" t="s">
        <v>7</v>
      </c>
      <c r="SI610" s="27" t="s">
        <v>8</v>
      </c>
      <c r="SJ610" s="27" t="s">
        <v>7</v>
      </c>
      <c r="SK610" s="27" t="s">
        <v>8</v>
      </c>
      <c r="SL610" s="27" t="s">
        <v>7</v>
      </c>
      <c r="SM610" s="27" t="s">
        <v>8</v>
      </c>
      <c r="TP610" s="27" t="s">
        <v>7</v>
      </c>
      <c r="TQ610" s="27" t="s">
        <v>8</v>
      </c>
      <c r="TR610" s="27" t="s">
        <v>7</v>
      </c>
      <c r="TY610" s="27" t="s">
        <v>8</v>
      </c>
      <c r="UB610" s="27" t="s">
        <v>7</v>
      </c>
      <c r="UC610" s="27" t="s">
        <v>8</v>
      </c>
      <c r="UD610" s="27" t="s">
        <v>7</v>
      </c>
      <c r="UE610" s="27" t="s">
        <v>8</v>
      </c>
      <c r="UF610" s="27" t="s">
        <v>7</v>
      </c>
      <c r="UG610" s="27" t="s">
        <v>8</v>
      </c>
    </row>
    <row r="611" spans="1:553" x14ac:dyDescent="0.25">
      <c r="A611" s="7">
        <v>0.62172148793884496</v>
      </c>
      <c r="B611"/>
      <c r="C611"/>
      <c r="D611"/>
      <c r="E611"/>
      <c r="F611" s="27" t="s">
        <v>7</v>
      </c>
      <c r="NY611" s="27" t="s">
        <v>8</v>
      </c>
      <c r="NZ611" s="27" t="s">
        <v>7</v>
      </c>
      <c r="OA611" s="27" t="s">
        <v>8</v>
      </c>
      <c r="OC611" s="27" t="s">
        <v>8</v>
      </c>
      <c r="OD611" s="27" t="s">
        <v>7</v>
      </c>
      <c r="OE611" s="27" t="s">
        <v>8</v>
      </c>
      <c r="OF611" s="27" t="s">
        <v>7</v>
      </c>
      <c r="OG611" s="27" t="s">
        <v>8</v>
      </c>
      <c r="OH611" s="27" t="s">
        <v>7</v>
      </c>
      <c r="OI611" s="27" t="s">
        <v>8</v>
      </c>
      <c r="OP611" s="27" t="s">
        <v>7</v>
      </c>
      <c r="OQ611" s="27" t="s">
        <v>8</v>
      </c>
      <c r="OT611" s="27" t="s">
        <v>7</v>
      </c>
      <c r="OU611" s="27" t="s">
        <v>8</v>
      </c>
      <c r="QX611" s="27" t="s">
        <v>7</v>
      </c>
      <c r="QY611" s="27" t="s">
        <v>8</v>
      </c>
      <c r="QZ611" s="27" t="s">
        <v>7</v>
      </c>
      <c r="RC611" s="27" t="s">
        <v>8</v>
      </c>
      <c r="RD611" s="27" t="s">
        <v>7</v>
      </c>
      <c r="RK611" s="27" t="s">
        <v>8</v>
      </c>
      <c r="RL611" s="27" t="s">
        <v>7</v>
      </c>
      <c r="RM611" s="27" t="s">
        <v>8</v>
      </c>
      <c r="RP611" s="27" t="s">
        <v>7</v>
      </c>
      <c r="RQ611" s="27" t="s">
        <v>8</v>
      </c>
      <c r="RR611" s="27" t="s">
        <v>7</v>
      </c>
      <c r="SG611" s="27" t="s">
        <v>8</v>
      </c>
      <c r="SH611" s="27" t="s">
        <v>7</v>
      </c>
      <c r="SI611" s="27" t="s">
        <v>8</v>
      </c>
      <c r="SJ611" s="27" t="s">
        <v>7</v>
      </c>
      <c r="SK611" s="27" t="s">
        <v>8</v>
      </c>
      <c r="SL611" s="27" t="s">
        <v>7</v>
      </c>
      <c r="SM611" s="27" t="s">
        <v>8</v>
      </c>
      <c r="TP611" s="27" t="s">
        <v>7</v>
      </c>
      <c r="TQ611" s="27" t="s">
        <v>8</v>
      </c>
      <c r="TR611" s="27" t="s">
        <v>7</v>
      </c>
      <c r="TY611" s="27" t="s">
        <v>8</v>
      </c>
      <c r="UB611" s="27" t="s">
        <v>7</v>
      </c>
      <c r="UC611" s="27" t="s">
        <v>8</v>
      </c>
      <c r="UD611" s="27" t="s">
        <v>7</v>
      </c>
      <c r="UF611" s="27" t="s">
        <v>7</v>
      </c>
      <c r="UG611" s="27" t="s">
        <v>8</v>
      </c>
    </row>
    <row r="612" spans="1:553" x14ac:dyDescent="0.25">
      <c r="A612" s="7">
        <v>0.60953087052827937</v>
      </c>
      <c r="B612"/>
      <c r="C612"/>
      <c r="D612"/>
      <c r="E612"/>
      <c r="F612" s="27" t="s">
        <v>7</v>
      </c>
      <c r="NY612" s="27" t="s">
        <v>8</v>
      </c>
      <c r="NZ612" s="27" t="s">
        <v>7</v>
      </c>
      <c r="OA612" s="27" t="s">
        <v>8</v>
      </c>
      <c r="OB612" s="27" t="s">
        <v>7</v>
      </c>
      <c r="OC612" s="27" t="s">
        <v>8</v>
      </c>
      <c r="OD612" s="27" t="s">
        <v>7</v>
      </c>
      <c r="OE612" s="27" t="s">
        <v>8</v>
      </c>
      <c r="OF612" s="27" t="s">
        <v>7</v>
      </c>
      <c r="OG612" s="27" t="s">
        <v>8</v>
      </c>
      <c r="OH612" s="27" t="s">
        <v>7</v>
      </c>
      <c r="OI612" s="27" t="s">
        <v>8</v>
      </c>
      <c r="OP612" s="27" t="s">
        <v>7</v>
      </c>
      <c r="OT612" s="27" t="s">
        <v>7</v>
      </c>
      <c r="OU612" s="27" t="s">
        <v>8</v>
      </c>
      <c r="QX612" s="27" t="s">
        <v>7</v>
      </c>
      <c r="QY612" s="27" t="s">
        <v>8</v>
      </c>
      <c r="QZ612" s="27" t="s">
        <v>7</v>
      </c>
      <c r="RC612" s="27" t="s">
        <v>8</v>
      </c>
      <c r="RD612" s="27" t="s">
        <v>7</v>
      </c>
      <c r="RK612" s="27" t="s">
        <v>8</v>
      </c>
      <c r="RL612" s="27" t="s">
        <v>7</v>
      </c>
      <c r="RM612" s="27" t="s">
        <v>8</v>
      </c>
      <c r="RP612" s="27" t="s">
        <v>7</v>
      </c>
      <c r="RQ612" s="27" t="s">
        <v>8</v>
      </c>
      <c r="RR612" s="27" t="s">
        <v>7</v>
      </c>
      <c r="SG612" s="27" t="s">
        <v>8</v>
      </c>
      <c r="SH612" s="27" t="s">
        <v>7</v>
      </c>
      <c r="SI612" s="27" t="s">
        <v>8</v>
      </c>
      <c r="SJ612" s="27" t="s">
        <v>7</v>
      </c>
      <c r="SK612" s="27" t="s">
        <v>8</v>
      </c>
      <c r="SL612" s="27" t="s">
        <v>7</v>
      </c>
      <c r="SM612" s="27" t="s">
        <v>8</v>
      </c>
      <c r="TP612" s="27" t="s">
        <v>7</v>
      </c>
      <c r="TQ612" s="27" t="s">
        <v>8</v>
      </c>
      <c r="TR612" s="27" t="s">
        <v>7</v>
      </c>
      <c r="TW612" s="27" t="s">
        <v>8</v>
      </c>
      <c r="TY612" s="27" t="s">
        <v>8</v>
      </c>
      <c r="UB612" s="27" t="s">
        <v>7</v>
      </c>
      <c r="UC612" s="27" t="s">
        <v>8</v>
      </c>
      <c r="UF612" s="27" t="s">
        <v>7</v>
      </c>
    </row>
    <row r="613" spans="1:553" x14ac:dyDescent="0.25">
      <c r="A613" s="7">
        <v>0.59757928483164646</v>
      </c>
      <c r="B613"/>
      <c r="C613"/>
      <c r="D613"/>
      <c r="E613"/>
      <c r="F613" s="27" t="s">
        <v>7</v>
      </c>
      <c r="NY613" s="27" t="s">
        <v>8</v>
      </c>
      <c r="NZ613" s="27" t="s">
        <v>7</v>
      </c>
      <c r="OA613" s="27" t="s">
        <v>8</v>
      </c>
      <c r="OB613" s="27" t="s">
        <v>7</v>
      </c>
      <c r="OC613" s="27" t="s">
        <v>8</v>
      </c>
      <c r="OD613" s="27" t="s">
        <v>7</v>
      </c>
      <c r="OE613" s="27" t="s">
        <v>8</v>
      </c>
      <c r="OF613" s="27" t="s">
        <v>7</v>
      </c>
      <c r="OG613" s="27" t="s">
        <v>8</v>
      </c>
      <c r="OH613" s="27" t="s">
        <v>7</v>
      </c>
      <c r="OI613" s="27" t="s">
        <v>8</v>
      </c>
      <c r="OT613" s="27" t="s">
        <v>7</v>
      </c>
      <c r="OU613" s="27" t="s">
        <v>8</v>
      </c>
      <c r="QX613" s="27" t="s">
        <v>7</v>
      </c>
      <c r="QY613" s="27" t="s">
        <v>8</v>
      </c>
      <c r="QZ613" s="27" t="s">
        <v>7</v>
      </c>
      <c r="RC613" s="27" t="s">
        <v>8</v>
      </c>
      <c r="RD613" s="27" t="s">
        <v>7</v>
      </c>
      <c r="RK613" s="27" t="s">
        <v>8</v>
      </c>
      <c r="RL613" s="27" t="s">
        <v>7</v>
      </c>
      <c r="RM613" s="27" t="s">
        <v>8</v>
      </c>
      <c r="RP613" s="27" t="s">
        <v>7</v>
      </c>
      <c r="RQ613" s="27" t="s">
        <v>8</v>
      </c>
      <c r="RR613" s="27" t="s">
        <v>7</v>
      </c>
      <c r="SG613" s="27" t="s">
        <v>8</v>
      </c>
      <c r="SH613" s="27" t="s">
        <v>7</v>
      </c>
      <c r="SI613" s="27" t="s">
        <v>8</v>
      </c>
      <c r="SJ613" s="27" t="s">
        <v>7</v>
      </c>
      <c r="SK613" s="27" t="s">
        <v>8</v>
      </c>
      <c r="SL613" s="27" t="s">
        <v>7</v>
      </c>
      <c r="TP613" s="27" t="s">
        <v>7</v>
      </c>
      <c r="TQ613" s="27" t="s">
        <v>8</v>
      </c>
      <c r="TR613" s="27" t="s">
        <v>7</v>
      </c>
      <c r="TW613" s="27" t="s">
        <v>8</v>
      </c>
      <c r="TX613" s="27" t="s">
        <v>7</v>
      </c>
      <c r="TY613" s="27" t="s">
        <v>8</v>
      </c>
      <c r="UB613" s="27" t="s">
        <v>7</v>
      </c>
      <c r="UC613" s="27" t="s">
        <v>8</v>
      </c>
    </row>
    <row r="614" spans="1:553" x14ac:dyDescent="0.25">
      <c r="A614" s="7">
        <v>0.58586204395259456</v>
      </c>
      <c r="B614"/>
      <c r="C614"/>
      <c r="D614"/>
      <c r="E614"/>
      <c r="F614" s="27" t="s">
        <v>7</v>
      </c>
      <c r="NY614" s="27" t="s">
        <v>8</v>
      </c>
      <c r="NZ614" s="27" t="s">
        <v>7</v>
      </c>
      <c r="OA614" s="27" t="s">
        <v>8</v>
      </c>
      <c r="OB614" s="27" t="s">
        <v>7</v>
      </c>
      <c r="OC614" s="27" t="s">
        <v>8</v>
      </c>
      <c r="OD614" s="27" t="s">
        <v>7</v>
      </c>
      <c r="OE614" s="27" t="s">
        <v>8</v>
      </c>
      <c r="OF614" s="27" t="s">
        <v>7</v>
      </c>
      <c r="OG614" s="27" t="s">
        <v>8</v>
      </c>
      <c r="OH614" s="27" t="s">
        <v>7</v>
      </c>
      <c r="OI614" s="27" t="s">
        <v>8</v>
      </c>
      <c r="OT614" s="27" t="s">
        <v>7</v>
      </c>
      <c r="OU614" s="27" t="s">
        <v>8</v>
      </c>
      <c r="QX614" s="27" t="s">
        <v>7</v>
      </c>
      <c r="QY614" s="27" t="s">
        <v>8</v>
      </c>
      <c r="QZ614" s="27" t="s">
        <v>7</v>
      </c>
      <c r="RC614" s="27" t="s">
        <v>8</v>
      </c>
      <c r="RD614" s="27" t="s">
        <v>7</v>
      </c>
      <c r="RE614" s="27" t="s">
        <v>8</v>
      </c>
      <c r="RK614" s="27" t="s">
        <v>8</v>
      </c>
      <c r="RL614" s="27" t="s">
        <v>7</v>
      </c>
      <c r="RM614" s="27" t="s">
        <v>8</v>
      </c>
      <c r="RP614" s="27" t="s">
        <v>7</v>
      </c>
      <c r="RR614" s="27" t="s">
        <v>7</v>
      </c>
      <c r="SG614" s="27" t="s">
        <v>8</v>
      </c>
      <c r="SH614" s="27" t="s">
        <v>7</v>
      </c>
      <c r="SI614" s="27" t="s">
        <v>8</v>
      </c>
      <c r="SJ614" s="27" t="s">
        <v>7</v>
      </c>
      <c r="SK614" s="27" t="s">
        <v>8</v>
      </c>
      <c r="TP614" s="27" t="s">
        <v>7</v>
      </c>
      <c r="TQ614" s="27" t="s">
        <v>8</v>
      </c>
      <c r="TR614" s="27" t="s">
        <v>7</v>
      </c>
      <c r="TW614" s="27" t="s">
        <v>8</v>
      </c>
      <c r="TX614" s="27" t="s">
        <v>7</v>
      </c>
      <c r="TY614" s="27" t="s">
        <v>8</v>
      </c>
      <c r="UB614" s="27" t="s">
        <v>7</v>
      </c>
    </row>
    <row r="615" spans="1:553" x14ac:dyDescent="0.25">
      <c r="A615" s="7">
        <v>0.57437455289470052</v>
      </c>
      <c r="B615"/>
      <c r="C615"/>
      <c r="D615"/>
      <c r="E615"/>
      <c r="F615" s="27" t="s">
        <v>7</v>
      </c>
      <c r="NY615" s="27" t="s">
        <v>8</v>
      </c>
      <c r="NZ615" s="27" t="s">
        <v>7</v>
      </c>
      <c r="OA615" s="27" t="s">
        <v>8</v>
      </c>
      <c r="OB615" s="27" t="s">
        <v>7</v>
      </c>
      <c r="OC615" s="27" t="s">
        <v>8</v>
      </c>
      <c r="OD615" s="27" t="s">
        <v>7</v>
      </c>
      <c r="OE615" s="27" t="s">
        <v>8</v>
      </c>
      <c r="OF615" s="27" t="s">
        <v>7</v>
      </c>
      <c r="OG615" s="27" t="s">
        <v>8</v>
      </c>
      <c r="OH615" s="27" t="s">
        <v>7</v>
      </c>
      <c r="OT615" s="27" t="s">
        <v>7</v>
      </c>
      <c r="OU615" s="27" t="s">
        <v>8</v>
      </c>
      <c r="QX615" s="27" t="s">
        <v>7</v>
      </c>
      <c r="QY615" s="27" t="s">
        <v>8</v>
      </c>
      <c r="QZ615" s="27" t="s">
        <v>7</v>
      </c>
      <c r="RC615" s="27" t="s">
        <v>8</v>
      </c>
      <c r="RD615" s="27" t="s">
        <v>7</v>
      </c>
      <c r="RE615" s="27" t="s">
        <v>8</v>
      </c>
      <c r="RF615" s="27" t="s">
        <v>7</v>
      </c>
      <c r="RG615" s="27" t="s">
        <v>8</v>
      </c>
      <c r="RK615" s="27" t="s">
        <v>8</v>
      </c>
      <c r="RL615" s="27" t="s">
        <v>7</v>
      </c>
      <c r="RM615" s="27" t="s">
        <v>8</v>
      </c>
      <c r="RR615" s="27" t="s">
        <v>7</v>
      </c>
      <c r="SG615" s="27" t="s">
        <v>8</v>
      </c>
      <c r="SH615" s="27" t="s">
        <v>7</v>
      </c>
      <c r="SI615" s="27" t="s">
        <v>8</v>
      </c>
      <c r="SJ615" s="27" t="s">
        <v>7</v>
      </c>
      <c r="SK615" s="27" t="s">
        <v>8</v>
      </c>
      <c r="TP615" s="27" t="s">
        <v>7</v>
      </c>
      <c r="TQ615" s="27" t="s">
        <v>8</v>
      </c>
      <c r="TR615" s="27" t="s">
        <v>7</v>
      </c>
      <c r="TW615" s="27" t="s">
        <v>8</v>
      </c>
      <c r="TX615" s="27" t="s">
        <v>7</v>
      </c>
    </row>
    <row r="616" spans="1:553" x14ac:dyDescent="0.25">
      <c r="A616" s="7">
        <v>0.56311230675951029</v>
      </c>
      <c r="B616"/>
      <c r="C616"/>
      <c r="D616"/>
      <c r="E616"/>
      <c r="F616" s="27" t="s">
        <v>7</v>
      </c>
      <c r="NY616" s="27" t="s">
        <v>8</v>
      </c>
      <c r="NZ616" s="27" t="s">
        <v>7</v>
      </c>
      <c r="OA616" s="27" t="s">
        <v>8</v>
      </c>
      <c r="OB616" s="27" t="s">
        <v>7</v>
      </c>
      <c r="OC616" s="27" t="s">
        <v>8</v>
      </c>
      <c r="OD616" s="27" t="s">
        <v>7</v>
      </c>
      <c r="OE616" s="27" t="s">
        <v>8</v>
      </c>
      <c r="OF616" s="27" t="s">
        <v>7</v>
      </c>
      <c r="OG616" s="27" t="s">
        <v>8</v>
      </c>
      <c r="OT616" s="27" t="s">
        <v>7</v>
      </c>
      <c r="QX616" s="27" t="s">
        <v>7</v>
      </c>
      <c r="QY616" s="27" t="s">
        <v>8</v>
      </c>
      <c r="QZ616" s="27" t="s">
        <v>7</v>
      </c>
      <c r="RC616" s="27" t="s">
        <v>8</v>
      </c>
      <c r="RD616" s="27" t="s">
        <v>7</v>
      </c>
      <c r="RE616" s="27" t="s">
        <v>8</v>
      </c>
      <c r="RF616" s="27" t="s">
        <v>7</v>
      </c>
      <c r="RG616" s="27" t="s">
        <v>8</v>
      </c>
      <c r="RH616" s="27" t="s">
        <v>7</v>
      </c>
      <c r="RK616" s="27" t="s">
        <v>8</v>
      </c>
      <c r="RL616" s="27" t="s">
        <v>7</v>
      </c>
      <c r="RM616" s="27" t="s">
        <v>8</v>
      </c>
      <c r="RR616" s="27" t="s">
        <v>7</v>
      </c>
      <c r="SG616" s="27" t="s">
        <v>8</v>
      </c>
      <c r="SH616" s="27" t="s">
        <v>7</v>
      </c>
      <c r="SI616" s="27" t="s">
        <v>8</v>
      </c>
      <c r="SJ616" s="27" t="s">
        <v>7</v>
      </c>
      <c r="SK616" s="27" t="s">
        <v>8</v>
      </c>
      <c r="TP616" s="27" t="s">
        <v>7</v>
      </c>
      <c r="TQ616" s="27" t="s">
        <v>8</v>
      </c>
      <c r="TR616" s="27" t="s">
        <v>7</v>
      </c>
      <c r="TS616" s="27" t="s">
        <v>8</v>
      </c>
      <c r="TW616" s="27" t="s">
        <v>8</v>
      </c>
    </row>
    <row r="617" spans="1:553" x14ac:dyDescent="0.25">
      <c r="A617" s="7">
        <v>0.55207088897991208</v>
      </c>
      <c r="B617"/>
      <c r="C617"/>
      <c r="D617"/>
      <c r="E617"/>
      <c r="F617" s="27" t="s">
        <v>7</v>
      </c>
      <c r="NY617" s="27" t="s">
        <v>8</v>
      </c>
      <c r="NZ617" s="27" t="s">
        <v>7</v>
      </c>
      <c r="OA617" s="27" t="s">
        <v>8</v>
      </c>
      <c r="OB617" s="27" t="s">
        <v>7</v>
      </c>
      <c r="OC617" s="27" t="s">
        <v>8</v>
      </c>
      <c r="OD617" s="27" t="s">
        <v>7</v>
      </c>
      <c r="OE617" s="27" t="s">
        <v>8</v>
      </c>
      <c r="OF617" s="27" t="s">
        <v>7</v>
      </c>
      <c r="OG617" s="27" t="s">
        <v>8</v>
      </c>
      <c r="QX617" s="27" t="s">
        <v>7</v>
      </c>
      <c r="QY617" s="27" t="s">
        <v>8</v>
      </c>
      <c r="QZ617" s="27" t="s">
        <v>7</v>
      </c>
      <c r="RC617" s="27" t="s">
        <v>8</v>
      </c>
      <c r="RD617" s="27" t="s">
        <v>7</v>
      </c>
      <c r="RE617" s="27" t="s">
        <v>8</v>
      </c>
      <c r="RF617" s="27" t="s">
        <v>7</v>
      </c>
      <c r="RG617" s="27" t="s">
        <v>8</v>
      </c>
      <c r="RH617" s="27" t="s">
        <v>7</v>
      </c>
      <c r="RK617" s="27" t="s">
        <v>8</v>
      </c>
      <c r="RL617" s="27" t="s">
        <v>7</v>
      </c>
      <c r="RM617" s="27" t="s">
        <v>8</v>
      </c>
      <c r="RR617" s="27" t="s">
        <v>7</v>
      </c>
      <c r="SG617" s="27" t="s">
        <v>8</v>
      </c>
      <c r="SH617" s="27" t="s">
        <v>7</v>
      </c>
      <c r="SI617" s="27" t="s">
        <v>8</v>
      </c>
      <c r="SJ617" s="27" t="s">
        <v>7</v>
      </c>
      <c r="SK617" s="27" t="s">
        <v>8</v>
      </c>
      <c r="TP617" s="27" t="s">
        <v>7</v>
      </c>
      <c r="TR617" s="27" t="s">
        <v>7</v>
      </c>
      <c r="TS617" s="27" t="s">
        <v>8</v>
      </c>
      <c r="TT617" s="27" t="s">
        <v>7</v>
      </c>
      <c r="TU617" s="27" t="s">
        <v>8</v>
      </c>
      <c r="TW617" s="27" t="s">
        <v>8</v>
      </c>
    </row>
    <row r="618" spans="1:553" x14ac:dyDescent="0.25">
      <c r="A618" s="7">
        <v>0.54124596958814908</v>
      </c>
      <c r="B618"/>
      <c r="C618"/>
      <c r="D618"/>
      <c r="E618"/>
      <c r="F618" s="27" t="s">
        <v>7</v>
      </c>
      <c r="NY618" s="27" t="s">
        <v>8</v>
      </c>
      <c r="NZ618" s="27" t="s">
        <v>7</v>
      </c>
      <c r="OA618" s="27" t="s">
        <v>8</v>
      </c>
      <c r="OB618" s="27" t="s">
        <v>7</v>
      </c>
      <c r="OC618" s="27" t="s">
        <v>8</v>
      </c>
      <c r="OD618" s="27" t="s">
        <v>7</v>
      </c>
      <c r="OE618" s="27" t="s">
        <v>8</v>
      </c>
      <c r="OF618" s="27" t="s">
        <v>7</v>
      </c>
      <c r="OG618" s="27" t="s">
        <v>8</v>
      </c>
      <c r="QX618" s="27" t="s">
        <v>7</v>
      </c>
      <c r="QY618" s="27" t="s">
        <v>8</v>
      </c>
      <c r="QZ618" s="27" t="s">
        <v>7</v>
      </c>
      <c r="RC618" s="27" t="s">
        <v>8</v>
      </c>
      <c r="RD618" s="27" t="s">
        <v>7</v>
      </c>
      <c r="RE618" s="27" t="s">
        <v>8</v>
      </c>
      <c r="RF618" s="27" t="s">
        <v>7</v>
      </c>
      <c r="RG618" s="27" t="s">
        <v>8</v>
      </c>
      <c r="RH618" s="27" t="s">
        <v>7</v>
      </c>
      <c r="RI618" s="27" t="s">
        <v>8</v>
      </c>
      <c r="RK618" s="27" t="s">
        <v>8</v>
      </c>
      <c r="RL618" s="27" t="s">
        <v>7</v>
      </c>
      <c r="RM618" s="27" t="s">
        <v>8</v>
      </c>
      <c r="RR618" s="27" t="s">
        <v>7</v>
      </c>
      <c r="RU618" s="27" t="s">
        <v>8</v>
      </c>
      <c r="SA618" s="27" t="s">
        <v>8</v>
      </c>
      <c r="SG618" s="27" t="s">
        <v>8</v>
      </c>
      <c r="SH618" s="27" t="s">
        <v>7</v>
      </c>
      <c r="SJ618" s="27" t="s">
        <v>7</v>
      </c>
      <c r="SK618" s="27" t="s">
        <v>8</v>
      </c>
      <c r="TR618" s="27" t="s">
        <v>7</v>
      </c>
      <c r="TS618" s="27" t="s">
        <v>8</v>
      </c>
      <c r="TT618" s="27" t="s">
        <v>7</v>
      </c>
      <c r="TU618" s="27" t="s">
        <v>8</v>
      </c>
      <c r="TV618" s="27" t="s">
        <v>7</v>
      </c>
      <c r="TW618" s="27" t="s">
        <v>8</v>
      </c>
    </row>
    <row r="619" spans="1:553" x14ac:dyDescent="0.25">
      <c r="A619" s="7">
        <v>0.53063330351779314</v>
      </c>
      <c r="B619"/>
      <c r="C619"/>
      <c r="D619"/>
      <c r="E619"/>
      <c r="F619" s="27" t="s">
        <v>7</v>
      </c>
      <c r="NY619" s="27" t="s">
        <v>8</v>
      </c>
      <c r="NZ619" s="27" t="s">
        <v>7</v>
      </c>
      <c r="OA619" s="27" t="s">
        <v>8</v>
      </c>
      <c r="OB619" s="27" t="s">
        <v>7</v>
      </c>
      <c r="OC619" s="27" t="s">
        <v>8</v>
      </c>
      <c r="OD619" s="27" t="s">
        <v>7</v>
      </c>
      <c r="OE619" s="27" t="s">
        <v>8</v>
      </c>
      <c r="OF619" s="27" t="s">
        <v>7</v>
      </c>
      <c r="OG619" s="27" t="s">
        <v>8</v>
      </c>
      <c r="QX619" s="27" t="s">
        <v>7</v>
      </c>
      <c r="QY619" s="27" t="s">
        <v>8</v>
      </c>
      <c r="QZ619" s="27" t="s">
        <v>7</v>
      </c>
      <c r="RC619" s="27" t="s">
        <v>8</v>
      </c>
      <c r="RD619" s="27" t="s">
        <v>7</v>
      </c>
      <c r="RE619" s="27" t="s">
        <v>8</v>
      </c>
      <c r="RF619" s="27" t="s">
        <v>7</v>
      </c>
      <c r="RG619" s="27" t="s">
        <v>8</v>
      </c>
      <c r="RH619" s="27" t="s">
        <v>7</v>
      </c>
      <c r="RI619" s="27" t="s">
        <v>8</v>
      </c>
      <c r="RJ619" s="27" t="s">
        <v>7</v>
      </c>
      <c r="RK619" s="27" t="s">
        <v>8</v>
      </c>
      <c r="RL619" s="27" t="s">
        <v>7</v>
      </c>
      <c r="RM619" s="27" t="s">
        <v>8</v>
      </c>
      <c r="RR619" s="27" t="s">
        <v>7</v>
      </c>
      <c r="RU619" s="27" t="s">
        <v>8</v>
      </c>
      <c r="RV619" s="27" t="s">
        <v>7</v>
      </c>
      <c r="SA619" s="27" t="s">
        <v>8</v>
      </c>
      <c r="SB619" s="27" t="s">
        <v>7</v>
      </c>
      <c r="SG619" s="27" t="s">
        <v>8</v>
      </c>
      <c r="SJ619" s="27" t="s">
        <v>7</v>
      </c>
      <c r="SK619" s="27" t="s">
        <v>8</v>
      </c>
      <c r="TR619" s="27" t="s">
        <v>7</v>
      </c>
      <c r="TS619" s="27" t="s">
        <v>8</v>
      </c>
      <c r="TT619" s="27" t="s">
        <v>7</v>
      </c>
      <c r="TU619" s="27" t="s">
        <v>8</v>
      </c>
      <c r="TV619" s="27" t="s">
        <v>7</v>
      </c>
      <c r="TW619" s="27" t="s">
        <v>8</v>
      </c>
    </row>
    <row r="620" spans="1:553" x14ac:dyDescent="0.25">
      <c r="A620" s="7">
        <v>0.52022872893901284</v>
      </c>
      <c r="B620"/>
      <c r="C620"/>
      <c r="D620"/>
      <c r="E620"/>
      <c r="F620" s="27" t="s">
        <v>7</v>
      </c>
      <c r="NY620" s="27" t="s">
        <v>8</v>
      </c>
      <c r="NZ620" s="27" t="s">
        <v>7</v>
      </c>
      <c r="OB620" s="27" t="s">
        <v>7</v>
      </c>
      <c r="OC620" s="27" t="s">
        <v>8</v>
      </c>
      <c r="OD620" s="27" t="s">
        <v>7</v>
      </c>
      <c r="OE620" s="27" t="s">
        <v>8</v>
      </c>
      <c r="OF620" s="27" t="s">
        <v>7</v>
      </c>
      <c r="QX620" s="27" t="s">
        <v>7</v>
      </c>
      <c r="QY620" s="27" t="s">
        <v>8</v>
      </c>
      <c r="QZ620" s="27" t="s">
        <v>7</v>
      </c>
      <c r="RC620" s="27" t="s">
        <v>8</v>
      </c>
      <c r="RD620" s="27" t="s">
        <v>7</v>
      </c>
      <c r="RE620" s="27" t="s">
        <v>8</v>
      </c>
      <c r="RF620" s="27" t="s">
        <v>7</v>
      </c>
      <c r="RG620" s="27" t="s">
        <v>8</v>
      </c>
      <c r="RH620" s="27" t="s">
        <v>7</v>
      </c>
      <c r="RI620" s="27" t="s">
        <v>8</v>
      </c>
      <c r="RJ620" s="27" t="s">
        <v>7</v>
      </c>
      <c r="RK620" s="27" t="s">
        <v>8</v>
      </c>
      <c r="RL620" s="27" t="s">
        <v>7</v>
      </c>
      <c r="RM620" s="27" t="s">
        <v>8</v>
      </c>
      <c r="RR620" s="27" t="s">
        <v>7</v>
      </c>
      <c r="RS620" s="27" t="s">
        <v>8</v>
      </c>
      <c r="RU620" s="27" t="s">
        <v>8</v>
      </c>
      <c r="RV620" s="27" t="s">
        <v>7</v>
      </c>
      <c r="SA620" s="27" t="s">
        <v>8</v>
      </c>
      <c r="SB620" s="27" t="s">
        <v>7</v>
      </c>
      <c r="SE620" s="27" t="s">
        <v>8</v>
      </c>
      <c r="SG620" s="27" t="s">
        <v>8</v>
      </c>
      <c r="SJ620" s="27" t="s">
        <v>7</v>
      </c>
      <c r="SK620" s="27" t="s">
        <v>8</v>
      </c>
      <c r="TR620" s="27" t="s">
        <v>7</v>
      </c>
      <c r="TS620" s="27" t="s">
        <v>8</v>
      </c>
      <c r="TT620" s="27" t="s">
        <v>7</v>
      </c>
      <c r="TU620" s="27" t="s">
        <v>8</v>
      </c>
      <c r="TV620" s="27" t="s">
        <v>7</v>
      </c>
    </row>
    <row r="621" spans="1:553" x14ac:dyDescent="0.25">
      <c r="A621" s="7">
        <v>0.51002816562648323</v>
      </c>
      <c r="B621"/>
      <c r="C621"/>
      <c r="D621"/>
      <c r="E621"/>
      <c r="F621" s="27" t="s">
        <v>7</v>
      </c>
      <c r="NY621" s="27" t="s">
        <v>8</v>
      </c>
      <c r="OB621" s="27" t="s">
        <v>7</v>
      </c>
      <c r="OC621" s="27" t="s">
        <v>8</v>
      </c>
      <c r="OD621" s="27" t="s">
        <v>7</v>
      </c>
      <c r="OE621" s="27" t="s">
        <v>8</v>
      </c>
      <c r="QX621" s="27" t="s">
        <v>7</v>
      </c>
      <c r="QY621" s="27" t="s">
        <v>8</v>
      </c>
      <c r="QZ621" s="27" t="s">
        <v>7</v>
      </c>
      <c r="RC621" s="27" t="s">
        <v>8</v>
      </c>
      <c r="RD621" s="27" t="s">
        <v>7</v>
      </c>
      <c r="RE621" s="27" t="s">
        <v>8</v>
      </c>
      <c r="RF621" s="27" t="s">
        <v>7</v>
      </c>
      <c r="RG621" s="27" t="s">
        <v>8</v>
      </c>
      <c r="RH621" s="27" t="s">
        <v>7</v>
      </c>
      <c r="RI621" s="27" t="s">
        <v>8</v>
      </c>
      <c r="RJ621" s="27" t="s">
        <v>7</v>
      </c>
      <c r="RK621" s="27" t="s">
        <v>8</v>
      </c>
      <c r="RL621" s="27" t="s">
        <v>7</v>
      </c>
      <c r="RM621" s="27" t="s">
        <v>8</v>
      </c>
      <c r="RR621" s="27" t="s">
        <v>7</v>
      </c>
      <c r="RS621" s="27" t="s">
        <v>8</v>
      </c>
      <c r="RT621" s="27" t="s">
        <v>7</v>
      </c>
      <c r="RU621" s="27" t="s">
        <v>8</v>
      </c>
      <c r="RV621" s="27" t="s">
        <v>7</v>
      </c>
      <c r="SA621" s="27" t="s">
        <v>8</v>
      </c>
      <c r="SB621" s="27" t="s">
        <v>7</v>
      </c>
      <c r="SE621" s="27" t="s">
        <v>8</v>
      </c>
      <c r="SF621" s="27" t="s">
        <v>7</v>
      </c>
      <c r="SG621" s="27" t="s">
        <v>8</v>
      </c>
      <c r="SJ621" s="18" t="s">
        <v>7</v>
      </c>
      <c r="SK621" s="27" t="s">
        <v>8</v>
      </c>
      <c r="TR621" s="27" t="s">
        <v>7</v>
      </c>
      <c r="TS621" s="27" t="s">
        <v>8</v>
      </c>
      <c r="TT621" s="27" t="s">
        <v>7</v>
      </c>
      <c r="TU621" s="27" t="s">
        <v>8</v>
      </c>
    </row>
    <row r="622" spans="1:553" x14ac:dyDescent="0.25">
      <c r="A622" s="7">
        <v>0.50002761335929735</v>
      </c>
      <c r="B622"/>
      <c r="C622"/>
      <c r="D622"/>
      <c r="E622"/>
      <c r="F622" s="27" t="s">
        <v>7</v>
      </c>
      <c r="NY622" s="27" t="s">
        <v>8</v>
      </c>
      <c r="OB622" s="27" t="s">
        <v>7</v>
      </c>
      <c r="OC622" s="27" t="s">
        <v>8</v>
      </c>
      <c r="OD622" s="27" t="s">
        <v>7</v>
      </c>
      <c r="OE622" s="27" t="s">
        <v>8</v>
      </c>
      <c r="QX622" s="27" t="s">
        <v>7</v>
      </c>
      <c r="QY622" s="27" t="s">
        <v>8</v>
      </c>
      <c r="QZ622" s="27" t="s">
        <v>7</v>
      </c>
      <c r="RC622" s="27" t="s">
        <v>8</v>
      </c>
      <c r="RD622" s="27" t="s">
        <v>7</v>
      </c>
      <c r="RE622" s="27" t="s">
        <v>8</v>
      </c>
      <c r="RF622" s="27" t="s">
        <v>7</v>
      </c>
      <c r="RG622" s="27" t="s">
        <v>8</v>
      </c>
      <c r="RH622" s="27" t="s">
        <v>7</v>
      </c>
      <c r="RI622" s="27" t="s">
        <v>8</v>
      </c>
      <c r="RJ622" s="27" t="s">
        <v>7</v>
      </c>
      <c r="RK622" s="27" t="s">
        <v>8</v>
      </c>
      <c r="RL622" s="27" t="s">
        <v>7</v>
      </c>
      <c r="RM622" s="27" t="s">
        <v>8</v>
      </c>
      <c r="RR622" s="27" t="s">
        <v>7</v>
      </c>
      <c r="RS622" s="27" t="s">
        <v>8</v>
      </c>
      <c r="RT622" s="27" t="s">
        <v>7</v>
      </c>
      <c r="RU622" s="27" t="s">
        <v>8</v>
      </c>
      <c r="RV622" s="27" t="s">
        <v>7</v>
      </c>
      <c r="SA622" s="27" t="s">
        <v>8</v>
      </c>
      <c r="SB622" s="27" t="s">
        <v>7</v>
      </c>
      <c r="SC622" s="27" t="s">
        <v>8</v>
      </c>
      <c r="SE622" s="27" t="s">
        <v>8</v>
      </c>
      <c r="SF622" s="27" t="s">
        <v>7</v>
      </c>
      <c r="SG622" s="27" t="s">
        <v>8</v>
      </c>
      <c r="SJ622" s="27" t="s">
        <v>7</v>
      </c>
      <c r="SK622" s="27" t="s">
        <v>8</v>
      </c>
      <c r="TR622" s="27" t="s">
        <v>7</v>
      </c>
      <c r="TT622" s="27" t="s">
        <v>7</v>
      </c>
    </row>
    <row r="623" spans="1:553" x14ac:dyDescent="0.25">
      <c r="A623" s="7">
        <v>0.49022315035225228</v>
      </c>
      <c r="B623"/>
      <c r="C623"/>
      <c r="D623"/>
      <c r="E623"/>
      <c r="F623" s="27" t="s">
        <v>7</v>
      </c>
      <c r="NY623" s="27" t="s">
        <v>8</v>
      </c>
      <c r="OB623" s="27" t="s">
        <v>7</v>
      </c>
      <c r="OC623" s="27" t="s">
        <v>8</v>
      </c>
      <c r="OD623" s="27" t="s">
        <v>7</v>
      </c>
      <c r="QX623" s="27" t="s">
        <v>7</v>
      </c>
      <c r="QY623" s="27" t="s">
        <v>8</v>
      </c>
      <c r="QZ623" s="27" t="s">
        <v>7</v>
      </c>
      <c r="RC623" s="27" t="s">
        <v>8</v>
      </c>
      <c r="RD623" s="27" t="s">
        <v>7</v>
      </c>
      <c r="RE623" s="27" t="s">
        <v>8</v>
      </c>
      <c r="RF623" s="27" t="s">
        <v>7</v>
      </c>
      <c r="RG623" s="27" t="s">
        <v>8</v>
      </c>
      <c r="RH623" s="27" t="s">
        <v>7</v>
      </c>
      <c r="RI623" s="27" t="s">
        <v>8</v>
      </c>
      <c r="RJ623" s="27" t="s">
        <v>7</v>
      </c>
      <c r="RK623" s="27" t="s">
        <v>8</v>
      </c>
      <c r="RL623" s="27" t="s">
        <v>7</v>
      </c>
      <c r="RM623" s="27" t="s">
        <v>8</v>
      </c>
      <c r="RR623" s="27" t="s">
        <v>7</v>
      </c>
      <c r="RS623" s="27" t="s">
        <v>8</v>
      </c>
      <c r="RT623" s="27" t="s">
        <v>7</v>
      </c>
      <c r="RU623" s="27" t="s">
        <v>8</v>
      </c>
      <c r="RV623" s="27" t="s">
        <v>7</v>
      </c>
      <c r="RW623" s="27" t="s">
        <v>8</v>
      </c>
      <c r="RY623" s="27" t="s">
        <v>8</v>
      </c>
      <c r="SA623" s="27" t="s">
        <v>8</v>
      </c>
      <c r="SB623" s="27" t="s">
        <v>7</v>
      </c>
      <c r="SC623" s="27" t="s">
        <v>8</v>
      </c>
      <c r="SD623" s="27" t="s">
        <v>7</v>
      </c>
      <c r="SE623" s="27" t="s">
        <v>8</v>
      </c>
      <c r="SF623" s="27" t="s">
        <v>7</v>
      </c>
      <c r="SG623" s="27" t="s">
        <v>8</v>
      </c>
      <c r="SJ623" s="27" t="s">
        <v>7</v>
      </c>
      <c r="SK623" s="27" t="s">
        <v>8</v>
      </c>
    </row>
    <row r="624" spans="1:553" x14ac:dyDescent="0.25">
      <c r="A624" s="7">
        <v>0.48061093171789437</v>
      </c>
      <c r="B624"/>
      <c r="C624"/>
      <c r="D624"/>
      <c r="E624"/>
      <c r="F624" s="27" t="s">
        <v>7</v>
      </c>
      <c r="NY624" s="27" t="s">
        <v>8</v>
      </c>
      <c r="OB624" s="27" t="s">
        <v>7</v>
      </c>
      <c r="OC624" s="27" t="s">
        <v>8</v>
      </c>
      <c r="QX624" s="27" t="s">
        <v>7</v>
      </c>
      <c r="QY624" s="27" t="s">
        <v>8</v>
      </c>
      <c r="QZ624" s="27" t="s">
        <v>7</v>
      </c>
      <c r="RA624" s="27" t="s">
        <v>8</v>
      </c>
      <c r="RC624" s="27" t="s">
        <v>8</v>
      </c>
      <c r="RD624" s="27" t="s">
        <v>7</v>
      </c>
      <c r="RE624" s="27" t="s">
        <v>8</v>
      </c>
      <c r="RF624" s="27" t="s">
        <v>7</v>
      </c>
      <c r="RH624" s="27" t="s">
        <v>7</v>
      </c>
      <c r="RI624" s="27" t="s">
        <v>8</v>
      </c>
      <c r="RJ624" s="27" t="s">
        <v>7</v>
      </c>
      <c r="RK624" s="27" t="s">
        <v>8</v>
      </c>
      <c r="RL624" s="27" t="s">
        <v>7</v>
      </c>
      <c r="RR624" s="27" t="s">
        <v>7</v>
      </c>
      <c r="RS624" s="27" t="s">
        <v>8</v>
      </c>
      <c r="RT624" s="27" t="s">
        <v>7</v>
      </c>
      <c r="RU624" s="27" t="s">
        <v>8</v>
      </c>
      <c r="RV624" s="27" t="s">
        <v>7</v>
      </c>
      <c r="RW624" s="27" t="s">
        <v>8</v>
      </c>
      <c r="RX624" s="27" t="s">
        <v>7</v>
      </c>
      <c r="RY624" s="27" t="s">
        <v>8</v>
      </c>
      <c r="RZ624" s="27" t="s">
        <v>7</v>
      </c>
      <c r="SA624" s="27" t="s">
        <v>8</v>
      </c>
      <c r="SB624" s="27" t="s">
        <v>7</v>
      </c>
      <c r="SC624" s="27" t="s">
        <v>8</v>
      </c>
      <c r="SD624" s="27" t="s">
        <v>7</v>
      </c>
      <c r="SE624" s="27" t="s">
        <v>8</v>
      </c>
      <c r="SF624" s="27" t="s">
        <v>7</v>
      </c>
      <c r="SG624" s="27" t="s">
        <v>8</v>
      </c>
      <c r="SJ624" s="27" t="s">
        <v>7</v>
      </c>
      <c r="SK624" s="27" t="s">
        <v>8</v>
      </c>
    </row>
    <row r="625" spans="1:505" x14ac:dyDescent="0.25">
      <c r="A625" s="7">
        <v>0.47118718795871994</v>
      </c>
      <c r="B625"/>
      <c r="C625"/>
      <c r="D625"/>
      <c r="E625"/>
      <c r="F625" s="27" t="s">
        <v>7</v>
      </c>
      <c r="NY625" s="27" t="s">
        <v>8</v>
      </c>
      <c r="OB625" s="27" t="s">
        <v>7</v>
      </c>
      <c r="OC625" s="27" t="s">
        <v>8</v>
      </c>
      <c r="QX625" s="27" t="s">
        <v>7</v>
      </c>
      <c r="QY625" s="27" t="s">
        <v>8</v>
      </c>
      <c r="QZ625" s="27" t="s">
        <v>7</v>
      </c>
      <c r="RA625" s="27" t="s">
        <v>8</v>
      </c>
      <c r="RB625" s="27" t="s">
        <v>7</v>
      </c>
      <c r="RC625" s="27" t="s">
        <v>8</v>
      </c>
      <c r="RD625" s="27" t="s">
        <v>7</v>
      </c>
      <c r="RE625" s="27" t="s">
        <v>8</v>
      </c>
      <c r="RH625" s="27" t="s">
        <v>7</v>
      </c>
      <c r="RI625" s="27" t="s">
        <v>8</v>
      </c>
      <c r="RJ625" s="27" t="s">
        <v>7</v>
      </c>
      <c r="RK625" s="27" t="s">
        <v>8</v>
      </c>
      <c r="RR625" s="27" t="s">
        <v>7</v>
      </c>
      <c r="RS625" s="27" t="s">
        <v>8</v>
      </c>
      <c r="RT625" s="27" t="s">
        <v>7</v>
      </c>
      <c r="RU625" s="27" t="s">
        <v>8</v>
      </c>
      <c r="RV625" s="27" t="s">
        <v>7</v>
      </c>
      <c r="RW625" s="27" t="s">
        <v>8</v>
      </c>
      <c r="RX625" s="27" t="s">
        <v>7</v>
      </c>
      <c r="RY625" s="27" t="s">
        <v>8</v>
      </c>
      <c r="RZ625" s="27" t="s">
        <v>7</v>
      </c>
      <c r="SA625" s="27" t="s">
        <v>8</v>
      </c>
      <c r="SB625" s="27" t="s">
        <v>7</v>
      </c>
      <c r="SC625" s="27" t="s">
        <v>8</v>
      </c>
      <c r="SD625" s="27" t="s">
        <v>7</v>
      </c>
      <c r="SF625" s="27" t="s">
        <v>7</v>
      </c>
      <c r="SJ625" s="27" t="s">
        <v>7</v>
      </c>
      <c r="SK625" s="27" t="s">
        <v>8</v>
      </c>
    </row>
    <row r="626" spans="1:505" x14ac:dyDescent="0.25">
      <c r="A626" s="7">
        <v>0.46194822348894116</v>
      </c>
      <c r="B626"/>
      <c r="C626"/>
      <c r="D626"/>
      <c r="E626"/>
      <c r="F626" s="27" t="s">
        <v>7</v>
      </c>
      <c r="NY626" s="27" t="s">
        <v>8</v>
      </c>
      <c r="OB626" s="27" t="s">
        <v>7</v>
      </c>
      <c r="OC626" s="27" t="s">
        <v>8</v>
      </c>
      <c r="QX626" s="27" t="s">
        <v>7</v>
      </c>
      <c r="QY626" s="27" t="s">
        <v>8</v>
      </c>
      <c r="QZ626" s="27" t="s">
        <v>7</v>
      </c>
      <c r="RA626" s="27" t="s">
        <v>8</v>
      </c>
      <c r="RB626" s="27" t="s">
        <v>7</v>
      </c>
      <c r="RC626" s="27" t="s">
        <v>8</v>
      </c>
      <c r="RD626" s="27" t="s">
        <v>7</v>
      </c>
      <c r="RE626" s="27" t="s">
        <v>8</v>
      </c>
      <c r="RH626" s="27" t="s">
        <v>7</v>
      </c>
      <c r="RI626" s="27" t="s">
        <v>8</v>
      </c>
      <c r="RJ626" s="27" t="s">
        <v>7</v>
      </c>
      <c r="RK626" s="27" t="s">
        <v>8</v>
      </c>
      <c r="RR626" s="27" t="s">
        <v>7</v>
      </c>
      <c r="RS626" s="27" t="s">
        <v>8</v>
      </c>
      <c r="RT626" s="27" t="s">
        <v>7</v>
      </c>
      <c r="RU626" s="27" t="s">
        <v>8</v>
      </c>
      <c r="RV626" s="27" t="s">
        <v>7</v>
      </c>
      <c r="RW626" s="27" t="s">
        <v>8</v>
      </c>
      <c r="RX626" s="27" t="s">
        <v>7</v>
      </c>
      <c r="RY626" s="27" t="s">
        <v>8</v>
      </c>
      <c r="RZ626" s="27" t="s">
        <v>7</v>
      </c>
      <c r="SA626" s="27" t="s">
        <v>8</v>
      </c>
      <c r="SB626" s="27" t="s">
        <v>7</v>
      </c>
      <c r="SC626" s="27" t="s">
        <v>8</v>
      </c>
      <c r="SJ626" s="27" t="s">
        <v>7</v>
      </c>
      <c r="SK626" s="27" t="s">
        <v>8</v>
      </c>
    </row>
    <row r="627" spans="1:505" x14ac:dyDescent="0.25">
      <c r="A627" s="7">
        <v>0.45289041518523643</v>
      </c>
      <c r="B627"/>
      <c r="C627"/>
      <c r="D627"/>
      <c r="E627"/>
      <c r="F627" s="27" t="s">
        <v>7</v>
      </c>
      <c r="NY627" s="27" t="s">
        <v>8</v>
      </c>
      <c r="OB627" s="27" t="s">
        <v>7</v>
      </c>
      <c r="OC627" s="27" t="s">
        <v>8</v>
      </c>
      <c r="QX627" s="27" t="s">
        <v>7</v>
      </c>
      <c r="QY627" s="27" t="s">
        <v>8</v>
      </c>
      <c r="QZ627" s="27" t="s">
        <v>7</v>
      </c>
      <c r="RA627" s="27" t="s">
        <v>8</v>
      </c>
      <c r="RB627" s="27" t="s">
        <v>7</v>
      </c>
      <c r="RC627" s="27" t="s">
        <v>8</v>
      </c>
      <c r="RD627" s="27" t="s">
        <v>7</v>
      </c>
      <c r="RE627" s="27" t="s">
        <v>8</v>
      </c>
      <c r="RH627" s="27" t="s">
        <v>7</v>
      </c>
      <c r="RJ627" s="27" t="s">
        <v>7</v>
      </c>
      <c r="RK627" s="27" t="s">
        <v>8</v>
      </c>
      <c r="RR627" s="27" t="s">
        <v>7</v>
      </c>
      <c r="RS627" s="27" t="s">
        <v>8</v>
      </c>
      <c r="RT627" s="27" t="s">
        <v>7</v>
      </c>
      <c r="RU627" s="27" t="s">
        <v>8</v>
      </c>
      <c r="RV627" s="27" t="s">
        <v>7</v>
      </c>
      <c r="RX627" s="27" t="s">
        <v>7</v>
      </c>
      <c r="RY627" s="27" t="s">
        <v>8</v>
      </c>
      <c r="RZ627" s="27" t="s">
        <v>7</v>
      </c>
      <c r="SA627" s="27" t="s">
        <v>8</v>
      </c>
      <c r="SB627" s="27" t="s">
        <v>7</v>
      </c>
      <c r="SC627" s="27" t="s">
        <v>8</v>
      </c>
      <c r="SJ627" s="27" t="s">
        <v>7</v>
      </c>
    </row>
    <row r="628" spans="1:505" x14ac:dyDescent="0.25">
      <c r="A628" s="7">
        <v>0.44401021096591808</v>
      </c>
      <c r="B628"/>
      <c r="C628"/>
      <c r="D628"/>
      <c r="E628"/>
      <c r="F628" s="27" t="s">
        <v>7</v>
      </c>
      <c r="NY628" s="27" t="s">
        <v>8</v>
      </c>
      <c r="OB628" s="27" t="s">
        <v>7</v>
      </c>
      <c r="OC628" s="27" t="s">
        <v>8</v>
      </c>
      <c r="QX628" s="27" t="s">
        <v>7</v>
      </c>
      <c r="QY628" s="27" t="s">
        <v>8</v>
      </c>
      <c r="QZ628" s="27" t="s">
        <v>7</v>
      </c>
      <c r="RA628" s="27" t="s">
        <v>8</v>
      </c>
      <c r="RB628" s="27" t="s">
        <v>7</v>
      </c>
      <c r="RC628" s="27" t="s">
        <v>8</v>
      </c>
      <c r="RD628" s="27" t="s">
        <v>7</v>
      </c>
      <c r="RE628" s="27" t="s">
        <v>8</v>
      </c>
      <c r="RJ628" s="27" t="s">
        <v>7</v>
      </c>
      <c r="RK628" s="27" t="s">
        <v>8</v>
      </c>
      <c r="RR628" s="27" t="s">
        <v>7</v>
      </c>
      <c r="RS628" s="27" t="s">
        <v>8</v>
      </c>
      <c r="RT628" s="27" t="s">
        <v>7</v>
      </c>
      <c r="RU628" s="27" t="s">
        <v>8</v>
      </c>
      <c r="RX628" s="27" t="s">
        <v>7</v>
      </c>
      <c r="RY628" s="27" t="s">
        <v>8</v>
      </c>
      <c r="RZ628" s="27" t="s">
        <v>7</v>
      </c>
      <c r="SA628" s="27" t="s">
        <v>8</v>
      </c>
      <c r="SB628" s="27" t="s">
        <v>7</v>
      </c>
    </row>
    <row r="629" spans="1:505" x14ac:dyDescent="0.25">
      <c r="A629" s="7">
        <v>0.4353041283979589</v>
      </c>
      <c r="B629"/>
      <c r="C629"/>
      <c r="D629"/>
      <c r="E629"/>
      <c r="F629" s="27" t="s">
        <v>7</v>
      </c>
      <c r="NY629" s="27" t="s">
        <v>8</v>
      </c>
      <c r="OB629" s="27" t="s">
        <v>7</v>
      </c>
      <c r="OC629" s="27" t="s">
        <v>8</v>
      </c>
      <c r="QX629" s="27" t="s">
        <v>7</v>
      </c>
      <c r="QZ629" s="27" t="s">
        <v>7</v>
      </c>
      <c r="RA629" s="27" t="s">
        <v>8</v>
      </c>
      <c r="RB629" s="27" t="s">
        <v>7</v>
      </c>
      <c r="RC629" s="27" t="s">
        <v>8</v>
      </c>
      <c r="RD629" s="27" t="s">
        <v>7</v>
      </c>
      <c r="RE629" s="27" t="s">
        <v>8</v>
      </c>
      <c r="RJ629" s="27" t="s">
        <v>7</v>
      </c>
      <c r="RK629" s="27" t="s">
        <v>8</v>
      </c>
      <c r="RR629" s="27" t="s">
        <v>7</v>
      </c>
      <c r="RS629" s="27" t="s">
        <v>8</v>
      </c>
      <c r="RT629" s="27" t="s">
        <v>7</v>
      </c>
      <c r="RU629" s="27" t="s">
        <v>8</v>
      </c>
      <c r="RX629" s="27" t="s">
        <v>7</v>
      </c>
      <c r="RY629" s="27" t="s">
        <v>8</v>
      </c>
      <c r="RZ629" s="27" t="s">
        <v>7</v>
      </c>
      <c r="SA629" s="27" t="s">
        <v>8</v>
      </c>
    </row>
    <row r="630" spans="1:505" x14ac:dyDescent="0.25">
      <c r="A630" s="7">
        <v>0.4267687533313323</v>
      </c>
      <c r="B630"/>
      <c r="C630"/>
      <c r="D630"/>
      <c r="E630"/>
      <c r="F630" s="27" t="s">
        <v>7</v>
      </c>
      <c r="NY630" s="27" t="s">
        <v>8</v>
      </c>
      <c r="OB630" s="27" t="s">
        <v>7</v>
      </c>
      <c r="OC630" s="27" t="s">
        <v>8</v>
      </c>
      <c r="QZ630" s="27" t="s">
        <v>7</v>
      </c>
      <c r="RA630" s="27" t="s">
        <v>8</v>
      </c>
      <c r="RB630" s="27" t="s">
        <v>7</v>
      </c>
      <c r="RC630" s="27" t="s">
        <v>8</v>
      </c>
      <c r="RD630" s="27" t="s">
        <v>7</v>
      </c>
      <c r="RE630" s="27" t="s">
        <v>8</v>
      </c>
      <c r="RJ630" s="27" t="s">
        <v>7</v>
      </c>
      <c r="RK630" s="27" t="s">
        <v>8</v>
      </c>
      <c r="RR630" s="27" t="s">
        <v>7</v>
      </c>
      <c r="RS630" s="27" t="s">
        <v>8</v>
      </c>
      <c r="RT630" s="27" t="s">
        <v>7</v>
      </c>
      <c r="RU630" s="27" t="s">
        <v>8</v>
      </c>
      <c r="RX630" s="27" t="s">
        <v>7</v>
      </c>
      <c r="RY630" s="27" t="s">
        <v>8</v>
      </c>
      <c r="RZ630" s="27" t="s">
        <v>7</v>
      </c>
    </row>
    <row r="631" spans="1:505" x14ac:dyDescent="0.25">
      <c r="A631" s="7">
        <v>0.41840073856012971</v>
      </c>
      <c r="B631"/>
      <c r="C631"/>
      <c r="D631"/>
      <c r="E631"/>
      <c r="F631" s="27" t="s">
        <v>7</v>
      </c>
      <c r="NY631" s="27" t="s">
        <v>8</v>
      </c>
      <c r="OB631" s="27" t="s">
        <v>7</v>
      </c>
      <c r="OC631" s="27" t="s">
        <v>8</v>
      </c>
      <c r="QZ631" s="27" t="s">
        <v>7</v>
      </c>
      <c r="RA631" s="27" t="s">
        <v>8</v>
      </c>
      <c r="RB631" s="27" t="s">
        <v>7</v>
      </c>
      <c r="RC631" s="27" t="s">
        <v>8</v>
      </c>
      <c r="RD631" s="27" t="s">
        <v>7</v>
      </c>
      <c r="RE631" s="27" t="s">
        <v>8</v>
      </c>
      <c r="RJ631" s="27" t="s">
        <v>7</v>
      </c>
      <c r="RK631" s="27" t="s">
        <v>8</v>
      </c>
      <c r="RR631" s="27" t="s">
        <v>7</v>
      </c>
      <c r="RS631" s="27" t="s">
        <v>8</v>
      </c>
      <c r="RT631" s="27" t="s">
        <v>7</v>
      </c>
      <c r="RU631" s="27" t="s">
        <v>8</v>
      </c>
      <c r="RX631" s="27" t="s">
        <v>7</v>
      </c>
      <c r="RY631" s="27" t="s">
        <v>8</v>
      </c>
    </row>
    <row r="632" spans="1:505" x14ac:dyDescent="0.25">
      <c r="A632" s="7">
        <v>0.41019680250993112</v>
      </c>
      <c r="B632"/>
      <c r="C632"/>
      <c r="D632"/>
      <c r="E632"/>
      <c r="F632" s="27" t="s">
        <v>7</v>
      </c>
      <c r="NY632" s="27" t="s">
        <v>8</v>
      </c>
      <c r="OB632" s="27" t="s">
        <v>7</v>
      </c>
      <c r="OC632" s="27" t="s">
        <v>8</v>
      </c>
      <c r="QZ632" s="27" t="s">
        <v>7</v>
      </c>
      <c r="RA632" s="27" t="s">
        <v>8</v>
      </c>
      <c r="RB632" s="27" t="s">
        <v>7</v>
      </c>
      <c r="RC632" s="27" t="s">
        <v>8</v>
      </c>
      <c r="RD632" s="27" t="s">
        <v>7</v>
      </c>
      <c r="RJ632" s="27" t="s">
        <v>7</v>
      </c>
      <c r="RK632" s="27" t="s">
        <v>8</v>
      </c>
      <c r="RR632" s="27" t="s">
        <v>7</v>
      </c>
      <c r="RS632" s="27" t="s">
        <v>8</v>
      </c>
      <c r="RT632" s="27" t="s">
        <v>7</v>
      </c>
      <c r="RU632" s="27" t="s">
        <v>8</v>
      </c>
      <c r="RX632" s="27" t="s">
        <v>7</v>
      </c>
      <c r="RY632" s="27" t="s">
        <v>8</v>
      </c>
    </row>
    <row r="633" spans="1:505" x14ac:dyDescent="0.25">
      <c r="A633" s="7">
        <v>0.40215372795091286</v>
      </c>
      <c r="B633"/>
      <c r="C633"/>
      <c r="D633"/>
      <c r="E633"/>
      <c r="F633" s="27" t="s">
        <v>7</v>
      </c>
      <c r="NY633" s="27" t="s">
        <v>8</v>
      </c>
      <c r="OB633" s="27" t="s">
        <v>7</v>
      </c>
      <c r="OC633" s="27" t="s">
        <v>8</v>
      </c>
      <c r="QZ633" s="27" t="s">
        <v>7</v>
      </c>
      <c r="RB633" s="27" t="s">
        <v>7</v>
      </c>
      <c r="RC633" s="27" t="s">
        <v>8</v>
      </c>
      <c r="RJ633" s="27" t="s">
        <v>7</v>
      </c>
      <c r="RK633" s="27" t="s">
        <v>8</v>
      </c>
      <c r="RR633" s="27" t="s">
        <v>7</v>
      </c>
      <c r="RS633" s="27" t="s">
        <v>8</v>
      </c>
      <c r="RT633" s="27" t="s">
        <v>7</v>
      </c>
      <c r="RU633" s="27" t="s">
        <v>8</v>
      </c>
      <c r="RX633" s="27" t="s">
        <v>7</v>
      </c>
    </row>
    <row r="634" spans="1:505" x14ac:dyDescent="0.25">
      <c r="A634" s="7">
        <v>0.39426836073618904</v>
      </c>
      <c r="B634"/>
      <c r="C634"/>
      <c r="D634"/>
      <c r="E634"/>
      <c r="F634" s="27" t="s">
        <v>7</v>
      </c>
      <c r="NY634" s="27" t="s">
        <v>8</v>
      </c>
      <c r="OB634" s="27" t="s">
        <v>7</v>
      </c>
      <c r="OC634" s="27" t="s">
        <v>8</v>
      </c>
      <c r="RB634" s="27" t="s">
        <v>7</v>
      </c>
      <c r="RC634" s="27" t="s">
        <v>8</v>
      </c>
      <c r="RJ634" s="27" t="s">
        <v>7</v>
      </c>
      <c r="RR634" s="27" t="s">
        <v>7</v>
      </c>
      <c r="RS634" s="27" t="s">
        <v>8</v>
      </c>
      <c r="RT634" s="27" t="s">
        <v>7</v>
      </c>
      <c r="RU634" s="27" t="s">
        <v>8</v>
      </c>
    </row>
    <row r="635" spans="1:505" x14ac:dyDescent="0.25">
      <c r="A635" s="7">
        <v>0.38653760856489122</v>
      </c>
      <c r="B635"/>
      <c r="C635"/>
      <c r="D635"/>
      <c r="E635"/>
      <c r="F635" s="27" t="s">
        <v>7</v>
      </c>
      <c r="NY635" s="27" t="s">
        <v>8</v>
      </c>
      <c r="OB635" s="27" t="s">
        <v>7</v>
      </c>
      <c r="RB635" s="27" t="s">
        <v>7</v>
      </c>
      <c r="RC635" s="27" t="s">
        <v>8</v>
      </c>
      <c r="RR635" s="27" t="s">
        <v>7</v>
      </c>
      <c r="RS635" s="27" t="s">
        <v>8</v>
      </c>
      <c r="RT635" s="27" t="s">
        <v>7</v>
      </c>
      <c r="RU635" s="27" t="s">
        <v>8</v>
      </c>
    </row>
    <row r="636" spans="1:505" x14ac:dyDescent="0.25">
      <c r="A636" s="7">
        <v>0.37895843976950117</v>
      </c>
      <c r="B636"/>
      <c r="C636"/>
      <c r="D636"/>
      <c r="E636"/>
      <c r="F636" s="27" t="s">
        <v>7</v>
      </c>
      <c r="NY636" s="27" t="s">
        <v>8</v>
      </c>
      <c r="RB636" s="27" t="s">
        <v>7</v>
      </c>
      <c r="RC636" s="27" t="s">
        <v>8</v>
      </c>
      <c r="RR636" s="27" t="s">
        <v>7</v>
      </c>
      <c r="RS636" s="27" t="s">
        <v>8</v>
      </c>
      <c r="RT636" s="27" t="s">
        <v>7</v>
      </c>
    </row>
    <row r="637" spans="1:505" x14ac:dyDescent="0.25">
      <c r="A637" s="7">
        <v>0.37152788212696197</v>
      </c>
      <c r="B637"/>
      <c r="C637"/>
      <c r="D637"/>
      <c r="E637"/>
      <c r="F637" s="27" t="s">
        <v>7</v>
      </c>
      <c r="NY637" s="27" t="s">
        <v>8</v>
      </c>
      <c r="RB637" s="27" t="s">
        <v>7</v>
      </c>
      <c r="RC637" s="27" t="s">
        <v>8</v>
      </c>
      <c r="RR637" s="27" t="s">
        <v>7</v>
      </c>
    </row>
    <row r="638" spans="1:505" x14ac:dyDescent="0.25">
      <c r="A638" s="7">
        <v>0.36424302169310002</v>
      </c>
      <c r="B638"/>
      <c r="C638"/>
      <c r="D638"/>
      <c r="E638"/>
      <c r="F638" s="27" t="s">
        <v>7</v>
      </c>
      <c r="NY638" s="27" t="s">
        <v>8</v>
      </c>
      <c r="RB638" s="27" t="s">
        <v>7</v>
      </c>
      <c r="RC638" s="27" t="s">
        <v>8</v>
      </c>
    </row>
    <row r="639" spans="1:505" x14ac:dyDescent="0.25">
      <c r="A639" s="7">
        <v>0.35710100165990194</v>
      </c>
      <c r="B639"/>
      <c r="C639"/>
      <c r="D639"/>
      <c r="E639"/>
      <c r="F639" s="27" t="s">
        <v>7</v>
      </c>
      <c r="NY639" s="27" t="s">
        <v>8</v>
      </c>
      <c r="RB639" s="27" t="s">
        <v>7</v>
      </c>
      <c r="RC639" s="27" t="s">
        <v>8</v>
      </c>
    </row>
    <row r="640" spans="1:505" x14ac:dyDescent="0.25">
      <c r="A640" s="7">
        <v>0.35009902123519804</v>
      </c>
      <c r="B640"/>
      <c r="C640"/>
      <c r="D640"/>
      <c r="E640"/>
      <c r="F640" s="27" t="s">
        <v>7</v>
      </c>
      <c r="NY640" s="27" t="s">
        <v>8</v>
      </c>
      <c r="RB640" s="27" t="s">
        <v>7</v>
      </c>
      <c r="RC640" s="27" t="s">
        <v>8</v>
      </c>
    </row>
    <row r="641" spans="1:471" x14ac:dyDescent="0.25">
      <c r="A641" s="7">
        <v>0.34323433454431179</v>
      </c>
      <c r="B641"/>
      <c r="C641"/>
      <c r="D641"/>
      <c r="E641"/>
      <c r="F641" s="27" t="s">
        <v>7</v>
      </c>
      <c r="NY641" s="27" t="s">
        <v>8</v>
      </c>
      <c r="RB641" s="27" t="s">
        <v>7</v>
      </c>
      <c r="RC641" s="27" t="s">
        <v>8</v>
      </c>
    </row>
    <row r="642" spans="1:471" x14ac:dyDescent="0.25">
      <c r="A642" s="7">
        <v>0.33650424955324681</v>
      </c>
      <c r="B642"/>
      <c r="C642"/>
      <c r="D642"/>
      <c r="E642"/>
      <c r="F642" s="27" t="s">
        <v>7</v>
      </c>
      <c r="NY642" s="27" t="s">
        <v>8</v>
      </c>
      <c r="RB642" s="27" t="s">
        <v>7</v>
      </c>
      <c r="RC642" s="27" t="s">
        <v>8</v>
      </c>
    </row>
    <row r="643" spans="1:471" x14ac:dyDescent="0.25">
      <c r="A643" s="7">
        <v>0.3299061270129871</v>
      </c>
      <c r="B643"/>
      <c r="C643"/>
      <c r="D643"/>
      <c r="E643"/>
      <c r="F643" s="27" t="s">
        <v>7</v>
      </c>
      <c r="NY643" s="27" t="s">
        <v>8</v>
      </c>
      <c r="RB643" s="27" t="s">
        <v>7</v>
      </c>
      <c r="RC643" s="27" t="s">
        <v>8</v>
      </c>
    </row>
    <row r="644" spans="1:471" x14ac:dyDescent="0.25">
      <c r="A644" s="7">
        <v>0.32343737942449713</v>
      </c>
      <c r="B644"/>
      <c r="C644"/>
      <c r="D644"/>
      <c r="E644"/>
      <c r="F644" s="27" t="s">
        <v>7</v>
      </c>
      <c r="NY644" s="27" t="s">
        <v>8</v>
      </c>
      <c r="RB644" s="27" t="s">
        <v>7</v>
      </c>
      <c r="RC644" s="27" t="s">
        <v>8</v>
      </c>
    </row>
    <row r="645" spans="1:471" x14ac:dyDescent="0.25">
      <c r="A645" s="7">
        <v>0.31709547002401678</v>
      </c>
      <c r="B645"/>
      <c r="C645"/>
      <c r="D645"/>
      <c r="E645"/>
      <c r="F645" s="27" t="s">
        <v>7</v>
      </c>
      <c r="NY645" s="27" t="s">
        <v>8</v>
      </c>
      <c r="RB645" s="27" t="s">
        <v>7</v>
      </c>
      <c r="RC645" s="27" t="s">
        <v>8</v>
      </c>
    </row>
    <row r="646" spans="1:471" x14ac:dyDescent="0.25">
      <c r="A646" s="7">
        <v>0.31087791178825175</v>
      </c>
      <c r="B646"/>
      <c r="C646"/>
      <c r="D646"/>
      <c r="E646"/>
      <c r="F646" s="27" t="s">
        <v>7</v>
      </c>
      <c r="NY646" s="27" t="s">
        <v>8</v>
      </c>
      <c r="RB646" s="27" t="s">
        <v>7</v>
      </c>
      <c r="RC646" s="27" t="s">
        <v>8</v>
      </c>
    </row>
    <row r="647" spans="1:471" x14ac:dyDescent="0.25">
      <c r="A647" s="7">
        <v>0.30478226645907036</v>
      </c>
      <c r="B647"/>
      <c r="C647"/>
      <c r="D647"/>
      <c r="E647"/>
      <c r="F647" s="27" t="s">
        <v>7</v>
      </c>
      <c r="NY647" s="27" t="s">
        <v>8</v>
      </c>
      <c r="RB647" s="27" t="s">
        <v>7</v>
      </c>
      <c r="RC647" s="27" t="s">
        <v>8</v>
      </c>
    </row>
    <row r="648" spans="1:471" x14ac:dyDescent="0.25">
      <c r="A648" s="7">
        <v>0.29880614358732388</v>
      </c>
      <c r="B648"/>
      <c r="C648"/>
      <c r="D648"/>
      <c r="E648"/>
      <c r="F648" s="27" t="s">
        <v>7</v>
      </c>
      <c r="NY648" s="27" t="s">
        <v>8</v>
      </c>
      <c r="RB648" s="27" t="s">
        <v>7</v>
      </c>
      <c r="RC648" s="27" t="s">
        <v>8</v>
      </c>
    </row>
    <row r="649" spans="1:471" x14ac:dyDescent="0.25">
      <c r="A649" s="7">
        <v>0.2929471995954156</v>
      </c>
      <c r="B649"/>
      <c r="C649"/>
      <c r="D649"/>
      <c r="E649"/>
      <c r="F649" s="27" t="s">
        <v>7</v>
      </c>
      <c r="NY649" s="27" t="s">
        <v>8</v>
      </c>
      <c r="RB649" s="27" t="s">
        <v>7</v>
      </c>
      <c r="RC649" s="27" t="s">
        <v>8</v>
      </c>
    </row>
    <row r="650" spans="1:471" x14ac:dyDescent="0.25">
      <c r="A650" s="7">
        <v>0.28720313685825055</v>
      </c>
      <c r="B650"/>
      <c r="C650"/>
      <c r="D650"/>
      <c r="E650"/>
      <c r="F650" s="27" t="s">
        <v>7</v>
      </c>
      <c r="NY650" s="27" t="s">
        <v>8</v>
      </c>
      <c r="RB650" s="27" t="s">
        <v>7</v>
      </c>
    </row>
    <row r="651" spans="1:471" x14ac:dyDescent="0.25">
      <c r="A651" s="7">
        <v>0.28157170280220645</v>
      </c>
      <c r="B651"/>
      <c r="C651"/>
      <c r="D651"/>
      <c r="E651"/>
      <c r="F651" s="27" t="s">
        <v>7</v>
      </c>
      <c r="NY651" s="27" t="s">
        <v>8</v>
      </c>
    </row>
    <row r="652" spans="1:471" x14ac:dyDescent="0.25">
      <c r="A652" s="7">
        <v>0.27605068902177105</v>
      </c>
      <c r="B652"/>
      <c r="C652"/>
      <c r="D652"/>
      <c r="E652"/>
      <c r="F652" s="27" t="s">
        <v>7</v>
      </c>
      <c r="NY652" s="27" t="s">
        <v>8</v>
      </c>
    </row>
    <row r="653" spans="1:471" x14ac:dyDescent="0.25">
      <c r="A653" s="7">
        <v>0.27063793041350104</v>
      </c>
      <c r="B653"/>
      <c r="C653"/>
      <c r="D653"/>
      <c r="E653"/>
      <c r="F653" s="27" t="s">
        <v>7</v>
      </c>
      <c r="NY653" s="27" t="s">
        <v>8</v>
      </c>
    </row>
    <row r="654" spans="1:471" x14ac:dyDescent="0.25">
      <c r="A654" s="7">
        <v>0.26533130432696184</v>
      </c>
      <c r="B654"/>
      <c r="C654"/>
      <c r="D654"/>
      <c r="E654"/>
      <c r="F654" s="27" t="s">
        <v>7</v>
      </c>
      <c r="NY654" s="27" t="s">
        <v>8</v>
      </c>
    </row>
    <row r="655" spans="1:471" x14ac:dyDescent="0.25">
      <c r="A655" s="7">
        <v>0.26012872973231554</v>
      </c>
      <c r="B655"/>
      <c r="C655"/>
      <c r="D655"/>
      <c r="E655"/>
      <c r="F655" s="27" t="s">
        <v>7</v>
      </c>
      <c r="NY655" s="27" t="s">
        <v>8</v>
      </c>
    </row>
    <row r="656" spans="1:471" x14ac:dyDescent="0.25">
      <c r="A656" s="7">
        <v>0.25502816640423093</v>
      </c>
      <c r="B656"/>
      <c r="C656"/>
      <c r="D656"/>
      <c r="E656"/>
      <c r="F656" s="27" t="s">
        <v>7</v>
      </c>
      <c r="NY656" s="27" t="s">
        <v>8</v>
      </c>
    </row>
    <row r="657" spans="1:389" x14ac:dyDescent="0.25">
      <c r="A657" s="7">
        <v>0.25002761412179503</v>
      </c>
      <c r="B657"/>
      <c r="C657"/>
      <c r="D657"/>
      <c r="E657"/>
      <c r="F657" s="27" t="s">
        <v>7</v>
      </c>
      <c r="NY657" s="27" t="s">
        <v>8</v>
      </c>
    </row>
    <row r="658" spans="1:389" x14ac:dyDescent="0.25">
      <c r="A658" s="7">
        <v>0.24512511188411276</v>
      </c>
      <c r="B658"/>
      <c r="C658"/>
      <c r="D658"/>
      <c r="E658"/>
      <c r="F658" s="27" t="s">
        <v>7</v>
      </c>
      <c r="NY658" s="27" t="s">
        <v>8</v>
      </c>
    </row>
    <row r="659" spans="1:389" x14ac:dyDescent="0.25">
      <c r="A659" s="7">
        <v>0.24031873714128701</v>
      </c>
      <c r="B659"/>
      <c r="C659"/>
      <c r="D659"/>
      <c r="E659"/>
      <c r="F659" s="27" t="s">
        <v>7</v>
      </c>
      <c r="NY659" s="27" t="s">
        <v>8</v>
      </c>
    </row>
    <row r="660" spans="1:389" x14ac:dyDescent="0.25">
      <c r="A660" s="7">
        <v>0.23560660504047748</v>
      </c>
      <c r="B660"/>
      <c r="C660"/>
      <c r="D660"/>
      <c r="E660"/>
      <c r="F660" s="27" t="s">
        <v>7</v>
      </c>
      <c r="NY660" s="27" t="s">
        <v>8</v>
      </c>
    </row>
    <row r="661" spans="1:389" x14ac:dyDescent="0.25">
      <c r="A661" s="7">
        <v>0.23098686768674265</v>
      </c>
      <c r="B661"/>
      <c r="C661"/>
      <c r="D661"/>
      <c r="E661"/>
      <c r="F661" s="27" t="s">
        <v>7</v>
      </c>
      <c r="NY661" s="27" t="s">
        <v>8</v>
      </c>
    </row>
    <row r="662" spans="1:389" x14ac:dyDescent="0.25">
      <c r="A662" s="7">
        <v>0.22645771341837515</v>
      </c>
      <c r="B662"/>
      <c r="C662"/>
      <c r="D662"/>
      <c r="E662"/>
      <c r="F662" s="27" t="s">
        <v>7</v>
      </c>
      <c r="NY662" s="27" t="s">
        <v>8</v>
      </c>
    </row>
    <row r="663" spans="1:389" x14ac:dyDescent="0.25">
      <c r="A663" s="7">
        <v>0.22201736609644623</v>
      </c>
      <c r="B663"/>
      <c r="C663"/>
      <c r="D663"/>
      <c r="E663"/>
      <c r="F663" s="27" t="s">
        <v>7</v>
      </c>
      <c r="NY663" s="27" t="s">
        <v>8</v>
      </c>
    </row>
    <row r="664" spans="1:389" x14ac:dyDescent="0.25">
      <c r="A664" s="7">
        <v>0.21766408440828061</v>
      </c>
      <c r="B664"/>
      <c r="C664"/>
      <c r="D664"/>
      <c r="E664"/>
      <c r="F664" s="27" t="s">
        <v>7</v>
      </c>
      <c r="NY664" s="27" t="s">
        <v>8</v>
      </c>
    </row>
    <row r="665" spans="1:389" x14ac:dyDescent="0.25">
      <c r="A665" s="7">
        <v>0.21339616118458882</v>
      </c>
      <c r="B665"/>
      <c r="C665"/>
      <c r="D665"/>
      <c r="E665"/>
      <c r="F665" s="27" t="s">
        <v>7</v>
      </c>
      <c r="NY665" s="27" t="s">
        <v>8</v>
      </c>
    </row>
    <row r="666" spans="1:389" x14ac:dyDescent="0.25">
      <c r="A666" s="7">
        <v>0.20921192272998904</v>
      </c>
      <c r="B666"/>
      <c r="C666"/>
      <c r="D666"/>
      <c r="E666"/>
      <c r="F666" s="27" t="s">
        <v>7</v>
      </c>
      <c r="NY666" s="27" t="s">
        <v>8</v>
      </c>
    </row>
    <row r="667" spans="1:389" x14ac:dyDescent="0.25">
      <c r="A667" s="7">
        <v>0.20510972816665593</v>
      </c>
      <c r="B667"/>
      <c r="C667"/>
      <c r="D667"/>
      <c r="E667"/>
      <c r="F667" s="27" t="s">
        <v>7</v>
      </c>
      <c r="NY667" s="27" t="s">
        <v>8</v>
      </c>
    </row>
    <row r="668" spans="1:389" x14ac:dyDescent="0.25">
      <c r="A668" s="7">
        <v>0.20108796879083912</v>
      </c>
      <c r="B668"/>
      <c r="C668"/>
      <c r="D668"/>
      <c r="E668"/>
      <c r="F668" s="27" t="s">
        <v>7</v>
      </c>
      <c r="NY668" s="27" t="s">
        <v>8</v>
      </c>
    </row>
    <row r="669" spans="1:389" x14ac:dyDescent="0.25">
      <c r="A669" s="7">
        <v>0.19714506744199917</v>
      </c>
      <c r="B669"/>
      <c r="C669"/>
      <c r="D669"/>
      <c r="E669"/>
      <c r="F669" s="27" t="s">
        <v>7</v>
      </c>
      <c r="NY669" s="27" t="s">
        <v>8</v>
      </c>
    </row>
    <row r="670" spans="1:389" x14ac:dyDescent="0.25">
      <c r="A670" s="7">
        <v>0.19327947788431293</v>
      </c>
      <c r="B670"/>
      <c r="C670"/>
      <c r="D670"/>
      <c r="E670"/>
      <c r="F670" s="27" t="s">
        <v>7</v>
      </c>
      <c r="NY670" s="27" t="s">
        <v>8</v>
      </c>
    </row>
    <row r="671" spans="1:389" x14ac:dyDescent="0.25">
      <c r="A671" s="7">
        <v>0.18948968420030682</v>
      </c>
      <c r="B671"/>
      <c r="C671"/>
      <c r="D671"/>
      <c r="E671"/>
      <c r="F671" s="27" t="s">
        <v>7</v>
      </c>
      <c r="NY671" s="27" t="s">
        <v>8</v>
      </c>
    </row>
    <row r="672" spans="1:389" x14ac:dyDescent="0.25">
      <c r="A672" s="7">
        <v>0.18577420019637925</v>
      </c>
      <c r="B672"/>
      <c r="C672"/>
      <c r="D672"/>
      <c r="E672"/>
      <c r="F672" s="27" t="s">
        <v>7</v>
      </c>
      <c r="NY672" s="27" t="s">
        <v>8</v>
      </c>
    </row>
    <row r="673" spans="1:389" x14ac:dyDescent="0.25">
      <c r="A673" s="7">
        <v>0.18213156881997963</v>
      </c>
      <c r="B673"/>
      <c r="C673"/>
      <c r="D673"/>
      <c r="E673"/>
      <c r="F673" s="27" t="s">
        <v>7</v>
      </c>
      <c r="NY673" s="27" t="s">
        <v>8</v>
      </c>
    </row>
    <row r="674" spans="1:389" x14ac:dyDescent="0.25">
      <c r="A674" s="7">
        <v>0.17856036158821534</v>
      </c>
      <c r="B674"/>
      <c r="C674"/>
      <c r="D674"/>
      <c r="E674"/>
      <c r="F674" s="27" t="s">
        <v>7</v>
      </c>
      <c r="NY674" s="27" t="s">
        <v>8</v>
      </c>
    </row>
    <row r="675" spans="1:389" x14ac:dyDescent="0.25">
      <c r="A675" s="7">
        <v>0.17505917802766208</v>
      </c>
      <c r="B675"/>
      <c r="C675"/>
      <c r="D675"/>
      <c r="E675"/>
      <c r="F675" s="27" t="s">
        <v>7</v>
      </c>
      <c r="NY675" s="27" t="s">
        <v>8</v>
      </c>
    </row>
    <row r="676" spans="1:389" x14ac:dyDescent="0.25">
      <c r="A676" s="7">
        <v>0.17162664512515888</v>
      </c>
      <c r="B676"/>
      <c r="C676"/>
      <c r="D676"/>
      <c r="E676"/>
      <c r="F676" s="27" t="s">
        <v>7</v>
      </c>
      <c r="NY676" s="27" t="s">
        <v>8</v>
      </c>
    </row>
    <row r="677" spans="1:389" x14ac:dyDescent="0.25">
      <c r="A677" s="7">
        <v>0.16826141678937145</v>
      </c>
      <c r="B677"/>
      <c r="C677"/>
      <c r="D677"/>
      <c r="E677"/>
      <c r="F677" s="27" t="s">
        <v>7</v>
      </c>
      <c r="NY677" s="27" t="s">
        <v>8</v>
      </c>
    </row>
    <row r="678" spans="1:389" x14ac:dyDescent="0.25">
      <c r="A678" s="7">
        <v>0.16496217332291319</v>
      </c>
      <c r="B678"/>
      <c r="C678"/>
      <c r="D678"/>
      <c r="E678"/>
      <c r="F678" s="27" t="s">
        <v>7</v>
      </c>
      <c r="NY678" s="27" t="s">
        <v>8</v>
      </c>
    </row>
    <row r="679" spans="1:389" x14ac:dyDescent="0.25">
      <c r="A679" s="7">
        <v>0.16172762090481685</v>
      </c>
      <c r="B679"/>
      <c r="C679"/>
      <c r="D679"/>
      <c r="E679"/>
      <c r="F679" s="27" t="s">
        <v>7</v>
      </c>
      <c r="NY679" s="27" t="s">
        <v>8</v>
      </c>
    </row>
    <row r="680" spans="1:389" x14ac:dyDescent="0.25">
      <c r="A680" s="7">
        <v>0.15855649108315376</v>
      </c>
      <c r="B680"/>
      <c r="C680"/>
      <c r="D680"/>
      <c r="E680"/>
      <c r="F680" s="27" t="s">
        <v>7</v>
      </c>
      <c r="NY680" s="27" t="s">
        <v>8</v>
      </c>
    </row>
    <row r="681" spans="1:389" x14ac:dyDescent="0.25">
      <c r="A681" s="7">
        <v>0.15544754027760171</v>
      </c>
      <c r="B681"/>
      <c r="C681"/>
      <c r="D681"/>
      <c r="E681"/>
      <c r="F681" s="27" t="s">
        <v>7</v>
      </c>
      <c r="NY681" s="27" t="s">
        <v>8</v>
      </c>
    </row>
    <row r="682" spans="1:389" x14ac:dyDescent="0.25">
      <c r="A682" s="7">
        <v>0.15239954929176638</v>
      </c>
      <c r="B682"/>
      <c r="C682"/>
      <c r="D682"/>
      <c r="E682"/>
      <c r="F682" s="27" t="s">
        <v>7</v>
      </c>
      <c r="NY682" s="27" t="s">
        <v>8</v>
      </c>
    </row>
    <row r="683" spans="1:389" x14ac:dyDescent="0.25">
      <c r="A683" s="7">
        <v>0.14941132283506509</v>
      </c>
      <c r="B683"/>
      <c r="C683"/>
      <c r="D683"/>
      <c r="E683"/>
      <c r="F683" s="27" t="s">
        <v>7</v>
      </c>
      <c r="NY683" s="27" t="s">
        <v>8</v>
      </c>
    </row>
    <row r="684" spans="1:389" x14ac:dyDescent="0.25">
      <c r="A684" s="7">
        <v>0.14648168905398537</v>
      </c>
      <c r="B684"/>
      <c r="C684"/>
      <c r="D684"/>
      <c r="E684"/>
      <c r="F684" s="27" t="s">
        <v>7</v>
      </c>
      <c r="NY684" s="27" t="s">
        <v>8</v>
      </c>
    </row>
    <row r="685" spans="1:389" x14ac:dyDescent="0.25">
      <c r="A685" s="7">
        <v>0.14360949907253467</v>
      </c>
      <c r="B685"/>
      <c r="C685"/>
      <c r="D685"/>
      <c r="E685"/>
      <c r="F685" s="27" t="s">
        <v>7</v>
      </c>
      <c r="NY685" s="27" t="s">
        <v>8</v>
      </c>
    </row>
    <row r="686" spans="1:389" x14ac:dyDescent="0.25">
      <c r="A686" s="7">
        <v>0.14079362654170066</v>
      </c>
      <c r="B686"/>
      <c r="C686"/>
      <c r="D686"/>
      <c r="E686"/>
      <c r="F686" s="27" t="s">
        <v>7</v>
      </c>
      <c r="NY686" s="27" t="s">
        <v>8</v>
      </c>
    </row>
    <row r="687" spans="1:389" x14ac:dyDescent="0.25">
      <c r="A687" s="7">
        <v>0.13803296719774574</v>
      </c>
      <c r="B687"/>
      <c r="C687"/>
      <c r="D687"/>
      <c r="E687"/>
      <c r="F687" s="27" t="s">
        <v>7</v>
      </c>
      <c r="NY687" s="27" t="s">
        <v>8</v>
      </c>
    </row>
    <row r="688" spans="1:389" x14ac:dyDescent="0.25">
      <c r="A688" s="7">
        <v>0.1353264384291625</v>
      </c>
      <c r="B688"/>
      <c r="C688"/>
      <c r="D688"/>
      <c r="E688"/>
      <c r="F688" s="27" t="s">
        <v>7</v>
      </c>
      <c r="NY688" s="27" t="s">
        <v>8</v>
      </c>
    </row>
    <row r="689" spans="1:389" x14ac:dyDescent="0.25">
      <c r="A689" s="7">
        <v>0.13267297885212009</v>
      </c>
      <c r="B689"/>
      <c r="C689"/>
      <c r="D689"/>
      <c r="E689"/>
      <c r="F689" s="27" t="s">
        <v>7</v>
      </c>
      <c r="NY689" s="27" t="s">
        <v>8</v>
      </c>
    </row>
    <row r="690" spans="1:389" x14ac:dyDescent="0.25">
      <c r="A690" s="7">
        <v>0.13007154789423539</v>
      </c>
      <c r="B690"/>
      <c r="C690"/>
      <c r="D690"/>
      <c r="E690"/>
      <c r="F690" s="27" t="s">
        <v>7</v>
      </c>
      <c r="NY690" s="27" t="s">
        <v>8</v>
      </c>
    </row>
    <row r="691" spans="1:389" x14ac:dyDescent="0.25">
      <c r="A691" s="7">
        <v>0.12752112538650529</v>
      </c>
      <c r="B691"/>
      <c r="C691"/>
      <c r="D691"/>
      <c r="E691"/>
      <c r="F691" s="27" t="s">
        <v>7</v>
      </c>
      <c r="NY691" s="27" t="s">
        <v>8</v>
      </c>
    </row>
    <row r="692" spans="1:389" x14ac:dyDescent="0.25">
      <c r="A692" s="7">
        <v>0.12502071116324048</v>
      </c>
      <c r="B692"/>
      <c r="C692"/>
      <c r="D692"/>
      <c r="E692"/>
      <c r="F692" s="27" t="s">
        <v>7</v>
      </c>
      <c r="NY692" s="27" t="s">
        <v>8</v>
      </c>
    </row>
    <row r="693" spans="1:389" x14ac:dyDescent="0.25">
      <c r="A693" s="7">
        <v>0.1225693246698436</v>
      </c>
      <c r="B693"/>
      <c r="C693"/>
      <c r="D693"/>
      <c r="E693"/>
      <c r="F693" s="27" t="s">
        <v>7</v>
      </c>
      <c r="NY693" s="27" t="s">
        <v>8</v>
      </c>
    </row>
    <row r="694" spans="1:389" x14ac:dyDescent="0.25">
      <c r="A694" s="7">
        <v>0.12016600457827803</v>
      </c>
      <c r="B694"/>
      <c r="C694"/>
      <c r="D694"/>
      <c r="E694"/>
      <c r="F694" s="27" t="s">
        <v>7</v>
      </c>
      <c r="NY694" s="27" t="s">
        <v>8</v>
      </c>
    </row>
    <row r="695" spans="1:389" x14ac:dyDescent="0.25">
      <c r="A695" s="7">
        <v>0.1178098084100765</v>
      </c>
      <c r="B695"/>
      <c r="C695"/>
      <c r="D695"/>
      <c r="E695"/>
      <c r="F695" s="27" t="s">
        <v>7</v>
      </c>
      <c r="NY695" s="27" t="s">
        <v>8</v>
      </c>
    </row>
    <row r="696" spans="1:389" x14ac:dyDescent="0.25">
      <c r="A696" s="7">
        <v>0.11549981216674166</v>
      </c>
      <c r="B696"/>
      <c r="C696"/>
      <c r="D696"/>
      <c r="E696"/>
      <c r="F696" s="27" t="s">
        <v>7</v>
      </c>
      <c r="NY696" s="27" t="s">
        <v>8</v>
      </c>
    </row>
    <row r="697" spans="1:389" x14ac:dyDescent="0.25">
      <c r="A697" s="7">
        <v>0.11323510996739378</v>
      </c>
      <c r="B697"/>
      <c r="C697"/>
      <c r="D697"/>
      <c r="E697"/>
      <c r="F697" s="27" t="s">
        <v>7</v>
      </c>
      <c r="NY697" s="27" t="s">
        <v>8</v>
      </c>
    </row>
    <row r="698" spans="1:389" x14ac:dyDescent="0.25">
      <c r="A698" s="7">
        <v>0.11101481369352331</v>
      </c>
      <c r="B698"/>
      <c r="C698"/>
      <c r="D698"/>
      <c r="E698"/>
      <c r="F698" s="27" t="s">
        <v>7</v>
      </c>
      <c r="NY698" s="27" t="s">
        <v>8</v>
      </c>
    </row>
    <row r="699" spans="1:389" x14ac:dyDescent="0.25">
      <c r="A699" s="7">
        <v>0.10883805264070913</v>
      </c>
      <c r="B699"/>
      <c r="C699"/>
      <c r="D699"/>
      <c r="E699"/>
      <c r="F699" s="27" t="s">
        <v>7</v>
      </c>
      <c r="NY699" s="27" t="s">
        <v>8</v>
      </c>
    </row>
    <row r="700" spans="1:389" x14ac:dyDescent="0.25">
      <c r="A700" s="7">
        <v>0.10670397317716582</v>
      </c>
      <c r="B700"/>
      <c r="C700"/>
      <c r="D700"/>
      <c r="E700"/>
      <c r="F700" s="27" t="s">
        <v>7</v>
      </c>
      <c r="NY700" s="27" t="s">
        <v>8</v>
      </c>
    </row>
    <row r="701" spans="1:389" x14ac:dyDescent="0.25">
      <c r="A701" s="7">
        <v>0.1046117384089861</v>
      </c>
      <c r="B701"/>
      <c r="C701"/>
      <c r="D701"/>
      <c r="E701"/>
      <c r="F701" s="27" t="s">
        <v>7</v>
      </c>
      <c r="NY701" s="27" t="s">
        <v>8</v>
      </c>
    </row>
    <row r="702" spans="1:389" x14ac:dyDescent="0.25">
      <c r="A702" s="7">
        <v>0.10256052785194716</v>
      </c>
      <c r="B702"/>
      <c r="C702"/>
      <c r="D702"/>
      <c r="E702"/>
      <c r="F702" s="27" t="s">
        <v>7</v>
      </c>
      <c r="NY702" s="27" t="s">
        <v>8</v>
      </c>
    </row>
    <row r="703" spans="1:389" x14ac:dyDescent="0.25">
      <c r="A703" s="7">
        <v>0.10054953710975212</v>
      </c>
      <c r="B703"/>
      <c r="C703"/>
      <c r="D703"/>
      <c r="E703"/>
      <c r="F703" s="27" t="s">
        <v>7</v>
      </c>
      <c r="NY703" s="27" t="s">
        <v>8</v>
      </c>
    </row>
    <row r="704" spans="1:389" x14ac:dyDescent="0.25">
      <c r="A704" s="7">
        <v>9.8577977558580512E-2</v>
      </c>
      <c r="B704"/>
      <c r="C704"/>
      <c r="D704"/>
      <c r="E704"/>
      <c r="F704" s="27" t="s">
        <v>7</v>
      </c>
      <c r="NY704" s="27" t="s">
        <v>8</v>
      </c>
    </row>
    <row r="705" spans="1:389" x14ac:dyDescent="0.25">
      <c r="A705" s="7">
        <v>9.6645076037824032E-2</v>
      </c>
      <c r="B705"/>
      <c r="C705"/>
      <c r="D705"/>
      <c r="E705"/>
      <c r="F705" s="27" t="s">
        <v>7</v>
      </c>
      <c r="NY705" s="27" t="s">
        <v>8</v>
      </c>
    </row>
    <row r="706" spans="1:389" x14ac:dyDescent="0.25">
      <c r="A706" s="7">
        <v>9.4750074546886304E-2</v>
      </c>
      <c r="B706"/>
      <c r="C706"/>
      <c r="D706"/>
      <c r="E706"/>
      <c r="F706" s="27" t="s">
        <v>7</v>
      </c>
      <c r="NY706" s="27" t="s">
        <v>8</v>
      </c>
    </row>
    <row r="707" spans="1:389" x14ac:dyDescent="0.25">
      <c r="A707" s="7">
        <v>9.2892229947927743E-2</v>
      </c>
      <c r="B707"/>
      <c r="C707"/>
      <c r="D707"/>
      <c r="E707"/>
      <c r="F707" s="27" t="s">
        <v>7</v>
      </c>
      <c r="NY707" s="27" t="s">
        <v>8</v>
      </c>
    </row>
    <row r="708" spans="1:389" x14ac:dyDescent="0.25">
      <c r="A708" s="7">
        <v>9.1070813674438963E-2</v>
      </c>
      <c r="B708"/>
      <c r="C708"/>
      <c r="D708"/>
      <c r="E708"/>
      <c r="F708" s="27" t="s">
        <v>7</v>
      </c>
      <c r="NY708" s="27" t="s">
        <v>8</v>
      </c>
    </row>
    <row r="709" spans="1:389" x14ac:dyDescent="0.25">
      <c r="A709" s="7">
        <v>8.9285111445528392E-2</v>
      </c>
      <c r="B709"/>
      <c r="C709"/>
      <c r="D709"/>
      <c r="E709"/>
      <c r="F709" s="27" t="s">
        <v>7</v>
      </c>
      <c r="NY709" s="27" t="s">
        <v>8</v>
      </c>
    </row>
    <row r="710" spans="1:389" x14ac:dyDescent="0.25">
      <c r="A710" s="7">
        <v>8.7534422985812155E-2</v>
      </c>
      <c r="B710"/>
      <c r="C710"/>
      <c r="D710"/>
      <c r="E710"/>
      <c r="F710" s="27" t="s">
        <v>7</v>
      </c>
      <c r="NY710" s="27" t="s">
        <v>8</v>
      </c>
    </row>
    <row r="711" spans="1:389" x14ac:dyDescent="0.25">
      <c r="A711" s="7">
        <v>8.5818061750796232E-2</v>
      </c>
      <c r="B711"/>
      <c r="C711"/>
      <c r="D711"/>
      <c r="E711"/>
      <c r="F711" s="27" t="s">
        <v>7</v>
      </c>
      <c r="NY711" s="27" t="s">
        <v>8</v>
      </c>
    </row>
    <row r="712" spans="1:389" x14ac:dyDescent="0.25">
      <c r="A712" s="7">
        <v>8.4135354657643366E-2</v>
      </c>
      <c r="B712"/>
      <c r="C712"/>
      <c r="D712"/>
      <c r="E712"/>
      <c r="F712" s="27" t="s">
        <v>7</v>
      </c>
      <c r="NY712" s="27" t="s">
        <v>8</v>
      </c>
    </row>
    <row r="713" spans="1:389" x14ac:dyDescent="0.25">
      <c r="A713" s="7">
        <v>8.248564182121898E-2</v>
      </c>
      <c r="B713"/>
      <c r="C713"/>
      <c r="D713"/>
      <c r="E713"/>
      <c r="F713" s="27" t="s">
        <v>7</v>
      </c>
      <c r="NY713" s="27" t="s">
        <v>8</v>
      </c>
    </row>
    <row r="714" spans="1:389" x14ac:dyDescent="0.25">
      <c r="A714" s="7">
        <v>8.0868276295312735E-2</v>
      </c>
      <c r="B714"/>
      <c r="C714"/>
      <c r="D714"/>
      <c r="E714"/>
      <c r="F714" s="27" t="s">
        <v>7</v>
      </c>
      <c r="NY714" s="27" t="s">
        <v>8</v>
      </c>
    </row>
    <row r="715" spans="1:389" x14ac:dyDescent="0.25">
      <c r="A715" s="7">
        <v>7.9282623818934056E-2</v>
      </c>
      <c r="B715"/>
      <c r="C715"/>
      <c r="D715"/>
      <c r="E715"/>
      <c r="F715" s="27" t="s">
        <v>7</v>
      </c>
      <c r="NY715" s="27" t="s">
        <v>8</v>
      </c>
    </row>
    <row r="716" spans="1:389" x14ac:dyDescent="0.25">
      <c r="A716" s="7">
        <v>7.7728062567582412E-2</v>
      </c>
      <c r="B716"/>
      <c r="C716"/>
      <c r="D716"/>
      <c r="E716"/>
      <c r="F716" s="27" t="s">
        <v>7</v>
      </c>
      <c r="NY716" s="27" t="s">
        <v>8</v>
      </c>
    </row>
    <row r="717" spans="1:389" x14ac:dyDescent="0.25">
      <c r="A717" s="7">
        <v>7.6203982909394521E-2</v>
      </c>
      <c r="B717"/>
      <c r="C717"/>
      <c r="D717"/>
      <c r="E717"/>
      <c r="F717" s="27" t="s">
        <v>7</v>
      </c>
      <c r="NY717" s="27" t="s">
        <v>8</v>
      </c>
    </row>
    <row r="718" spans="1:389" x14ac:dyDescent="0.25">
      <c r="A718" s="7">
        <v>7.4709787166073058E-2</v>
      </c>
      <c r="B718"/>
      <c r="C718"/>
      <c r="D718"/>
      <c r="E718"/>
      <c r="F718" s="27" t="s">
        <v>7</v>
      </c>
      <c r="NY718" s="27" t="s">
        <v>8</v>
      </c>
    </row>
    <row r="719" spans="1:389" x14ac:dyDescent="0.25">
      <c r="A719" s="7">
        <v>7.3244889378503E-2</v>
      </c>
      <c r="B719"/>
      <c r="C719"/>
      <c r="D719"/>
      <c r="E719"/>
      <c r="F719" s="27" t="s">
        <v>7</v>
      </c>
      <c r="NY719" s="27" t="s">
        <v>8</v>
      </c>
    </row>
    <row r="720" spans="1:389" x14ac:dyDescent="0.25">
      <c r="A720" s="7">
        <v>7.1808715076963722E-2</v>
      </c>
      <c r="B720"/>
      <c r="C720"/>
      <c r="D720"/>
      <c r="E720"/>
      <c r="F720" s="27" t="s">
        <v>7</v>
      </c>
      <c r="NY720" s="27" t="s">
        <v>8</v>
      </c>
    </row>
    <row r="721" spans="1:389" x14ac:dyDescent="0.25">
      <c r="A721" s="7">
        <v>7.0400701055846782E-2</v>
      </c>
      <c r="B721"/>
      <c r="C721"/>
      <c r="D721"/>
      <c r="E721"/>
      <c r="F721" s="27" t="s">
        <v>7</v>
      </c>
      <c r="NY721" s="27" t="s">
        <v>8</v>
      </c>
    </row>
    <row r="722" spans="1:389" x14ac:dyDescent="0.25">
      <c r="A722" s="7">
        <v>6.9020295152790956E-2</v>
      </c>
      <c r="B722"/>
      <c r="C722"/>
      <c r="D722"/>
      <c r="E722"/>
      <c r="F722" s="27" t="s">
        <v>7</v>
      </c>
      <c r="NY722" s="27" t="s">
        <v>8</v>
      </c>
    </row>
    <row r="723" spans="1:389" x14ac:dyDescent="0.25">
      <c r="A723" s="7">
        <v>6.7666956032147993E-2</v>
      </c>
      <c r="B723"/>
      <c r="C723"/>
      <c r="D723"/>
      <c r="E723"/>
      <c r="F723" s="27" t="s">
        <v>7</v>
      </c>
      <c r="NY723" s="27" t="s">
        <v>8</v>
      </c>
    </row>
    <row r="724" spans="1:389" x14ac:dyDescent="0.25">
      <c r="A724" s="7">
        <v>6.6340152972694105E-2</v>
      </c>
      <c r="B724"/>
      <c r="C724"/>
      <c r="D724"/>
      <c r="E724"/>
      <c r="F724" s="27" t="s">
        <v>7</v>
      </c>
      <c r="NY724" s="27" t="s">
        <v>8</v>
      </c>
    </row>
    <row r="725" spans="1:389" x14ac:dyDescent="0.25">
      <c r="A725" s="7">
        <v>6.5039365659504023E-2</v>
      </c>
      <c r="B725"/>
      <c r="C725"/>
      <c r="D725"/>
      <c r="E725"/>
      <c r="F725" s="27" t="s">
        <v>7</v>
      </c>
      <c r="NY725" s="27" t="s">
        <v>8</v>
      </c>
    </row>
    <row r="726" spans="1:389" x14ac:dyDescent="0.25">
      <c r="A726" s="7">
        <v>6.3764083979905906E-2</v>
      </c>
      <c r="B726"/>
      <c r="C726"/>
      <c r="D726"/>
      <c r="E726"/>
      <c r="F726" s="27" t="s">
        <v>7</v>
      </c>
      <c r="NY726" s="27" t="s">
        <v>8</v>
      </c>
    </row>
    <row r="727" spans="1:389" x14ac:dyDescent="0.25">
      <c r="A727" s="7">
        <v>6.251380782343717E-2</v>
      </c>
      <c r="B727"/>
      <c r="C727"/>
      <c r="D727"/>
      <c r="E727"/>
      <c r="F727" s="27" t="s">
        <v>7</v>
      </c>
      <c r="NY727" s="27" t="s">
        <v>8</v>
      </c>
    </row>
    <row r="728" spans="1:389" x14ac:dyDescent="0.25">
      <c r="A728" s="7">
        <v>6.1288046885722716E-2</v>
      </c>
      <c r="B728"/>
      <c r="C728"/>
      <c r="D728"/>
      <c r="E728"/>
      <c r="F728" s="27" t="s">
        <v>7</v>
      </c>
      <c r="NY728" s="27" t="s">
        <v>8</v>
      </c>
    </row>
    <row r="729" spans="1:389" x14ac:dyDescent="0.25">
      <c r="A729" s="7">
        <v>6.0086320476198739E-2</v>
      </c>
      <c r="B729"/>
      <c r="C729"/>
      <c r="D729"/>
      <c r="E729"/>
      <c r="F729" s="27" t="s">
        <v>7</v>
      </c>
      <c r="NY729" s="27" t="s">
        <v>8</v>
      </c>
    </row>
    <row r="730" spans="1:389" x14ac:dyDescent="0.25">
      <c r="A730" s="7">
        <v>5.8908157329606609E-2</v>
      </c>
      <c r="B730"/>
      <c r="C730"/>
      <c r="D730"/>
      <c r="E730"/>
      <c r="F730" s="27" t="s">
        <v>7</v>
      </c>
      <c r="NY730" s="27" t="s">
        <v>8</v>
      </c>
    </row>
    <row r="731" spans="1:389" x14ac:dyDescent="0.25">
      <c r="A731" s="7">
        <v>5.7753095421182947E-2</v>
      </c>
      <c r="B731"/>
      <c r="C731"/>
      <c r="D731"/>
      <c r="E731"/>
      <c r="F731" s="27" t="s">
        <v>7</v>
      </c>
      <c r="NY731" s="27" t="s">
        <v>8</v>
      </c>
    </row>
    <row r="732" spans="1:389" x14ac:dyDescent="0.25">
      <c r="A732" s="7">
        <v>5.6620681785473484E-2</v>
      </c>
      <c r="B732"/>
      <c r="C732"/>
      <c r="D732"/>
      <c r="E732"/>
      <c r="F732" s="27" t="s">
        <v>7</v>
      </c>
      <c r="NY732" s="27" t="s">
        <v>8</v>
      </c>
    </row>
    <row r="733" spans="1:389" x14ac:dyDescent="0.25">
      <c r="A733" s="7">
        <v>5.5510472338699497E-2</v>
      </c>
      <c r="B733"/>
      <c r="C733"/>
      <c r="D733"/>
      <c r="E733"/>
      <c r="F733" s="27" t="s">
        <v>7</v>
      </c>
      <c r="NY733" s="27" t="s">
        <v>8</v>
      </c>
    </row>
    <row r="734" spans="1:389" x14ac:dyDescent="0.25">
      <c r="A734" s="7">
        <v>5.4422031704607354E-2</v>
      </c>
      <c r="B734"/>
      <c r="C734"/>
      <c r="D734"/>
      <c r="E734"/>
      <c r="F734" s="27" t="s">
        <v>7</v>
      </c>
      <c r="NY734" s="27" t="s">
        <v>8</v>
      </c>
    </row>
    <row r="735" spans="1:389" x14ac:dyDescent="0.25">
      <c r="A735" s="7">
        <v>5.3354933043732705E-2</v>
      </c>
      <c r="B735"/>
      <c r="C735"/>
      <c r="D735"/>
      <c r="E735"/>
      <c r="F735" s="27" t="s">
        <v>7</v>
      </c>
      <c r="NY735" s="27" t="s">
        <v>8</v>
      </c>
    </row>
    <row r="736" spans="1:389" x14ac:dyDescent="0.25">
      <c r="A736" s="7">
        <v>5.2308757886012455E-2</v>
      </c>
      <c r="B736"/>
      <c r="C736"/>
      <c r="D736"/>
      <c r="E736"/>
      <c r="F736" s="27" t="s">
        <v>7</v>
      </c>
      <c r="NY736" s="27" t="s">
        <v>8</v>
      </c>
    </row>
    <row r="737" spans="1:389" x14ac:dyDescent="0.25">
      <c r="A737" s="7">
        <v>5.1283095966678877E-2</v>
      </c>
      <c r="B737"/>
      <c r="C737"/>
      <c r="D737"/>
      <c r="E737"/>
      <c r="F737" s="27" t="s">
        <v>7</v>
      </c>
      <c r="NY737" s="27" t="s">
        <v>8</v>
      </c>
    </row>
    <row r="738" spans="1:389" x14ac:dyDescent="0.25">
      <c r="A738" s="7">
        <v>5.0277545065371444E-2</v>
      </c>
      <c r="B738"/>
      <c r="C738"/>
      <c r="D738"/>
      <c r="E738"/>
      <c r="F738" s="27" t="s">
        <v>7</v>
      </c>
      <c r="NY738" s="27" t="s">
        <v>8</v>
      </c>
    </row>
    <row r="739" spans="1:389" x14ac:dyDescent="0.25">
      <c r="A739" s="7">
        <v>4.9291710848403378E-2</v>
      </c>
      <c r="B739"/>
      <c r="C739"/>
      <c r="D739"/>
      <c r="E739"/>
      <c r="F739" s="27" t="s">
        <v>7</v>
      </c>
      <c r="NY739" s="27" t="s">
        <v>8</v>
      </c>
    </row>
    <row r="740" spans="1:389" x14ac:dyDescent="0.25">
      <c r="A740" s="7">
        <v>4.8325206714120959E-2</v>
      </c>
      <c r="B740"/>
      <c r="C740"/>
      <c r="D740"/>
      <c r="E740"/>
      <c r="F740" s="27" t="s">
        <v>7</v>
      </c>
      <c r="NY740" s="27" t="s">
        <v>8</v>
      </c>
    </row>
    <row r="741" spans="1:389" x14ac:dyDescent="0.25">
      <c r="A741" s="7">
        <v>4.7377653641295057E-2</v>
      </c>
      <c r="B741"/>
      <c r="C741"/>
      <c r="D741"/>
      <c r="E741"/>
      <c r="F741" s="27" t="s">
        <v>7</v>
      </c>
      <c r="NY741" s="27" t="s">
        <v>8</v>
      </c>
    </row>
    <row r="742" spans="1:389" x14ac:dyDescent="0.25">
      <c r="A742" s="7">
        <v>4.644868004048535E-2</v>
      </c>
      <c r="B742"/>
      <c r="C742"/>
      <c r="D742"/>
      <c r="E742"/>
      <c r="F742" s="27" t="s">
        <v>7</v>
      </c>
      <c r="NY742" s="27" t="s">
        <v>8</v>
      </c>
    </row>
    <row r="743" spans="1:389" x14ac:dyDescent="0.25">
      <c r="A743" s="7">
        <v>4.5537921608318974E-2</v>
      </c>
      <c r="B743"/>
      <c r="C743"/>
      <c r="D743"/>
      <c r="E743"/>
      <c r="F743" s="27" t="s">
        <v>7</v>
      </c>
      <c r="NY743" s="27" t="s">
        <v>8</v>
      </c>
    </row>
    <row r="744" spans="1:389" x14ac:dyDescent="0.25">
      <c r="A744" s="7">
        <v>4.4645021184626446E-2</v>
      </c>
      <c r="B744"/>
      <c r="C744"/>
      <c r="D744"/>
      <c r="E744"/>
      <c r="F744" s="27" t="s">
        <v>7</v>
      </c>
      <c r="NY744" s="27" t="s">
        <v>8</v>
      </c>
    </row>
    <row r="745" spans="1:389" x14ac:dyDescent="0.25">
      <c r="A745" s="7">
        <v>4.3769628612378868E-2</v>
      </c>
      <c r="B745"/>
      <c r="C745"/>
      <c r="D745"/>
      <c r="E745"/>
      <c r="F745" s="27" t="s">
        <v>7</v>
      </c>
      <c r="NY745" s="27" t="s">
        <v>8</v>
      </c>
    </row>
    <row r="746" spans="1:389" x14ac:dyDescent="0.25">
      <c r="A746" s="7">
        <v>4.2911400600371442E-2</v>
      </c>
      <c r="B746"/>
      <c r="C746"/>
      <c r="D746"/>
      <c r="E746"/>
      <c r="F746" s="27" t="s">
        <v>7</v>
      </c>
      <c r="NY746" s="27" t="s">
        <v>8</v>
      </c>
    </row>
    <row r="747" spans="1:389" x14ac:dyDescent="0.25">
      <c r="A747" s="7">
        <v>4.2070000588599457E-2</v>
      </c>
      <c r="B747"/>
      <c r="C747"/>
      <c r="D747"/>
      <c r="E747"/>
      <c r="F747" s="27" t="s">
        <v>7</v>
      </c>
      <c r="NY747" s="27" t="s">
        <v>8</v>
      </c>
    </row>
    <row r="748" spans="1:389" x14ac:dyDescent="0.25">
      <c r="A748" s="7">
        <v>4.1245098616273977E-2</v>
      </c>
      <c r="B748"/>
      <c r="C748"/>
      <c r="D748"/>
      <c r="E748"/>
      <c r="F748" s="27" t="s">
        <v>7</v>
      </c>
      <c r="NY748" s="27" t="s">
        <v>8</v>
      </c>
    </row>
    <row r="749" spans="1:389" x14ac:dyDescent="0.25">
      <c r="A749" s="7">
        <v>4.043637119242547E-2</v>
      </c>
      <c r="B749"/>
      <c r="C749"/>
      <c r="D749"/>
      <c r="E749"/>
      <c r="F749" s="27" t="s">
        <v>7</v>
      </c>
      <c r="NY749" s="27" t="s">
        <v>8</v>
      </c>
    </row>
    <row r="750" spans="1:389" x14ac:dyDescent="0.25">
      <c r="A750" s="7">
        <v>3.9643501169044582E-2</v>
      </c>
      <c r="B750"/>
      <c r="C750"/>
      <c r="D750"/>
      <c r="E750"/>
      <c r="F750" s="27" t="s">
        <v>7</v>
      </c>
      <c r="NY750" s="27" t="s">
        <v>8</v>
      </c>
    </row>
    <row r="751" spans="1:389" x14ac:dyDescent="0.25">
      <c r="A751" s="7">
        <v>3.8866177616710372E-2</v>
      </c>
      <c r="B751"/>
      <c r="C751"/>
      <c r="D751"/>
      <c r="E751"/>
      <c r="F751" s="27" t="s">
        <v>7</v>
      </c>
      <c r="NY751" s="27" t="s">
        <v>8</v>
      </c>
    </row>
    <row r="752" spans="1:389" x14ac:dyDescent="0.25">
      <c r="A752" s="7">
        <v>3.8104095702657229E-2</v>
      </c>
      <c r="B752"/>
      <c r="C752"/>
      <c r="D752"/>
      <c r="E752"/>
      <c r="F752" s="27" t="s">
        <v>7</v>
      </c>
      <c r="NY752" s="27" t="s">
        <v>8</v>
      </c>
    </row>
    <row r="753" spans="1:389" x14ac:dyDescent="0.25">
      <c r="A753" s="7">
        <v>3.7356956571232579E-2</v>
      </c>
      <c r="B753"/>
      <c r="C753"/>
      <c r="D753"/>
      <c r="E753"/>
      <c r="F753" s="27" t="s">
        <v>7</v>
      </c>
      <c r="NY753" s="27" t="s">
        <v>8</v>
      </c>
    </row>
    <row r="754" spans="1:389" x14ac:dyDescent="0.25">
      <c r="A754" s="7">
        <v>3.6624467226698605E-2</v>
      </c>
      <c r="B754"/>
      <c r="C754"/>
      <c r="D754"/>
      <c r="E754"/>
      <c r="F754" s="27" t="s">
        <v>7</v>
      </c>
      <c r="NY754" s="27" t="s">
        <v>8</v>
      </c>
    </row>
    <row r="755" spans="1:389" x14ac:dyDescent="0.25">
      <c r="A755" s="7">
        <v>3.5906340418331961E-2</v>
      </c>
      <c r="B755"/>
      <c r="C755"/>
      <c r="D755"/>
      <c r="E755"/>
      <c r="F755" s="27" t="s">
        <v>7</v>
      </c>
      <c r="NY755" s="27" t="s">
        <v>8</v>
      </c>
    </row>
    <row r="756" spans="1:389" x14ac:dyDescent="0.25">
      <c r="A756" s="7">
        <v>3.5202294527776436E-2</v>
      </c>
      <c r="B756"/>
      <c r="C756"/>
      <c r="D756"/>
      <c r="E756"/>
      <c r="F756" s="27" t="s">
        <v>7</v>
      </c>
      <c r="NY756" s="27" t="s">
        <v>8</v>
      </c>
    </row>
    <row r="757" spans="1:389" x14ac:dyDescent="0.25">
      <c r="A757" s="7">
        <v>3.451205345860435E-2</v>
      </c>
      <c r="B757"/>
      <c r="C757"/>
      <c r="D757"/>
      <c r="E757"/>
      <c r="F757" s="27" t="s">
        <v>7</v>
      </c>
      <c r="NY757" s="27" t="s">
        <v>8</v>
      </c>
    </row>
    <row r="758" spans="1:389" x14ac:dyDescent="0.25">
      <c r="A758" s="7">
        <v>3.3835346528043479E-2</v>
      </c>
      <c r="B758"/>
      <c r="C758"/>
      <c r="D758"/>
      <c r="E758"/>
      <c r="F758" s="27" t="s">
        <v>7</v>
      </c>
      <c r="NY758" s="27" t="s">
        <v>8</v>
      </c>
    </row>
    <row r="759" spans="1:389" x14ac:dyDescent="0.25">
      <c r="A759" s="7">
        <v>3.3171908360826938E-2</v>
      </c>
      <c r="B759"/>
      <c r="C759"/>
      <c r="D759"/>
      <c r="E759"/>
      <c r="F759" s="27" t="s">
        <v>7</v>
      </c>
      <c r="NY759" s="27" t="s">
        <v>8</v>
      </c>
    </row>
    <row r="760" spans="1:389" x14ac:dyDescent="0.25">
      <c r="A760" s="7">
        <v>3.2521478785124451E-2</v>
      </c>
      <c r="B760"/>
      <c r="C760"/>
      <c r="D760"/>
      <c r="E760"/>
      <c r="F760" s="27" t="s">
        <v>7</v>
      </c>
      <c r="NY760" s="27" t="s">
        <v>8</v>
      </c>
    </row>
    <row r="761" spans="1:389" x14ac:dyDescent="0.25">
      <c r="A761" s="7">
        <v>3.1883802730514173E-2</v>
      </c>
      <c r="B761"/>
      <c r="C761"/>
      <c r="D761"/>
      <c r="E761"/>
      <c r="F761" s="27" t="s">
        <v>7</v>
      </c>
      <c r="NY761" s="27" t="s">
        <v>8</v>
      </c>
    </row>
    <row r="762" spans="1:389" x14ac:dyDescent="0.25">
      <c r="A762" s="7">
        <v>3.1258630127955073E-2</v>
      </c>
      <c r="B762"/>
      <c r="C762"/>
      <c r="D762"/>
      <c r="E762"/>
      <c r="F762" s="27" t="s">
        <v>7</v>
      </c>
      <c r="NY762" s="27" t="s">
        <v>8</v>
      </c>
    </row>
    <row r="763" spans="1:389" x14ac:dyDescent="0.25">
      <c r="A763" s="7">
        <v>3.064571581172066E-2</v>
      </c>
      <c r="B763"/>
      <c r="C763"/>
      <c r="D763"/>
      <c r="E763"/>
      <c r="F763" s="27" t="s">
        <v>7</v>
      </c>
      <c r="NY763" s="27" t="s">
        <v>8</v>
      </c>
    </row>
    <row r="764" spans="1:389" x14ac:dyDescent="0.25">
      <c r="A764" s="7">
        <v>3.0044819423255549E-2</v>
      </c>
      <c r="B764"/>
      <c r="C764"/>
      <c r="D764"/>
      <c r="E764"/>
      <c r="F764" s="27" t="s">
        <v>7</v>
      </c>
      <c r="NY764" s="27" t="s">
        <v>8</v>
      </c>
    </row>
    <row r="765" spans="1:389" x14ac:dyDescent="0.25">
      <c r="A765" s="7">
        <v>2.9455705316917203E-2</v>
      </c>
      <c r="B765"/>
      <c r="C765"/>
      <c r="D765"/>
      <c r="E765"/>
      <c r="F765" s="27" t="s">
        <v>7</v>
      </c>
      <c r="NY765" s="27" t="s">
        <v>8</v>
      </c>
    </row>
    <row r="766" spans="1:389" x14ac:dyDescent="0.25">
      <c r="A766" s="7">
        <v>2.8878142467565884E-2</v>
      </c>
      <c r="B766"/>
      <c r="C766"/>
      <c r="D766"/>
      <c r="E766"/>
      <c r="F766" s="27" t="s">
        <v>7</v>
      </c>
      <c r="NY766" s="27" t="s">
        <v>8</v>
      </c>
    </row>
    <row r="767" spans="1:389" x14ac:dyDescent="0.25">
      <c r="A767" s="7">
        <v>2.8311904379966554E-2</v>
      </c>
      <c r="B767"/>
      <c r="C767"/>
      <c r="D767"/>
      <c r="E767"/>
      <c r="F767" s="27" t="s">
        <v>7</v>
      </c>
      <c r="NY767" s="27" t="s">
        <v>8</v>
      </c>
    </row>
    <row r="768" spans="1:389" x14ac:dyDescent="0.25">
      <c r="A768" s="7">
        <v>2.7756768999967207E-2</v>
      </c>
      <c r="B768"/>
      <c r="C768"/>
      <c r="D768"/>
      <c r="E768"/>
      <c r="F768" s="27" t="s">
        <v>7</v>
      </c>
      <c r="NY768" s="27" t="s">
        <v>8</v>
      </c>
    </row>
    <row r="769" spans="1:389" x14ac:dyDescent="0.25">
      <c r="A769" s="7">
        <v>2.7212518627418834E-2</v>
      </c>
      <c r="B769"/>
      <c r="C769"/>
      <c r="D769"/>
      <c r="E769"/>
      <c r="F769" s="27" t="s">
        <v>7</v>
      </c>
      <c r="NY769" s="27" t="s">
        <v>8</v>
      </c>
    </row>
    <row r="770" spans="1:389" x14ac:dyDescent="0.25">
      <c r="A770" s="7">
        <v>2.6678939830802779E-2</v>
      </c>
      <c r="B770"/>
      <c r="C770"/>
      <c r="D770"/>
      <c r="E770"/>
      <c r="F770" s="27" t="s">
        <v>7</v>
      </c>
      <c r="NY770" s="27" t="s">
        <v>8</v>
      </c>
    </row>
    <row r="771" spans="1:389" x14ac:dyDescent="0.25">
      <c r="A771" s="7">
        <v>2.615582336353214E-2</v>
      </c>
      <c r="B771"/>
      <c r="C771"/>
      <c r="D771"/>
      <c r="E771"/>
      <c r="F771" s="27" t="s">
        <v>7</v>
      </c>
      <c r="NY771" s="27" t="s">
        <v>8</v>
      </c>
    </row>
    <row r="772" spans="1:389" x14ac:dyDescent="0.25">
      <c r="A772" s="7">
        <v>2.5642964081894253E-2</v>
      </c>
      <c r="B772"/>
      <c r="C772"/>
      <c r="D772"/>
      <c r="E772"/>
      <c r="F772" s="27" t="s">
        <v>7</v>
      </c>
      <c r="NY772" s="27" t="s">
        <v>8</v>
      </c>
    </row>
    <row r="773" spans="1:389" x14ac:dyDescent="0.25">
      <c r="A773" s="7">
        <v>2.5140160864602207E-2</v>
      </c>
      <c r="B773"/>
      <c r="C773"/>
      <c r="D773"/>
      <c r="E773"/>
      <c r="F773" s="27" t="s">
        <v>7</v>
      </c>
      <c r="NY773" s="27" t="s">
        <v>8</v>
      </c>
    </row>
    <row r="774" spans="1:389" x14ac:dyDescent="0.25">
      <c r="A774" s="7">
        <v>2.4647216533923735E-2</v>
      </c>
      <c r="B774"/>
      <c r="C774"/>
      <c r="D774"/>
      <c r="E774"/>
      <c r="F774" s="27" t="s">
        <v>7</v>
      </c>
      <c r="NY774" s="27" t="s">
        <v>8</v>
      </c>
    </row>
    <row r="775" spans="1:389" x14ac:dyDescent="0.25">
      <c r="A775" s="7">
        <v>2.4163937778356601E-2</v>
      </c>
      <c r="B775"/>
      <c r="C775"/>
      <c r="D775"/>
      <c r="E775"/>
      <c r="F775" s="27" t="s">
        <v>7</v>
      </c>
      <c r="NY775" s="27" t="s">
        <v>8</v>
      </c>
    </row>
    <row r="776" spans="1:389" x14ac:dyDescent="0.25">
      <c r="A776" s="7">
        <v>2.3690135076820197E-2</v>
      </c>
      <c r="B776"/>
      <c r="C776"/>
      <c r="D776"/>
      <c r="E776"/>
      <c r="F776" s="27" t="s">
        <v>7</v>
      </c>
      <c r="NY776" s="27" t="s">
        <v>8</v>
      </c>
    </row>
    <row r="777" spans="1:389" x14ac:dyDescent="0.25">
      <c r="A777" s="7">
        <v>2.3225622624333527E-2</v>
      </c>
      <c r="B777"/>
      <c r="C777"/>
      <c r="D777"/>
      <c r="E777"/>
      <c r="F777" s="27" t="s">
        <v>7</v>
      </c>
      <c r="NY777" s="27" t="s">
        <v>8</v>
      </c>
    </row>
    <row r="778" spans="1:389" x14ac:dyDescent="0.25">
      <c r="A778" s="7">
        <v>2.2770218259150519E-2</v>
      </c>
      <c r="B778"/>
      <c r="C778"/>
      <c r="D778"/>
      <c r="E778"/>
      <c r="F778" s="27" t="s">
        <v>7</v>
      </c>
      <c r="NY778" s="27" t="s">
        <v>8</v>
      </c>
    </row>
    <row r="779" spans="1:389" x14ac:dyDescent="0.25">
      <c r="A779" s="7">
        <v>2.2323743391324039E-2</v>
      </c>
      <c r="B779"/>
      <c r="C779"/>
      <c r="D779"/>
      <c r="E779"/>
      <c r="F779" s="27" t="s">
        <v>7</v>
      </c>
      <c r="NY779" s="27" t="s">
        <v>8</v>
      </c>
    </row>
    <row r="780" spans="1:389" x14ac:dyDescent="0.25">
      <c r="A780" s="7">
        <v>2.188602293267063E-2</v>
      </c>
      <c r="B780"/>
      <c r="C780"/>
      <c r="D780"/>
      <c r="E780"/>
      <c r="F780" s="27" t="s">
        <v>7</v>
      </c>
      <c r="NY780" s="27" t="s">
        <v>8</v>
      </c>
    </row>
    <row r="781" spans="1:389" x14ac:dyDescent="0.25">
      <c r="A781" s="7">
        <v>2.1456885228108461E-2</v>
      </c>
      <c r="B781"/>
      <c r="C781"/>
      <c r="D781"/>
      <c r="E781"/>
      <c r="F781" s="27" t="s">
        <v>7</v>
      </c>
      <c r="NY781" s="27" t="s">
        <v>8</v>
      </c>
    </row>
    <row r="782" spans="1:389" x14ac:dyDescent="0.25">
      <c r="A782" s="7">
        <v>2.1036161988341632E-2</v>
      </c>
      <c r="B782"/>
      <c r="C782"/>
      <c r="D782"/>
      <c r="E782"/>
      <c r="F782" s="27" t="s">
        <v>7</v>
      </c>
      <c r="NY782" s="27" t="s">
        <v>8</v>
      </c>
    </row>
    <row r="783" spans="1:389" x14ac:dyDescent="0.25">
      <c r="A783" s="7">
        <v>2.0623688223864345E-2</v>
      </c>
      <c r="B783"/>
      <c r="C783"/>
      <c r="D783"/>
      <c r="E783"/>
      <c r="F783" s="27" t="s">
        <v>7</v>
      </c>
      <c r="NY783" s="27" t="s">
        <v>8</v>
      </c>
    </row>
    <row r="784" spans="1:389" x14ac:dyDescent="0.25">
      <c r="A784" s="7">
        <v>2.021930218025916E-2</v>
      </c>
      <c r="B784"/>
      <c r="C784"/>
      <c r="D784"/>
      <c r="E784"/>
      <c r="F784" s="27" t="s">
        <v>7</v>
      </c>
      <c r="NY784" s="27" t="s">
        <v>8</v>
      </c>
    </row>
    <row r="785" spans="1:389" x14ac:dyDescent="0.25">
      <c r="A785" s="7">
        <v>1.9822845274763884E-2</v>
      </c>
      <c r="B785"/>
      <c r="C785"/>
      <c r="D785"/>
      <c r="E785"/>
      <c r="F785" s="27" t="s">
        <v>7</v>
      </c>
      <c r="NY785" s="27" t="s">
        <v>8</v>
      </c>
    </row>
    <row r="786" spans="1:389" x14ac:dyDescent="0.25">
      <c r="A786" s="7">
        <v>1.9434162034082238E-2</v>
      </c>
      <c r="B786"/>
      <c r="C786"/>
      <c r="D786"/>
      <c r="E786"/>
      <c r="F786" s="27" t="s">
        <v>7</v>
      </c>
      <c r="NY786" s="27" t="s">
        <v>8</v>
      </c>
    </row>
    <row r="787" spans="1:389" x14ac:dyDescent="0.25">
      <c r="A787" s="7">
        <v>1.9053100033413959E-2</v>
      </c>
      <c r="B787"/>
      <c r="C787"/>
      <c r="D787"/>
      <c r="E787"/>
      <c r="F787" s="27" t="s">
        <v>7</v>
      </c>
      <c r="NY787" s="27" t="s">
        <v>8</v>
      </c>
    </row>
    <row r="788" spans="1:389" x14ac:dyDescent="0.25">
      <c r="A788" s="7">
        <v>1.867950983668035E-2</v>
      </c>
      <c r="B788"/>
      <c r="C788"/>
      <c r="D788"/>
      <c r="E788"/>
      <c r="F788" s="27" t="s">
        <v>7</v>
      </c>
      <c r="NY788" s="27" t="s">
        <v>8</v>
      </c>
    </row>
    <row r="789" spans="1:389" x14ac:dyDescent="0.25">
      <c r="A789" s="7">
        <v>1.8313244937921913E-2</v>
      </c>
      <c r="B789"/>
      <c r="C789"/>
      <c r="D789"/>
      <c r="E789"/>
      <c r="F789" s="27" t="s">
        <v>7</v>
      </c>
      <c r="NY789" s="27" t="s">
        <v>8</v>
      </c>
    </row>
    <row r="790" spans="1:389" x14ac:dyDescent="0.25">
      <c r="A790" s="7">
        <v>1.7954161703845013E-2</v>
      </c>
      <c r="B790"/>
      <c r="C790"/>
      <c r="D790"/>
      <c r="E790"/>
      <c r="F790" s="27" t="s">
        <v>7</v>
      </c>
      <c r="NY790" s="27" t="s">
        <v>8</v>
      </c>
    </row>
    <row r="791" spans="1:389" x14ac:dyDescent="0.25">
      <c r="A791" s="7">
        <v>1.7602119317495109E-2</v>
      </c>
      <c r="B791"/>
      <c r="C791"/>
      <c r="D791"/>
      <c r="E791"/>
      <c r="F791" s="27" t="s">
        <v>7</v>
      </c>
      <c r="NY791" s="27" t="s">
        <v>8</v>
      </c>
    </row>
    <row r="792" spans="1:389" x14ac:dyDescent="0.25">
      <c r="A792" s="7">
        <v>1.7256979723034419E-2</v>
      </c>
      <c r="B792"/>
      <c r="C792"/>
      <c r="D792"/>
      <c r="E792"/>
      <c r="F792" s="27" t="s">
        <v>7</v>
      </c>
      <c r="NY792" s="27" t="s">
        <v>8</v>
      </c>
    </row>
    <row r="793" spans="1:389" x14ac:dyDescent="0.25">
      <c r="A793" s="7">
        <v>1.6918607571602372E-2</v>
      </c>
      <c r="B793"/>
      <c r="C793"/>
      <c r="D793"/>
      <c r="E793"/>
      <c r="F793" s="27" t="s">
        <v>7</v>
      </c>
      <c r="NY793" s="27" t="s">
        <v>8</v>
      </c>
    </row>
    <row r="794" spans="1:389" x14ac:dyDescent="0.25">
      <c r="A794" s="7">
        <v>1.6586870168237622E-2</v>
      </c>
      <c r="B794"/>
      <c r="C794"/>
      <c r="D794"/>
      <c r="E794"/>
      <c r="F794" s="27" t="s">
        <v>7</v>
      </c>
      <c r="NY794" s="27" t="s">
        <v>8</v>
      </c>
    </row>
    <row r="795" spans="1:389" x14ac:dyDescent="0.25">
      <c r="A795" s="7">
        <v>1.6261637419840807E-2</v>
      </c>
      <c r="B795"/>
      <c r="C795"/>
      <c r="D795"/>
      <c r="E795"/>
      <c r="F795" s="27" t="s">
        <v>7</v>
      </c>
      <c r="NY795" s="27" t="s">
        <v>8</v>
      </c>
    </row>
    <row r="796" spans="1:389" x14ac:dyDescent="0.25">
      <c r="A796" s="7">
        <v>1.5942781784157655E-2</v>
      </c>
      <c r="B796"/>
      <c r="C796"/>
      <c r="D796"/>
      <c r="E796"/>
      <c r="F796" s="27" t="s">
        <v>7</v>
      </c>
      <c r="NY796" s="27" t="s">
        <v>8</v>
      </c>
    </row>
    <row r="797" spans="1:389" x14ac:dyDescent="0.25">
      <c r="A797" s="7">
        <v>1.5630178219762408E-2</v>
      </c>
      <c r="B797"/>
      <c r="C797"/>
      <c r="D797"/>
      <c r="E797"/>
      <c r="F797" s="27" t="s">
        <v>7</v>
      </c>
      <c r="NY797" s="27" t="s">
        <v>8</v>
      </c>
    </row>
    <row r="798" spans="1:389" x14ac:dyDescent="0.25">
      <c r="A798" s="7">
        <v>1.5323704137021967E-2</v>
      </c>
      <c r="B798"/>
      <c r="C798"/>
      <c r="D798"/>
      <c r="E798"/>
      <c r="F798" s="27" t="s">
        <v>7</v>
      </c>
      <c r="NY798" s="27" t="s">
        <v>8</v>
      </c>
    </row>
    <row r="799" spans="1:389" x14ac:dyDescent="0.25">
      <c r="A799" s="7">
        <v>1.5023239350021535E-2</v>
      </c>
      <c r="B799"/>
      <c r="C799"/>
      <c r="D799"/>
      <c r="E799"/>
      <c r="F799" s="27" t="s">
        <v>7</v>
      </c>
      <c r="NY799" s="27" t="s">
        <v>8</v>
      </c>
    </row>
    <row r="800" spans="1:389" x14ac:dyDescent="0.25">
      <c r="A800" s="7">
        <v>1.4728666029432878E-2</v>
      </c>
      <c r="B800"/>
      <c r="C800"/>
      <c r="D800"/>
      <c r="E800"/>
      <c r="F800" s="27" t="s">
        <v>7</v>
      </c>
      <c r="NY800" s="27" t="s">
        <v>8</v>
      </c>
    </row>
    <row r="801" spans="1:389" x14ac:dyDescent="0.25">
      <c r="A801" s="7">
        <v>1.4439868656306743E-2</v>
      </c>
      <c r="B801"/>
      <c r="C801"/>
      <c r="D801"/>
      <c r="E801"/>
      <c r="F801" s="27" t="s">
        <v>7</v>
      </c>
      <c r="NY801" s="27" t="s">
        <v>8</v>
      </c>
    </row>
    <row r="802" spans="1:389" x14ac:dyDescent="0.25">
      <c r="A802" s="7">
        <v>1.4156733976771318E-2</v>
      </c>
      <c r="B802"/>
      <c r="C802"/>
      <c r="D802"/>
      <c r="E802"/>
      <c r="F802" s="27" t="s">
        <v>7</v>
      </c>
      <c r="NY802" s="27" t="s">
        <v>8</v>
      </c>
    </row>
    <row r="803" spans="1:389" x14ac:dyDescent="0.25">
      <c r="A803" s="7">
        <v>1.3879150957618939E-2</v>
      </c>
      <c r="B803"/>
      <c r="C803"/>
      <c r="D803"/>
      <c r="E803"/>
      <c r="F803" s="27" t="s">
        <v>7</v>
      </c>
      <c r="NY803" s="27" t="s">
        <v>8</v>
      </c>
    </row>
    <row r="804" spans="1:389" x14ac:dyDescent="0.25">
      <c r="A804" s="7">
        <v>1.3607010742763666E-2</v>
      </c>
      <c r="B804"/>
      <c r="C804"/>
      <c r="D804"/>
      <c r="E804"/>
      <c r="F804" s="27" t="s">
        <v>7</v>
      </c>
      <c r="NY804" s="27" t="s">
        <v>8</v>
      </c>
    </row>
    <row r="805" spans="1:389" x14ac:dyDescent="0.25">
      <c r="A805" s="7">
        <v>1.3340206610552614E-2</v>
      </c>
      <c r="B805"/>
      <c r="C805"/>
      <c r="D805"/>
      <c r="E805"/>
      <c r="F805" s="27" t="s">
        <v>7</v>
      </c>
      <c r="NY805" s="27" t="s">
        <v>8</v>
      </c>
    </row>
    <row r="806" spans="1:389" x14ac:dyDescent="0.25">
      <c r="A806" s="7">
        <v>1.3078633931914328E-2</v>
      </c>
      <c r="B806"/>
      <c r="C806"/>
      <c r="D806"/>
      <c r="E806"/>
      <c r="F806" s="27" t="s">
        <v>7</v>
      </c>
      <c r="NY806" s="27" t="s">
        <v>8</v>
      </c>
    </row>
    <row r="807" spans="1:389" x14ac:dyDescent="0.25">
      <c r="A807" s="7">
        <v>1.2822190129327771E-2</v>
      </c>
      <c r="B807"/>
      <c r="C807"/>
      <c r="D807"/>
      <c r="E807"/>
      <c r="F807" s="27" t="s">
        <v>7</v>
      </c>
      <c r="NY807" s="27" t="s">
        <v>8</v>
      </c>
    </row>
    <row r="808" spans="1:389" x14ac:dyDescent="0.25">
      <c r="A808" s="7">
        <v>1.2570774636595854E-2</v>
      </c>
      <c r="B808"/>
      <c r="C808"/>
      <c r="D808"/>
      <c r="E808"/>
      <c r="F808" s="27" t="s">
        <v>7</v>
      </c>
      <c r="NY808" s="27" t="s">
        <v>8</v>
      </c>
    </row>
    <row r="809" spans="1:389" x14ac:dyDescent="0.25">
      <c r="A809" s="7">
        <v>1.23242888594077E-2</v>
      </c>
      <c r="B809"/>
      <c r="C809"/>
      <c r="D809"/>
      <c r="E809"/>
      <c r="F809" s="27" t="s">
        <v>7</v>
      </c>
      <c r="NY809" s="27" t="s">
        <v>8</v>
      </c>
    </row>
    <row r="810" spans="1:389" x14ac:dyDescent="0.25">
      <c r="A810" s="7">
        <v>1.2082636136674216E-2</v>
      </c>
      <c r="B810"/>
      <c r="C810"/>
      <c r="D810"/>
      <c r="E810"/>
      <c r="F810" s="27" t="s">
        <v>7</v>
      </c>
      <c r="NY810" s="27" t="s">
        <v>8</v>
      </c>
    </row>
    <row r="811" spans="1:389" x14ac:dyDescent="0.25">
      <c r="A811" s="7">
        <v>1.184572170262178E-2</v>
      </c>
      <c r="B811"/>
      <c r="C811"/>
      <c r="D811"/>
      <c r="E811"/>
      <c r="F811" s="27" t="s">
        <v>7</v>
      </c>
      <c r="NY811" s="27" t="s">
        <v>8</v>
      </c>
    </row>
    <row r="812" spans="1:389" x14ac:dyDescent="0.25">
      <c r="A812" s="7">
        <v>1.1613452649629196E-2</v>
      </c>
      <c r="B812"/>
      <c r="C812"/>
      <c r="D812"/>
      <c r="E812"/>
      <c r="F812" s="27" t="s">
        <v>7</v>
      </c>
      <c r="NY812" s="27" t="s">
        <v>8</v>
      </c>
    </row>
    <row r="813" spans="1:389" x14ac:dyDescent="0.25">
      <c r="A813" s="7">
        <v>1.138573789179333E-2</v>
      </c>
      <c r="B813"/>
      <c r="C813"/>
      <c r="D813"/>
      <c r="E813"/>
      <c r="F813" s="27" t="s">
        <v>7</v>
      </c>
      <c r="NY813" s="27" t="s">
        <v>8</v>
      </c>
    </row>
    <row r="814" spans="1:389" x14ac:dyDescent="0.25">
      <c r="A814" s="7">
        <v>1.1162488129209149E-2</v>
      </c>
      <c r="B814"/>
      <c r="C814"/>
      <c r="D814"/>
      <c r="E814"/>
      <c r="F814" s="27" t="s">
        <v>7</v>
      </c>
      <c r="NY814" s="27" t="s">
        <v>8</v>
      </c>
    </row>
    <row r="815" spans="1:389" x14ac:dyDescent="0.25">
      <c r="A815" s="7">
        <v>1.0943615812950145E-2</v>
      </c>
      <c r="B815"/>
      <c r="C815"/>
      <c r="D815"/>
      <c r="E815"/>
      <c r="F815" s="27" t="s">
        <v>7</v>
      </c>
      <c r="NY815" s="27" t="s">
        <v>8</v>
      </c>
    </row>
    <row r="816" spans="1:389" x14ac:dyDescent="0.25">
      <c r="A816" s="7">
        <v>1.0729035110735436E-2</v>
      </c>
      <c r="B816"/>
      <c r="C816"/>
      <c r="D816"/>
      <c r="E816"/>
      <c r="F816" s="27" t="s">
        <v>7</v>
      </c>
      <c r="NY816" s="27" t="s">
        <v>8</v>
      </c>
    </row>
    <row r="817" spans="1:389" x14ac:dyDescent="0.25">
      <c r="A817" s="7">
        <v>1.0518661873270036E-2</v>
      </c>
      <c r="B817"/>
      <c r="C817"/>
      <c r="D817"/>
      <c r="E817"/>
      <c r="F817" s="27" t="s">
        <v>7</v>
      </c>
      <c r="NY817" s="27" t="s">
        <v>8</v>
      </c>
    </row>
    <row r="818" spans="1:389" x14ac:dyDescent="0.25">
      <c r="A818" s="7">
        <v>1.0312413601245135E-2</v>
      </c>
      <c r="B818"/>
      <c r="C818"/>
      <c r="D818"/>
      <c r="E818"/>
      <c r="F818" s="27" t="s">
        <v>7</v>
      </c>
      <c r="NY818" s="27" t="s">
        <v>8</v>
      </c>
    </row>
    <row r="819" spans="1:389" x14ac:dyDescent="0.25">
      <c r="A819" s="7">
        <v>1.0110209412985426E-2</v>
      </c>
      <c r="B819"/>
      <c r="C819"/>
      <c r="D819"/>
      <c r="E819"/>
      <c r="F819" s="27" t="s">
        <v>7</v>
      </c>
      <c r="NY819" s="27" t="s">
        <v>8</v>
      </c>
    </row>
    <row r="820" spans="1:389" x14ac:dyDescent="0.25">
      <c r="A820" s="7">
        <v>9.9119700127308103E-3</v>
      </c>
      <c r="B820"/>
      <c r="C820"/>
      <c r="D820"/>
      <c r="E820"/>
      <c r="F820" s="27" t="s">
        <v>7</v>
      </c>
      <c r="NY820" s="27" t="s">
        <v>8</v>
      </c>
    </row>
    <row r="821" spans="1:389" x14ac:dyDescent="0.25">
      <c r="A821" s="7">
        <v>9.717617659540009E-3</v>
      </c>
      <c r="B821"/>
      <c r="C821"/>
      <c r="D821"/>
      <c r="E821"/>
      <c r="F821" s="27" t="s">
        <v>7</v>
      </c>
      <c r="NY821" s="27" t="s">
        <v>8</v>
      </c>
    </row>
    <row r="822" spans="1:389" x14ac:dyDescent="0.25">
      <c r="A822" s="7">
        <v>9.5270761368039299E-3</v>
      </c>
      <c r="B822"/>
      <c r="C822"/>
      <c r="D822"/>
      <c r="E822"/>
      <c r="F822" s="27" t="s">
        <v>7</v>
      </c>
      <c r="NY822" s="27" t="s">
        <v>8</v>
      </c>
    </row>
    <row r="823" spans="1:389" x14ac:dyDescent="0.25">
      <c r="A823" s="7">
        <v>9.3402707223567936E-3</v>
      </c>
      <c r="B823"/>
      <c r="C823"/>
      <c r="D823"/>
      <c r="E823"/>
      <c r="F823" s="27" t="s">
        <v>7</v>
      </c>
      <c r="NY823" s="27" t="s">
        <v>8</v>
      </c>
    </row>
    <row r="824" spans="1:389" x14ac:dyDescent="0.25">
      <c r="A824" s="7">
        <v>9.1571281591733261E-3</v>
      </c>
      <c r="B824"/>
      <c r="C824"/>
      <c r="D824"/>
      <c r="E824"/>
      <c r="F824" s="27" t="s">
        <v>7</v>
      </c>
      <c r="NY824" s="27" t="s">
        <v>8</v>
      </c>
    </row>
    <row r="825" spans="1:389" x14ac:dyDescent="0.25">
      <c r="A825" s="7">
        <v>8.9775766266405148E-3</v>
      </c>
      <c r="B825"/>
      <c r="C825"/>
      <c r="D825"/>
      <c r="E825"/>
      <c r="F825" s="27" t="s">
        <v>7</v>
      </c>
      <c r="NY825" s="27" t="s">
        <v>8</v>
      </c>
    </row>
    <row r="826" spans="1:389" x14ac:dyDescent="0.25">
      <c r="A826" s="7">
        <v>8.8015457123926614E-3</v>
      </c>
      <c r="B826"/>
      <c r="C826"/>
      <c r="D826"/>
      <c r="E826"/>
      <c r="F826" s="27" t="s">
        <v>7</v>
      </c>
      <c r="NY826" s="27" t="s">
        <v>8</v>
      </c>
    </row>
    <row r="827" spans="1:389" x14ac:dyDescent="0.25">
      <c r="A827" s="7">
        <v>8.6289663846986879E-3</v>
      </c>
      <c r="B827"/>
      <c r="C827"/>
      <c r="D827"/>
      <c r="E827"/>
      <c r="F827" s="27" t="s">
        <v>7</v>
      </c>
      <c r="NY827" s="27" t="s">
        <v>8</v>
      </c>
    </row>
    <row r="828" spans="1:389" x14ac:dyDescent="0.25">
      <c r="A828" s="7">
        <v>8.4597709653908715E-3</v>
      </c>
      <c r="B828"/>
      <c r="C828"/>
      <c r="D828"/>
      <c r="E828"/>
      <c r="F828" s="27" t="s">
        <v>7</v>
      </c>
      <c r="NY828" s="27" t="s">
        <v>8</v>
      </c>
    </row>
    <row r="829" spans="1:389" x14ac:dyDescent="0.25">
      <c r="A829" s="7">
        <v>8.2938931033243839E-3</v>
      </c>
      <c r="B829"/>
      <c r="C829"/>
      <c r="D829"/>
      <c r="E829"/>
      <c r="F829" s="27" t="s">
        <v>7</v>
      </c>
      <c r="NY829" s="27" t="s">
        <v>8</v>
      </c>
    </row>
    <row r="830" spans="1:389" x14ac:dyDescent="0.25">
      <c r="A830" s="7">
        <v>8.1312677483572383E-3</v>
      </c>
      <c r="B830"/>
      <c r="C830"/>
      <c r="D830"/>
      <c r="E830"/>
      <c r="F830" s="27" t="s">
        <v>7</v>
      </c>
      <c r="NY830" s="27" t="s">
        <v>8</v>
      </c>
    </row>
    <row r="831" spans="1:389" x14ac:dyDescent="0.25">
      <c r="A831" s="7">
        <v>7.9718311258404305E-3</v>
      </c>
      <c r="B831"/>
      <c r="C831"/>
      <c r="D831"/>
      <c r="E831"/>
      <c r="F831" s="27" t="s">
        <v>7</v>
      </c>
      <c r="NY831" s="27" t="s">
        <v>8</v>
      </c>
    </row>
    <row r="832" spans="1:389" x14ac:dyDescent="0.25">
      <c r="A832" s="7">
        <v>7.8155207116082648E-3</v>
      </c>
      <c r="B832"/>
      <c r="C832"/>
      <c r="D832"/>
      <c r="E832"/>
      <c r="F832" s="27" t="s">
        <v>7</v>
      </c>
      <c r="NY832" s="27" t="s">
        <v>8</v>
      </c>
    </row>
    <row r="833" spans="1:389" x14ac:dyDescent="0.25">
      <c r="A833" s="7">
        <v>7.6622752074590825E-3</v>
      </c>
      <c r="B833"/>
      <c r="C833"/>
      <c r="D833"/>
      <c r="E833"/>
      <c r="F833" s="27" t="s">
        <v>7</v>
      </c>
      <c r="NY833" s="27" t="s">
        <v>8</v>
      </c>
    </row>
    <row r="834" spans="1:389" x14ac:dyDescent="0.25">
      <c r="A834" s="7">
        <v>7.5120345171167469E-3</v>
      </c>
      <c r="B834"/>
      <c r="C834"/>
      <c r="D834"/>
      <c r="E834"/>
      <c r="F834" s="27" t="s">
        <v>7</v>
      </c>
      <c r="NY834" s="27" t="s">
        <v>8</v>
      </c>
    </row>
    <row r="835" spans="1:389" x14ac:dyDescent="0.25">
      <c r="A835" s="7">
        <v>7.3647397226634772E-3</v>
      </c>
      <c r="B835"/>
      <c r="C835"/>
      <c r="D835"/>
      <c r="E835"/>
      <c r="F835" s="27" t="s">
        <v>7</v>
      </c>
      <c r="NY835" s="27" t="s">
        <v>8</v>
      </c>
    </row>
    <row r="836" spans="1:389" x14ac:dyDescent="0.25">
      <c r="A836" s="7">
        <v>7.2203330614347815E-3</v>
      </c>
      <c r="B836"/>
      <c r="C836"/>
      <c r="D836"/>
      <c r="E836"/>
      <c r="F836" s="27" t="s">
        <v>7</v>
      </c>
      <c r="NY836" s="27" t="s">
        <v>8</v>
      </c>
    </row>
    <row r="837" spans="1:389" x14ac:dyDescent="0.25">
      <c r="A837" s="7">
        <v>7.0787579033674327E-3</v>
      </c>
      <c r="B837"/>
      <c r="C837"/>
      <c r="D837"/>
      <c r="E837"/>
      <c r="F837" s="27" t="s">
        <v>7</v>
      </c>
      <c r="NY837" s="27" t="s">
        <v>8</v>
      </c>
    </row>
    <row r="838" spans="1:389" x14ac:dyDescent="0.25">
      <c r="A838" s="7">
        <v>6.9399587287916013E-3</v>
      </c>
      <c r="B838"/>
      <c r="C838"/>
      <c r="D838"/>
      <c r="E838"/>
      <c r="F838" s="27" t="s">
        <v>7</v>
      </c>
      <c r="NY838" s="27" t="s">
        <v>8</v>
      </c>
    </row>
    <row r="839" spans="1:389" x14ac:dyDescent="0.25">
      <c r="A839" s="7">
        <v>6.8038811066584333E-3</v>
      </c>
      <c r="B839"/>
      <c r="C839"/>
      <c r="D839"/>
      <c r="E839"/>
      <c r="F839" s="27" t="s">
        <v>7</v>
      </c>
      <c r="NY839" s="27" t="s">
        <v>8</v>
      </c>
    </row>
    <row r="840" spans="1:389" x14ac:dyDescent="0.25">
      <c r="A840" s="7">
        <v>6.6704716731945425E-3</v>
      </c>
      <c r="B840"/>
      <c r="C840"/>
      <c r="D840"/>
      <c r="E840"/>
      <c r="F840" s="27" t="s">
        <v>7</v>
      </c>
      <c r="NY840" s="27" t="s">
        <v>8</v>
      </c>
    </row>
    <row r="841" spans="1:389" x14ac:dyDescent="0.25">
      <c r="A841" s="7">
        <v>6.5396781109750427E-3</v>
      </c>
      <c r="B841"/>
      <c r="C841"/>
      <c r="D841"/>
      <c r="E841"/>
      <c r="F841" s="27" t="s">
        <v>7</v>
      </c>
      <c r="NY841" s="27" t="s">
        <v>8</v>
      </c>
    </row>
    <row r="842" spans="1:389" x14ac:dyDescent="0.25">
      <c r="A842" s="7">
        <v>6.4114491284069045E-3</v>
      </c>
      <c r="B842"/>
      <c r="C842"/>
      <c r="D842"/>
      <c r="E842"/>
      <c r="F842" s="27" t="s">
        <v>7</v>
      </c>
      <c r="NY842" s="27" t="s">
        <v>8</v>
      </c>
    </row>
    <row r="843" spans="1:389" x14ac:dyDescent="0.25">
      <c r="A843" s="7">
        <v>6.2857344396146115E-3</v>
      </c>
      <c r="B843"/>
      <c r="C843"/>
      <c r="D843"/>
      <c r="E843"/>
      <c r="F843" s="27" t="s">
        <v>7</v>
      </c>
      <c r="NY843" s="27" t="s">
        <v>8</v>
      </c>
    </row>
    <row r="844" spans="1:389" x14ac:dyDescent="0.25">
      <c r="A844" s="7">
        <v>6.1624847447202076E-3</v>
      </c>
      <c r="B844"/>
      <c r="C844"/>
      <c r="D844"/>
      <c r="E844"/>
      <c r="F844" s="27" t="s">
        <v>7</v>
      </c>
      <c r="NY844" s="27" t="s">
        <v>8</v>
      </c>
    </row>
    <row r="845" spans="1:389" x14ac:dyDescent="0.25">
      <c r="A845" s="7">
        <v>6.0416517105100079E-3</v>
      </c>
      <c r="B845"/>
      <c r="C845"/>
      <c r="D845"/>
      <c r="E845"/>
      <c r="F845" s="27" t="s">
        <v>7</v>
      </c>
      <c r="NY845" s="27" t="s">
        <v>8</v>
      </c>
    </row>
    <row r="846" spans="1:389" x14ac:dyDescent="0.25">
      <c r="A846" s="7">
        <v>5.9231879514803996E-3</v>
      </c>
      <c r="B846"/>
      <c r="C846"/>
      <c r="D846"/>
      <c r="E846"/>
      <c r="F846" s="27" t="s">
        <v>7</v>
      </c>
      <c r="NY846" s="27" t="s">
        <v>8</v>
      </c>
    </row>
    <row r="847" spans="1:389" x14ac:dyDescent="0.25">
      <c r="A847" s="7">
        <v>5.8070470112552936E-3</v>
      </c>
      <c r="B847"/>
      <c r="C847"/>
      <c r="D847"/>
      <c r="E847"/>
      <c r="F847" s="27" t="s">
        <v>7</v>
      </c>
      <c r="NY847" s="27" t="s">
        <v>8</v>
      </c>
    </row>
    <row r="848" spans="1:389" x14ac:dyDescent="0.25">
      <c r="A848" s="7">
        <v>5.6931833443679353E-3</v>
      </c>
      <c r="B848"/>
      <c r="C848"/>
      <c r="D848"/>
      <c r="E848"/>
      <c r="F848" s="27" t="s">
        <v>7</v>
      </c>
      <c r="NY848" s="27" t="s">
        <v>8</v>
      </c>
    </row>
    <row r="849" spans="1:389" x14ac:dyDescent="0.25">
      <c r="A849" s="7">
        <v>5.5815522983999367E-3</v>
      </c>
      <c r="B849"/>
      <c r="C849"/>
      <c r="D849"/>
      <c r="E849"/>
      <c r="F849" s="27" t="s">
        <v>7</v>
      </c>
      <c r="NY849" s="27" t="s">
        <v>8</v>
      </c>
    </row>
    <row r="850" spans="1:389" x14ac:dyDescent="0.25">
      <c r="A850" s="7">
        <v>5.4721100964705257E-3</v>
      </c>
      <c r="B850"/>
      <c r="C850"/>
      <c r="D850"/>
      <c r="E850"/>
      <c r="F850" s="27" t="s">
        <v>7</v>
      </c>
      <c r="NY850" s="27" t="s">
        <v>8</v>
      </c>
    </row>
    <row r="851" spans="1:389" x14ac:dyDescent="0.25">
      <c r="A851" s="7">
        <v>5.3648138200691423E-3</v>
      </c>
      <c r="B851"/>
      <c r="C851"/>
      <c r="D851"/>
      <c r="E851"/>
      <c r="F851" s="27" t="s">
        <v>7</v>
      </c>
      <c r="NY851" s="27" t="s">
        <v>8</v>
      </c>
    </row>
    <row r="852" spans="1:389" x14ac:dyDescent="0.25">
      <c r="A852" s="7">
        <v>5.2596213922246494E-3</v>
      </c>
      <c r="B852"/>
      <c r="C852"/>
      <c r="D852"/>
      <c r="E852"/>
      <c r="F852" s="27" t="s">
        <v>7</v>
      </c>
      <c r="NY852" s="27" t="s">
        <v>8</v>
      </c>
    </row>
    <row r="853" spans="1:389" x14ac:dyDescent="0.25">
      <c r="A853" s="7">
        <v>5.1564915610045588E-3</v>
      </c>
      <c r="B853"/>
      <c r="C853"/>
      <c r="D853"/>
      <c r="E853"/>
      <c r="F853" s="27" t="s">
        <v>7</v>
      </c>
      <c r="NY853" s="27" t="s">
        <v>8</v>
      </c>
    </row>
    <row r="854" spans="1:389" x14ac:dyDescent="0.25">
      <c r="A854" s="7">
        <v>5.0553838833378023E-3</v>
      </c>
      <c r="B854"/>
      <c r="C854"/>
      <c r="D854"/>
      <c r="E854"/>
      <c r="F854" s="27" t="s">
        <v>7</v>
      </c>
      <c r="NY854" s="27" t="s">
        <v>8</v>
      </c>
    </row>
    <row r="855" spans="1:389" x14ac:dyDescent="0.25">
      <c r="A855" s="7">
        <v>4.9562587091547079E-3</v>
      </c>
      <c r="B855"/>
      <c r="C855"/>
      <c r="D855"/>
      <c r="E855"/>
      <c r="F855" s="27" t="s">
        <v>7</v>
      </c>
      <c r="NY855" s="27" t="s">
        <v>8</v>
      </c>
    </row>
    <row r="856" spans="1:389" x14ac:dyDescent="0.25">
      <c r="A856" s="7">
        <v>4.8590771658379491E-3</v>
      </c>
      <c r="B856"/>
      <c r="C856"/>
      <c r="D856"/>
      <c r="E856"/>
      <c r="F856" s="27" t="s">
        <v>7</v>
      </c>
      <c r="NY856" s="27" t="s">
        <v>8</v>
      </c>
    </row>
    <row r="857" spans="1:389" x14ac:dyDescent="0.25">
      <c r="A857" s="7">
        <v>4.7638011429783815E-3</v>
      </c>
      <c r="B857"/>
      <c r="C857"/>
      <c r="D857"/>
      <c r="E857"/>
      <c r="F857" s="27" t="s">
        <v>7</v>
      </c>
      <c r="NY857" s="27" t="s">
        <v>8</v>
      </c>
    </row>
    <row r="858" spans="1:389" x14ac:dyDescent="0.25">
      <c r="A858" s="7">
        <v>4.6703932774297859E-3</v>
      </c>
      <c r="B858"/>
      <c r="C858"/>
      <c r="D858"/>
      <c r="E858"/>
      <c r="F858" s="27" t="s">
        <v>7</v>
      </c>
      <c r="NY858" s="27" t="s">
        <v>8</v>
      </c>
    </row>
    <row r="859" spans="1:389" x14ac:dyDescent="0.25">
      <c r="A859" s="7">
        <v>4.5788169386566527E-3</v>
      </c>
      <c r="B859"/>
      <c r="C859"/>
      <c r="D859"/>
      <c r="E859"/>
      <c r="F859" s="27" t="s">
        <v>7</v>
      </c>
      <c r="NY859" s="27" t="s">
        <v>8</v>
      </c>
    </row>
    <row r="860" spans="1:389" x14ac:dyDescent="0.25">
      <c r="A860" s="7">
        <v>4.4890362143692672E-3</v>
      </c>
      <c r="B860"/>
      <c r="C860"/>
      <c r="D860"/>
      <c r="E860"/>
      <c r="F860" s="27" t="s">
        <v>7</v>
      </c>
      <c r="NY860" s="27" t="s">
        <v>8</v>
      </c>
    </row>
    <row r="861" spans="1:389" x14ac:dyDescent="0.25">
      <c r="A861" s="7">
        <v>4.4010158964404578E-3</v>
      </c>
      <c r="B861"/>
      <c r="C861"/>
      <c r="D861"/>
      <c r="E861"/>
      <c r="F861" s="27" t="s">
        <v>7</v>
      </c>
      <c r="NY861" s="27" t="s">
        <v>8</v>
      </c>
    </row>
    <row r="862" spans="1:389" x14ac:dyDescent="0.25">
      <c r="A862" s="7">
        <v>4.314721467098488E-3</v>
      </c>
      <c r="B862"/>
      <c r="C862"/>
      <c r="D862"/>
      <c r="E862"/>
      <c r="F862" s="27" t="s">
        <v>7</v>
      </c>
      <c r="NY862" s="27" t="s">
        <v>8</v>
      </c>
    </row>
    <row r="863" spans="1:389" x14ac:dyDescent="0.25">
      <c r="A863" s="7">
        <v>4.2301190853906746E-3</v>
      </c>
      <c r="B863"/>
      <c r="C863"/>
      <c r="D863"/>
      <c r="E863"/>
      <c r="F863" s="27" t="s">
        <v>7</v>
      </c>
      <c r="NY863" s="27" t="s">
        <v>8</v>
      </c>
    </row>
    <row r="864" spans="1:389" x14ac:dyDescent="0.25">
      <c r="A864" s="7">
        <v>4.1471755739124266E-3</v>
      </c>
      <c r="B864"/>
      <c r="C864"/>
      <c r="D864"/>
      <c r="E864"/>
      <c r="F864" s="27" t="s">
        <v>7</v>
      </c>
      <c r="NY864" s="27" t="s">
        <v>8</v>
      </c>
    </row>
    <row r="865" spans="1:389" x14ac:dyDescent="0.25">
      <c r="A865" s="7">
        <v>4.0658584057964966E-3</v>
      </c>
      <c r="B865"/>
      <c r="C865"/>
      <c r="D865"/>
      <c r="E865"/>
      <c r="F865" s="27" t="s">
        <v>7</v>
      </c>
      <c r="NY865" s="27" t="s">
        <v>8</v>
      </c>
    </row>
    <row r="866" spans="1:389" x14ac:dyDescent="0.25">
      <c r="A866" s="7">
        <v>3.9861356919573491E-3</v>
      </c>
      <c r="B866"/>
      <c r="C866"/>
      <c r="D866"/>
      <c r="E866"/>
      <c r="F866" s="27" t="s">
        <v>7</v>
      </c>
      <c r="NY866" s="27" t="s">
        <v>8</v>
      </c>
    </row>
    <row r="867" spans="1:389" x14ac:dyDescent="0.25">
      <c r="A867" s="7">
        <v>3.9079761685856364E-3</v>
      </c>
      <c r="B867"/>
      <c r="C867"/>
      <c r="D867"/>
      <c r="E867"/>
      <c r="F867" s="27" t="s">
        <v>7</v>
      </c>
      <c r="NY867" s="27" t="s">
        <v>8</v>
      </c>
    </row>
    <row r="868" spans="1:389" x14ac:dyDescent="0.25">
      <c r="A868" s="7">
        <v>3.8313491848878793E-3</v>
      </c>
      <c r="B868"/>
      <c r="C868"/>
      <c r="D868"/>
      <c r="E868"/>
      <c r="F868" s="27" t="s">
        <v>7</v>
      </c>
      <c r="NY868" s="27" t="s">
        <v>8</v>
      </c>
    </row>
    <row r="869" spans="1:389" x14ac:dyDescent="0.25">
      <c r="A869" s="7">
        <v>3.7562246910665485E-3</v>
      </c>
      <c r="B869"/>
      <c r="C869"/>
      <c r="D869"/>
      <c r="E869"/>
      <c r="F869" s="27" t="s">
        <v>7</v>
      </c>
      <c r="NY869" s="27" t="s">
        <v>8</v>
      </c>
    </row>
    <row r="870" spans="1:389" x14ac:dyDescent="0.25">
      <c r="A870" s="7">
        <v>3.6825732265358315E-3</v>
      </c>
      <c r="B870"/>
      <c r="C870"/>
      <c r="D870"/>
      <c r="E870"/>
      <c r="F870" s="27" t="s">
        <v>7</v>
      </c>
      <c r="NY870" s="27" t="s">
        <v>8</v>
      </c>
    </row>
    <row r="871" spans="1:389" x14ac:dyDescent="0.25">
      <c r="A871" s="7">
        <v>3.6103659083684624E-3</v>
      </c>
      <c r="B871"/>
      <c r="C871"/>
      <c r="D871"/>
      <c r="E871"/>
      <c r="F871" s="27" t="s">
        <v>7</v>
      </c>
      <c r="NY871" s="27" t="s">
        <v>8</v>
      </c>
    </row>
    <row r="872" spans="1:389" x14ac:dyDescent="0.25">
      <c r="A872" s="7">
        <v>3.539574419969081E-3</v>
      </c>
      <c r="B872"/>
      <c r="C872"/>
      <c r="D872"/>
      <c r="E872"/>
      <c r="F872" s="27" t="s">
        <v>7</v>
      </c>
      <c r="NY872" s="27" t="s">
        <v>8</v>
      </c>
    </row>
    <row r="873" spans="1:389" x14ac:dyDescent="0.25">
      <c r="A873" s="7">
        <v>3.4701709999696872E-3</v>
      </c>
      <c r="B873"/>
      <c r="C873"/>
      <c r="D873"/>
      <c r="E873"/>
      <c r="F873" s="27" t="s">
        <v>7</v>
      </c>
      <c r="NY873" s="27" t="s">
        <v>8</v>
      </c>
    </row>
    <row r="874" spans="1:389" x14ac:dyDescent="0.25">
      <c r="A874" s="7">
        <v>3.4021284313428307E-3</v>
      </c>
      <c r="B874"/>
      <c r="C874"/>
      <c r="D874"/>
      <c r="E874"/>
      <c r="F874" s="27" t="s">
        <v>7</v>
      </c>
      <c r="NY874" s="27" t="s">
        <v>8</v>
      </c>
    </row>
    <row r="875" spans="1:389" x14ac:dyDescent="0.25">
      <c r="A875" s="7">
        <v>3.3354200307282654E-3</v>
      </c>
      <c r="B875"/>
      <c r="C875"/>
      <c r="D875"/>
      <c r="E875"/>
      <c r="F875" s="27" t="s">
        <v>7</v>
      </c>
      <c r="NY875" s="27" t="s">
        <v>8</v>
      </c>
    </row>
    <row r="876" spans="1:389" x14ac:dyDescent="0.25">
      <c r="A876" s="7">
        <v>3.2700196379688881E-3</v>
      </c>
      <c r="B876"/>
      <c r="C876"/>
      <c r="D876"/>
      <c r="E876"/>
      <c r="F876" s="27" t="s">
        <v>7</v>
      </c>
      <c r="NY876" s="27" t="s">
        <v>8</v>
      </c>
    </row>
    <row r="877" spans="1:389" x14ac:dyDescent="0.25">
      <c r="A877" s="7">
        <v>3.205901605851851E-3</v>
      </c>
      <c r="B877"/>
      <c r="C877"/>
      <c r="D877"/>
      <c r="E877"/>
      <c r="F877" s="27" t="s">
        <v>7</v>
      </c>
      <c r="NY877" s="27" t="s">
        <v>8</v>
      </c>
    </row>
    <row r="878" spans="1:389" x14ac:dyDescent="0.25">
      <c r="A878" s="7">
        <v>3.1430407900508344E-3</v>
      </c>
      <c r="B878"/>
      <c r="C878"/>
      <c r="D878"/>
      <c r="E878"/>
      <c r="F878" s="27" t="s">
        <v>7</v>
      </c>
      <c r="NY878" s="27" t="s">
        <v>8</v>
      </c>
    </row>
    <row r="879" spans="1:389" x14ac:dyDescent="0.25">
      <c r="A879" s="7">
        <v>3.0814125392655241E-3</v>
      </c>
      <c r="B879"/>
      <c r="C879"/>
      <c r="D879"/>
      <c r="E879"/>
      <c r="F879" s="27" t="s">
        <v>7</v>
      </c>
      <c r="NY879" s="27" t="s">
        <v>8</v>
      </c>
    </row>
    <row r="880" spans="1:389" x14ac:dyDescent="0.25">
      <c r="A880" s="7">
        <v>3.0209926855544354E-3</v>
      </c>
      <c r="B880"/>
      <c r="C880"/>
      <c r="D880"/>
      <c r="E880"/>
      <c r="F880" s="27" t="s">
        <v>7</v>
      </c>
      <c r="NY880" s="27" t="s">
        <v>8</v>
      </c>
    </row>
    <row r="881" spans="1:389" x14ac:dyDescent="0.25">
      <c r="A881" s="7">
        <v>2.9617575348572897E-3</v>
      </c>
      <c r="B881"/>
      <c r="C881"/>
      <c r="D881"/>
      <c r="E881"/>
      <c r="F881" s="27" t="s">
        <v>7</v>
      </c>
      <c r="NY881" s="27" t="s">
        <v>8</v>
      </c>
    </row>
    <row r="882" spans="1:389" x14ac:dyDescent="0.25">
      <c r="A882" s="7">
        <v>2.9036838577032251E-3</v>
      </c>
      <c r="B882"/>
      <c r="C882"/>
      <c r="D882"/>
      <c r="E882"/>
      <c r="F882" s="27" t="s">
        <v>7</v>
      </c>
      <c r="NY882" s="27" t="s">
        <v>8</v>
      </c>
    </row>
    <row r="883" spans="1:389" x14ac:dyDescent="0.25">
      <c r="A883" s="7">
        <v>2.8467488801012012E-3</v>
      </c>
      <c r="B883"/>
      <c r="C883"/>
      <c r="D883"/>
      <c r="E883"/>
      <c r="F883" s="27" t="s">
        <v>7</v>
      </c>
      <c r="NY883" s="27" t="s">
        <v>8</v>
      </c>
    </row>
    <row r="884" spans="1:389" x14ac:dyDescent="0.25">
      <c r="A884" s="7">
        <v>2.7909302746090209E-3</v>
      </c>
      <c r="B884"/>
      <c r="C884"/>
      <c r="D884"/>
      <c r="E884"/>
      <c r="F884" s="27" t="s">
        <v>7</v>
      </c>
      <c r="NY884" s="27" t="s">
        <v>8</v>
      </c>
    </row>
    <row r="885" spans="1:389" x14ac:dyDescent="0.25">
      <c r="A885" s="7">
        <v>2.7362061515774716E-3</v>
      </c>
      <c r="B885"/>
      <c r="C885"/>
      <c r="D885"/>
      <c r="E885"/>
      <c r="F885" s="27" t="s">
        <v>7</v>
      </c>
      <c r="NY885" s="27" t="s">
        <v>8</v>
      </c>
    </row>
    <row r="886" spans="1:389" x14ac:dyDescent="0.25">
      <c r="A886" s="7">
        <v>2.6825550505661486E-3</v>
      </c>
      <c r="B886"/>
      <c r="C886"/>
      <c r="D886"/>
      <c r="E886"/>
      <c r="F886" s="27" t="s">
        <v>7</v>
      </c>
      <c r="NY886" s="27" t="s">
        <v>8</v>
      </c>
    </row>
    <row r="887" spans="1:389" x14ac:dyDescent="0.25">
      <c r="A887" s="7">
        <v>2.6299559319275965E-3</v>
      </c>
      <c r="B887"/>
      <c r="C887"/>
      <c r="D887"/>
      <c r="E887"/>
      <c r="F887" s="27" t="s">
        <v>7</v>
      </c>
      <c r="NY887" s="27" t="s">
        <v>8</v>
      </c>
    </row>
    <row r="888" spans="1:389" x14ac:dyDescent="0.25">
      <c r="A888" s="7">
        <v>2.578388168556467E-3</v>
      </c>
      <c r="B888"/>
      <c r="C888"/>
      <c r="D888"/>
      <c r="E888"/>
      <c r="F888" s="27" t="s">
        <v>7</v>
      </c>
      <c r="NY888" s="27" t="s">
        <v>8</v>
      </c>
    </row>
    <row r="889" spans="1:389" x14ac:dyDescent="0.25">
      <c r="A889" s="7">
        <v>2.5278315378004577E-3</v>
      </c>
      <c r="B889"/>
      <c r="C889"/>
      <c r="D889"/>
      <c r="E889"/>
      <c r="F889" s="27" t="s">
        <v>7</v>
      </c>
      <c r="NY889" s="27" t="s">
        <v>8</v>
      </c>
    </row>
    <row r="890" spans="1:389" x14ac:dyDescent="0.25">
      <c r="A890" s="7">
        <v>2.4782662135298603E-3</v>
      </c>
      <c r="B890"/>
      <c r="C890"/>
      <c r="D890"/>
      <c r="E890"/>
      <c r="F890" s="27" t="s">
        <v>7</v>
      </c>
      <c r="NY890" s="27" t="s">
        <v>8</v>
      </c>
    </row>
    <row r="891" spans="1:389" x14ac:dyDescent="0.25">
      <c r="A891" s="7">
        <v>2.4296727583626083E-3</v>
      </c>
      <c r="B891"/>
      <c r="C891"/>
      <c r="D891"/>
      <c r="E891"/>
      <c r="F891" s="27" t="s">
        <v>7</v>
      </c>
      <c r="NY891" s="27" t="s">
        <v>8</v>
      </c>
    </row>
    <row r="892" spans="1:389" x14ac:dyDescent="0.25">
      <c r="A892" s="7">
        <v>2.3820321160417726E-3</v>
      </c>
      <c r="B892"/>
      <c r="C892"/>
      <c r="D892"/>
      <c r="E892"/>
      <c r="F892" s="27" t="s">
        <v>7</v>
      </c>
      <c r="NY892" s="27" t="s">
        <v>8</v>
      </c>
    </row>
    <row r="893" spans="1:389" x14ac:dyDescent="0.25">
      <c r="A893" s="7">
        <v>2.3353256039625224E-3</v>
      </c>
      <c r="B893"/>
      <c r="C893"/>
      <c r="D893"/>
      <c r="E893"/>
      <c r="F893" s="27" t="s">
        <v>7</v>
      </c>
      <c r="NY893" s="27" t="s">
        <v>8</v>
      </c>
    </row>
    <row r="894" spans="1:389" x14ac:dyDescent="0.25">
      <c r="A894" s="7">
        <v>2.2895349058456101E-3</v>
      </c>
      <c r="B894"/>
      <c r="C894"/>
      <c r="D894"/>
      <c r="E894"/>
      <c r="F894" s="27" t="s">
        <v>7</v>
      </c>
      <c r="NY894" s="27" t="s">
        <v>8</v>
      </c>
    </row>
    <row r="895" spans="1:389" x14ac:dyDescent="0.25">
      <c r="A895" s="7">
        <v>2.24464206455452E-3</v>
      </c>
      <c r="B895"/>
      <c r="C895"/>
      <c r="D895"/>
      <c r="E895"/>
      <c r="F895" s="27" t="s">
        <v>7</v>
      </c>
      <c r="NY895" s="27" t="s">
        <v>8</v>
      </c>
    </row>
    <row r="896" spans="1:389" x14ac:dyDescent="0.25">
      <c r="A896" s="7">
        <v>2.200629475053451E-3</v>
      </c>
      <c r="B896"/>
      <c r="C896"/>
      <c r="D896"/>
      <c r="E896"/>
      <c r="F896" s="27" t="s">
        <v>7</v>
      </c>
      <c r="NY896" s="27" t="s">
        <v>8</v>
      </c>
    </row>
    <row r="897" spans="1:389" x14ac:dyDescent="0.25">
      <c r="A897" s="7">
        <v>2.1574798775033832E-3</v>
      </c>
      <c r="B897"/>
      <c r="C897"/>
      <c r="D897"/>
      <c r="E897"/>
      <c r="F897" s="27" t="s">
        <v>7</v>
      </c>
      <c r="NY897" s="27" t="s">
        <v>8</v>
      </c>
    </row>
    <row r="898" spans="1:389" x14ac:dyDescent="0.25">
      <c r="A898" s="7">
        <v>2.115176350493513E-3</v>
      </c>
      <c r="B898"/>
      <c r="C898"/>
      <c r="D898"/>
      <c r="E898"/>
      <c r="F898" s="27" t="s">
        <v>7</v>
      </c>
      <c r="NY898" s="27" t="s">
        <v>8</v>
      </c>
    </row>
    <row r="899" spans="1:389" x14ac:dyDescent="0.25">
      <c r="A899" s="7">
        <v>2.0737023044054047E-3</v>
      </c>
      <c r="B899"/>
      <c r="C899"/>
      <c r="D899"/>
      <c r="E899"/>
      <c r="F899" s="27" t="s">
        <v>7</v>
      </c>
      <c r="NY899" s="27" t="s">
        <v>8</v>
      </c>
    </row>
    <row r="900" spans="1:389" x14ac:dyDescent="0.25">
      <c r="A900" s="7">
        <v>2.0330414749072595E-3</v>
      </c>
      <c r="B900"/>
      <c r="C900"/>
      <c r="D900"/>
      <c r="E900"/>
      <c r="F900" s="27" t="s">
        <v>7</v>
      </c>
      <c r="NY900" s="27" t="s">
        <v>8</v>
      </c>
    </row>
    <row r="901" spans="1:389" x14ac:dyDescent="0.25">
      <c r="A901" s="7">
        <v>1.9931779165757446E-3</v>
      </c>
      <c r="B901"/>
      <c r="C901"/>
      <c r="D901"/>
      <c r="E901"/>
      <c r="F901" s="27" t="s">
        <v>7</v>
      </c>
      <c r="NY901" s="27" t="s">
        <v>8</v>
      </c>
    </row>
    <row r="902" spans="1:389" x14ac:dyDescent="0.25">
      <c r="A902" s="7">
        <v>1.954095996642887E-3</v>
      </c>
      <c r="B902"/>
      <c r="C902"/>
      <c r="D902"/>
      <c r="E902"/>
      <c r="F902" s="27" t="s">
        <v>7</v>
      </c>
      <c r="NY902" s="27" t="s">
        <v>8</v>
      </c>
    </row>
    <row r="903" spans="1:389" x14ac:dyDescent="0.25">
      <c r="A903" s="7">
        <v>1.9157803888655755E-3</v>
      </c>
      <c r="B903"/>
      <c r="C903"/>
      <c r="D903"/>
      <c r="E903"/>
      <c r="F903" s="27" t="s">
        <v>7</v>
      </c>
      <c r="NY903" s="27" t="s">
        <v>8</v>
      </c>
    </row>
    <row r="904" spans="1:389" x14ac:dyDescent="0.25">
      <c r="A904" s="7">
        <v>1.8782160675152703E-3</v>
      </c>
      <c r="B904"/>
      <c r="C904"/>
      <c r="D904"/>
      <c r="E904"/>
      <c r="F904" s="27" t="s">
        <v>7</v>
      </c>
      <c r="NY904" s="27" t="s">
        <v>8</v>
      </c>
    </row>
    <row r="905" spans="1:389" x14ac:dyDescent="0.25">
      <c r="A905" s="7">
        <v>1.8413883014855592E-3</v>
      </c>
      <c r="B905"/>
      <c r="C905"/>
      <c r="D905"/>
      <c r="E905"/>
      <c r="F905" s="27" t="s">
        <v>7</v>
      </c>
      <c r="NY905" s="27" t="s">
        <v>8</v>
      </c>
    </row>
    <row r="906" spans="1:389" x14ac:dyDescent="0.25">
      <c r="A906" s="7">
        <v>1.8052826485152542E-3</v>
      </c>
      <c r="B906"/>
      <c r="C906"/>
      <c r="D906"/>
      <c r="E906"/>
      <c r="F906" s="27" t="s">
        <v>7</v>
      </c>
      <c r="NY906" s="27" t="s">
        <v>8</v>
      </c>
    </row>
    <row r="907" spans="1:389" x14ac:dyDescent="0.25">
      <c r="A907" s="7">
        <v>1.7698849495247592E-3</v>
      </c>
      <c r="B907"/>
      <c r="C907"/>
      <c r="D907"/>
      <c r="E907"/>
      <c r="F907" s="27" t="s">
        <v>7</v>
      </c>
      <c r="NY907" s="27" t="s">
        <v>8</v>
      </c>
    </row>
    <row r="908" spans="1:389" x14ac:dyDescent="0.25">
      <c r="A908" s="7">
        <v>1.7351813230634893E-3</v>
      </c>
      <c r="B908"/>
      <c r="C908"/>
      <c r="D908"/>
      <c r="E908"/>
      <c r="F908" s="27" t="s">
        <v>7</v>
      </c>
      <c r="NY908" s="27" t="s">
        <v>8</v>
      </c>
    </row>
    <row r="909" spans="1:389" x14ac:dyDescent="0.25">
      <c r="A909" s="7">
        <v>1.701158159866166E-3</v>
      </c>
      <c r="B909"/>
      <c r="C909"/>
      <c r="D909"/>
      <c r="E909"/>
      <c r="F909" s="27" t="s">
        <v>7</v>
      </c>
      <c r="NY909" s="27" t="s">
        <v>8</v>
      </c>
    </row>
    <row r="910" spans="1:389" x14ac:dyDescent="0.25">
      <c r="A910" s="7">
        <v>1.6678021175158492E-3</v>
      </c>
      <c r="B910"/>
      <c r="C910"/>
      <c r="D910"/>
      <c r="E910"/>
      <c r="F910" s="27" t="s">
        <v>7</v>
      </c>
      <c r="NY910" s="27" t="s">
        <v>8</v>
      </c>
    </row>
    <row r="911" spans="1:389" x14ac:dyDescent="0.25">
      <c r="A911" s="7">
        <v>1.6351001152116167E-3</v>
      </c>
      <c r="B911"/>
      <c r="C911"/>
      <c r="D911"/>
      <c r="E911"/>
      <c r="F911" s="27" t="s">
        <v>7</v>
      </c>
      <c r="NY911" s="27" t="s">
        <v>8</v>
      </c>
    </row>
    <row r="912" spans="1:389" x14ac:dyDescent="0.25">
      <c r="A912" s="7">
        <v>1.60303932863884E-3</v>
      </c>
      <c r="B912"/>
      <c r="C912"/>
      <c r="D912"/>
      <c r="E912"/>
      <c r="F912" s="27" t="s">
        <v>7</v>
      </c>
      <c r="NY912" s="27" t="s">
        <v>8</v>
      </c>
    </row>
    <row r="913" spans="1:389" x14ac:dyDescent="0.25">
      <c r="A913" s="7">
        <v>1.5716071849400392E-3</v>
      </c>
      <c r="B913"/>
      <c r="C913"/>
      <c r="D913"/>
      <c r="E913"/>
      <c r="F913" s="27" t="s">
        <v>7</v>
      </c>
      <c r="NY913" s="27" t="s">
        <v>8</v>
      </c>
    </row>
    <row r="914" spans="1:389" x14ac:dyDescent="0.25">
      <c r="A914" s="7">
        <v>1.5407913577843522E-3</v>
      </c>
      <c r="B914"/>
      <c r="C914"/>
      <c r="D914"/>
      <c r="E914"/>
      <c r="F914" s="27" t="s">
        <v>7</v>
      </c>
      <c r="NY914" s="27" t="s">
        <v>8</v>
      </c>
    </row>
    <row r="915" spans="1:389" x14ac:dyDescent="0.25">
      <c r="A915" s="7">
        <v>1.5105797625336785E-3</v>
      </c>
      <c r="B915"/>
      <c r="C915"/>
      <c r="D915"/>
      <c r="E915"/>
      <c r="F915" s="27" t="s">
        <v>7</v>
      </c>
      <c r="NY915" s="27" t="s">
        <v>8</v>
      </c>
    </row>
    <row r="916" spans="1:389" x14ac:dyDescent="0.25">
      <c r="A916" s="7">
        <v>1.4809605515036064E-3</v>
      </c>
      <c r="B916"/>
      <c r="C916"/>
      <c r="D916"/>
      <c r="E916"/>
      <c r="F916" s="27" t="s">
        <v>7</v>
      </c>
      <c r="NY916" s="27" t="s">
        <v>8</v>
      </c>
    </row>
    <row r="917" spans="1:389" x14ac:dyDescent="0.25">
      <c r="A917" s="7">
        <v>1.4519221093172612E-3</v>
      </c>
      <c r="B917"/>
      <c r="C917"/>
      <c r="D917"/>
      <c r="E917"/>
      <c r="F917" s="27" t="s">
        <v>7</v>
      </c>
      <c r="NY917" s="27" t="s">
        <v>8</v>
      </c>
    </row>
    <row r="918" spans="1:389" x14ac:dyDescent="0.25">
      <c r="A918" s="7">
        <v>1.423453048350256E-3</v>
      </c>
      <c r="B918"/>
      <c r="C918"/>
      <c r="D918"/>
      <c r="E918"/>
      <c r="F918" s="27" t="s">
        <v>7</v>
      </c>
      <c r="NY918" s="27" t="s">
        <v>8</v>
      </c>
    </row>
    <row r="919" spans="1:389" x14ac:dyDescent="0.25">
      <c r="A919" s="7">
        <v>1.3955422042649568E-3</v>
      </c>
      <c r="B919"/>
      <c r="C919"/>
      <c r="D919"/>
      <c r="E919"/>
      <c r="F919" s="27" t="s">
        <v>7</v>
      </c>
      <c r="NY919" s="27" t="s">
        <v>8</v>
      </c>
    </row>
    <row r="920" spans="1:389" x14ac:dyDescent="0.25">
      <c r="A920" s="7">
        <v>1.3681786316323105E-3</v>
      </c>
      <c r="B920"/>
      <c r="C920"/>
      <c r="D920"/>
      <c r="E920"/>
      <c r="F920" s="27" t="s">
        <v>7</v>
      </c>
      <c r="NY920" s="27" t="s">
        <v>8</v>
      </c>
    </row>
    <row r="921" spans="1:389" x14ac:dyDescent="0.25">
      <c r="A921" s="7">
        <v>1.3413515996395203E-3</v>
      </c>
      <c r="B921"/>
      <c r="C921"/>
      <c r="D921"/>
      <c r="E921"/>
      <c r="F921" s="27" t="s">
        <v>7</v>
      </c>
      <c r="NY921" s="27" t="s">
        <v>8</v>
      </c>
    </row>
    <row r="922" spans="1:389" x14ac:dyDescent="0.25">
      <c r="A922" s="7">
        <v>1.3150505878818826E-3</v>
      </c>
      <c r="B922"/>
      <c r="C922"/>
      <c r="D922"/>
      <c r="E922"/>
      <c r="F922" s="27" t="s">
        <v>7</v>
      </c>
      <c r="NY922" s="27" t="s">
        <v>8</v>
      </c>
    </row>
    <row r="923" spans="1:389" x14ac:dyDescent="0.25">
      <c r="A923" s="7">
        <v>1.2892652822371396E-3</v>
      </c>
      <c r="B923"/>
      <c r="C923"/>
      <c r="D923"/>
      <c r="E923"/>
      <c r="F923" s="27" t="s">
        <v>7</v>
      </c>
      <c r="NY923" s="27" t="s">
        <v>8</v>
      </c>
    </row>
    <row r="924" spans="1:389" x14ac:dyDescent="0.25">
      <c r="A924" s="7">
        <v>1.2639855708207251E-3</v>
      </c>
      <c r="B924"/>
      <c r="C924"/>
      <c r="D924"/>
      <c r="E924"/>
      <c r="F924" s="27" t="s">
        <v>7</v>
      </c>
      <c r="NY924" s="27" t="s">
        <v>8</v>
      </c>
    </row>
    <row r="925" spans="1:389" x14ac:dyDescent="0.25">
      <c r="A925" s="7">
        <v>1.2392015400203187E-3</v>
      </c>
      <c r="B925"/>
      <c r="C925"/>
      <c r="D925"/>
      <c r="E925"/>
      <c r="F925" s="27" t="s">
        <v>7</v>
      </c>
      <c r="NY925" s="27" t="s">
        <v>8</v>
      </c>
    </row>
    <row r="926" spans="1:389" x14ac:dyDescent="0.25">
      <c r="A926" s="7">
        <v>1.2149034706081556E-3</v>
      </c>
      <c r="B926"/>
      <c r="C926"/>
      <c r="D926"/>
      <c r="E926"/>
      <c r="F926" s="27" t="s">
        <v>7</v>
      </c>
      <c r="NY926" s="27" t="s">
        <v>8</v>
      </c>
    </row>
    <row r="927" spans="1:389" x14ac:dyDescent="0.25">
      <c r="A927" s="7">
        <v>1.1910818339295644E-3</v>
      </c>
      <c r="B927"/>
      <c r="C927"/>
      <c r="D927"/>
      <c r="E927"/>
      <c r="F927" s="27" t="s">
        <v>7</v>
      </c>
      <c r="NY927" s="27" t="s">
        <v>8</v>
      </c>
    </row>
    <row r="928" spans="1:389" x14ac:dyDescent="0.25">
      <c r="A928" s="7">
        <v>1.1677272881662395E-3</v>
      </c>
      <c r="B928"/>
      <c r="C928"/>
      <c r="D928"/>
      <c r="E928"/>
      <c r="F928" s="27" t="s">
        <v>7</v>
      </c>
      <c r="NY928" s="27" t="s">
        <v>8</v>
      </c>
    </row>
    <row r="929" spans="1:389" x14ac:dyDescent="0.25">
      <c r="A929" s="7">
        <v>1.1448306746727837E-3</v>
      </c>
      <c r="B929"/>
      <c r="C929"/>
      <c r="D929"/>
      <c r="E929"/>
      <c r="F929" s="27" t="s">
        <v>7</v>
      </c>
      <c r="NY929" s="27" t="s">
        <v>8</v>
      </c>
    </row>
    <row r="930" spans="1:389" x14ac:dyDescent="0.25">
      <c r="A930" s="7">
        <v>1.1223830143850821E-3</v>
      </c>
      <c r="B930"/>
      <c r="C930"/>
      <c r="D930"/>
      <c r="E930"/>
      <c r="F930" s="27" t="s">
        <v>7</v>
      </c>
      <c r="NY930" s="27" t="s">
        <v>8</v>
      </c>
    </row>
    <row r="931" spans="1:389" x14ac:dyDescent="0.25">
      <c r="A931" s="7">
        <v>1.1003755042991001E-3</v>
      </c>
      <c r="B931"/>
      <c r="C931"/>
      <c r="D931"/>
      <c r="E931"/>
      <c r="F931" s="27" t="s">
        <v>7</v>
      </c>
      <c r="NY931" s="27" t="s">
        <v>8</v>
      </c>
    </row>
    <row r="932" spans="1:389" x14ac:dyDescent="0.25">
      <c r="A932" s="7">
        <v>1.0787995140187257E-3</v>
      </c>
      <c r="B932"/>
      <c r="C932"/>
      <c r="D932"/>
      <c r="E932"/>
      <c r="F932" s="27" t="s">
        <v>7</v>
      </c>
      <c r="NY932" s="27" t="s">
        <v>8</v>
      </c>
    </row>
    <row r="933" spans="1:389" x14ac:dyDescent="0.25">
      <c r="A933" s="7">
        <v>1.0576465823712996E-3</v>
      </c>
      <c r="B933"/>
      <c r="C933"/>
      <c r="D933"/>
      <c r="E933"/>
      <c r="F933" s="27" t="s">
        <v>7</v>
      </c>
      <c r="NY933" s="27" t="s">
        <v>8</v>
      </c>
    </row>
    <row r="934" spans="1:389" x14ac:dyDescent="0.25">
      <c r="A934" s="7">
        <v>1.0369084140895094E-3</v>
      </c>
      <c r="B934"/>
      <c r="C934"/>
      <c r="D934"/>
      <c r="E934"/>
      <c r="F934" s="27" t="s">
        <v>7</v>
      </c>
      <c r="NY934" s="27" t="s">
        <v>8</v>
      </c>
    </row>
    <row r="935" spans="1:389" x14ac:dyDescent="0.25">
      <c r="A935" s="7">
        <v>1.0165768765583426E-3</v>
      </c>
      <c r="B935"/>
      <c r="C935"/>
      <c r="D935"/>
      <c r="E935"/>
      <c r="F935" s="27" t="s">
        <v>7</v>
      </c>
      <c r="NY935" s="27" t="s">
        <v>8</v>
      </c>
    </row>
    <row r="936" spans="1:389" x14ac:dyDescent="0.25">
      <c r="A936" s="7">
        <v>9.966439966258261E-4</v>
      </c>
      <c r="B936"/>
      <c r="C936"/>
      <c r="D936"/>
      <c r="E936"/>
      <c r="F936" s="27" t="s">
        <v>7</v>
      </c>
      <c r="G936" s="27" t="s">
        <v>8</v>
      </c>
      <c r="I936" s="27" t="s">
        <v>8</v>
      </c>
      <c r="K936" s="27" t="s">
        <v>8</v>
      </c>
      <c r="M936" s="27" t="s">
        <v>8</v>
      </c>
      <c r="O936" s="27" t="s">
        <v>8</v>
      </c>
      <c r="Q936" s="27" t="s">
        <v>8</v>
      </c>
      <c r="S936" s="27" t="s">
        <v>8</v>
      </c>
      <c r="U936" s="27" t="s">
        <v>8</v>
      </c>
      <c r="W936" s="27" t="s">
        <v>8</v>
      </c>
      <c r="Y936" s="27" t="s">
        <v>8</v>
      </c>
      <c r="AA936" s="27" t="s">
        <v>8</v>
      </c>
      <c r="AC936" s="27" t="s">
        <v>8</v>
      </c>
      <c r="AE936" s="27" t="s">
        <v>8</v>
      </c>
      <c r="AG936" s="27" t="s">
        <v>8</v>
      </c>
      <c r="AI936" s="27" t="s">
        <v>8</v>
      </c>
      <c r="AK936" s="27" t="s">
        <v>8</v>
      </c>
      <c r="AM936" s="27" t="s">
        <v>8</v>
      </c>
      <c r="AO936" s="27" t="s">
        <v>8</v>
      </c>
      <c r="AQ936" s="27" t="s">
        <v>8</v>
      </c>
      <c r="AS936" s="27" t="s">
        <v>8</v>
      </c>
      <c r="AU936" s="27" t="s">
        <v>8</v>
      </c>
      <c r="AW936" s="27" t="s">
        <v>8</v>
      </c>
      <c r="AY936" s="27" t="s">
        <v>8</v>
      </c>
      <c r="BA936" s="27" t="s">
        <v>8</v>
      </c>
      <c r="BC936" s="27" t="s">
        <v>8</v>
      </c>
      <c r="BE936" s="27" t="s">
        <v>8</v>
      </c>
      <c r="BG936" s="27" t="s">
        <v>8</v>
      </c>
      <c r="BI936" s="27" t="s">
        <v>8</v>
      </c>
      <c r="BK936" s="27" t="s">
        <v>8</v>
      </c>
      <c r="BM936" s="27" t="s">
        <v>8</v>
      </c>
      <c r="BO936" s="27" t="s">
        <v>8</v>
      </c>
      <c r="BQ936" s="27" t="s">
        <v>8</v>
      </c>
      <c r="BS936" s="27" t="s">
        <v>8</v>
      </c>
      <c r="BU936" s="27" t="s">
        <v>8</v>
      </c>
      <c r="BW936" s="27" t="s">
        <v>8</v>
      </c>
      <c r="BY936" s="27" t="s">
        <v>8</v>
      </c>
      <c r="CA936" s="27" t="s">
        <v>8</v>
      </c>
      <c r="CC936" s="27" t="s">
        <v>8</v>
      </c>
      <c r="CE936" s="27" t="s">
        <v>8</v>
      </c>
      <c r="CG936" s="27" t="s">
        <v>8</v>
      </c>
      <c r="CI936" s="27" t="s">
        <v>8</v>
      </c>
      <c r="CK936" s="27" t="s">
        <v>8</v>
      </c>
      <c r="CM936" s="27" t="s">
        <v>8</v>
      </c>
      <c r="CO936" s="27" t="s">
        <v>8</v>
      </c>
      <c r="CQ936" s="27" t="s">
        <v>8</v>
      </c>
      <c r="CS936" s="27" t="s">
        <v>8</v>
      </c>
      <c r="CU936" s="27" t="s">
        <v>8</v>
      </c>
      <c r="CW936" s="27" t="s">
        <v>8</v>
      </c>
      <c r="CY936" s="27" t="s">
        <v>8</v>
      </c>
      <c r="DA936" s="27" t="s">
        <v>8</v>
      </c>
      <c r="DC936" s="27" t="s">
        <v>8</v>
      </c>
      <c r="DE936" s="27" t="s">
        <v>8</v>
      </c>
      <c r="DG936" s="27" t="s">
        <v>8</v>
      </c>
      <c r="DI936" s="27" t="s">
        <v>8</v>
      </c>
      <c r="DK936" s="27" t="s">
        <v>8</v>
      </c>
      <c r="DM936" s="27" t="s">
        <v>8</v>
      </c>
      <c r="DO936" s="27" t="s">
        <v>8</v>
      </c>
      <c r="DQ936" s="27" t="s">
        <v>8</v>
      </c>
      <c r="DS936" s="27" t="s">
        <v>8</v>
      </c>
      <c r="DU936" s="27" t="s">
        <v>8</v>
      </c>
      <c r="DW936" s="27" t="s">
        <v>8</v>
      </c>
      <c r="DY936" s="27" t="s">
        <v>8</v>
      </c>
      <c r="EA936" s="27" t="s">
        <v>8</v>
      </c>
      <c r="EC936" s="27" t="s">
        <v>8</v>
      </c>
      <c r="EE936" s="27" t="s">
        <v>8</v>
      </c>
      <c r="EG936" s="27" t="s">
        <v>8</v>
      </c>
      <c r="EI936" s="27" t="s">
        <v>8</v>
      </c>
      <c r="EK936" s="27" t="s">
        <v>8</v>
      </c>
      <c r="EM936" s="27" t="s">
        <v>8</v>
      </c>
      <c r="EO936" s="27" t="s">
        <v>8</v>
      </c>
      <c r="EQ936" s="27" t="s">
        <v>8</v>
      </c>
      <c r="ES936" s="27" t="s">
        <v>8</v>
      </c>
      <c r="EU936" s="27" t="s">
        <v>8</v>
      </c>
      <c r="EW936" s="27" t="s">
        <v>8</v>
      </c>
      <c r="EY936" s="27" t="s">
        <v>8</v>
      </c>
      <c r="FA936" s="27" t="s">
        <v>8</v>
      </c>
      <c r="FC936" s="27" t="s">
        <v>8</v>
      </c>
      <c r="FE936" s="27" t="s">
        <v>8</v>
      </c>
      <c r="FG936" s="27" t="s">
        <v>8</v>
      </c>
      <c r="FI936" s="27" t="s">
        <v>8</v>
      </c>
      <c r="FK936" s="27" t="s">
        <v>8</v>
      </c>
      <c r="FM936" s="27" t="s">
        <v>8</v>
      </c>
      <c r="FO936" s="27" t="s">
        <v>8</v>
      </c>
      <c r="FQ936" s="27" t="s">
        <v>8</v>
      </c>
      <c r="FS936" s="27" t="s">
        <v>8</v>
      </c>
      <c r="FU936" s="27" t="s">
        <v>8</v>
      </c>
      <c r="FW936" s="27" t="s">
        <v>8</v>
      </c>
      <c r="FY936" s="27" t="s">
        <v>8</v>
      </c>
      <c r="GA936" s="27" t="s">
        <v>8</v>
      </c>
      <c r="GC936" s="27" t="s">
        <v>8</v>
      </c>
      <c r="GE936" s="27" t="s">
        <v>8</v>
      </c>
      <c r="GG936" s="27" t="s">
        <v>8</v>
      </c>
      <c r="GI936" s="27" t="s">
        <v>8</v>
      </c>
      <c r="GK936" s="27" t="s">
        <v>8</v>
      </c>
      <c r="GM936" s="27" t="s">
        <v>8</v>
      </c>
      <c r="GO936" s="27" t="s">
        <v>8</v>
      </c>
      <c r="GQ936" s="27" t="s">
        <v>8</v>
      </c>
      <c r="GS936" s="27" t="s">
        <v>8</v>
      </c>
      <c r="GU936" s="27" t="s">
        <v>8</v>
      </c>
      <c r="GW936" s="27" t="s">
        <v>8</v>
      </c>
      <c r="GY936" s="27" t="s">
        <v>8</v>
      </c>
      <c r="HA936" s="27" t="s">
        <v>8</v>
      </c>
      <c r="HC936" s="27" t="s">
        <v>8</v>
      </c>
      <c r="HE936" s="27" t="s">
        <v>8</v>
      </c>
      <c r="HG936" s="27" t="s">
        <v>8</v>
      </c>
      <c r="HI936" s="27" t="s">
        <v>8</v>
      </c>
      <c r="HK936" s="27" t="s">
        <v>8</v>
      </c>
      <c r="HM936" s="27" t="s">
        <v>8</v>
      </c>
      <c r="HO936" s="27" t="s">
        <v>8</v>
      </c>
      <c r="HQ936" s="27" t="s">
        <v>8</v>
      </c>
      <c r="HS936" s="27" t="s">
        <v>8</v>
      </c>
      <c r="HU936" s="27" t="s">
        <v>8</v>
      </c>
      <c r="HW936" s="27" t="s">
        <v>8</v>
      </c>
      <c r="HY936" s="27" t="s">
        <v>8</v>
      </c>
      <c r="IA936" s="27" t="s">
        <v>8</v>
      </c>
      <c r="IC936" s="27" t="s">
        <v>8</v>
      </c>
      <c r="IE936" s="27" t="s">
        <v>8</v>
      </c>
      <c r="IG936" s="27" t="s">
        <v>8</v>
      </c>
      <c r="II936" s="27" t="s">
        <v>8</v>
      </c>
      <c r="IK936" s="27" t="s">
        <v>8</v>
      </c>
      <c r="IM936" s="27" t="s">
        <v>8</v>
      </c>
      <c r="IO936" s="27" t="s">
        <v>8</v>
      </c>
      <c r="IQ936" s="27" t="s">
        <v>8</v>
      </c>
      <c r="IS936" s="27" t="s">
        <v>8</v>
      </c>
      <c r="IU936" s="27" t="s">
        <v>8</v>
      </c>
      <c r="IW936" s="27" t="s">
        <v>8</v>
      </c>
      <c r="IY936" s="27" t="s">
        <v>8</v>
      </c>
      <c r="JA936" s="27" t="s">
        <v>8</v>
      </c>
      <c r="JC936" s="27" t="s">
        <v>8</v>
      </c>
      <c r="JE936" s="27" t="s">
        <v>8</v>
      </c>
      <c r="JG936" s="27" t="s">
        <v>8</v>
      </c>
      <c r="JI936" s="27" t="s">
        <v>8</v>
      </c>
      <c r="JK936" s="27" t="s">
        <v>8</v>
      </c>
      <c r="JM936" s="27" t="s">
        <v>8</v>
      </c>
      <c r="JO936" s="27" t="s">
        <v>8</v>
      </c>
      <c r="JQ936" s="27" t="s">
        <v>8</v>
      </c>
      <c r="JS936" s="27" t="s">
        <v>8</v>
      </c>
      <c r="JU936" s="27" t="s">
        <v>8</v>
      </c>
      <c r="JW936" s="27" t="s">
        <v>8</v>
      </c>
      <c r="JY936" s="27" t="s">
        <v>8</v>
      </c>
      <c r="KA936" s="27" t="s">
        <v>8</v>
      </c>
      <c r="KC936" s="27" t="s">
        <v>8</v>
      </c>
      <c r="KE936" s="27" t="s">
        <v>8</v>
      </c>
      <c r="KG936" s="27" t="s">
        <v>8</v>
      </c>
      <c r="KI936" s="27" t="s">
        <v>8</v>
      </c>
      <c r="KK936" s="27" t="s">
        <v>8</v>
      </c>
      <c r="KM936" s="27" t="s">
        <v>8</v>
      </c>
      <c r="KO936" s="27" t="s">
        <v>8</v>
      </c>
      <c r="KQ936" s="27" t="s">
        <v>8</v>
      </c>
      <c r="KS936" s="27" t="s">
        <v>8</v>
      </c>
      <c r="KU936" s="27" t="s">
        <v>8</v>
      </c>
      <c r="KW936" s="27" t="s">
        <v>8</v>
      </c>
      <c r="KY936" s="27" t="s">
        <v>8</v>
      </c>
      <c r="LA936" s="27" t="s">
        <v>8</v>
      </c>
      <c r="LC936" s="27" t="s">
        <v>8</v>
      </c>
      <c r="LE936" s="27" t="s">
        <v>8</v>
      </c>
      <c r="LG936" s="27" t="s">
        <v>8</v>
      </c>
      <c r="LI936" s="27" t="s">
        <v>8</v>
      </c>
      <c r="LK936" s="27" t="s">
        <v>8</v>
      </c>
      <c r="LM936" s="27" t="s">
        <v>8</v>
      </c>
      <c r="LO936" s="27" t="s">
        <v>8</v>
      </c>
      <c r="LQ936" s="27" t="s">
        <v>8</v>
      </c>
      <c r="LS936" s="27" t="s">
        <v>8</v>
      </c>
      <c r="LU936" s="27" t="s">
        <v>8</v>
      </c>
      <c r="LW936" s="27" t="s">
        <v>8</v>
      </c>
      <c r="LY936" s="27" t="s">
        <v>8</v>
      </c>
      <c r="MA936" s="27" t="s">
        <v>8</v>
      </c>
      <c r="MC936" s="27" t="s">
        <v>8</v>
      </c>
      <c r="ME936" s="27" t="s">
        <v>8</v>
      </c>
      <c r="MG936" s="27" t="s">
        <v>8</v>
      </c>
      <c r="MI936" s="27" t="s">
        <v>8</v>
      </c>
      <c r="MK936" s="27" t="s">
        <v>8</v>
      </c>
      <c r="MM936" s="27" t="s">
        <v>8</v>
      </c>
      <c r="MO936" s="27" t="s">
        <v>8</v>
      </c>
      <c r="MQ936" s="27" t="s">
        <v>8</v>
      </c>
      <c r="MS936" s="27" t="s">
        <v>8</v>
      </c>
      <c r="MU936" s="27" t="s">
        <v>8</v>
      </c>
      <c r="MW936" s="27" t="s">
        <v>8</v>
      </c>
      <c r="MY936" s="27" t="s">
        <v>8</v>
      </c>
      <c r="NA936" s="27" t="s">
        <v>8</v>
      </c>
      <c r="NC936" s="27" t="s">
        <v>8</v>
      </c>
      <c r="NE936" s="27" t="s">
        <v>8</v>
      </c>
      <c r="NG936" s="27" t="s">
        <v>8</v>
      </c>
      <c r="NI936" s="27" t="s">
        <v>8</v>
      </c>
      <c r="NK936" s="27" t="s">
        <v>8</v>
      </c>
      <c r="NM936" s="27" t="s">
        <v>8</v>
      </c>
      <c r="NO936" s="27" t="s">
        <v>8</v>
      </c>
      <c r="NQ936" s="27" t="s">
        <v>8</v>
      </c>
      <c r="NS936" s="27" t="s">
        <v>8</v>
      </c>
      <c r="NU936" s="27" t="s">
        <v>8</v>
      </c>
      <c r="NW936" s="27" t="s">
        <v>8</v>
      </c>
      <c r="NY936" s="27" t="s">
        <v>8</v>
      </c>
    </row>
    <row r="937" spans="1:389" x14ac:dyDescent="0.25">
      <c r="F937" s="27" t="s">
        <v>7</v>
      </c>
      <c r="H937" s="27" t="s">
        <v>7</v>
      </c>
      <c r="J937" s="27" t="s">
        <v>7</v>
      </c>
      <c r="L937" s="27" t="s">
        <v>7</v>
      </c>
      <c r="N937" s="27" t="s">
        <v>7</v>
      </c>
      <c r="P937" s="27" t="s">
        <v>7</v>
      </c>
      <c r="R937" s="27" t="s">
        <v>7</v>
      </c>
      <c r="T937" s="27" t="s">
        <v>7</v>
      </c>
      <c r="V937" s="27" t="s">
        <v>7</v>
      </c>
      <c r="X937" s="27" t="s">
        <v>7</v>
      </c>
      <c r="Z937" s="27" t="s">
        <v>7</v>
      </c>
      <c r="AB937" s="27" t="s">
        <v>7</v>
      </c>
      <c r="AD937" s="27" t="s">
        <v>7</v>
      </c>
      <c r="AF937" s="27" t="s">
        <v>7</v>
      </c>
      <c r="AH937" s="27" t="s">
        <v>7</v>
      </c>
      <c r="AJ937" s="27" t="s">
        <v>7</v>
      </c>
      <c r="AL937" s="27" t="s">
        <v>7</v>
      </c>
      <c r="AN937" s="27" t="s">
        <v>7</v>
      </c>
      <c r="AP937" s="27" t="s">
        <v>7</v>
      </c>
      <c r="AR937" s="27" t="s">
        <v>7</v>
      </c>
      <c r="AT937" s="27" t="s">
        <v>7</v>
      </c>
      <c r="AV937" s="27" t="s">
        <v>7</v>
      </c>
      <c r="AX937" s="27" t="s">
        <v>7</v>
      </c>
      <c r="AZ937" s="27" t="s">
        <v>7</v>
      </c>
      <c r="BB937" s="27" t="s">
        <v>7</v>
      </c>
      <c r="BD937" s="27" t="s">
        <v>7</v>
      </c>
      <c r="BF937" s="27" t="s">
        <v>7</v>
      </c>
      <c r="BH937" s="27" t="s">
        <v>7</v>
      </c>
      <c r="BJ937" s="27" t="s">
        <v>7</v>
      </c>
      <c r="BL937" s="27" t="s">
        <v>7</v>
      </c>
      <c r="BN937" s="27" t="s">
        <v>7</v>
      </c>
      <c r="BP937" s="27" t="s">
        <v>7</v>
      </c>
      <c r="BR937" s="27" t="s">
        <v>7</v>
      </c>
      <c r="BT937" s="27" t="s">
        <v>7</v>
      </c>
      <c r="BV937" s="27" t="s">
        <v>7</v>
      </c>
      <c r="BX937" s="27" t="s">
        <v>7</v>
      </c>
      <c r="BZ937" s="27" t="s">
        <v>7</v>
      </c>
      <c r="CB937" s="27" t="s">
        <v>7</v>
      </c>
      <c r="CD937" s="27" t="s">
        <v>7</v>
      </c>
      <c r="CF937" s="27" t="s">
        <v>7</v>
      </c>
      <c r="CH937" s="27" t="s">
        <v>7</v>
      </c>
      <c r="CJ937" s="27" t="s">
        <v>7</v>
      </c>
      <c r="CL937" s="27" t="s">
        <v>7</v>
      </c>
      <c r="CN937" s="27" t="s">
        <v>7</v>
      </c>
      <c r="CP937" s="27" t="s">
        <v>7</v>
      </c>
      <c r="CR937" s="27" t="s">
        <v>7</v>
      </c>
      <c r="CT937" s="27" t="s">
        <v>7</v>
      </c>
      <c r="CV937" s="27" t="s">
        <v>7</v>
      </c>
      <c r="CX937" s="27" t="s">
        <v>7</v>
      </c>
      <c r="CZ937" s="27" t="s">
        <v>7</v>
      </c>
      <c r="DB937" s="27" t="s">
        <v>7</v>
      </c>
      <c r="DD937" s="27" t="s">
        <v>7</v>
      </c>
      <c r="DF937" s="27" t="s">
        <v>7</v>
      </c>
      <c r="DH937" s="27" t="s">
        <v>7</v>
      </c>
      <c r="DJ937" s="27" t="s">
        <v>7</v>
      </c>
      <c r="DL937" s="27" t="s">
        <v>7</v>
      </c>
      <c r="DN937" s="27" t="s">
        <v>7</v>
      </c>
      <c r="DP937" s="27" t="s">
        <v>7</v>
      </c>
      <c r="DR937" s="27" t="s">
        <v>7</v>
      </c>
      <c r="DT937" s="27" t="s">
        <v>7</v>
      </c>
      <c r="DV937" s="27" t="s">
        <v>7</v>
      </c>
      <c r="DX937" s="27" t="s">
        <v>7</v>
      </c>
      <c r="DZ937" s="27" t="s">
        <v>7</v>
      </c>
      <c r="EB937" s="27" t="s">
        <v>7</v>
      </c>
      <c r="ED937" s="27" t="s">
        <v>7</v>
      </c>
      <c r="EF937" s="27" t="s">
        <v>7</v>
      </c>
      <c r="EH937" s="27" t="s">
        <v>7</v>
      </c>
      <c r="EJ937" s="27" t="s">
        <v>7</v>
      </c>
      <c r="EL937" s="27" t="s">
        <v>7</v>
      </c>
      <c r="EN937" s="27" t="s">
        <v>7</v>
      </c>
      <c r="EP937" s="27" t="s">
        <v>7</v>
      </c>
      <c r="ER937" s="27" t="s">
        <v>7</v>
      </c>
      <c r="ET937" s="27" t="s">
        <v>7</v>
      </c>
      <c r="EV937" s="27" t="s">
        <v>7</v>
      </c>
      <c r="EX937" s="27" t="s">
        <v>7</v>
      </c>
      <c r="EZ937" s="27" t="s">
        <v>7</v>
      </c>
      <c r="FB937" s="27" t="s">
        <v>7</v>
      </c>
      <c r="FD937" s="27" t="s">
        <v>7</v>
      </c>
      <c r="FF937" s="27" t="s">
        <v>7</v>
      </c>
      <c r="FH937" s="27" t="s">
        <v>7</v>
      </c>
      <c r="FJ937" s="27" t="s">
        <v>7</v>
      </c>
      <c r="FL937" s="27" t="s">
        <v>7</v>
      </c>
      <c r="FN937" s="27" t="s">
        <v>7</v>
      </c>
      <c r="FP937" s="27" t="s">
        <v>7</v>
      </c>
      <c r="FR937" s="27" t="s">
        <v>7</v>
      </c>
      <c r="FT937" s="27" t="s">
        <v>7</v>
      </c>
      <c r="FV937" s="27" t="s">
        <v>7</v>
      </c>
      <c r="FX937" s="27" t="s">
        <v>7</v>
      </c>
      <c r="FZ937" s="27" t="s">
        <v>7</v>
      </c>
      <c r="GB937" s="27" t="s">
        <v>7</v>
      </c>
      <c r="GD937" s="27" t="s">
        <v>7</v>
      </c>
      <c r="GF937" s="27" t="s">
        <v>7</v>
      </c>
      <c r="GH937" s="27" t="s">
        <v>7</v>
      </c>
      <c r="GJ937" s="27" t="s">
        <v>7</v>
      </c>
      <c r="GL937" s="27" t="s">
        <v>7</v>
      </c>
      <c r="GN937" s="27" t="s">
        <v>7</v>
      </c>
      <c r="GP937" s="27" t="s">
        <v>7</v>
      </c>
      <c r="GR937" s="27" t="s">
        <v>7</v>
      </c>
      <c r="GT937" s="27" t="s">
        <v>7</v>
      </c>
      <c r="GV937" s="27" t="s">
        <v>7</v>
      </c>
      <c r="GX937" s="27" t="s">
        <v>7</v>
      </c>
      <c r="GZ937" s="27" t="s">
        <v>7</v>
      </c>
      <c r="HB937" s="27" t="s">
        <v>7</v>
      </c>
      <c r="HD937" s="27" t="s">
        <v>7</v>
      </c>
      <c r="HF937" s="27" t="s">
        <v>7</v>
      </c>
      <c r="HH937" s="27" t="s">
        <v>7</v>
      </c>
      <c r="HJ937" s="27" t="s">
        <v>7</v>
      </c>
      <c r="HL937" s="27" t="s">
        <v>7</v>
      </c>
      <c r="HN937" s="27" t="s">
        <v>7</v>
      </c>
      <c r="HP937" s="27" t="s">
        <v>7</v>
      </c>
      <c r="HR937" s="27" t="s">
        <v>7</v>
      </c>
      <c r="HT937" s="27" t="s">
        <v>7</v>
      </c>
      <c r="HV937" s="27" t="s">
        <v>7</v>
      </c>
      <c r="HX937" s="27" t="s">
        <v>7</v>
      </c>
      <c r="HZ937" s="27" t="s">
        <v>7</v>
      </c>
      <c r="IB937" s="27" t="s">
        <v>7</v>
      </c>
      <c r="ID937" s="27" t="s">
        <v>7</v>
      </c>
      <c r="IF937" s="27" t="s">
        <v>7</v>
      </c>
      <c r="IH937" s="27" t="s">
        <v>7</v>
      </c>
      <c r="IJ937" s="27" t="s">
        <v>7</v>
      </c>
      <c r="IL937" s="27" t="s">
        <v>7</v>
      </c>
      <c r="IN937" s="27" t="s">
        <v>7</v>
      </c>
      <c r="IP937" s="27" t="s">
        <v>7</v>
      </c>
      <c r="IR937" s="27" t="s">
        <v>7</v>
      </c>
      <c r="IT937" s="27" t="s">
        <v>7</v>
      </c>
      <c r="IV937" s="27" t="s">
        <v>7</v>
      </c>
      <c r="IX937" s="27" t="s">
        <v>7</v>
      </c>
      <c r="IZ937" s="27" t="s">
        <v>7</v>
      </c>
      <c r="JB937" s="27" t="s">
        <v>7</v>
      </c>
      <c r="JD937" s="27" t="s">
        <v>7</v>
      </c>
      <c r="JF937" s="27" t="s">
        <v>7</v>
      </c>
      <c r="JH937" s="27" t="s">
        <v>7</v>
      </c>
      <c r="JJ937" s="27" t="s">
        <v>7</v>
      </c>
      <c r="JL937" s="27" t="s">
        <v>7</v>
      </c>
      <c r="JN937" s="27" t="s">
        <v>7</v>
      </c>
      <c r="JP937" s="27" t="s">
        <v>7</v>
      </c>
      <c r="JR937" s="27" t="s">
        <v>7</v>
      </c>
      <c r="JT937" s="27" t="s">
        <v>7</v>
      </c>
      <c r="JV937" s="27" t="s">
        <v>7</v>
      </c>
      <c r="JX937" s="27" t="s">
        <v>7</v>
      </c>
      <c r="JZ937" s="27" t="s">
        <v>7</v>
      </c>
      <c r="KB937" s="27" t="s">
        <v>7</v>
      </c>
      <c r="KD937" s="27" t="s">
        <v>7</v>
      </c>
      <c r="KF937" s="27" t="s">
        <v>7</v>
      </c>
      <c r="KH937" s="27" t="s">
        <v>7</v>
      </c>
      <c r="KJ937" s="27" t="s">
        <v>7</v>
      </c>
      <c r="KL937" s="27" t="s">
        <v>7</v>
      </c>
      <c r="KN937" s="27" t="s">
        <v>7</v>
      </c>
      <c r="KP937" s="27" t="s">
        <v>7</v>
      </c>
      <c r="KR937" s="27" t="s">
        <v>7</v>
      </c>
      <c r="KT937" s="27" t="s">
        <v>7</v>
      </c>
      <c r="KV937" s="27" t="s">
        <v>7</v>
      </c>
      <c r="KX937" s="27" t="s">
        <v>7</v>
      </c>
      <c r="KZ937" s="27" t="s">
        <v>7</v>
      </c>
      <c r="LB937" s="27" t="s">
        <v>7</v>
      </c>
      <c r="LD937" s="27" t="s">
        <v>7</v>
      </c>
      <c r="LF937" s="27" t="s">
        <v>7</v>
      </c>
      <c r="LH937" s="27" t="s">
        <v>7</v>
      </c>
      <c r="LJ937" s="27" t="s">
        <v>7</v>
      </c>
      <c r="LL937" s="27" t="s">
        <v>7</v>
      </c>
      <c r="LN937" s="27" t="s">
        <v>7</v>
      </c>
      <c r="LP937" s="27" t="s">
        <v>7</v>
      </c>
      <c r="LR937" s="27" t="s">
        <v>7</v>
      </c>
      <c r="LT937" s="27" t="s">
        <v>7</v>
      </c>
      <c r="LV937" s="27" t="s">
        <v>7</v>
      </c>
      <c r="LX937" s="27" t="s">
        <v>7</v>
      </c>
      <c r="LZ937" s="27" t="s">
        <v>7</v>
      </c>
      <c r="MB937" s="27" t="s">
        <v>7</v>
      </c>
      <c r="MD937" s="27" t="s">
        <v>7</v>
      </c>
      <c r="MF937" s="27" t="s">
        <v>7</v>
      </c>
      <c r="MH937" s="27" t="s">
        <v>7</v>
      </c>
      <c r="MJ937" s="27" t="s">
        <v>7</v>
      </c>
      <c r="ML937" s="27" t="s">
        <v>7</v>
      </c>
      <c r="MN937" s="27" t="s">
        <v>7</v>
      </c>
      <c r="MP937" s="27" t="s">
        <v>7</v>
      </c>
      <c r="MR937" s="27" t="s">
        <v>7</v>
      </c>
      <c r="MT937" s="27" t="s">
        <v>7</v>
      </c>
      <c r="MV937" s="27" t="s">
        <v>7</v>
      </c>
      <c r="MX937" s="27" t="s">
        <v>7</v>
      </c>
      <c r="MZ937" s="27" t="s">
        <v>7</v>
      </c>
      <c r="NB937" s="27" t="s">
        <v>7</v>
      </c>
      <c r="ND937" s="27" t="s">
        <v>7</v>
      </c>
      <c r="NF937" s="27" t="s">
        <v>7</v>
      </c>
      <c r="NH937" s="27" t="s">
        <v>7</v>
      </c>
      <c r="NJ937" s="27" t="s">
        <v>7</v>
      </c>
      <c r="NL937" s="27" t="s">
        <v>7</v>
      </c>
      <c r="NN937" s="27" t="s">
        <v>7</v>
      </c>
      <c r="NP937" s="27" t="s">
        <v>7</v>
      </c>
      <c r="NR937" s="27" t="s">
        <v>7</v>
      </c>
      <c r="NT937" s="27" t="s">
        <v>7</v>
      </c>
      <c r="NV937" s="27" t="s">
        <v>7</v>
      </c>
      <c r="NX937" s="27" t="s">
        <v>7</v>
      </c>
    </row>
  </sheetData>
  <conditionalFormatting sqref="C27">
    <cfRule type="cellIs" dxfId="90" priority="1160" operator="equal">
      <formula>$U$1</formula>
    </cfRule>
    <cfRule type="cellIs" dxfId="89" priority="1161" operator="equal">
      <formula>$S$1</formula>
    </cfRule>
  </conditionalFormatting>
  <conditionalFormatting sqref="D27">
    <cfRule type="cellIs" dxfId="88" priority="1158" operator="equal">
      <formula>$S$1</formula>
    </cfRule>
    <cfRule type="cellIs" dxfId="87" priority="1159" operator="equal">
      <formula>$U$1</formula>
    </cfRule>
  </conditionalFormatting>
  <conditionalFormatting sqref="C164">
    <cfRule type="cellIs" dxfId="86" priority="1156" operator="equal">
      <formula>$U$1</formula>
    </cfRule>
    <cfRule type="cellIs" dxfId="85" priority="1157" operator="equal">
      <formula>$S$1</formula>
    </cfRule>
  </conditionalFormatting>
  <conditionalFormatting sqref="D164">
    <cfRule type="cellIs" dxfId="84" priority="1154" operator="equal">
      <formula>$S$1</formula>
    </cfRule>
    <cfRule type="cellIs" dxfId="83" priority="1155" operator="equal">
      <formula>$U$1</formula>
    </cfRule>
  </conditionalFormatting>
  <conditionalFormatting sqref="C55">
    <cfRule type="cellIs" dxfId="82" priority="1152" operator="equal">
      <formula>$U$1</formula>
    </cfRule>
    <cfRule type="cellIs" dxfId="81" priority="1153" operator="equal">
      <formula>$S$1</formula>
    </cfRule>
  </conditionalFormatting>
  <conditionalFormatting sqref="D55">
    <cfRule type="cellIs" dxfId="80" priority="1150" operator="equal">
      <formula>$S$1</formula>
    </cfRule>
    <cfRule type="cellIs" dxfId="79" priority="1151" operator="equal">
      <formula>$U$1</formula>
    </cfRule>
  </conditionalFormatting>
  <conditionalFormatting sqref="C89">
    <cfRule type="cellIs" dxfId="78" priority="1148" operator="equal">
      <formula>$U$1</formula>
    </cfRule>
    <cfRule type="cellIs" dxfId="77" priority="1149" operator="equal">
      <formula>$S$1</formula>
    </cfRule>
  </conditionalFormatting>
  <conditionalFormatting sqref="D89">
    <cfRule type="cellIs" dxfId="76" priority="1146" operator="equal">
      <formula>$S$1</formula>
    </cfRule>
    <cfRule type="cellIs" dxfId="75" priority="1147" operator="equal">
      <formula>$U$1</formula>
    </cfRule>
  </conditionalFormatting>
  <conditionalFormatting sqref="C136">
    <cfRule type="cellIs" dxfId="74" priority="1144" operator="equal">
      <formula>$U$1</formula>
    </cfRule>
    <cfRule type="cellIs" dxfId="73" priority="1145" operator="equal">
      <formula>$S$1</formula>
    </cfRule>
  </conditionalFormatting>
  <conditionalFormatting sqref="D136">
    <cfRule type="cellIs" dxfId="72" priority="1142" operator="equal">
      <formula>$S$1</formula>
    </cfRule>
    <cfRule type="cellIs" dxfId="71" priority="1143" operator="equal">
      <formula>$U$1</formula>
    </cfRule>
  </conditionalFormatting>
  <conditionalFormatting sqref="C1">
    <cfRule type="cellIs" dxfId="70" priority="114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8" zoomScale="90" zoomScaleNormal="90" workbookViewId="0">
      <pane xSplit="4" topLeftCell="CW1" activePane="topRight" state="frozen"/>
      <selection activeCell="A109" sqref="A109"/>
      <selection pane="topRight" activeCell="GC237" sqref="GC23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$A$236</v>
      </c>
      <c r="D111" s="1" t="str">
        <f>ADDRESS(C121-1,D121,1,1)</f>
        <v>$GC$236</v>
      </c>
      <c r="E111"/>
    </row>
    <row r="112" spans="1:5" x14ac:dyDescent="0.25">
      <c r="A112" s="30">
        <v>515.50191262726139</v>
      </c>
      <c r="C112" s="1" t="str">
        <f>ADDRESS(C121,1,1,1)</f>
        <v>$A$237</v>
      </c>
      <c r="D112" s="1" t="str">
        <f>ADDRESS(C121,D121-1,1,1)</f>
        <v>$GB$237</v>
      </c>
      <c r="E112"/>
    </row>
    <row r="113" spans="1:5" x14ac:dyDescent="0.25">
      <c r="A113" s="30">
        <v>490.95420250215363</v>
      </c>
      <c r="C113" s="1" t="str">
        <f>ADDRESS(C121+1,1,1,1)</f>
        <v>$A$238</v>
      </c>
      <c r="D113" s="1" t="str">
        <f>ADDRESS(C121-1,D121+1,1,1)</f>
        <v>$GD$236</v>
      </c>
    </row>
    <row r="114" spans="1:5" x14ac:dyDescent="0.25">
      <c r="A114" s="30">
        <v>467.57543095443202</v>
      </c>
      <c r="C114" s="1" t="str">
        <f>ADDRESS(C121,D121,1,1)</f>
        <v>$GC$237</v>
      </c>
      <c r="D114" s="1" t="str">
        <f>ADDRESS(C121+1,D121+1,1,1)</f>
        <v>$GD$238</v>
      </c>
    </row>
    <row r="115" spans="1:5" x14ac:dyDescent="0.25">
      <c r="A115" s="30">
        <v>445.30993424231622</v>
      </c>
      <c r="C115" s="1" t="str">
        <f>ADDRESS(C121+1,D121,1,1)</f>
        <v>$GC$238</v>
      </c>
    </row>
    <row r="116" spans="1:5" x14ac:dyDescent="0.25">
      <c r="A116" s="30">
        <v>424.10469927839637</v>
      </c>
      <c r="C116" s="1">
        <f>C117-1</f>
        <v>236</v>
      </c>
    </row>
    <row r="117" spans="1:5" x14ac:dyDescent="0.25">
      <c r="A117" s="30">
        <v>403.9092374079965</v>
      </c>
      <c r="C117" s="1">
        <f>C121</f>
        <v>237</v>
      </c>
      <c r="D117" s="1">
        <f>D121</f>
        <v>185</v>
      </c>
    </row>
    <row r="118" spans="1:5" x14ac:dyDescent="0.25">
      <c r="A118" s="30">
        <v>384.6754641980919</v>
      </c>
      <c r="C118" s="1">
        <f>C117+1</f>
        <v>238</v>
      </c>
      <c r="D118" s="1">
        <f>D117+1</f>
        <v>186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237</v>
      </c>
      <c r="D121" s="19">
        <v>185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R237</v>
      </c>
      <c r="D123" s="1" t="str">
        <f>"C"&amp;D121</f>
        <v>C185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1.1576249999999999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66" x14ac:dyDescent="0.25">
      <c r="A193" s="30">
        <v>9.9059710923258422</v>
      </c>
      <c r="E193"/>
    </row>
    <row r="194" spans="1:166" x14ac:dyDescent="0.25">
      <c r="A194" s="30">
        <v>9.4342581831674686</v>
      </c>
      <c r="E194"/>
    </row>
    <row r="195" spans="1:166" x14ac:dyDescent="0.25">
      <c r="A195" s="30">
        <v>8.9850077934928265</v>
      </c>
      <c r="E195"/>
    </row>
    <row r="196" spans="1:166" x14ac:dyDescent="0.25">
      <c r="A196" s="30">
        <v>8.5571502795169767</v>
      </c>
      <c r="E196"/>
    </row>
    <row r="197" spans="1:166" x14ac:dyDescent="0.25">
      <c r="A197" s="30">
        <v>8.1496669328733109</v>
      </c>
      <c r="E197"/>
    </row>
    <row r="198" spans="1:166" x14ac:dyDescent="0.25">
      <c r="A198" s="30">
        <v>7.7615875551174378</v>
      </c>
      <c r="E198"/>
    </row>
    <row r="199" spans="1:166" x14ac:dyDescent="0.25">
      <c r="A199" s="30">
        <v>7.3919881477308929</v>
      </c>
      <c r="E199"/>
    </row>
    <row r="200" spans="1:166" x14ac:dyDescent="0.25">
      <c r="A200" s="30">
        <v>7.0399887121246598</v>
      </c>
      <c r="E200"/>
    </row>
    <row r="201" spans="1:166" x14ac:dyDescent="0.25">
      <c r="A201" s="30">
        <v>6.7047511544044376</v>
      </c>
      <c r="E201"/>
    </row>
    <row r="202" spans="1:166" x14ac:dyDescent="0.25">
      <c r="A202" s="30">
        <v>6.3854772899089882</v>
      </c>
      <c r="E202"/>
      <c r="FG202" s="27" t="s">
        <v>8</v>
      </c>
    </row>
    <row r="203" spans="1:166" x14ac:dyDescent="0.25">
      <c r="A203" s="30">
        <v>6.0814069427704647</v>
      </c>
      <c r="C203" s="7"/>
      <c r="D203"/>
      <c r="E203"/>
      <c r="FG203" s="27" t="s">
        <v>8</v>
      </c>
      <c r="FH203" s="27" t="s">
        <v>7</v>
      </c>
    </row>
    <row r="204" spans="1:166" x14ac:dyDescent="0.25">
      <c r="A204" s="30">
        <v>5.7918161359718709</v>
      </c>
      <c r="E204"/>
      <c r="FG204" s="27" t="s">
        <v>8</v>
      </c>
      <c r="FH204" s="27" t="s">
        <v>7</v>
      </c>
    </row>
    <row r="205" spans="1:166" x14ac:dyDescent="0.25">
      <c r="A205" s="30">
        <v>5.5160153675922574</v>
      </c>
      <c r="E205"/>
      <c r="FG205" s="27" t="s">
        <v>8</v>
      </c>
      <c r="FH205" s="27" t="s">
        <v>7</v>
      </c>
    </row>
    <row r="206" spans="1:166" x14ac:dyDescent="0.25">
      <c r="A206" s="30">
        <v>5.2533479691354827</v>
      </c>
      <c r="C206"/>
      <c r="D206"/>
      <c r="E206"/>
      <c r="FG206" s="27" t="s">
        <v>8</v>
      </c>
      <c r="FH206" s="27" t="s">
        <v>7</v>
      </c>
      <c r="FI206" s="27" t="s">
        <v>8</v>
      </c>
    </row>
    <row r="207" spans="1:166" x14ac:dyDescent="0.25">
      <c r="A207" s="30">
        <v>5.0031885420337927</v>
      </c>
      <c r="E207"/>
      <c r="FG207" s="27" t="s">
        <v>8</v>
      </c>
      <c r="FH207" s="27" t="s">
        <v>7</v>
      </c>
      <c r="FI207" s="27" t="s">
        <v>8</v>
      </c>
      <c r="FJ207" s="27" t="s">
        <v>7</v>
      </c>
    </row>
    <row r="208" spans="1:166" x14ac:dyDescent="0.25">
      <c r="A208" s="30">
        <v>4.7649414686036122</v>
      </c>
      <c r="E208"/>
      <c r="FG208" s="27" t="s">
        <v>8</v>
      </c>
      <c r="FH208" s="27" t="s">
        <v>7</v>
      </c>
      <c r="FI208" s="27" t="s">
        <v>8</v>
      </c>
      <c r="FJ208" s="27" t="s">
        <v>7</v>
      </c>
    </row>
    <row r="209" spans="1:178" x14ac:dyDescent="0.25">
      <c r="A209" s="30">
        <v>4.5380394939082018</v>
      </c>
      <c r="E209"/>
      <c r="FG209" s="27" t="s">
        <v>8</v>
      </c>
      <c r="FH209" s="27" t="s">
        <v>7</v>
      </c>
      <c r="FI209" s="27" t="s">
        <v>8</v>
      </c>
      <c r="FJ209" s="27" t="s">
        <v>7</v>
      </c>
    </row>
    <row r="210" spans="1:178" x14ac:dyDescent="0.25">
      <c r="A210" s="30">
        <v>4.3219423751506678</v>
      </c>
      <c r="C210"/>
      <c r="E210"/>
      <c r="FG210" s="27" t="s">
        <v>8</v>
      </c>
      <c r="FH210" s="27" t="s">
        <v>7</v>
      </c>
      <c r="FI210" s="27" t="s">
        <v>8</v>
      </c>
      <c r="FJ210" s="27" t="s">
        <v>7</v>
      </c>
      <c r="FK210" s="27" t="s">
        <v>8</v>
      </c>
    </row>
    <row r="211" spans="1:178" x14ac:dyDescent="0.25">
      <c r="A211" s="30">
        <v>4.1161355953815884</v>
      </c>
      <c r="E211"/>
      <c r="FG211" s="27" t="s">
        <v>8</v>
      </c>
      <c r="FH211" s="27" t="s">
        <v>7</v>
      </c>
      <c r="FI211" s="27" t="s">
        <v>8</v>
      </c>
      <c r="FJ211" s="27" t="s">
        <v>7</v>
      </c>
      <c r="FK211" s="27" t="s">
        <v>8</v>
      </c>
      <c r="FL211" s="27" t="s">
        <v>7</v>
      </c>
    </row>
    <row r="212" spans="1:178" x14ac:dyDescent="0.25">
      <c r="A212" s="30">
        <v>3.9201291384586554</v>
      </c>
      <c r="E212"/>
      <c r="FG212" s="27" t="s">
        <v>8</v>
      </c>
      <c r="FH212" s="27" t="s">
        <v>7</v>
      </c>
      <c r="FI212" s="27" t="s">
        <v>8</v>
      </c>
      <c r="FJ212" s="27" t="s">
        <v>7</v>
      </c>
      <c r="FK212" s="27" t="s">
        <v>8</v>
      </c>
      <c r="FL212" s="27" t="s">
        <v>7</v>
      </c>
    </row>
    <row r="213" spans="1:178" x14ac:dyDescent="0.25">
      <c r="A213" s="30">
        <v>3.7334563223415764</v>
      </c>
      <c r="E213"/>
      <c r="FG213" s="27" t="s">
        <v>8</v>
      </c>
      <c r="FH213" s="27" t="s">
        <v>7</v>
      </c>
      <c r="FI213" s="27" t="s">
        <v>8</v>
      </c>
      <c r="FJ213" s="27" t="s">
        <v>7</v>
      </c>
      <c r="FK213" s="27" t="s">
        <v>8</v>
      </c>
      <c r="FL213" s="27" t="s">
        <v>7</v>
      </c>
    </row>
    <row r="214" spans="1:178" x14ac:dyDescent="0.25">
      <c r="A214" s="30">
        <v>3.5556726879443583</v>
      </c>
      <c r="E214"/>
      <c r="FG214" s="27" t="s">
        <v>8</v>
      </c>
      <c r="FH214" s="27" t="s">
        <v>7</v>
      </c>
      <c r="FI214" s="27" t="s">
        <v>8</v>
      </c>
      <c r="FJ214" s="27" t="s">
        <v>7</v>
      </c>
      <c r="FK214" s="27" t="s">
        <v>8</v>
      </c>
      <c r="FL214" s="27" t="s">
        <v>7</v>
      </c>
    </row>
    <row r="215" spans="1:178" x14ac:dyDescent="0.25">
      <c r="A215" s="30">
        <v>3.3863549408993889</v>
      </c>
      <c r="E215"/>
      <c r="FG215" s="27" t="s">
        <v>8</v>
      </c>
      <c r="FH215" s="27" t="s">
        <v>7</v>
      </c>
      <c r="FI215" s="27" t="s">
        <v>8</v>
      </c>
      <c r="FJ215" s="27" t="s">
        <v>7</v>
      </c>
      <c r="FK215" s="27" t="s">
        <v>8</v>
      </c>
      <c r="FL215" s="27" t="s">
        <v>7</v>
      </c>
    </row>
    <row r="216" spans="1:178" x14ac:dyDescent="0.25">
      <c r="A216" s="30">
        <v>3.2250999437137038</v>
      </c>
      <c r="E216"/>
      <c r="FG216" s="27" t="s">
        <v>8</v>
      </c>
      <c r="FH216" s="27" t="s">
        <v>7</v>
      </c>
      <c r="FI216" s="27" t="s">
        <v>8</v>
      </c>
      <c r="FJ216" s="27" t="s">
        <v>7</v>
      </c>
      <c r="FL216" s="27" t="s">
        <v>7</v>
      </c>
      <c r="FO216" s="27" t="s">
        <v>8</v>
      </c>
    </row>
    <row r="217" spans="1:178" x14ac:dyDescent="0.25">
      <c r="A217" s="30">
        <v>3.0715237559178128</v>
      </c>
      <c r="E217"/>
      <c r="FG217" s="27" t="s">
        <v>8</v>
      </c>
      <c r="FH217" s="27" t="s">
        <v>7</v>
      </c>
      <c r="FI217" s="27" t="s">
        <v>8</v>
      </c>
      <c r="FL217" s="27" t="s">
        <v>7</v>
      </c>
      <c r="FO217" s="27" t="s">
        <v>8</v>
      </c>
      <c r="FP217" s="27" t="s">
        <v>7</v>
      </c>
    </row>
    <row r="218" spans="1:178" x14ac:dyDescent="0.25">
      <c r="A218" s="30">
        <v>2.9252607199217264</v>
      </c>
      <c r="E218"/>
      <c r="FG218" s="27" t="s">
        <v>8</v>
      </c>
      <c r="FH218" s="27" t="s">
        <v>7</v>
      </c>
      <c r="FI218" s="27" t="s">
        <v>8</v>
      </c>
      <c r="FL218" s="27" t="s">
        <v>7</v>
      </c>
      <c r="FO218" s="27" t="s">
        <v>8</v>
      </c>
      <c r="FP218" s="27" t="s">
        <v>7</v>
      </c>
    </row>
    <row r="219" spans="1:178" x14ac:dyDescent="0.25">
      <c r="A219" s="30">
        <v>2.7859625904016441</v>
      </c>
      <c r="E219"/>
      <c r="FG219" s="27" t="s">
        <v>8</v>
      </c>
      <c r="FH219" s="27" t="s">
        <v>7</v>
      </c>
      <c r="FI219" s="27" t="s">
        <v>8</v>
      </c>
      <c r="FL219" s="27" t="s">
        <v>7</v>
      </c>
      <c r="FO219" s="27" t="s">
        <v>8</v>
      </c>
      <c r="FP219" s="27" t="s">
        <v>7</v>
      </c>
    </row>
    <row r="220" spans="1:178" x14ac:dyDescent="0.25">
      <c r="A220" s="30">
        <v>2.6532977051444226</v>
      </c>
      <c r="E220"/>
      <c r="FG220" s="27" t="s">
        <v>8</v>
      </c>
      <c r="FH220" s="27" t="s">
        <v>7</v>
      </c>
      <c r="FL220" s="27" t="s">
        <v>7</v>
      </c>
      <c r="FO220" s="27" t="s">
        <v>8</v>
      </c>
      <c r="FP220" s="27" t="s">
        <v>7</v>
      </c>
      <c r="FQ220" s="27" t="s">
        <v>8</v>
      </c>
      <c r="FS220" s="27" t="s">
        <v>8</v>
      </c>
      <c r="FU220" s="27" t="s">
        <v>8</v>
      </c>
    </row>
    <row r="221" spans="1:178" x14ac:dyDescent="0.25">
      <c r="A221" s="30">
        <v>2.5269501953756404</v>
      </c>
      <c r="E221"/>
      <c r="FG221" s="27" t="s">
        <v>8</v>
      </c>
      <c r="FL221" s="27" t="s">
        <v>7</v>
      </c>
      <c r="FM221" s="27" t="s">
        <v>8</v>
      </c>
      <c r="FO221" s="27" t="s">
        <v>8</v>
      </c>
      <c r="FP221" s="27" t="s">
        <v>7</v>
      </c>
      <c r="FQ221" s="27" t="s">
        <v>8</v>
      </c>
      <c r="FR221" s="27" t="s">
        <v>7</v>
      </c>
      <c r="FS221" s="27" t="s">
        <v>8</v>
      </c>
      <c r="FT221" s="27" t="s">
        <v>7</v>
      </c>
      <c r="FU221" s="27" t="s">
        <v>8</v>
      </c>
      <c r="FV221" s="27" t="s">
        <v>7</v>
      </c>
    </row>
    <row r="222" spans="1:178" x14ac:dyDescent="0.25">
      <c r="A222" s="30">
        <v>2.4066192336910861</v>
      </c>
      <c r="E222"/>
      <c r="FG222" s="27" t="s">
        <v>8</v>
      </c>
      <c r="FL222" s="27" t="s">
        <v>7</v>
      </c>
      <c r="FM222" s="27" t="s">
        <v>8</v>
      </c>
      <c r="FN222" s="27" t="s">
        <v>7</v>
      </c>
      <c r="FO222" s="27" t="s">
        <v>8</v>
      </c>
      <c r="FP222" s="27" t="s">
        <v>7</v>
      </c>
      <c r="FQ222" s="27" t="s">
        <v>8</v>
      </c>
      <c r="FR222" s="27" t="s">
        <v>7</v>
      </c>
      <c r="FS222" s="27" t="s">
        <v>8</v>
      </c>
      <c r="FT222" s="27" t="s">
        <v>7</v>
      </c>
      <c r="FU222" s="27" t="s">
        <v>8</v>
      </c>
      <c r="FV222" s="27" t="s">
        <v>7</v>
      </c>
    </row>
    <row r="223" spans="1:178" x14ac:dyDescent="0.25">
      <c r="A223" s="30">
        <v>2.2920183178010345</v>
      </c>
      <c r="E223"/>
      <c r="FG223" s="27" t="s">
        <v>8</v>
      </c>
      <c r="FL223" s="27" t="s">
        <v>7</v>
      </c>
      <c r="FM223" s="27" t="s">
        <v>8</v>
      </c>
      <c r="FN223" s="27" t="s">
        <v>7</v>
      </c>
      <c r="FO223" s="27" t="s">
        <v>8</v>
      </c>
      <c r="FP223" s="27" t="s">
        <v>7</v>
      </c>
      <c r="FQ223" s="27" t="s">
        <v>8</v>
      </c>
      <c r="FR223" s="27" t="s">
        <v>7</v>
      </c>
      <c r="FS223" s="27" t="s">
        <v>8</v>
      </c>
      <c r="FT223" s="27" t="s">
        <v>7</v>
      </c>
      <c r="FV223" s="27" t="s">
        <v>7</v>
      </c>
    </row>
    <row r="224" spans="1:178" x14ac:dyDescent="0.25">
      <c r="A224" s="30">
        <v>2.1828745883819374</v>
      </c>
      <c r="E224"/>
      <c r="FG224" s="27" t="s">
        <v>8</v>
      </c>
      <c r="FL224" s="27" t="s">
        <v>7</v>
      </c>
      <c r="FM224" s="27" t="s">
        <v>8</v>
      </c>
      <c r="FN224" s="27" t="s">
        <v>7</v>
      </c>
      <c r="FO224" s="27" t="s">
        <v>8</v>
      </c>
      <c r="FP224" s="27" t="s">
        <v>7</v>
      </c>
      <c r="FQ224" s="27" t="s">
        <v>8</v>
      </c>
      <c r="FR224" s="27" t="s">
        <v>7</v>
      </c>
      <c r="FV224" s="27" t="s">
        <v>7</v>
      </c>
    </row>
    <row r="225" spans="1:185" x14ac:dyDescent="0.25">
      <c r="A225" s="30">
        <v>2.0789281794113688</v>
      </c>
      <c r="E225"/>
      <c r="FG225" s="27" t="s">
        <v>8</v>
      </c>
      <c r="FL225" s="27" t="s">
        <v>7</v>
      </c>
      <c r="FM225" s="27" t="s">
        <v>8</v>
      </c>
      <c r="FN225" s="27" t="s">
        <v>7</v>
      </c>
      <c r="FO225" s="27" t="s">
        <v>8</v>
      </c>
      <c r="FP225" s="27" t="s">
        <v>7</v>
      </c>
      <c r="FQ225" s="27" t="s">
        <v>8</v>
      </c>
      <c r="FV225" s="27" t="s">
        <v>7</v>
      </c>
    </row>
    <row r="226" spans="1:185" x14ac:dyDescent="0.25">
      <c r="A226" s="30">
        <v>1.9799315994393987</v>
      </c>
      <c r="E226"/>
      <c r="FG226" s="27" t="s">
        <v>8</v>
      </c>
      <c r="FL226" s="27" t="s">
        <v>7</v>
      </c>
      <c r="FN226" s="27" t="s">
        <v>7</v>
      </c>
      <c r="FO226" s="27" t="s">
        <v>8</v>
      </c>
      <c r="FP226" s="27" t="s">
        <v>7</v>
      </c>
      <c r="FQ226" s="27" t="s">
        <v>8</v>
      </c>
      <c r="FV226" s="27" t="s">
        <v>7</v>
      </c>
    </row>
    <row r="227" spans="1:185" x14ac:dyDescent="0.25">
      <c r="A227" s="30">
        <v>1.8856491423232367</v>
      </c>
      <c r="E227"/>
      <c r="FG227" s="27" t="s">
        <v>8</v>
      </c>
      <c r="FN227" s="27" t="s">
        <v>7</v>
      </c>
      <c r="FO227" s="27" t="s">
        <v>8</v>
      </c>
      <c r="FP227" s="27" t="s">
        <v>7</v>
      </c>
      <c r="FV227" s="27" t="s">
        <v>7</v>
      </c>
      <c r="FW227" s="27" t="s">
        <v>8</v>
      </c>
      <c r="FY227" s="27" t="s">
        <v>8</v>
      </c>
    </row>
    <row r="228" spans="1:185" x14ac:dyDescent="0.25">
      <c r="A228" s="30">
        <v>1.7958563260221301</v>
      </c>
      <c r="C228" s="7"/>
      <c r="D228"/>
      <c r="E228"/>
      <c r="CC228" s="27" t="s">
        <v>8</v>
      </c>
      <c r="CE228" s="27" t="s">
        <v>8</v>
      </c>
      <c r="CM228" s="27" t="s">
        <v>8</v>
      </c>
      <c r="FG228" s="27" t="s">
        <v>8</v>
      </c>
      <c r="FN228" s="27" t="s">
        <v>7</v>
      </c>
      <c r="FV228" s="27" t="s">
        <v>7</v>
      </c>
      <c r="FW228" s="27" t="s">
        <v>8</v>
      </c>
      <c r="FX228" s="27" t="s">
        <v>7</v>
      </c>
      <c r="FY228" s="27" t="s">
        <v>8</v>
      </c>
      <c r="FZ228" s="27" t="s">
        <v>7</v>
      </c>
    </row>
    <row r="229" spans="1:185" x14ac:dyDescent="0.25">
      <c r="A229" s="30">
        <v>1.7103393581163142</v>
      </c>
      <c r="E229"/>
      <c r="CC229" s="27" t="s">
        <v>8</v>
      </c>
      <c r="CD229" s="27" t="s">
        <v>7</v>
      </c>
      <c r="CE229" s="27" t="s">
        <v>8</v>
      </c>
      <c r="CF229" s="27" t="s">
        <v>7</v>
      </c>
      <c r="CM229" s="27" t="s">
        <v>8</v>
      </c>
      <c r="CN229" s="27" t="s">
        <v>7</v>
      </c>
      <c r="FG229" s="27" t="s">
        <v>8</v>
      </c>
      <c r="FV229" s="27" t="s">
        <v>7</v>
      </c>
      <c r="FW229" s="27" t="s">
        <v>8</v>
      </c>
      <c r="FX229" s="27" t="s">
        <v>7</v>
      </c>
      <c r="FY229" s="27" t="s">
        <v>8</v>
      </c>
      <c r="FZ229" s="27" t="s">
        <v>7</v>
      </c>
    </row>
    <row r="230" spans="1:185" x14ac:dyDescent="0.25">
      <c r="A230" s="30">
        <v>1.628894626777442</v>
      </c>
      <c r="E230"/>
      <c r="CC230" s="27" t="s">
        <v>8</v>
      </c>
      <c r="CD230" s="27" t="s">
        <v>7</v>
      </c>
      <c r="CE230" s="27" t="s">
        <v>8</v>
      </c>
      <c r="CF230" s="27" t="s">
        <v>7</v>
      </c>
      <c r="CI230" s="27" t="s">
        <v>8</v>
      </c>
      <c r="CK230" s="27" t="s">
        <v>8</v>
      </c>
      <c r="CM230" s="27" t="s">
        <v>8</v>
      </c>
      <c r="CN230" s="27" t="s">
        <v>7</v>
      </c>
      <c r="CO230" s="27" t="s">
        <v>8</v>
      </c>
      <c r="FG230" s="27" t="s">
        <v>8</v>
      </c>
      <c r="FV230" s="27" t="s">
        <v>7</v>
      </c>
      <c r="FX230" s="27" t="s">
        <v>7</v>
      </c>
      <c r="FY230" s="27" t="s">
        <v>8</v>
      </c>
      <c r="FZ230" s="27" t="s">
        <v>7</v>
      </c>
    </row>
    <row r="231" spans="1:185" x14ac:dyDescent="0.25">
      <c r="A231" s="30">
        <v>1.5513282159785162</v>
      </c>
      <c r="C231"/>
      <c r="D231"/>
      <c r="E231"/>
      <c r="CC231" s="27" t="s">
        <v>8</v>
      </c>
      <c r="CD231" s="27" t="s">
        <v>7</v>
      </c>
      <c r="CE231" s="27" t="s">
        <v>8</v>
      </c>
      <c r="CF231" s="27" t="s">
        <v>7</v>
      </c>
      <c r="CG231" s="27" t="s">
        <v>8</v>
      </c>
      <c r="CI231" s="27" t="s">
        <v>8</v>
      </c>
      <c r="CJ231" s="27" t="s">
        <v>7</v>
      </c>
      <c r="CK231" s="27" t="s">
        <v>8</v>
      </c>
      <c r="CL231" s="27" t="s">
        <v>7</v>
      </c>
      <c r="CM231" s="27" t="s">
        <v>8</v>
      </c>
      <c r="CN231" s="27" t="s">
        <v>7</v>
      </c>
      <c r="CO231" s="27" t="s">
        <v>8</v>
      </c>
      <c r="CP231" s="27" t="s">
        <v>7</v>
      </c>
      <c r="FG231" s="27" t="s">
        <v>8</v>
      </c>
      <c r="FX231" s="27" t="s">
        <v>7</v>
      </c>
      <c r="FY231" s="27" t="s">
        <v>8</v>
      </c>
      <c r="FZ231" s="27" t="s">
        <v>7</v>
      </c>
    </row>
    <row r="232" spans="1:185" x14ac:dyDescent="0.25">
      <c r="A232" s="30">
        <v>1.477455443789063</v>
      </c>
      <c r="E232"/>
      <c r="CC232" s="27" t="s">
        <v>8</v>
      </c>
      <c r="CD232" s="27" t="s">
        <v>7</v>
      </c>
      <c r="CE232" s="27" t="s">
        <v>8</v>
      </c>
      <c r="CF232" s="27" t="s">
        <v>7</v>
      </c>
      <c r="CG232" s="27" t="s">
        <v>8</v>
      </c>
      <c r="CH232" s="27" t="s">
        <v>7</v>
      </c>
      <c r="CI232" s="27" t="s">
        <v>8</v>
      </c>
      <c r="CJ232" s="27" t="s">
        <v>7</v>
      </c>
      <c r="CK232" s="27" t="s">
        <v>8</v>
      </c>
      <c r="CL232" s="27" t="s">
        <v>7</v>
      </c>
      <c r="CM232" s="27" t="s">
        <v>8</v>
      </c>
      <c r="CN232" s="27" t="s">
        <v>7</v>
      </c>
      <c r="CO232" s="27" t="s">
        <v>8</v>
      </c>
      <c r="CP232" s="27" t="s">
        <v>7</v>
      </c>
      <c r="CQ232" s="27" t="s">
        <v>8</v>
      </c>
      <c r="FG232" s="27" t="s">
        <v>8</v>
      </c>
      <c r="FX232" s="27" t="s">
        <v>7</v>
      </c>
      <c r="FZ232" s="27" t="s">
        <v>7</v>
      </c>
    </row>
    <row r="233" spans="1:185" x14ac:dyDescent="0.25">
      <c r="A233" s="30">
        <v>1.4071004226562505</v>
      </c>
      <c r="E233"/>
      <c r="BQ233" s="27" t="s">
        <v>8</v>
      </c>
      <c r="CC233" s="27" t="s">
        <v>8</v>
      </c>
      <c r="CD233" s="27" t="s">
        <v>7</v>
      </c>
      <c r="CF233" s="27" t="s">
        <v>7</v>
      </c>
      <c r="CG233" s="27" t="s">
        <v>8</v>
      </c>
      <c r="CH233" s="27" t="s">
        <v>7</v>
      </c>
      <c r="CI233" s="27" t="s">
        <v>8</v>
      </c>
      <c r="CJ233" s="27" t="s">
        <v>7</v>
      </c>
      <c r="CL233" s="27" t="s">
        <v>7</v>
      </c>
      <c r="CM233" s="27" t="s">
        <v>8</v>
      </c>
      <c r="CN233" s="27" t="s">
        <v>7</v>
      </c>
      <c r="CO233" s="27" t="s">
        <v>8</v>
      </c>
      <c r="CP233" s="27" t="s">
        <v>7</v>
      </c>
      <c r="CQ233" s="27" t="s">
        <v>8</v>
      </c>
      <c r="CR233" s="27" t="s">
        <v>7</v>
      </c>
      <c r="CY233" s="27" t="s">
        <v>8</v>
      </c>
      <c r="DA233" s="31" t="s">
        <v>8</v>
      </c>
      <c r="FG233" s="27" t="s">
        <v>8</v>
      </c>
      <c r="FZ233" s="27" t="s">
        <v>7</v>
      </c>
    </row>
    <row r="234" spans="1:185" x14ac:dyDescent="0.25">
      <c r="A234" s="30">
        <v>1.3400956406250004</v>
      </c>
      <c r="E234"/>
      <c r="BQ234" s="27" t="s">
        <v>8</v>
      </c>
      <c r="BR234" s="27" t="s">
        <v>7</v>
      </c>
      <c r="CA234" s="27" t="s">
        <v>8</v>
      </c>
      <c r="CC234" s="27" t="s">
        <v>8</v>
      </c>
      <c r="CF234" s="27" t="s">
        <v>7</v>
      </c>
      <c r="CG234" s="27" t="s">
        <v>8</v>
      </c>
      <c r="CH234" s="27" t="s">
        <v>7</v>
      </c>
      <c r="CL234" s="27" t="s">
        <v>7</v>
      </c>
      <c r="CM234" s="27" t="s">
        <v>8</v>
      </c>
      <c r="CN234" s="27" t="s">
        <v>7</v>
      </c>
      <c r="CP234" s="27" t="s">
        <v>7</v>
      </c>
      <c r="CQ234" s="27" t="s">
        <v>8</v>
      </c>
      <c r="CR234" s="27" t="s">
        <v>7</v>
      </c>
      <c r="CY234" s="27" t="s">
        <v>8</v>
      </c>
      <c r="CZ234" s="27" t="s">
        <v>7</v>
      </c>
      <c r="DA234" s="27" t="s">
        <v>8</v>
      </c>
      <c r="DB234" s="31" t="s">
        <v>7</v>
      </c>
      <c r="FG234" s="27" t="s">
        <v>8</v>
      </c>
      <c r="FZ234" s="27" t="s">
        <v>7</v>
      </c>
    </row>
    <row r="235" spans="1:185" x14ac:dyDescent="0.25">
      <c r="A235" s="30">
        <v>1.2762815625000004</v>
      </c>
      <c r="C235"/>
      <c r="E235"/>
      <c r="BQ235" s="27" t="s">
        <v>8</v>
      </c>
      <c r="BR235" s="27" t="s">
        <v>7</v>
      </c>
      <c r="CA235" s="27" t="s">
        <v>8</v>
      </c>
      <c r="CB235" s="27" t="s">
        <v>7</v>
      </c>
      <c r="CC235" s="27" t="s">
        <v>8</v>
      </c>
      <c r="CF235" s="27" t="s">
        <v>7</v>
      </c>
      <c r="CG235" s="27" t="s">
        <v>8</v>
      </c>
      <c r="CL235" s="27" t="s">
        <v>7</v>
      </c>
      <c r="CM235" s="27" t="s">
        <v>8</v>
      </c>
      <c r="CP235" s="27" t="s">
        <v>7</v>
      </c>
      <c r="CQ235" s="27" t="s">
        <v>8</v>
      </c>
      <c r="CR235" s="27" t="s">
        <v>7</v>
      </c>
      <c r="CW235" s="27" t="s">
        <v>8</v>
      </c>
      <c r="CY235" s="27" t="s">
        <v>8</v>
      </c>
      <c r="CZ235" s="27" t="s">
        <v>7</v>
      </c>
      <c r="DA235" s="27" t="s">
        <v>8</v>
      </c>
      <c r="DB235" s="27" t="s">
        <v>7</v>
      </c>
      <c r="DC235" s="31"/>
      <c r="FG235" s="27" t="s">
        <v>8</v>
      </c>
      <c r="FZ235" s="27" t="s">
        <v>7</v>
      </c>
      <c r="GA235" s="27" t="s">
        <v>8</v>
      </c>
    </row>
    <row r="236" spans="1:185" x14ac:dyDescent="0.25">
      <c r="A236" s="30">
        <v>1.2155062500000002</v>
      </c>
      <c r="E236"/>
      <c r="BQ236" s="27" t="s">
        <v>8</v>
      </c>
      <c r="BR236" s="27" t="s">
        <v>7</v>
      </c>
      <c r="CA236" s="27" t="s">
        <v>8</v>
      </c>
      <c r="CB236" s="27" t="s">
        <v>7</v>
      </c>
      <c r="CC236" s="27" t="s">
        <v>8</v>
      </c>
      <c r="CF236" s="27" t="s">
        <v>7</v>
      </c>
      <c r="CL236" s="27" t="s">
        <v>7</v>
      </c>
      <c r="CM236" s="27" t="s">
        <v>8</v>
      </c>
      <c r="CP236" s="27" t="s">
        <v>7</v>
      </c>
      <c r="CR236" s="27" t="s">
        <v>7</v>
      </c>
      <c r="CW236" s="27" t="s">
        <v>8</v>
      </c>
      <c r="CX236" s="27" t="s">
        <v>7</v>
      </c>
      <c r="CY236" s="27" t="s">
        <v>8</v>
      </c>
      <c r="CZ236" s="27" t="s">
        <v>7</v>
      </c>
      <c r="DA236" s="27" t="s">
        <v>8</v>
      </c>
      <c r="DB236" s="27" t="s">
        <v>7</v>
      </c>
      <c r="DD236" s="31"/>
      <c r="FG236" s="27" t="s">
        <v>8</v>
      </c>
      <c r="FZ236" s="27" t="s">
        <v>7</v>
      </c>
      <c r="GA236" s="27" t="s">
        <v>8</v>
      </c>
      <c r="GB236" s="27" t="s">
        <v>7</v>
      </c>
    </row>
    <row r="237" spans="1:18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C237" s="27" t="s">
        <v>8</v>
      </c>
      <c r="BQ237" s="27" t="s">
        <v>8</v>
      </c>
      <c r="BR237" s="27" t="s">
        <v>7</v>
      </c>
      <c r="CA237" s="27" t="s">
        <v>8</v>
      </c>
      <c r="CB237" s="27" t="s">
        <v>7</v>
      </c>
      <c r="CC237" s="27" t="s">
        <v>8</v>
      </c>
      <c r="CL237" s="27" t="s">
        <v>7</v>
      </c>
      <c r="CM237" s="27" t="s">
        <v>8</v>
      </c>
      <c r="CR237" s="27" t="s">
        <v>7</v>
      </c>
      <c r="CS237" s="27" t="s">
        <v>8</v>
      </c>
      <c r="CW237" s="27" t="s">
        <v>8</v>
      </c>
      <c r="CX237" s="27" t="s">
        <v>7</v>
      </c>
      <c r="CY237" s="27" t="s">
        <v>8</v>
      </c>
      <c r="CZ237" s="27" t="s">
        <v>7</v>
      </c>
      <c r="DB237" s="27" t="s">
        <v>7</v>
      </c>
      <c r="DE237" s="31"/>
      <c r="FG237" s="27" t="s">
        <v>8</v>
      </c>
      <c r="FZ237" s="27" t="s">
        <v>7</v>
      </c>
      <c r="GA237" s="27" t="s">
        <v>8</v>
      </c>
      <c r="GB237" s="27" t="s">
        <v>7</v>
      </c>
      <c r="GC237" s="27" t="s">
        <v>8</v>
      </c>
    </row>
    <row r="238" spans="1:185" x14ac:dyDescent="0.25">
      <c r="A238" s="30">
        <v>1.1025</v>
      </c>
      <c r="E238"/>
      <c r="BC238" s="27" t="s">
        <v>8</v>
      </c>
      <c r="BD238" s="27" t="s">
        <v>7</v>
      </c>
      <c r="BQ238" s="27" t="s">
        <v>8</v>
      </c>
      <c r="BR238" s="27" t="s">
        <v>7</v>
      </c>
      <c r="BS238" s="27" t="s">
        <v>8</v>
      </c>
      <c r="BY238" s="27" t="s">
        <v>8</v>
      </c>
      <c r="CA238" s="27" t="s">
        <v>8</v>
      </c>
      <c r="CB238" s="27" t="s">
        <v>7</v>
      </c>
      <c r="CC238" s="27" t="s">
        <v>8</v>
      </c>
      <c r="CL238" s="27" t="s">
        <v>7</v>
      </c>
      <c r="CR238" s="27" t="s">
        <v>7</v>
      </c>
      <c r="CS238" s="27" t="s">
        <v>8</v>
      </c>
      <c r="CT238" s="27" t="s">
        <v>7</v>
      </c>
      <c r="CW238" s="27" t="s">
        <v>8</v>
      </c>
      <c r="CX238" s="27" t="s">
        <v>7</v>
      </c>
      <c r="CY238" s="27" t="s">
        <v>8</v>
      </c>
      <c r="DB238" s="27" t="s">
        <v>7</v>
      </c>
      <c r="DC238" s="27" t="s">
        <v>8</v>
      </c>
      <c r="DF238" s="31"/>
      <c r="FC238" s="27" t="s">
        <v>8</v>
      </c>
      <c r="FG238" s="27" t="s">
        <v>8</v>
      </c>
      <c r="FZ238" s="27" t="s">
        <v>7</v>
      </c>
      <c r="GA238" s="27" t="s">
        <v>8</v>
      </c>
      <c r="GB238" s="27" t="s">
        <v>7</v>
      </c>
      <c r="GC238" s="27" t="s">
        <v>8</v>
      </c>
    </row>
    <row r="239" spans="1:185" x14ac:dyDescent="0.25">
      <c r="A239" s="30">
        <v>1.05</v>
      </c>
      <c r="E239"/>
      <c r="BC239" s="27" t="s">
        <v>8</v>
      </c>
      <c r="BD239" s="27" t="s">
        <v>7</v>
      </c>
      <c r="BQ239" s="27" t="s">
        <v>8</v>
      </c>
      <c r="BR239" s="27" t="s">
        <v>7</v>
      </c>
      <c r="BS239" s="27" t="s">
        <v>8</v>
      </c>
      <c r="BT239" s="27" t="s">
        <v>7</v>
      </c>
      <c r="BY239" s="27" t="s">
        <v>8</v>
      </c>
      <c r="BZ239" s="27" t="s">
        <v>7</v>
      </c>
      <c r="CA239" s="27" t="s">
        <v>8</v>
      </c>
      <c r="CB239" s="27" t="s">
        <v>7</v>
      </c>
      <c r="CR239" s="27" t="s">
        <v>7</v>
      </c>
      <c r="CS239" s="27" t="s">
        <v>8</v>
      </c>
      <c r="CT239" s="27" t="s">
        <v>7</v>
      </c>
      <c r="CW239" s="27" t="s">
        <v>8</v>
      </c>
      <c r="CX239" s="27" t="s">
        <v>7</v>
      </c>
      <c r="DB239" s="27" t="s">
        <v>7</v>
      </c>
      <c r="DC239" s="27" t="s">
        <v>8</v>
      </c>
      <c r="DD239" s="27" t="s">
        <v>7</v>
      </c>
      <c r="DG239" s="31"/>
      <c r="FC239" s="27" t="s">
        <v>8</v>
      </c>
      <c r="FD239" s="27" t="s">
        <v>7</v>
      </c>
      <c r="FG239" s="27" t="s">
        <v>8</v>
      </c>
      <c r="FZ239" s="27" t="s">
        <v>7</v>
      </c>
      <c r="GB239" s="27" t="s">
        <v>7</v>
      </c>
      <c r="GC239" s="27" t="s">
        <v>8</v>
      </c>
    </row>
    <row r="240" spans="1:185" x14ac:dyDescent="0.25">
      <c r="A240" s="30">
        <v>1</v>
      </c>
      <c r="E240" s="29" t="s">
        <v>8</v>
      </c>
      <c r="BC240" s="27" t="s">
        <v>8</v>
      </c>
      <c r="BD240" s="27" t="s">
        <v>7</v>
      </c>
      <c r="BQ240" s="27" t="s">
        <v>8</v>
      </c>
      <c r="BR240" s="27" t="s">
        <v>7</v>
      </c>
      <c r="BS240" s="27" t="s">
        <v>8</v>
      </c>
      <c r="BT240" s="27" t="s">
        <v>7</v>
      </c>
      <c r="BY240" s="27" t="s">
        <v>8</v>
      </c>
      <c r="BZ240" s="27" t="s">
        <v>7</v>
      </c>
      <c r="CA240" s="27" t="s">
        <v>8</v>
      </c>
      <c r="CR240" s="27" t="s">
        <v>7</v>
      </c>
      <c r="CT240" s="27" t="s">
        <v>7</v>
      </c>
      <c r="CW240" s="27" t="s">
        <v>8</v>
      </c>
      <c r="DB240" s="27" t="s">
        <v>7</v>
      </c>
      <c r="DC240" s="27" t="s">
        <v>8</v>
      </c>
      <c r="DD240" s="27" t="s">
        <v>7</v>
      </c>
      <c r="DH240" s="31"/>
      <c r="EQ240" s="27" t="s">
        <v>8</v>
      </c>
      <c r="FC240" s="27" t="s">
        <v>8</v>
      </c>
      <c r="FD240" s="27" t="s">
        <v>7</v>
      </c>
      <c r="FG240" s="27" t="s">
        <v>8</v>
      </c>
      <c r="GB240" s="27" t="s">
        <v>7</v>
      </c>
    </row>
    <row r="241" spans="1:163" x14ac:dyDescent="0.25">
      <c r="A241" s="30">
        <v>0.952380952380952</v>
      </c>
      <c r="B241"/>
      <c r="C241"/>
      <c r="D241"/>
      <c r="E241"/>
      <c r="F241" s="27" t="s">
        <v>7</v>
      </c>
      <c r="BC241" s="27" t="s">
        <v>8</v>
      </c>
      <c r="BD241" s="27" t="s">
        <v>7</v>
      </c>
      <c r="BQ241" s="27" t="s">
        <v>8</v>
      </c>
      <c r="BR241" s="27" t="s">
        <v>7</v>
      </c>
      <c r="BT241" s="27" t="s">
        <v>7</v>
      </c>
      <c r="BW241" s="27" t="s">
        <v>8</v>
      </c>
      <c r="BY241" s="27" t="s">
        <v>8</v>
      </c>
      <c r="BZ241" s="27" t="s">
        <v>7</v>
      </c>
      <c r="CA241" s="27" t="s">
        <v>8</v>
      </c>
      <c r="CT241" s="27" t="s">
        <v>7</v>
      </c>
      <c r="CW241" s="27" t="s">
        <v>8</v>
      </c>
      <c r="DB241" s="27" t="s">
        <v>7</v>
      </c>
      <c r="DC241" s="27" t="s">
        <v>8</v>
      </c>
      <c r="DD241" s="27" t="s">
        <v>7</v>
      </c>
      <c r="DE241" s="27" t="s">
        <v>8</v>
      </c>
      <c r="DI241" s="31"/>
      <c r="EQ241" s="27" t="s">
        <v>8</v>
      </c>
      <c r="ER241" s="27" t="s">
        <v>7</v>
      </c>
      <c r="FC241" s="27" t="s">
        <v>8</v>
      </c>
      <c r="FD241" s="27" t="s">
        <v>7</v>
      </c>
      <c r="FG241" s="27" t="s">
        <v>8</v>
      </c>
    </row>
    <row r="242" spans="1:163" x14ac:dyDescent="0.25">
      <c r="A242" s="30">
        <v>0.90702947845804915</v>
      </c>
      <c r="B242"/>
      <c r="C242"/>
      <c r="D242"/>
      <c r="E242"/>
      <c r="F242" s="27" t="s">
        <v>7</v>
      </c>
      <c r="BC242" s="27" t="s">
        <v>8</v>
      </c>
      <c r="BD242" s="27" t="s">
        <v>7</v>
      </c>
      <c r="BO242" s="27" t="s">
        <v>8</v>
      </c>
      <c r="BQ242" s="27" t="s">
        <v>8</v>
      </c>
      <c r="BT242" s="27" t="s">
        <v>7</v>
      </c>
      <c r="BW242" s="27" t="s">
        <v>8</v>
      </c>
      <c r="BX242" s="27" t="s">
        <v>7</v>
      </c>
      <c r="BY242" s="27" t="s">
        <v>8</v>
      </c>
      <c r="BZ242" s="27" t="s">
        <v>7</v>
      </c>
      <c r="CA242" s="27" t="s">
        <v>8</v>
      </c>
      <c r="CT242" s="27" t="s">
        <v>7</v>
      </c>
      <c r="CW242" s="27" t="s">
        <v>8</v>
      </c>
      <c r="DB242" s="27" t="s">
        <v>7</v>
      </c>
      <c r="DD242" s="27" t="s">
        <v>7</v>
      </c>
      <c r="DE242" s="27" t="s">
        <v>8</v>
      </c>
      <c r="DF242" s="27" t="s">
        <v>7</v>
      </c>
      <c r="DJ242" s="31"/>
      <c r="EC242" s="27" t="s">
        <v>8</v>
      </c>
      <c r="EI242" s="27" t="s">
        <v>8</v>
      </c>
      <c r="EK242" s="27" t="s">
        <v>8</v>
      </c>
      <c r="EQ242" s="27" t="s">
        <v>8</v>
      </c>
      <c r="ER242" s="27" t="s">
        <v>7</v>
      </c>
      <c r="ES242" s="27" t="s">
        <v>8</v>
      </c>
      <c r="FC242" s="27" t="s">
        <v>8</v>
      </c>
      <c r="FD242" s="27" t="s">
        <v>7</v>
      </c>
      <c r="FG242" s="27" t="s">
        <v>8</v>
      </c>
    </row>
    <row r="243" spans="1:163" x14ac:dyDescent="0.25">
      <c r="A243" s="30">
        <v>0.86383759853147501</v>
      </c>
      <c r="B243"/>
      <c r="C243"/>
      <c r="D243"/>
      <c r="E243"/>
      <c r="F243" s="27" t="s">
        <v>7</v>
      </c>
      <c r="BC243" s="27" t="s">
        <v>8</v>
      </c>
      <c r="BD243" s="27" t="s">
        <v>7</v>
      </c>
      <c r="BO243" s="27" t="s">
        <v>8</v>
      </c>
      <c r="BP243" s="27" t="s">
        <v>7</v>
      </c>
      <c r="BQ243" s="27" t="s">
        <v>8</v>
      </c>
      <c r="BT243" s="27" t="s">
        <v>7</v>
      </c>
      <c r="BU243" s="27" t="s">
        <v>8</v>
      </c>
      <c r="BW243" s="27" t="s">
        <v>8</v>
      </c>
      <c r="BX243" s="27" t="s">
        <v>7</v>
      </c>
      <c r="BY243" s="27" t="s">
        <v>8</v>
      </c>
      <c r="BZ243" s="27" t="s">
        <v>7</v>
      </c>
      <c r="CT243" s="27" t="s">
        <v>7</v>
      </c>
      <c r="CU243" s="27" t="s">
        <v>8</v>
      </c>
      <c r="CW243" s="27" t="s">
        <v>8</v>
      </c>
      <c r="DD243" s="27" t="s">
        <v>7</v>
      </c>
      <c r="DE243" s="27" t="s">
        <v>8</v>
      </c>
      <c r="DF243" s="27" t="s">
        <v>7</v>
      </c>
      <c r="DK243" s="31"/>
      <c r="EC243" s="27" t="s">
        <v>8</v>
      </c>
      <c r="ED243" s="27" t="s">
        <v>7</v>
      </c>
      <c r="EG243" s="31" t="s">
        <v>8</v>
      </c>
      <c r="EI243" s="27" t="s">
        <v>8</v>
      </c>
      <c r="EJ243" s="27" t="s">
        <v>7</v>
      </c>
      <c r="EK243" s="27" t="s">
        <v>8</v>
      </c>
      <c r="EL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FA243" s="27" t="s">
        <v>8</v>
      </c>
      <c r="FC243" s="27" t="s">
        <v>8</v>
      </c>
      <c r="FD243" s="27" t="s">
        <v>7</v>
      </c>
      <c r="FE243" s="27" t="s">
        <v>8</v>
      </c>
      <c r="FG243" s="27" t="s">
        <v>8</v>
      </c>
    </row>
    <row r="244" spans="1:163" x14ac:dyDescent="0.25">
      <c r="A244" s="30">
        <v>0.82270247479188063</v>
      </c>
      <c r="B244"/>
      <c r="C244"/>
      <c r="D244"/>
      <c r="E244"/>
      <c r="F244" s="27" t="s">
        <v>7</v>
      </c>
      <c r="BC244" s="27" t="s">
        <v>8</v>
      </c>
      <c r="BD244" s="27" t="s">
        <v>7</v>
      </c>
      <c r="BE244" s="27" t="s">
        <v>8</v>
      </c>
      <c r="BO244" s="27" t="s">
        <v>8</v>
      </c>
      <c r="BP244" s="27" t="s">
        <v>7</v>
      </c>
      <c r="BQ244" s="27" t="s">
        <v>8</v>
      </c>
      <c r="BT244" s="27" t="s">
        <v>7</v>
      </c>
      <c r="BU244" s="27" t="s">
        <v>8</v>
      </c>
      <c r="BV244" s="27" t="s">
        <v>7</v>
      </c>
      <c r="BW244" s="27" t="s">
        <v>8</v>
      </c>
      <c r="BX244" s="27" t="s">
        <v>7</v>
      </c>
      <c r="CT244" s="27" t="s">
        <v>7</v>
      </c>
      <c r="CU244" s="27" t="s">
        <v>8</v>
      </c>
      <c r="CV244" s="27" t="s">
        <v>7</v>
      </c>
      <c r="CW244" s="27" t="s">
        <v>8</v>
      </c>
      <c r="DD244" s="27" t="s">
        <v>7</v>
      </c>
      <c r="DF244" s="27" t="s">
        <v>7</v>
      </c>
      <c r="DL244" s="31"/>
      <c r="DS244" s="27" t="s">
        <v>8</v>
      </c>
      <c r="EC244" s="27" t="s">
        <v>8</v>
      </c>
      <c r="ED244" s="27" t="s">
        <v>7</v>
      </c>
      <c r="EG244" s="27" t="s">
        <v>8</v>
      </c>
      <c r="EH244" s="31" t="s">
        <v>7</v>
      </c>
      <c r="EI244" s="27" t="s">
        <v>8</v>
      </c>
      <c r="EJ244" s="27" t="s">
        <v>7</v>
      </c>
      <c r="EK244" s="27" t="s">
        <v>8</v>
      </c>
      <c r="EL244" s="27" t="s">
        <v>7</v>
      </c>
      <c r="EM244" s="27" t="s">
        <v>8</v>
      </c>
      <c r="EO244" s="27" t="s">
        <v>8</v>
      </c>
      <c r="EQ244" s="27" t="s">
        <v>8</v>
      </c>
      <c r="ER244" s="27" t="s">
        <v>7</v>
      </c>
      <c r="ES244" s="27" t="s">
        <v>8</v>
      </c>
      <c r="ET244" s="27" t="s">
        <v>7</v>
      </c>
      <c r="EW244" s="27" t="s">
        <v>8</v>
      </c>
      <c r="FA244" s="27" t="s">
        <v>8</v>
      </c>
      <c r="FB244" s="27" t="s">
        <v>7</v>
      </c>
      <c r="FC244" s="27" t="s">
        <v>8</v>
      </c>
      <c r="FD244" s="27" t="s">
        <v>7</v>
      </c>
      <c r="FE244" s="27" t="s">
        <v>8</v>
      </c>
      <c r="FF244" s="27" t="s">
        <v>7</v>
      </c>
      <c r="FG244" s="27" t="s">
        <v>8</v>
      </c>
    </row>
    <row r="245" spans="1:163" x14ac:dyDescent="0.25">
      <c r="A245" s="30">
        <v>0.78352616646845741</v>
      </c>
      <c r="B245"/>
      <c r="C245"/>
      <c r="D245"/>
      <c r="E245"/>
      <c r="F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O245" s="27" t="s">
        <v>8</v>
      </c>
      <c r="BP245" s="27" t="s">
        <v>7</v>
      </c>
      <c r="BQ245" s="27" t="s">
        <v>8</v>
      </c>
      <c r="BT245" s="27" t="s">
        <v>7</v>
      </c>
      <c r="BU245" s="27" t="s">
        <v>8</v>
      </c>
      <c r="BV245" s="27" t="s">
        <v>7</v>
      </c>
      <c r="BW245" s="27" t="s">
        <v>8</v>
      </c>
      <c r="CT245" s="27" t="s">
        <v>7</v>
      </c>
      <c r="CU245" s="27" t="s">
        <v>8</v>
      </c>
      <c r="CV245" s="27" t="s">
        <v>7</v>
      </c>
      <c r="CW245" s="27" t="s">
        <v>8</v>
      </c>
      <c r="DF245" s="27" t="s">
        <v>7</v>
      </c>
      <c r="DM245" s="31"/>
      <c r="DS245" s="27" t="s">
        <v>8</v>
      </c>
      <c r="DT245" s="27" t="s">
        <v>7</v>
      </c>
      <c r="DU245" s="27" t="s">
        <v>8</v>
      </c>
      <c r="EC245" s="27" t="s">
        <v>8</v>
      </c>
      <c r="ED245" s="27" t="s">
        <v>7</v>
      </c>
      <c r="EG245" s="27" t="s">
        <v>8</v>
      </c>
      <c r="EH245" s="27" t="s">
        <v>7</v>
      </c>
      <c r="EI245" s="31" t="s">
        <v>8</v>
      </c>
      <c r="EJ245" s="27" t="s">
        <v>7</v>
      </c>
      <c r="EL245" s="27" t="s">
        <v>7</v>
      </c>
      <c r="EM245" s="27" t="s">
        <v>8</v>
      </c>
      <c r="EN245" s="27" t="s">
        <v>7</v>
      </c>
      <c r="EO245" s="27" t="s">
        <v>8</v>
      </c>
      <c r="EP245" s="27" t="s">
        <v>7</v>
      </c>
      <c r="EQ245" s="27" t="s">
        <v>8</v>
      </c>
      <c r="ER245" s="27" t="s">
        <v>7</v>
      </c>
      <c r="ES245" s="27" t="s">
        <v>8</v>
      </c>
      <c r="ET245" s="27" t="s">
        <v>7</v>
      </c>
      <c r="EW245" s="27" t="s">
        <v>8</v>
      </c>
      <c r="EX245" s="27" t="s">
        <v>7</v>
      </c>
      <c r="EY245" s="27" t="s">
        <v>8</v>
      </c>
      <c r="FA245" s="27" t="s">
        <v>8</v>
      </c>
      <c r="FB245" s="27" t="s">
        <v>7</v>
      </c>
      <c r="FC245" s="27" t="s">
        <v>8</v>
      </c>
      <c r="FD245" s="27" t="s">
        <v>7</v>
      </c>
      <c r="FE245" s="27" t="s">
        <v>8</v>
      </c>
      <c r="FF245" s="27" t="s">
        <v>7</v>
      </c>
      <c r="FG245" s="27" t="s">
        <v>8</v>
      </c>
    </row>
    <row r="246" spans="1:163" x14ac:dyDescent="0.25">
      <c r="A246" s="30">
        <v>0.74621539663662584</v>
      </c>
      <c r="B246"/>
      <c r="C246"/>
      <c r="D246"/>
      <c r="E246"/>
      <c r="F246" s="27" t="s">
        <v>7</v>
      </c>
      <c r="BC246" s="27" t="s">
        <v>8</v>
      </c>
      <c r="BD246" s="27" t="s">
        <v>7</v>
      </c>
      <c r="BE246" s="27" t="s">
        <v>8</v>
      </c>
      <c r="BF246" s="27" t="s">
        <v>7</v>
      </c>
      <c r="BO246" s="27" t="s">
        <v>8</v>
      </c>
      <c r="BP246" s="27" t="s">
        <v>7</v>
      </c>
      <c r="BT246" s="27" t="s">
        <v>7</v>
      </c>
      <c r="BU246" s="27" t="s">
        <v>8</v>
      </c>
      <c r="BV246" s="27" t="s">
        <v>7</v>
      </c>
      <c r="BW246" s="27" t="s">
        <v>8</v>
      </c>
      <c r="CT246" s="27" t="s">
        <v>7</v>
      </c>
      <c r="CU246" s="27" t="s">
        <v>8</v>
      </c>
      <c r="CV246" s="27" t="s">
        <v>7</v>
      </c>
      <c r="DF246" s="27" t="s">
        <v>7</v>
      </c>
      <c r="DN246" s="31"/>
      <c r="DS246" s="27" t="s">
        <v>8</v>
      </c>
      <c r="DT246" s="27" t="s">
        <v>7</v>
      </c>
      <c r="DU246" s="27" t="s">
        <v>8</v>
      </c>
      <c r="DV246" s="27" t="s">
        <v>7</v>
      </c>
      <c r="EC246" s="27" t="s">
        <v>8</v>
      </c>
      <c r="ED246" s="27" t="s">
        <v>7</v>
      </c>
      <c r="EG246" s="27" t="s">
        <v>8</v>
      </c>
      <c r="EH246" s="27" t="s">
        <v>7</v>
      </c>
      <c r="EI246" s="27" t="s">
        <v>8</v>
      </c>
      <c r="EJ246" s="31"/>
      <c r="EL246" s="27" t="s">
        <v>7</v>
      </c>
      <c r="EM246" s="27" t="s">
        <v>8</v>
      </c>
      <c r="EN246" s="27" t="s">
        <v>7</v>
      </c>
      <c r="EO246" s="27" t="s">
        <v>8</v>
      </c>
      <c r="EP246" s="27" t="s">
        <v>7</v>
      </c>
      <c r="EQ246" s="27" t="s">
        <v>8</v>
      </c>
      <c r="ER246" s="27" t="s">
        <v>7</v>
      </c>
      <c r="ES246" s="27" t="s">
        <v>8</v>
      </c>
      <c r="ET246" s="27" t="s">
        <v>7</v>
      </c>
      <c r="EW246" s="27" t="s">
        <v>8</v>
      </c>
      <c r="EX246" s="27" t="s">
        <v>7</v>
      </c>
      <c r="EY246" s="27" t="s">
        <v>8</v>
      </c>
      <c r="EZ246" s="27" t="s">
        <v>7</v>
      </c>
      <c r="FA246" s="27" t="s">
        <v>8</v>
      </c>
      <c r="FB246" s="27" t="s">
        <v>7</v>
      </c>
      <c r="FC246" s="27" t="s">
        <v>8</v>
      </c>
      <c r="FD246" s="27" t="s">
        <v>7</v>
      </c>
      <c r="FF246" s="27" t="s">
        <v>7</v>
      </c>
      <c r="FG246" s="27" t="s">
        <v>8</v>
      </c>
    </row>
    <row r="247" spans="1:163" x14ac:dyDescent="0.25">
      <c r="A247" s="30">
        <v>0.71068133013011958</v>
      </c>
      <c r="B247"/>
      <c r="C247"/>
      <c r="D247"/>
      <c r="E247"/>
      <c r="F247" s="27" t="s">
        <v>7</v>
      </c>
      <c r="BC247" s="27" t="s">
        <v>8</v>
      </c>
      <c r="BD247" s="27" t="s">
        <v>7</v>
      </c>
      <c r="BF247" s="27" t="s">
        <v>7</v>
      </c>
      <c r="BM247" s="27" t="s">
        <v>8</v>
      </c>
      <c r="BO247" s="27" t="s">
        <v>8</v>
      </c>
      <c r="BT247" s="27" t="s">
        <v>7</v>
      </c>
      <c r="BU247" s="27" t="s">
        <v>8</v>
      </c>
      <c r="BV247" s="27" t="s">
        <v>7</v>
      </c>
      <c r="BW247" s="27" t="s">
        <v>8</v>
      </c>
      <c r="CT247" s="27" t="s">
        <v>7</v>
      </c>
      <c r="CU247" s="27" t="s">
        <v>8</v>
      </c>
      <c r="DF247" s="27" t="s">
        <v>7</v>
      </c>
      <c r="DO247" s="31"/>
      <c r="DS247" s="27" t="s">
        <v>8</v>
      </c>
      <c r="DT247" s="27" t="s">
        <v>7</v>
      </c>
      <c r="DU247" s="27" t="s">
        <v>8</v>
      </c>
      <c r="DV247" s="27" t="s">
        <v>7</v>
      </c>
      <c r="EC247" s="27" t="s">
        <v>8</v>
      </c>
      <c r="ED247" s="27" t="s">
        <v>7</v>
      </c>
      <c r="EG247" s="33" t="s">
        <v>8</v>
      </c>
      <c r="EH247" s="27" t="s">
        <v>7</v>
      </c>
      <c r="EI247" s="27" t="s">
        <v>8</v>
      </c>
      <c r="EL247" s="27" t="s">
        <v>7</v>
      </c>
      <c r="EN247" s="27" t="s">
        <v>7</v>
      </c>
      <c r="EP247" s="27" t="s">
        <v>7</v>
      </c>
      <c r="ER247" s="27" t="s">
        <v>7</v>
      </c>
      <c r="ET247" s="27" t="s">
        <v>7</v>
      </c>
      <c r="EW247" s="27" t="s">
        <v>8</v>
      </c>
      <c r="EX247" s="27" t="s">
        <v>7</v>
      </c>
      <c r="EY247" s="27" t="s">
        <v>8</v>
      </c>
      <c r="EZ247" s="27" t="s">
        <v>7</v>
      </c>
      <c r="FA247" s="27" t="s">
        <v>8</v>
      </c>
      <c r="FB247" s="27" t="s">
        <v>7</v>
      </c>
      <c r="FC247" s="27" t="s">
        <v>8</v>
      </c>
      <c r="FF247" s="27" t="s">
        <v>7</v>
      </c>
      <c r="FG247" s="27" t="s">
        <v>8</v>
      </c>
    </row>
    <row r="248" spans="1:163" x14ac:dyDescent="0.25">
      <c r="A248" s="30">
        <v>0.676839362028685</v>
      </c>
      <c r="B248"/>
      <c r="C248"/>
      <c r="D248"/>
      <c r="E248"/>
      <c r="F248" s="27" t="s">
        <v>7</v>
      </c>
      <c r="BC248" s="27" t="s">
        <v>8</v>
      </c>
      <c r="BF248" s="27" t="s">
        <v>7</v>
      </c>
      <c r="BI248" s="27" t="s">
        <v>8</v>
      </c>
      <c r="BM248" s="27" t="s">
        <v>8</v>
      </c>
      <c r="BN248" s="27" t="s">
        <v>7</v>
      </c>
      <c r="BO248" s="27" t="s">
        <v>8</v>
      </c>
      <c r="BT248" s="27" t="s">
        <v>7</v>
      </c>
      <c r="BU248" s="27" t="s">
        <v>8</v>
      </c>
      <c r="BV248" s="27" t="s">
        <v>7</v>
      </c>
      <c r="BW248" s="27" t="s">
        <v>8</v>
      </c>
      <c r="CT248" s="27" t="s">
        <v>7</v>
      </c>
      <c r="DF248" s="27" t="s">
        <v>7</v>
      </c>
      <c r="DG248" s="27" t="s">
        <v>8</v>
      </c>
      <c r="DP248" s="31"/>
      <c r="DS248" s="27" t="s">
        <v>8</v>
      </c>
      <c r="DT248" s="27" t="s">
        <v>7</v>
      </c>
      <c r="DU248" s="27" t="s">
        <v>8</v>
      </c>
      <c r="DV248" s="27" t="s">
        <v>7</v>
      </c>
      <c r="EC248" s="27" t="s">
        <v>8</v>
      </c>
      <c r="ED248" s="27" t="s">
        <v>7</v>
      </c>
      <c r="EE248" s="27" t="s">
        <v>8</v>
      </c>
      <c r="EG248" s="27" t="s">
        <v>8</v>
      </c>
      <c r="EH248" s="27" t="s">
        <v>7</v>
      </c>
      <c r="ET248" s="27" t="s">
        <v>7</v>
      </c>
      <c r="EW248" s="27" t="s">
        <v>8</v>
      </c>
      <c r="EX248" s="27" t="s">
        <v>7</v>
      </c>
      <c r="EY248" s="27" t="s">
        <v>8</v>
      </c>
      <c r="EZ248" s="27" t="s">
        <v>7</v>
      </c>
      <c r="FA248" s="27" t="s">
        <v>8</v>
      </c>
      <c r="FB248" s="27" t="s">
        <v>7</v>
      </c>
      <c r="FF248" s="27" t="s">
        <v>7</v>
      </c>
    </row>
    <row r="249" spans="1:163" x14ac:dyDescent="0.25">
      <c r="A249" s="30">
        <v>0.64460891621779492</v>
      </c>
      <c r="B249"/>
      <c r="C249"/>
      <c r="D249"/>
      <c r="E249"/>
      <c r="F249" s="27" t="s">
        <v>7</v>
      </c>
      <c r="BC249" s="27" t="s">
        <v>8</v>
      </c>
      <c r="BF249" s="27" t="s">
        <v>7</v>
      </c>
      <c r="BI249" s="27" t="s">
        <v>8</v>
      </c>
      <c r="BJ249" s="27" t="s">
        <v>7</v>
      </c>
      <c r="BM249" s="27" t="s">
        <v>8</v>
      </c>
      <c r="BN249" s="27" t="s">
        <v>7</v>
      </c>
      <c r="BO249" s="27" t="s">
        <v>8</v>
      </c>
      <c r="BT249" s="27" t="s">
        <v>7</v>
      </c>
      <c r="BU249" s="27" t="s">
        <v>8</v>
      </c>
      <c r="BV249" s="27" t="s">
        <v>7</v>
      </c>
      <c r="BW249" s="27" t="s">
        <v>8</v>
      </c>
      <c r="DF249" s="27" t="s">
        <v>7</v>
      </c>
      <c r="DG249" s="27" t="s">
        <v>8</v>
      </c>
      <c r="DH249" s="27" t="s">
        <v>7</v>
      </c>
      <c r="DQ249" s="31"/>
      <c r="DS249" s="27" t="s">
        <v>8</v>
      </c>
      <c r="DT249" s="27" t="s">
        <v>7</v>
      </c>
      <c r="DU249" s="27" t="s">
        <v>8</v>
      </c>
      <c r="DV249" s="27" t="s">
        <v>7</v>
      </c>
      <c r="EC249" s="27" t="s">
        <v>8</v>
      </c>
      <c r="ED249" s="27" t="s">
        <v>7</v>
      </c>
      <c r="EE249" s="27" t="s">
        <v>8</v>
      </c>
      <c r="EF249" s="27" t="s">
        <v>7</v>
      </c>
      <c r="EG249" s="27" t="s">
        <v>8</v>
      </c>
      <c r="EM249" s="31"/>
      <c r="ET249" s="27" t="s">
        <v>7</v>
      </c>
      <c r="EU249" s="27" t="s">
        <v>8</v>
      </c>
      <c r="EW249" s="27" t="s">
        <v>8</v>
      </c>
      <c r="EX249" s="27" t="s">
        <v>7</v>
      </c>
      <c r="EY249" s="27" t="s">
        <v>8</v>
      </c>
      <c r="EZ249" s="27" t="s">
        <v>7</v>
      </c>
      <c r="FA249" s="27" t="s">
        <v>8</v>
      </c>
    </row>
    <row r="250" spans="1:163" x14ac:dyDescent="0.25">
      <c r="A250" s="30">
        <v>0.61391325354075688</v>
      </c>
      <c r="B250"/>
      <c r="C250"/>
      <c r="D250"/>
      <c r="E250"/>
      <c r="F250" s="27" t="s">
        <v>7</v>
      </c>
      <c r="BC250" s="27" t="s">
        <v>8</v>
      </c>
      <c r="BF250" s="27" t="s">
        <v>7</v>
      </c>
      <c r="BG250" s="27" t="s">
        <v>8</v>
      </c>
      <c r="BI250" s="27" t="s">
        <v>8</v>
      </c>
      <c r="BJ250" s="27" t="s">
        <v>7</v>
      </c>
      <c r="BK250" s="27" t="s">
        <v>8</v>
      </c>
      <c r="BM250" s="27" t="s">
        <v>8</v>
      </c>
      <c r="BN250" s="27" t="s">
        <v>7</v>
      </c>
      <c r="BO250" s="27" t="s">
        <v>8</v>
      </c>
      <c r="BT250" s="27" t="s">
        <v>7</v>
      </c>
      <c r="BV250" s="27" t="s">
        <v>7</v>
      </c>
      <c r="BW250" s="27" t="s">
        <v>8</v>
      </c>
      <c r="DF250" s="27" t="s">
        <v>7</v>
      </c>
      <c r="DG250" s="27" t="s">
        <v>8</v>
      </c>
      <c r="DH250" s="27" t="s">
        <v>7</v>
      </c>
      <c r="DK250" s="27" t="s">
        <v>8</v>
      </c>
      <c r="DR250" s="31"/>
      <c r="DS250" s="27" t="s">
        <v>8</v>
      </c>
      <c r="DT250" s="27" t="s">
        <v>7</v>
      </c>
      <c r="DU250" s="27" t="s">
        <v>8</v>
      </c>
      <c r="DV250" s="27" t="s">
        <v>7</v>
      </c>
      <c r="EC250" s="27" t="s">
        <v>8</v>
      </c>
      <c r="ED250" s="27" t="s">
        <v>7</v>
      </c>
      <c r="EE250" s="27" t="s">
        <v>8</v>
      </c>
      <c r="EF250" s="27" t="s">
        <v>7</v>
      </c>
      <c r="EG250" s="27" t="s">
        <v>8</v>
      </c>
      <c r="EL250" s="31"/>
      <c r="ET250" s="27" t="s">
        <v>7</v>
      </c>
      <c r="EU250" s="27" t="s">
        <v>8</v>
      </c>
      <c r="EV250" s="27" t="s">
        <v>7</v>
      </c>
      <c r="EW250" s="27" t="s">
        <v>8</v>
      </c>
      <c r="EX250" s="27" t="s">
        <v>7</v>
      </c>
      <c r="EY250" s="27" t="s">
        <v>8</v>
      </c>
      <c r="EZ250" s="27" t="s">
        <v>7</v>
      </c>
    </row>
    <row r="251" spans="1:163" x14ac:dyDescent="0.25">
      <c r="A251" s="30">
        <v>0.58467928908643485</v>
      </c>
      <c r="B251"/>
      <c r="C251"/>
      <c r="D251"/>
      <c r="E251"/>
      <c r="F251" s="27" t="s">
        <v>7</v>
      </c>
      <c r="BC251" s="27" t="s">
        <v>8</v>
      </c>
      <c r="BF251" s="27" t="s">
        <v>7</v>
      </c>
      <c r="BG251" s="27" t="s">
        <v>8</v>
      </c>
      <c r="BH251" s="27" t="s">
        <v>7</v>
      </c>
      <c r="BI251" s="27" t="s">
        <v>8</v>
      </c>
      <c r="BJ251" s="27" t="s">
        <v>7</v>
      </c>
      <c r="BK251" s="27" t="s">
        <v>8</v>
      </c>
      <c r="BL251" s="27" t="s">
        <v>7</v>
      </c>
      <c r="BM251" s="27" t="s">
        <v>8</v>
      </c>
      <c r="BN251" s="27" t="s">
        <v>7</v>
      </c>
      <c r="BV251" s="27" t="s">
        <v>7</v>
      </c>
      <c r="DF251" s="27" t="s">
        <v>7</v>
      </c>
      <c r="DG251" s="27" t="s">
        <v>8</v>
      </c>
      <c r="DH251" s="27" t="s">
        <v>7</v>
      </c>
      <c r="DK251" s="27" t="s">
        <v>8</v>
      </c>
      <c r="DL251" s="27" t="s">
        <v>7</v>
      </c>
      <c r="DM251" s="27" t="s">
        <v>8</v>
      </c>
      <c r="DO251" s="27" t="s">
        <v>8</v>
      </c>
      <c r="DS251" s="31" t="s">
        <v>8</v>
      </c>
      <c r="DT251" s="27" t="s">
        <v>7</v>
      </c>
      <c r="DU251" s="27" t="s">
        <v>8</v>
      </c>
      <c r="DV251" s="27" t="s">
        <v>7</v>
      </c>
      <c r="EC251" s="27" t="s">
        <v>8</v>
      </c>
      <c r="ED251" s="27" t="s">
        <v>7</v>
      </c>
      <c r="EE251" s="27" t="s">
        <v>8</v>
      </c>
      <c r="EF251" s="27" t="s">
        <v>7</v>
      </c>
      <c r="EG251" s="27" t="s">
        <v>8</v>
      </c>
      <c r="EK251" s="31"/>
      <c r="ET251" s="27" t="s">
        <v>7</v>
      </c>
      <c r="EU251" s="27" t="s">
        <v>8</v>
      </c>
      <c r="EV251" s="27" t="s">
        <v>7</v>
      </c>
      <c r="EW251" s="27" t="s">
        <v>8</v>
      </c>
      <c r="EX251" s="27" t="s">
        <v>7</v>
      </c>
    </row>
    <row r="252" spans="1:163" x14ac:dyDescent="0.25">
      <c r="A252" s="30">
        <v>0.55683741817755672</v>
      </c>
      <c r="B252"/>
      <c r="C252"/>
      <c r="D252"/>
      <c r="E252"/>
      <c r="F252" s="27" t="s">
        <v>7</v>
      </c>
      <c r="BC252" s="27" t="s">
        <v>8</v>
      </c>
      <c r="BF252" s="27" t="s">
        <v>7</v>
      </c>
      <c r="BG252" s="27" t="s">
        <v>8</v>
      </c>
      <c r="BH252" s="27" t="s">
        <v>7</v>
      </c>
      <c r="BI252" s="27" t="s">
        <v>8</v>
      </c>
      <c r="BJ252" s="27" t="s">
        <v>7</v>
      </c>
      <c r="BK252" s="27" t="s">
        <v>8</v>
      </c>
      <c r="BL252" s="27" t="s">
        <v>7</v>
      </c>
      <c r="BM252" s="27" t="s">
        <v>8</v>
      </c>
      <c r="DF252" s="27" t="s">
        <v>7</v>
      </c>
      <c r="DG252" s="27" t="s">
        <v>8</v>
      </c>
      <c r="DH252" s="27" t="s">
        <v>7</v>
      </c>
      <c r="DK252" s="27" t="s">
        <v>8</v>
      </c>
      <c r="DL252" s="27" t="s">
        <v>7</v>
      </c>
      <c r="DM252" s="27" t="s">
        <v>8</v>
      </c>
      <c r="DN252" s="27" t="s">
        <v>7</v>
      </c>
      <c r="DO252" s="27" t="s">
        <v>8</v>
      </c>
      <c r="DP252" s="27" t="s">
        <v>7</v>
      </c>
      <c r="DS252" s="33" t="s">
        <v>8</v>
      </c>
      <c r="DT252" s="27" t="s">
        <v>7</v>
      </c>
      <c r="DU252" s="27" t="s">
        <v>8</v>
      </c>
      <c r="DV252" s="27" t="s">
        <v>7</v>
      </c>
      <c r="EC252" s="27" t="s">
        <v>8</v>
      </c>
      <c r="ED252" s="27" t="s">
        <v>7</v>
      </c>
      <c r="EF252" s="27" t="s">
        <v>7</v>
      </c>
      <c r="EG252" s="27" t="s">
        <v>8</v>
      </c>
      <c r="EJ252" s="31"/>
      <c r="ET252" s="27" t="s">
        <v>7</v>
      </c>
      <c r="EV252" s="27" t="s">
        <v>7</v>
      </c>
      <c r="EW252" s="27" t="s">
        <v>8</v>
      </c>
    </row>
    <row r="253" spans="1:163" x14ac:dyDescent="0.25">
      <c r="A253" s="30">
        <v>0.53032135064529184</v>
      </c>
      <c r="B253"/>
      <c r="C253"/>
      <c r="D253"/>
      <c r="E253"/>
      <c r="F253" s="27" t="s">
        <v>7</v>
      </c>
      <c r="BC253" s="27" t="s">
        <v>8</v>
      </c>
      <c r="BF253" s="27" t="s">
        <v>7</v>
      </c>
      <c r="BH253" s="27" t="s">
        <v>7</v>
      </c>
      <c r="BI253" s="27" t="s">
        <v>8</v>
      </c>
      <c r="BJ253" s="27" t="s">
        <v>7</v>
      </c>
      <c r="BK253" s="27" t="s">
        <v>8</v>
      </c>
      <c r="BL253" s="27" t="s">
        <v>7</v>
      </c>
      <c r="DF253" s="27" t="s">
        <v>7</v>
      </c>
      <c r="DG253" s="27" t="s">
        <v>8</v>
      </c>
      <c r="DH253" s="27" t="s">
        <v>7</v>
      </c>
      <c r="DK253" s="27" t="s">
        <v>8</v>
      </c>
      <c r="DL253" s="27" t="s">
        <v>7</v>
      </c>
      <c r="DM253" s="27" t="s">
        <v>8</v>
      </c>
      <c r="DN253" s="27" t="s">
        <v>7</v>
      </c>
      <c r="DO253" s="27" t="s">
        <v>8</v>
      </c>
      <c r="DP253" s="27" t="s">
        <v>7</v>
      </c>
      <c r="DQ253" s="27" t="s">
        <v>8</v>
      </c>
      <c r="DS253" s="27" t="s">
        <v>8</v>
      </c>
      <c r="DT253" s="27" t="s">
        <v>7</v>
      </c>
      <c r="DU253" s="27" t="s">
        <v>8</v>
      </c>
      <c r="DV253" s="27" t="s">
        <v>7</v>
      </c>
      <c r="DY253" s="33" t="s">
        <v>8</v>
      </c>
      <c r="EA253" s="34" t="s">
        <v>8</v>
      </c>
      <c r="EC253" s="27" t="s">
        <v>8</v>
      </c>
      <c r="EF253" s="32" t="s">
        <v>7</v>
      </c>
      <c r="EG253" s="27" t="s">
        <v>8</v>
      </c>
      <c r="EI253" s="31"/>
      <c r="EV253" s="27" t="s">
        <v>7</v>
      </c>
      <c r="EW253" s="27" t="s">
        <v>8</v>
      </c>
    </row>
    <row r="254" spans="1:163" x14ac:dyDescent="0.25">
      <c r="A254" s="30">
        <v>0.50506795299551588</v>
      </c>
      <c r="B254"/>
      <c r="C254"/>
      <c r="D254"/>
      <c r="E254"/>
      <c r="F254" s="27" t="s">
        <v>7</v>
      </c>
      <c r="BC254" s="27" t="s">
        <v>8</v>
      </c>
      <c r="BH254" s="27" t="s">
        <v>7</v>
      </c>
      <c r="BI254" s="27" t="s">
        <v>8</v>
      </c>
      <c r="BJ254" s="27" t="s">
        <v>7</v>
      </c>
      <c r="DF254" s="27" t="s">
        <v>7</v>
      </c>
      <c r="DG254" s="27" t="s">
        <v>8</v>
      </c>
      <c r="DH254" s="27" t="s">
        <v>7</v>
      </c>
      <c r="DK254" s="33" t="s">
        <v>8</v>
      </c>
      <c r="DL254" s="27" t="s">
        <v>7</v>
      </c>
      <c r="DM254" s="27" t="s">
        <v>8</v>
      </c>
      <c r="DN254" s="27" t="s">
        <v>7</v>
      </c>
      <c r="DO254" s="27" t="s">
        <v>8</v>
      </c>
      <c r="DP254" s="27" t="s">
        <v>7</v>
      </c>
      <c r="DQ254" s="27" t="s">
        <v>8</v>
      </c>
      <c r="DR254" s="27" t="s">
        <v>7</v>
      </c>
      <c r="DS254" s="27" t="s">
        <v>8</v>
      </c>
      <c r="DT254" s="27" t="s">
        <v>7</v>
      </c>
      <c r="DU254" s="27" t="s">
        <v>8</v>
      </c>
      <c r="DV254" s="27" t="s">
        <v>7</v>
      </c>
      <c r="DW254" s="27" t="s">
        <v>8</v>
      </c>
      <c r="DY254" s="27" t="s">
        <v>8</v>
      </c>
      <c r="DZ254" s="27" t="s">
        <v>7</v>
      </c>
      <c r="EA254" s="27" t="s">
        <v>8</v>
      </c>
      <c r="EB254" s="27" t="s">
        <v>7</v>
      </c>
      <c r="EC254" s="27" t="s">
        <v>8</v>
      </c>
      <c r="EE254" s="31"/>
      <c r="EF254" s="27" t="s">
        <v>7</v>
      </c>
      <c r="EG254" s="27" t="s">
        <v>8</v>
      </c>
      <c r="EH254" s="31"/>
      <c r="EV254" s="27" t="s">
        <v>7</v>
      </c>
    </row>
    <row r="255" spans="1:163" x14ac:dyDescent="0.25">
      <c r="A255" s="30">
        <v>0.48101709809096732</v>
      </c>
      <c r="E255"/>
      <c r="F255" s="27" t="s">
        <v>7</v>
      </c>
      <c r="BC255" s="27" t="s">
        <v>8</v>
      </c>
      <c r="BH255" s="27" t="s">
        <v>7</v>
      </c>
      <c r="BI255" s="27" t="s">
        <v>8</v>
      </c>
      <c r="DF255" s="27" t="s">
        <v>7</v>
      </c>
      <c r="DG255" s="27" t="s">
        <v>8</v>
      </c>
      <c r="DH255" s="27" t="s">
        <v>7</v>
      </c>
      <c r="DI255" s="27" t="s">
        <v>8</v>
      </c>
      <c r="DK255" s="27" t="s">
        <v>8</v>
      </c>
      <c r="DL255" s="27" t="s">
        <v>7</v>
      </c>
      <c r="DM255" s="27" t="s">
        <v>8</v>
      </c>
      <c r="DN255" s="27" t="s">
        <v>7</v>
      </c>
      <c r="DP255" s="27" t="s">
        <v>7</v>
      </c>
      <c r="DQ255" s="27" t="s">
        <v>8</v>
      </c>
      <c r="DR255" s="27" t="s">
        <v>7</v>
      </c>
      <c r="DS255" s="27" t="s">
        <v>8</v>
      </c>
      <c r="DT255" s="27" t="s">
        <v>7</v>
      </c>
      <c r="DV255" s="27" t="s">
        <v>7</v>
      </c>
      <c r="DW255" s="27" t="s">
        <v>8</v>
      </c>
      <c r="DX255" s="27" t="s">
        <v>7</v>
      </c>
      <c r="DY255" s="27" t="s">
        <v>8</v>
      </c>
      <c r="DZ255" s="27" t="s">
        <v>7</v>
      </c>
      <c r="EA255" s="27" t="s">
        <v>8</v>
      </c>
      <c r="EB255" s="27" t="s">
        <v>7</v>
      </c>
      <c r="EC255" s="27" t="s">
        <v>8</v>
      </c>
      <c r="ED255" s="31"/>
      <c r="EF255" s="27" t="s">
        <v>7</v>
      </c>
      <c r="EG255" s="31" t="s">
        <v>8</v>
      </c>
    </row>
    <row r="256" spans="1:163" x14ac:dyDescent="0.25">
      <c r="A256" s="30">
        <v>0.45811152199139726</v>
      </c>
      <c r="E256"/>
      <c r="F256" s="27" t="s">
        <v>7</v>
      </c>
      <c r="BC256" s="27" t="s">
        <v>8</v>
      </c>
      <c r="BH256" s="27" t="s">
        <v>7</v>
      </c>
      <c r="BI256" s="27" t="s">
        <v>8</v>
      </c>
      <c r="DF256" s="27" t="s">
        <v>7</v>
      </c>
      <c r="DG256" s="27" t="s">
        <v>8</v>
      </c>
      <c r="DH256" s="27" t="s">
        <v>7</v>
      </c>
      <c r="DI256" s="27" t="s">
        <v>8</v>
      </c>
      <c r="DJ256" s="27" t="s">
        <v>7</v>
      </c>
      <c r="DK256" s="27" t="s">
        <v>8</v>
      </c>
      <c r="DL256" s="27" t="s">
        <v>7</v>
      </c>
      <c r="DM256" s="27" t="s">
        <v>8</v>
      </c>
      <c r="DP256" s="32" t="s">
        <v>7</v>
      </c>
      <c r="DR256" s="27" t="s">
        <v>7</v>
      </c>
      <c r="DS256" s="27" t="s">
        <v>8</v>
      </c>
      <c r="DV256" s="32" t="s">
        <v>7</v>
      </c>
      <c r="DW256" s="27" t="s">
        <v>8</v>
      </c>
      <c r="DX256" s="27" t="s">
        <v>7</v>
      </c>
      <c r="DY256" s="27" t="s">
        <v>8</v>
      </c>
      <c r="DZ256" s="27" t="s">
        <v>7</v>
      </c>
      <c r="EA256" s="27" t="s">
        <v>8</v>
      </c>
      <c r="EB256" s="27" t="s">
        <v>7</v>
      </c>
      <c r="EC256" s="31" t="s">
        <v>8</v>
      </c>
      <c r="EF256" s="27" t="s">
        <v>7</v>
      </c>
    </row>
    <row r="257" spans="1:132" x14ac:dyDescent="0.25">
      <c r="A257" s="30">
        <v>0.43629668761085438</v>
      </c>
      <c r="B257"/>
      <c r="C257"/>
      <c r="D257"/>
      <c r="E257"/>
      <c r="F257" s="27" t="s">
        <v>7</v>
      </c>
      <c r="BC257" s="27" t="s">
        <v>8</v>
      </c>
      <c r="BH257" s="27" t="s">
        <v>7</v>
      </c>
      <c r="BI257" s="27" t="s">
        <v>8</v>
      </c>
      <c r="DF257" s="27" t="s">
        <v>7</v>
      </c>
      <c r="DH257" s="27" t="s">
        <v>7</v>
      </c>
      <c r="DI257" s="27" t="s">
        <v>8</v>
      </c>
      <c r="DJ257" s="27" t="s">
        <v>7</v>
      </c>
      <c r="DK257" s="27" t="s">
        <v>8</v>
      </c>
      <c r="DL257" s="27" t="s">
        <v>7</v>
      </c>
      <c r="DM257" s="27" t="s">
        <v>8</v>
      </c>
      <c r="DR257" s="31" t="s">
        <v>7</v>
      </c>
      <c r="DS257" s="27" t="s">
        <v>8</v>
      </c>
      <c r="DV257" s="27" t="s">
        <v>7</v>
      </c>
      <c r="DW257" s="27" t="s">
        <v>8</v>
      </c>
      <c r="DX257" s="27" t="s">
        <v>7</v>
      </c>
      <c r="DY257" s="27" t="s">
        <v>8</v>
      </c>
      <c r="DZ257" s="27" t="s">
        <v>7</v>
      </c>
      <c r="EA257" s="27" t="s">
        <v>8</v>
      </c>
      <c r="EB257" s="31" t="s">
        <v>7</v>
      </c>
    </row>
    <row r="258" spans="1:132" x14ac:dyDescent="0.25">
      <c r="A258" s="30">
        <v>0.41552065486748019</v>
      </c>
      <c r="B258"/>
      <c r="C258"/>
      <c r="D258"/>
      <c r="E258"/>
      <c r="F258" s="27" t="s">
        <v>7</v>
      </c>
      <c r="BC258" s="27" t="s">
        <v>8</v>
      </c>
      <c r="BH258" s="27" t="s">
        <v>7</v>
      </c>
      <c r="BI258" s="27" t="s">
        <v>8</v>
      </c>
      <c r="DH258" s="27" t="s">
        <v>7</v>
      </c>
      <c r="DJ258" s="27" t="s">
        <v>7</v>
      </c>
      <c r="DK258" s="27" t="s">
        <v>8</v>
      </c>
      <c r="DL258" s="27" t="s">
        <v>7</v>
      </c>
      <c r="DQ258" s="31"/>
      <c r="DR258" s="27" t="s">
        <v>7</v>
      </c>
      <c r="DS258" s="27" t="s">
        <v>8</v>
      </c>
      <c r="DV258" s="27" t="s">
        <v>7</v>
      </c>
      <c r="DW258" s="27" t="s">
        <v>8</v>
      </c>
      <c r="DX258" s="27" t="s">
        <v>7</v>
      </c>
      <c r="DY258" s="27" t="s">
        <v>8</v>
      </c>
      <c r="DZ258" s="27" t="s">
        <v>7</v>
      </c>
    </row>
    <row r="259" spans="1:132" x14ac:dyDescent="0.25">
      <c r="A259" s="30">
        <v>0.39573395701664765</v>
      </c>
      <c r="B259"/>
      <c r="C259"/>
      <c r="D259"/>
      <c r="E259"/>
      <c r="F259" s="27" t="s">
        <v>7</v>
      </c>
      <c r="BC259" s="27" t="s">
        <v>8</v>
      </c>
      <c r="BH259" s="27" t="s">
        <v>7</v>
      </c>
      <c r="DJ259" s="32" t="s">
        <v>7</v>
      </c>
      <c r="DK259" s="27" t="s">
        <v>8</v>
      </c>
      <c r="DP259" s="31"/>
      <c r="DR259" s="27" t="s">
        <v>7</v>
      </c>
      <c r="DV259" s="27" t="s">
        <v>7</v>
      </c>
      <c r="DW259" s="27" t="s">
        <v>8</v>
      </c>
      <c r="DX259" s="27" t="s">
        <v>7</v>
      </c>
    </row>
    <row r="260" spans="1:132" x14ac:dyDescent="0.25">
      <c r="A260" s="30">
        <v>0.37688948287299762</v>
      </c>
      <c r="B260"/>
      <c r="C260"/>
      <c r="D260"/>
      <c r="E260"/>
      <c r="F260" s="27" t="s">
        <v>7</v>
      </c>
      <c r="BC260" s="27" t="s">
        <v>8</v>
      </c>
      <c r="DJ260" s="27" t="s">
        <v>7</v>
      </c>
      <c r="DK260" s="27" t="s">
        <v>8</v>
      </c>
      <c r="DO260" s="31"/>
      <c r="DV260" s="27" t="s">
        <v>7</v>
      </c>
    </row>
    <row r="261" spans="1:132" x14ac:dyDescent="0.25">
      <c r="A261" s="30">
        <v>0.35894236464094997</v>
      </c>
      <c r="B261"/>
      <c r="C261"/>
      <c r="D261"/>
      <c r="E261"/>
      <c r="F261" s="27" t="s">
        <v>7</v>
      </c>
      <c r="BC261" s="27" t="s">
        <v>8</v>
      </c>
      <c r="DJ261" s="27" t="s">
        <v>7</v>
      </c>
      <c r="DK261" s="27" t="s">
        <v>8</v>
      </c>
      <c r="DN261" s="31"/>
    </row>
    <row r="262" spans="1:132" x14ac:dyDescent="0.25">
      <c r="A262" s="30">
        <v>0.34184987108661891</v>
      </c>
      <c r="B262"/>
      <c r="C262"/>
      <c r="D262"/>
      <c r="E262"/>
      <c r="F262" s="27" t="s">
        <v>7</v>
      </c>
      <c r="BC262" s="27" t="s">
        <v>8</v>
      </c>
      <c r="DJ262" s="27" t="s">
        <v>7</v>
      </c>
      <c r="DK262" s="27" t="s">
        <v>8</v>
      </c>
      <c r="DM262" s="31"/>
    </row>
    <row r="263" spans="1:132" x14ac:dyDescent="0.25">
      <c r="A263" s="30">
        <v>0.32557130579677979</v>
      </c>
      <c r="B263"/>
      <c r="C263"/>
      <c r="D263"/>
      <c r="E263"/>
      <c r="F263" s="27" t="s">
        <v>7</v>
      </c>
      <c r="BC263" s="27" t="s">
        <v>8</v>
      </c>
      <c r="DJ263" s="27" t="s">
        <v>7</v>
      </c>
      <c r="DK263" s="27" t="s">
        <v>8</v>
      </c>
      <c r="DL263" s="31"/>
    </row>
    <row r="264" spans="1:132" x14ac:dyDescent="0.25">
      <c r="A264" s="30">
        <v>0.3100679102826473</v>
      </c>
      <c r="B264"/>
      <c r="C264"/>
      <c r="D264"/>
      <c r="E264"/>
      <c r="F264" s="27" t="s">
        <v>7</v>
      </c>
      <c r="BC264" s="27" t="s">
        <v>8</v>
      </c>
      <c r="DJ264" s="27" t="s">
        <v>7</v>
      </c>
      <c r="DK264" s="31" t="s">
        <v>8</v>
      </c>
    </row>
    <row r="265" spans="1:132" x14ac:dyDescent="0.25">
      <c r="A265" s="30">
        <v>0.2953027716977592</v>
      </c>
      <c r="B265"/>
      <c r="C265"/>
      <c r="D265"/>
      <c r="E265"/>
      <c r="F265" s="27" t="s">
        <v>7</v>
      </c>
      <c r="BC265" s="27" t="s">
        <v>8</v>
      </c>
      <c r="DJ265" s="31" t="s">
        <v>7</v>
      </c>
    </row>
    <row r="266" spans="1:132" x14ac:dyDescent="0.25">
      <c r="A266" s="30">
        <v>0.28124073495024676</v>
      </c>
      <c r="B266"/>
      <c r="C266"/>
      <c r="D266"/>
      <c r="E266"/>
      <c r="F266" s="27" t="s">
        <v>7</v>
      </c>
      <c r="BC266" s="27" t="s">
        <v>8</v>
      </c>
    </row>
    <row r="267" spans="1:132" x14ac:dyDescent="0.25">
      <c r="A267" s="30">
        <v>0.26784831900023492</v>
      </c>
      <c r="B267"/>
      <c r="C267"/>
      <c r="D267"/>
      <c r="E267"/>
      <c r="F267" s="27" t="s">
        <v>7</v>
      </c>
      <c r="BC267" s="27" t="s">
        <v>8</v>
      </c>
    </row>
    <row r="268" spans="1:132" x14ac:dyDescent="0.25">
      <c r="A268" s="30">
        <v>0.25509363714308075</v>
      </c>
      <c r="B268"/>
      <c r="C268"/>
      <c r="D268"/>
      <c r="E268"/>
      <c r="F268" s="27" t="s">
        <v>7</v>
      </c>
      <c r="BC268" s="27" t="s">
        <v>8</v>
      </c>
    </row>
    <row r="269" spans="1:132" x14ac:dyDescent="0.25">
      <c r="A269" s="30">
        <v>0.24294632108864825</v>
      </c>
      <c r="B269"/>
      <c r="C269"/>
      <c r="D269"/>
      <c r="E269"/>
      <c r="F269" s="27" t="s">
        <v>7</v>
      </c>
      <c r="BC269" s="27" t="s">
        <v>8</v>
      </c>
    </row>
    <row r="270" spans="1:132" x14ac:dyDescent="0.25">
      <c r="A270" s="30">
        <v>0.23137744865585538</v>
      </c>
      <c r="B270"/>
      <c r="C270"/>
      <c r="D270"/>
      <c r="E270"/>
      <c r="F270" s="27" t="s">
        <v>7</v>
      </c>
      <c r="BC270" s="27" t="s">
        <v>8</v>
      </c>
    </row>
    <row r="271" spans="1:132" x14ac:dyDescent="0.25">
      <c r="A271" s="30">
        <v>0.22035947491033836</v>
      </c>
      <c r="B271"/>
      <c r="C271"/>
      <c r="D271"/>
      <c r="E271"/>
      <c r="F271" s="27" t="s">
        <v>7</v>
      </c>
      <c r="BC271" s="27" t="s">
        <v>8</v>
      </c>
    </row>
    <row r="272" spans="1:132" x14ac:dyDescent="0.25">
      <c r="A272" s="30">
        <v>0.20986616658127455</v>
      </c>
      <c r="B272"/>
      <c r="C272"/>
      <c r="D272"/>
      <c r="E272"/>
      <c r="F272" s="27" t="s">
        <v>7</v>
      </c>
      <c r="BC272" s="27" t="s">
        <v>8</v>
      </c>
    </row>
    <row r="273" spans="1:55" x14ac:dyDescent="0.25">
      <c r="A273" s="30">
        <v>0.19987253960121379</v>
      </c>
      <c r="B273"/>
      <c r="C273"/>
      <c r="D273"/>
      <c r="E273"/>
      <c r="F273" s="27" t="s">
        <v>7</v>
      </c>
      <c r="BC273" s="27" t="s">
        <v>8</v>
      </c>
    </row>
    <row r="274" spans="1:55" x14ac:dyDescent="0.25">
      <c r="A274" s="30">
        <v>0.19035479962020352</v>
      </c>
      <c r="B274"/>
      <c r="C274"/>
      <c r="D274"/>
      <c r="E274"/>
      <c r="F274" s="27" t="s">
        <v>7</v>
      </c>
      <c r="BC274" s="27" t="s">
        <v>8</v>
      </c>
    </row>
    <row r="275" spans="1:55" x14ac:dyDescent="0.25">
      <c r="A275" s="30">
        <v>0.18129028535257471</v>
      </c>
      <c r="B275"/>
      <c r="C275"/>
      <c r="D275"/>
      <c r="E275"/>
      <c r="F275" s="27" t="s">
        <v>7</v>
      </c>
      <c r="BC275" s="27" t="s">
        <v>8</v>
      </c>
    </row>
    <row r="276" spans="1:55" x14ac:dyDescent="0.25">
      <c r="A276" s="30">
        <v>0.17265741462149967</v>
      </c>
      <c r="B276"/>
      <c r="C276"/>
      <c r="D276"/>
      <c r="E276"/>
      <c r="F276" s="27" t="s">
        <v>7</v>
      </c>
      <c r="BC276" s="27" t="s">
        <v>8</v>
      </c>
    </row>
    <row r="277" spans="1:55" x14ac:dyDescent="0.25">
      <c r="A277" s="30">
        <v>0.16443563297285677</v>
      </c>
      <c r="B277"/>
      <c r="C277"/>
      <c r="D277"/>
      <c r="E277"/>
      <c r="F277" s="27" t="s">
        <v>7</v>
      </c>
      <c r="BC277" s="27" t="s">
        <v>8</v>
      </c>
    </row>
    <row r="278" spans="1:55" x14ac:dyDescent="0.25">
      <c r="A278" s="30">
        <v>0.15660536473605399</v>
      </c>
      <c r="B278"/>
      <c r="C278"/>
      <c r="D278"/>
      <c r="E278"/>
      <c r="F278" s="27" t="s">
        <v>7</v>
      </c>
      <c r="BC278" s="27" t="s">
        <v>8</v>
      </c>
    </row>
    <row r="279" spans="1:55" x14ac:dyDescent="0.25">
      <c r="A279" s="30">
        <v>0.14914796641528946</v>
      </c>
      <c r="B279"/>
      <c r="C279"/>
      <c r="D279"/>
      <c r="E279"/>
      <c r="F279" s="27" t="s">
        <v>7</v>
      </c>
      <c r="BC279" s="27" t="s">
        <v>8</v>
      </c>
    </row>
    <row r="280" spans="1:55" x14ac:dyDescent="0.25">
      <c r="A280" s="30">
        <v>0.14204568230027562</v>
      </c>
      <c r="B280"/>
      <c r="C280"/>
      <c r="D280"/>
      <c r="E280"/>
      <c r="F280" s="27" t="s">
        <v>7</v>
      </c>
      <c r="BC280" s="27" t="s">
        <v>8</v>
      </c>
    </row>
    <row r="281" spans="1:55" x14ac:dyDescent="0.25">
      <c r="A281" s="30">
        <v>0.13528160219073862</v>
      </c>
      <c r="B281"/>
      <c r="C281"/>
      <c r="D281"/>
      <c r="E281"/>
      <c r="F281" s="27" t="s">
        <v>7</v>
      </c>
      <c r="BC281" s="27" t="s">
        <v>8</v>
      </c>
    </row>
    <row r="282" spans="1:55" x14ac:dyDescent="0.25">
      <c r="A282" s="30">
        <v>0.12883962113403674</v>
      </c>
      <c r="B282"/>
      <c r="C282"/>
      <c r="D282"/>
      <c r="E282"/>
      <c r="F282" s="27" t="s">
        <v>7</v>
      </c>
      <c r="BC282" s="27" t="s">
        <v>8</v>
      </c>
    </row>
    <row r="283" spans="1:55" x14ac:dyDescent="0.25">
      <c r="A283" s="30">
        <v>0.12270440108003494</v>
      </c>
      <c r="B283"/>
      <c r="C283"/>
      <c r="D283"/>
      <c r="E283"/>
      <c r="F283" s="27" t="s">
        <v>7</v>
      </c>
      <c r="BC283" s="27" t="s">
        <v>8</v>
      </c>
    </row>
    <row r="284" spans="1:55" x14ac:dyDescent="0.25">
      <c r="A284" s="30">
        <v>0.11686133436193799</v>
      </c>
      <c r="B284"/>
      <c r="C284"/>
      <c r="D284"/>
      <c r="E284"/>
      <c r="F284" s="27" t="s">
        <v>7</v>
      </c>
      <c r="BC284" s="27" t="s">
        <v>8</v>
      </c>
    </row>
    <row r="285" spans="1:55" x14ac:dyDescent="0.25">
      <c r="A285" s="30">
        <v>0.11129650891613138</v>
      </c>
      <c r="B285"/>
      <c r="C285"/>
      <c r="D285"/>
      <c r="E285"/>
      <c r="F285" s="27" t="s">
        <v>7</v>
      </c>
      <c r="BC285" s="27" t="s">
        <v>8</v>
      </c>
    </row>
    <row r="286" spans="1:55" x14ac:dyDescent="0.25">
      <c r="A286" s="30">
        <v>0.10599667515822032</v>
      </c>
      <c r="B286"/>
      <c r="C286"/>
      <c r="D286"/>
      <c r="E286"/>
      <c r="F286" s="27" t="s">
        <v>7</v>
      </c>
      <c r="BC286" s="27" t="s">
        <v>8</v>
      </c>
    </row>
    <row r="287" spans="1:55" x14ac:dyDescent="0.25">
      <c r="A287" s="30">
        <v>0.10094921443640027</v>
      </c>
      <c r="B287"/>
      <c r="C287"/>
      <c r="D287"/>
      <c r="E287"/>
      <c r="F287" s="27" t="s">
        <v>7</v>
      </c>
      <c r="BC287" s="27" t="s">
        <v>8</v>
      </c>
    </row>
    <row r="288" spans="1:55" x14ac:dyDescent="0.25">
      <c r="A288" s="30">
        <v>9.6142108987047836E-2</v>
      </c>
      <c r="B288"/>
      <c r="C288"/>
      <c r="D288"/>
      <c r="E288"/>
      <c r="F288" s="27" t="s">
        <v>7</v>
      </c>
      <c r="BC288" s="27" t="s">
        <v>8</v>
      </c>
    </row>
    <row r="289" spans="1:55" x14ac:dyDescent="0.25">
      <c r="A289" s="30">
        <v>9.1563913320997906E-2</v>
      </c>
      <c r="B289"/>
      <c r="C289"/>
      <c r="D289"/>
      <c r="E289"/>
      <c r="F289" s="27" t="s">
        <v>7</v>
      </c>
      <c r="BC289" s="27" t="s">
        <v>8</v>
      </c>
    </row>
    <row r="290" spans="1:55" x14ac:dyDescent="0.25">
      <c r="A290" s="30">
        <v>8.7203726972378923E-2</v>
      </c>
      <c r="B290"/>
      <c r="C290"/>
      <c r="D290"/>
      <c r="E290"/>
      <c r="F290" s="27" t="s">
        <v>7</v>
      </c>
      <c r="BC290" s="27" t="s">
        <v>8</v>
      </c>
    </row>
    <row r="291" spans="1:55" x14ac:dyDescent="0.25">
      <c r="A291" s="30">
        <v>8.3051168545122747E-2</v>
      </c>
      <c r="B291"/>
      <c r="C291"/>
      <c r="D291"/>
      <c r="E291"/>
      <c r="F291" s="27" t="s">
        <v>7</v>
      </c>
      <c r="BC291" s="27" t="s">
        <v>8</v>
      </c>
    </row>
    <row r="292" spans="1:55" x14ac:dyDescent="0.25">
      <c r="A292" s="30">
        <v>7.9096350995354961E-2</v>
      </c>
      <c r="B292"/>
      <c r="C292"/>
      <c r="D292"/>
      <c r="E292"/>
      <c r="F292" s="27" t="s">
        <v>7</v>
      </c>
      <c r="BC292" s="27" t="s">
        <v>8</v>
      </c>
    </row>
    <row r="293" spans="1:55" x14ac:dyDescent="0.25">
      <c r="A293" s="30">
        <v>7.5329858090814217E-2</v>
      </c>
      <c r="B293"/>
      <c r="C293"/>
      <c r="D293"/>
      <c r="E293"/>
      <c r="F293" s="27" t="s">
        <v>7</v>
      </c>
      <c r="BC293" s="27" t="s">
        <v>8</v>
      </c>
    </row>
    <row r="294" spans="1:55" x14ac:dyDescent="0.25">
      <c r="A294" s="30">
        <v>7.1742721991251604E-2</v>
      </c>
      <c r="B294"/>
      <c r="C294"/>
      <c r="D294"/>
      <c r="E294"/>
      <c r="F294" s="27" t="s">
        <v>7</v>
      </c>
      <c r="BC294" s="27" t="s">
        <v>8</v>
      </c>
    </row>
    <row r="295" spans="1:55" x14ac:dyDescent="0.25">
      <c r="A295" s="30">
        <v>6.8326401896430078E-2</v>
      </c>
      <c r="B295"/>
      <c r="C295"/>
      <c r="D295"/>
      <c r="E295"/>
      <c r="F295" s="27" t="s">
        <v>7</v>
      </c>
      <c r="BC295" s="27" t="s">
        <v>8</v>
      </c>
    </row>
    <row r="296" spans="1:55" x14ac:dyDescent="0.25">
      <c r="A296" s="30">
        <v>6.5072763710885759E-2</v>
      </c>
      <c r="B296"/>
      <c r="C296"/>
      <c r="D296"/>
      <c r="E296"/>
      <c r="F296" s="27" t="s">
        <v>7</v>
      </c>
      <c r="BC296" s="27" t="s">
        <v>8</v>
      </c>
    </row>
    <row r="297" spans="1:55" x14ac:dyDescent="0.25">
      <c r="A297" s="30">
        <v>6.197406067703403E-2</v>
      </c>
      <c r="B297"/>
      <c r="C297"/>
      <c r="D297"/>
      <c r="E297"/>
      <c r="F297" s="27" t="s">
        <v>7</v>
      </c>
      <c r="BC297" s="27" t="s">
        <v>8</v>
      </c>
    </row>
    <row r="298" spans="1:55" x14ac:dyDescent="0.25">
      <c r="A298" s="30">
        <v>5.9022914930508576E-2</v>
      </c>
      <c r="B298"/>
      <c r="C298"/>
      <c r="D298"/>
      <c r="E298"/>
      <c r="F298" s="27" t="s">
        <v>7</v>
      </c>
      <c r="BC298" s="27" t="s">
        <v>8</v>
      </c>
    </row>
    <row r="299" spans="1:55" x14ac:dyDescent="0.25">
      <c r="A299" s="30">
        <v>5.6212299933817669E-2</v>
      </c>
      <c r="B299"/>
      <c r="C299"/>
      <c r="D299"/>
      <c r="E299"/>
      <c r="F299" s="27" t="s">
        <v>7</v>
      </c>
      <c r="BC299" s="27" t="s">
        <v>8</v>
      </c>
    </row>
    <row r="300" spans="1:55" x14ac:dyDescent="0.25">
      <c r="A300" s="30">
        <v>5.3535523746492994E-2</v>
      </c>
      <c r="B300"/>
      <c r="C300"/>
      <c r="D300"/>
      <c r="E300"/>
      <c r="F300" s="27" t="s">
        <v>7</v>
      </c>
      <c r="BC300" s="27" t="s">
        <v>8</v>
      </c>
    </row>
    <row r="301" spans="1:55" x14ac:dyDescent="0.25">
      <c r="A301" s="30">
        <v>5.0986213091898068E-2</v>
      </c>
      <c r="B301"/>
      <c r="C301"/>
      <c r="D301"/>
      <c r="E301"/>
      <c r="F301" s="27" t="s">
        <v>7</v>
      </c>
      <c r="BC301" s="27" t="s">
        <v>8</v>
      </c>
    </row>
    <row r="302" spans="1:55" x14ac:dyDescent="0.25">
      <c r="A302" s="30">
        <v>4.8558298182760043E-2</v>
      </c>
      <c r="B302"/>
      <c r="C302"/>
      <c r="D302"/>
      <c r="E302"/>
      <c r="F302" s="27" t="s">
        <v>7</v>
      </c>
      <c r="BC302" s="27" t="s">
        <v>8</v>
      </c>
    </row>
    <row r="303" spans="1:55" x14ac:dyDescent="0.25">
      <c r="A303" s="30">
        <v>4.6245998269295263E-2</v>
      </c>
      <c r="B303"/>
      <c r="C303"/>
      <c r="D303"/>
      <c r="E303"/>
      <c r="F303" s="27" t="s">
        <v>7</v>
      </c>
      <c r="BC303" s="27" t="s">
        <v>8</v>
      </c>
    </row>
    <row r="304" spans="1:55" x14ac:dyDescent="0.25">
      <c r="A304" s="30">
        <v>4.4043807875519279E-2</v>
      </c>
      <c r="B304"/>
      <c r="C304"/>
      <c r="D304"/>
      <c r="E304"/>
      <c r="F304" s="27" t="s">
        <v>7</v>
      </c>
      <c r="BC304" s="27" t="s">
        <v>8</v>
      </c>
    </row>
    <row r="305" spans="1:55" x14ac:dyDescent="0.25">
      <c r="A305" s="30">
        <v>4.1946483690970725E-2</v>
      </c>
      <c r="B305"/>
      <c r="C305"/>
      <c r="D305"/>
      <c r="E305"/>
      <c r="F305" s="27" t="s">
        <v>7</v>
      </c>
      <c r="BC305" s="27" t="s">
        <v>8</v>
      </c>
    </row>
    <row r="306" spans="1:55" x14ac:dyDescent="0.25">
      <c r="A306" s="30">
        <v>3.9949032086638768E-2</v>
      </c>
      <c r="B306"/>
      <c r="C306"/>
      <c r="D306"/>
      <c r="E306"/>
      <c r="F306" s="27" t="s">
        <v>7</v>
      </c>
      <c r="BC306" s="27" t="s">
        <v>8</v>
      </c>
    </row>
    <row r="307" spans="1:55" x14ac:dyDescent="0.25">
      <c r="A307" s="30">
        <v>3.8046697225370241E-2</v>
      </c>
      <c r="B307"/>
      <c r="C307"/>
      <c r="D307"/>
      <c r="E307"/>
      <c r="F307" s="27" t="s">
        <v>7</v>
      </c>
      <c r="BC307" s="27" t="s">
        <v>8</v>
      </c>
    </row>
    <row r="308" spans="1:55" x14ac:dyDescent="0.25">
      <c r="A308" s="30">
        <v>3.6234949738447833E-2</v>
      </c>
      <c r="B308"/>
      <c r="C308"/>
      <c r="D308"/>
      <c r="E308"/>
      <c r="F308" s="27" t="s">
        <v>7</v>
      </c>
      <c r="BC308" s="27" t="s">
        <v>8</v>
      </c>
    </row>
    <row r="309" spans="1:55" x14ac:dyDescent="0.25">
      <c r="A309" s="30">
        <v>3.4509475941378875E-2</v>
      </c>
      <c r="B309"/>
      <c r="C309"/>
      <c r="D309"/>
      <c r="E309"/>
      <c r="F309" s="27" t="s">
        <v>7</v>
      </c>
      <c r="BC309" s="27" t="s">
        <v>8</v>
      </c>
    </row>
    <row r="310" spans="1:55" x14ac:dyDescent="0.25">
      <c r="A310" s="30">
        <v>3.286616756321796E-2</v>
      </c>
      <c r="B310"/>
      <c r="C310"/>
      <c r="D310"/>
      <c r="E310"/>
      <c r="F310" s="27" t="s">
        <v>7</v>
      </c>
      <c r="BC310" s="27" t="s">
        <v>8</v>
      </c>
    </row>
    <row r="311" spans="1:55" x14ac:dyDescent="0.25">
      <c r="A311" s="30">
        <v>3.1301111964969472E-2</v>
      </c>
      <c r="B311"/>
      <c r="C311"/>
      <c r="D311"/>
      <c r="E311"/>
      <c r="F311" s="27" t="s">
        <v>7</v>
      </c>
      <c r="BC311" s="27" t="s">
        <v>8</v>
      </c>
    </row>
    <row r="312" spans="1:55" x14ac:dyDescent="0.25">
      <c r="A312" s="30">
        <v>2.9810582823780438E-2</v>
      </c>
      <c r="B312"/>
      <c r="C312"/>
      <c r="D312"/>
      <c r="E312"/>
      <c r="F312" s="27" t="s">
        <v>7</v>
      </c>
      <c r="BC312" s="27" t="s">
        <v>8</v>
      </c>
    </row>
    <row r="313" spans="1:55" x14ac:dyDescent="0.25">
      <c r="A313" s="30">
        <v>2.8391031260743264E-2</v>
      </c>
      <c r="B313"/>
      <c r="C313"/>
      <c r="D313"/>
      <c r="E313"/>
      <c r="F313" s="27" t="s">
        <v>7</v>
      </c>
      <c r="BC313" s="27" t="s">
        <v>8</v>
      </c>
    </row>
    <row r="314" spans="1:55" x14ac:dyDescent="0.25">
      <c r="A314" s="30">
        <v>2.7039077391184052E-2</v>
      </c>
      <c r="B314"/>
      <c r="C314"/>
      <c r="D314"/>
      <c r="E314"/>
      <c r="F314" s="27" t="s">
        <v>7</v>
      </c>
      <c r="BC314" s="27" t="s">
        <v>8</v>
      </c>
    </row>
    <row r="315" spans="1:55" x14ac:dyDescent="0.25">
      <c r="A315" s="30">
        <v>2.5751502277318133E-2</v>
      </c>
      <c r="B315"/>
      <c r="C315"/>
      <c r="D315"/>
      <c r="E315"/>
      <c r="F315" s="27" t="s">
        <v>7</v>
      </c>
      <c r="BC315" s="27" t="s">
        <v>8</v>
      </c>
    </row>
    <row r="316" spans="1:55" x14ac:dyDescent="0.25">
      <c r="A316" s="30">
        <v>2.4525240264112496E-2</v>
      </c>
      <c r="B316"/>
      <c r="C316"/>
      <c r="D316"/>
      <c r="E316"/>
      <c r="F316" s="27" t="s">
        <v>7</v>
      </c>
      <c r="BC316" s="27" t="s">
        <v>8</v>
      </c>
    </row>
    <row r="317" spans="1:55" x14ac:dyDescent="0.25">
      <c r="A317" s="30">
        <v>2.3357371680107129E-2</v>
      </c>
      <c r="B317"/>
      <c r="C317"/>
      <c r="D317"/>
      <c r="E317"/>
      <c r="F317" s="27" t="s">
        <v>7</v>
      </c>
      <c r="BC317" s="27" t="s">
        <v>8</v>
      </c>
    </row>
    <row r="318" spans="1:55" x14ac:dyDescent="0.25">
      <c r="A318" s="30">
        <v>2.2245115885816305E-2</v>
      </c>
      <c r="B318"/>
      <c r="C318"/>
      <c r="D318"/>
      <c r="E318"/>
      <c r="F318" s="27" t="s">
        <v>7</v>
      </c>
      <c r="BC318" s="27" t="s">
        <v>8</v>
      </c>
    </row>
    <row r="319" spans="1:55" x14ac:dyDescent="0.25">
      <c r="A319" s="30">
        <v>2.1185824653158377E-2</v>
      </c>
      <c r="B319"/>
      <c r="C319"/>
      <c r="D319"/>
      <c r="E319"/>
      <c r="F319" s="27" t="s">
        <v>7</v>
      </c>
      <c r="BC319" s="27" t="s">
        <v>8</v>
      </c>
    </row>
    <row r="320" spans="1:55" x14ac:dyDescent="0.25">
      <c r="A320" s="30">
        <v>2.0176975860150829E-2</v>
      </c>
      <c r="B320"/>
      <c r="C320"/>
      <c r="D320"/>
      <c r="E320"/>
      <c r="F320" s="27" t="s">
        <v>7</v>
      </c>
      <c r="BC320" s="27" t="s">
        <v>8</v>
      </c>
    </row>
    <row r="321" spans="1:55" x14ac:dyDescent="0.25">
      <c r="A321" s="30">
        <v>1.9216167485857926E-2</v>
      </c>
      <c r="B321"/>
      <c r="C321"/>
      <c r="D321"/>
      <c r="E321"/>
      <c r="F321" s="27" t="s">
        <v>7</v>
      </c>
      <c r="BC321" s="27" t="s">
        <v>8</v>
      </c>
    </row>
    <row r="322" spans="1:55" x14ac:dyDescent="0.25">
      <c r="A322" s="30">
        <v>1.8301111891293256E-2</v>
      </c>
      <c r="B322"/>
      <c r="C322"/>
      <c r="D322"/>
      <c r="E322"/>
      <c r="F322" s="27" t="s">
        <v>7</v>
      </c>
      <c r="BC322" s="27" t="s">
        <v>8</v>
      </c>
    </row>
    <row r="323" spans="1:55" x14ac:dyDescent="0.25">
      <c r="A323" s="30">
        <v>1.7429630372660238E-2</v>
      </c>
      <c r="B323"/>
      <c r="C323"/>
      <c r="D323"/>
      <c r="E323"/>
      <c r="F323" s="27" t="s">
        <v>7</v>
      </c>
      <c r="BC323" s="27" t="s">
        <v>8</v>
      </c>
    </row>
    <row r="324" spans="1:55" x14ac:dyDescent="0.25">
      <c r="A324" s="30">
        <v>1.6599647973962125E-2</v>
      </c>
      <c r="B324"/>
      <c r="C324"/>
      <c r="D324"/>
      <c r="E324"/>
      <c r="F324" s="27" t="s">
        <v>7</v>
      </c>
      <c r="BC324" s="27" t="s">
        <v>8</v>
      </c>
    </row>
    <row r="325" spans="1:55" x14ac:dyDescent="0.25">
      <c r="A325" s="30">
        <v>1.580918854663059E-2</v>
      </c>
      <c r="B325"/>
      <c r="C325"/>
      <c r="D325"/>
      <c r="E325"/>
      <c r="F325" s="27" t="s">
        <v>7</v>
      </c>
      <c r="BC325" s="27" t="s">
        <v>8</v>
      </c>
    </row>
    <row r="326" spans="1:55" x14ac:dyDescent="0.25">
      <c r="A326" s="30">
        <v>1.5056370044410079E-2</v>
      </c>
      <c r="B326"/>
      <c r="C326"/>
      <c r="D326"/>
      <c r="E326"/>
      <c r="F326" s="27" t="s">
        <v>7</v>
      </c>
      <c r="BC326" s="27" t="s">
        <v>8</v>
      </c>
    </row>
    <row r="327" spans="1:55" x14ac:dyDescent="0.25">
      <c r="A327" s="30">
        <v>1.4339400042295308E-2</v>
      </c>
      <c r="B327"/>
      <c r="C327"/>
      <c r="D327"/>
      <c r="E327"/>
      <c r="F327" s="27" t="s">
        <v>7</v>
      </c>
      <c r="BC327" s="27" t="s">
        <v>8</v>
      </c>
    </row>
    <row r="328" spans="1:55" x14ac:dyDescent="0.25">
      <c r="A328" s="30">
        <v>1.365657146885267E-2</v>
      </c>
      <c r="B328"/>
      <c r="C328"/>
      <c r="D328"/>
      <c r="E328"/>
      <c r="F328" s="27" t="s">
        <v>7</v>
      </c>
      <c r="BC328" s="27" t="s">
        <v>8</v>
      </c>
    </row>
    <row r="329" spans="1:55" x14ac:dyDescent="0.25">
      <c r="A329" s="30">
        <v>1.3006258541764442E-2</v>
      </c>
      <c r="B329"/>
      <c r="C329"/>
      <c r="D329"/>
      <c r="E329"/>
      <c r="F329" s="27" t="s">
        <v>7</v>
      </c>
      <c r="BC329" s="27" t="s">
        <v>8</v>
      </c>
    </row>
    <row r="330" spans="1:55" x14ac:dyDescent="0.25">
      <c r="A330" s="30">
        <v>1.2386912896918512E-2</v>
      </c>
      <c r="B330"/>
      <c r="C330"/>
      <c r="D330"/>
      <c r="E330"/>
      <c r="F330" s="27" t="s">
        <v>7</v>
      </c>
      <c r="BC330" s="27" t="s">
        <v>8</v>
      </c>
    </row>
    <row r="331" spans="1:55" x14ac:dyDescent="0.25">
      <c r="A331" s="30">
        <v>1.179705990182715E-2</v>
      </c>
      <c r="B331"/>
      <c r="C331"/>
      <c r="D331"/>
      <c r="E331"/>
      <c r="F331" s="27" t="s">
        <v>7</v>
      </c>
      <c r="BC331" s="27" t="s">
        <v>8</v>
      </c>
    </row>
    <row r="332" spans="1:55" x14ac:dyDescent="0.25">
      <c r="A332" s="30">
        <v>1.1235295144597281E-2</v>
      </c>
      <c r="B332"/>
      <c r="C332"/>
      <c r="D332"/>
      <c r="E332"/>
      <c r="F332" s="27" t="s">
        <v>7</v>
      </c>
      <c r="BC332" s="27" t="s">
        <v>8</v>
      </c>
    </row>
    <row r="333" spans="1:55" x14ac:dyDescent="0.25">
      <c r="A333" s="30">
        <v>1.0700281090092644E-2</v>
      </c>
      <c r="B333"/>
      <c r="C333"/>
      <c r="D333"/>
      <c r="E333"/>
      <c r="F333" s="27" t="s">
        <v>7</v>
      </c>
      <c r="BC333" s="27" t="s">
        <v>8</v>
      </c>
    </row>
    <row r="334" spans="1:55" x14ac:dyDescent="0.25">
      <c r="A334" s="30">
        <v>1.0190743895326324E-2</v>
      </c>
      <c r="B334"/>
      <c r="C334"/>
      <c r="D334"/>
      <c r="E334"/>
      <c r="F334" s="27" t="s">
        <v>7</v>
      </c>
      <c r="BC334" s="27" t="s">
        <v>8</v>
      </c>
    </row>
    <row r="335" spans="1:55" x14ac:dyDescent="0.25">
      <c r="A335" s="30">
        <v>9.7054703765012563E-3</v>
      </c>
      <c r="B335"/>
      <c r="C335"/>
      <c r="D335"/>
      <c r="E335"/>
      <c r="F335" s="27" t="s">
        <v>7</v>
      </c>
      <c r="BC335" s="27" t="s">
        <v>8</v>
      </c>
    </row>
    <row r="336" spans="1:55" x14ac:dyDescent="0.25">
      <c r="A336" s="30">
        <v>9.2433051204773835E-3</v>
      </c>
      <c r="B336"/>
      <c r="C336"/>
      <c r="D336"/>
      <c r="E336"/>
      <c r="F336" s="27" t="s">
        <v>7</v>
      </c>
      <c r="BC336" s="27" t="s">
        <v>8</v>
      </c>
    </row>
    <row r="337" spans="1:55" x14ac:dyDescent="0.25">
      <c r="A337" s="30">
        <v>8.8031477337879808E-3</v>
      </c>
      <c r="B337"/>
      <c r="C337"/>
      <c r="D337"/>
      <c r="E337"/>
      <c r="F337" s="27" t="s">
        <v>7</v>
      </c>
      <c r="BC337" s="27" t="s">
        <v>8</v>
      </c>
    </row>
    <row r="338" spans="1:55" x14ac:dyDescent="0.25">
      <c r="A338" s="30">
        <v>8.3839502226552166E-3</v>
      </c>
      <c r="B338"/>
      <c r="C338"/>
      <c r="D338"/>
      <c r="E338"/>
      <c r="F338" s="27" t="s">
        <v>7</v>
      </c>
      <c r="BC338" s="27" t="s">
        <v>8</v>
      </c>
    </row>
    <row r="339" spans="1:55" x14ac:dyDescent="0.25">
      <c r="A339" s="30">
        <v>7.9847144977668698E-3</v>
      </c>
      <c r="B339"/>
      <c r="C339"/>
      <c r="D339"/>
      <c r="E339"/>
      <c r="F339" s="27" t="s">
        <v>7</v>
      </c>
      <c r="BC339" s="27" t="s">
        <v>8</v>
      </c>
    </row>
    <row r="340" spans="1:55" x14ac:dyDescent="0.25">
      <c r="A340" s="30">
        <v>7.6044899978732058E-3</v>
      </c>
      <c r="B340"/>
      <c r="C340"/>
      <c r="D340"/>
      <c r="E340"/>
      <c r="F340" s="27" t="s">
        <v>7</v>
      </c>
      <c r="BC340" s="27" t="s">
        <v>8</v>
      </c>
    </row>
    <row r="341" spans="1:55" x14ac:dyDescent="0.25">
      <c r="A341" s="30">
        <v>7.2423714265459072E-3</v>
      </c>
      <c r="B341"/>
      <c r="C341"/>
      <c r="D341"/>
      <c r="E341"/>
      <c r="F341" s="27" t="s">
        <v>7</v>
      </c>
      <c r="BC341" s="27" t="s">
        <v>8</v>
      </c>
    </row>
    <row r="342" spans="1:55" x14ac:dyDescent="0.25">
      <c r="A342" s="30">
        <v>6.8974965967103846E-3</v>
      </c>
      <c r="B342"/>
      <c r="C342"/>
      <c r="D342"/>
      <c r="E342"/>
      <c r="F342" s="27" t="s">
        <v>7</v>
      </c>
      <c r="BC342" s="27" t="s">
        <v>8</v>
      </c>
    </row>
    <row r="343" spans="1:55" x14ac:dyDescent="0.25">
      <c r="A343" s="30">
        <v>6.5690443778194116E-3</v>
      </c>
      <c r="B343"/>
      <c r="C343"/>
      <c r="D343"/>
      <c r="E343"/>
      <c r="F343" s="27" t="s">
        <v>7</v>
      </c>
      <c r="BC343" s="27" t="s">
        <v>8</v>
      </c>
    </row>
    <row r="344" spans="1:55" x14ac:dyDescent="0.25">
      <c r="A344" s="30">
        <v>6.2562327407803897E-3</v>
      </c>
      <c r="B344"/>
      <c r="C344"/>
      <c r="D344"/>
      <c r="E344"/>
      <c r="F344" s="27" t="s">
        <v>7</v>
      </c>
      <c r="BC344" s="27" t="s">
        <v>8</v>
      </c>
    </row>
    <row r="345" spans="1:55" x14ac:dyDescent="0.25">
      <c r="A345" s="30">
        <v>5.9583168959813212E-3</v>
      </c>
      <c r="B345"/>
      <c r="C345"/>
      <c r="D345"/>
      <c r="E345"/>
      <c r="F345" s="27" t="s">
        <v>7</v>
      </c>
      <c r="BC345" s="27" t="s">
        <v>8</v>
      </c>
    </row>
    <row r="346" spans="1:55" x14ac:dyDescent="0.25">
      <c r="A346" s="30">
        <v>5.6745875199822084E-3</v>
      </c>
      <c r="B346"/>
      <c r="C346"/>
      <c r="D346"/>
      <c r="E346"/>
      <c r="F346" s="27" t="s">
        <v>7</v>
      </c>
      <c r="BC346" s="27" t="s">
        <v>8</v>
      </c>
    </row>
    <row r="347" spans="1:55" x14ac:dyDescent="0.25">
      <c r="A347" s="30">
        <v>5.4043690666497205E-3</v>
      </c>
      <c r="B347"/>
      <c r="C347"/>
      <c r="D347"/>
      <c r="E347"/>
      <c r="F347" s="27" t="s">
        <v>7</v>
      </c>
      <c r="BC347" s="27" t="s">
        <v>8</v>
      </c>
    </row>
    <row r="348" spans="1:55" x14ac:dyDescent="0.25">
      <c r="A348" s="30">
        <v>5.1470181587140174E-3</v>
      </c>
      <c r="B348"/>
      <c r="C348"/>
      <c r="D348"/>
      <c r="E348"/>
      <c r="F348" s="27" t="s">
        <v>7</v>
      </c>
      <c r="BC348" s="27" t="s">
        <v>8</v>
      </c>
    </row>
    <row r="349" spans="1:55" x14ac:dyDescent="0.25">
      <c r="A349" s="30">
        <v>4.9019220559181099E-3</v>
      </c>
      <c r="B349"/>
      <c r="C349"/>
      <c r="D349"/>
      <c r="E349"/>
      <c r="F349" s="27" t="s">
        <v>7</v>
      </c>
      <c r="BC349" s="27" t="s">
        <v>8</v>
      </c>
    </row>
    <row r="350" spans="1:55" x14ac:dyDescent="0.25">
      <c r="A350" s="30">
        <v>4.6684971961124836E-3</v>
      </c>
      <c r="B350"/>
      <c r="C350"/>
      <c r="D350"/>
      <c r="E350"/>
      <c r="F350" s="27" t="s">
        <v>7</v>
      </c>
      <c r="BC350" s="27" t="s">
        <v>8</v>
      </c>
    </row>
    <row r="351" spans="1:55" x14ac:dyDescent="0.25">
      <c r="A351" s="30">
        <v>4.4461878058214112E-3</v>
      </c>
      <c r="B351"/>
      <c r="C351"/>
      <c r="D351"/>
      <c r="E351"/>
      <c r="F351" s="27" t="s">
        <v>7</v>
      </c>
      <c r="BC351" s="27" t="s">
        <v>8</v>
      </c>
    </row>
    <row r="352" spans="1:55" x14ac:dyDescent="0.25">
      <c r="A352" s="30">
        <v>4.2344645769727711E-3</v>
      </c>
      <c r="B352"/>
      <c r="C352"/>
      <c r="D352"/>
      <c r="E352"/>
      <c r="F352" s="27" t="s">
        <v>7</v>
      </c>
      <c r="BC352" s="27" t="s">
        <v>8</v>
      </c>
    </row>
    <row r="353" spans="1:55" x14ac:dyDescent="0.25">
      <c r="A353" s="30">
        <v>4.0328234066407329E-3</v>
      </c>
      <c r="B353"/>
      <c r="C353"/>
      <c r="D353"/>
      <c r="E353"/>
      <c r="F353" s="27" t="s">
        <v>7</v>
      </c>
      <c r="BC353" s="27" t="s">
        <v>8</v>
      </c>
    </row>
    <row r="354" spans="1:55" x14ac:dyDescent="0.25">
      <c r="A354" s="30">
        <v>3.8407841968006963E-3</v>
      </c>
      <c r="B354"/>
      <c r="C354"/>
      <c r="D354"/>
      <c r="E354"/>
      <c r="F354" s="27" t="s">
        <v>7</v>
      </c>
      <c r="BC354" s="27" t="s">
        <v>8</v>
      </c>
    </row>
    <row r="355" spans="1:55" x14ac:dyDescent="0.25">
      <c r="A355" s="30">
        <v>3.6578897112387568E-3</v>
      </c>
      <c r="B355"/>
      <c r="C355"/>
      <c r="D355"/>
      <c r="E355"/>
      <c r="F355" s="27" t="s">
        <v>7</v>
      </c>
      <c r="BC355" s="27" t="s">
        <v>8</v>
      </c>
    </row>
    <row r="356" spans="1:55" x14ac:dyDescent="0.25">
      <c r="A356" s="30">
        <v>3.4837044868940526E-3</v>
      </c>
      <c r="B356"/>
      <c r="C356"/>
      <c r="D356"/>
      <c r="E356"/>
      <c r="F356" s="27" t="s">
        <v>7</v>
      </c>
      <c r="BC356" s="27" t="s">
        <v>8</v>
      </c>
    </row>
    <row r="357" spans="1:55" x14ac:dyDescent="0.25">
      <c r="A357" s="30">
        <v>3.3178137970419535E-3</v>
      </c>
      <c r="B357"/>
      <c r="C357"/>
      <c r="D357"/>
      <c r="E357"/>
      <c r="F357" s="27" t="s">
        <v>7</v>
      </c>
      <c r="BC357" s="27" t="s">
        <v>8</v>
      </c>
    </row>
    <row r="358" spans="1:55" x14ac:dyDescent="0.25">
      <c r="A358" s="30">
        <v>3.1598226638494781E-3</v>
      </c>
      <c r="B358"/>
      <c r="C358"/>
      <c r="D358"/>
      <c r="E358"/>
      <c r="F358" s="27" t="s">
        <v>7</v>
      </c>
      <c r="BC358" s="27" t="s">
        <v>8</v>
      </c>
    </row>
    <row r="359" spans="1:55" x14ac:dyDescent="0.25">
      <c r="A359" s="30">
        <v>3.0093549179518826E-3</v>
      </c>
      <c r="B359"/>
      <c r="C359"/>
      <c r="D359"/>
      <c r="E359"/>
      <c r="F359" s="27" t="s">
        <v>7</v>
      </c>
      <c r="BC359" s="27" t="s">
        <v>8</v>
      </c>
    </row>
    <row r="360" spans="1:55" x14ac:dyDescent="0.25">
      <c r="A360" s="30">
        <v>2.8660523028113155E-3</v>
      </c>
      <c r="B360"/>
      <c r="C360"/>
      <c r="D360"/>
      <c r="E360"/>
      <c r="F360" s="27" t="s">
        <v>7</v>
      </c>
      <c r="BC360" s="27" t="s">
        <v>8</v>
      </c>
    </row>
    <row r="361" spans="1:55" x14ac:dyDescent="0.25">
      <c r="A361" s="30">
        <v>2.7295736217250611E-3</v>
      </c>
      <c r="B361"/>
      <c r="C361"/>
      <c r="D361"/>
      <c r="E361"/>
      <c r="F361" s="27" t="s">
        <v>7</v>
      </c>
      <c r="BC361" s="27" t="s">
        <v>8</v>
      </c>
    </row>
    <row r="362" spans="1:55" x14ac:dyDescent="0.25">
      <c r="A362" s="30">
        <v>2.5995939254524381E-3</v>
      </c>
      <c r="B362"/>
      <c r="C362"/>
      <c r="D362"/>
      <c r="E362"/>
      <c r="F362" s="27" t="s">
        <v>7</v>
      </c>
      <c r="BC362" s="27" t="s">
        <v>8</v>
      </c>
    </row>
    <row r="363" spans="1:55" x14ac:dyDescent="0.25">
      <c r="A363" s="30">
        <v>2.4758037385261304E-3</v>
      </c>
      <c r="B363"/>
      <c r="C363"/>
      <c r="D363"/>
      <c r="E363"/>
      <c r="F363" s="27" t="s">
        <v>7</v>
      </c>
      <c r="BC363" s="27" t="s">
        <v>8</v>
      </c>
    </row>
    <row r="364" spans="1:55" x14ac:dyDescent="0.25">
      <c r="A364" s="30">
        <v>2.3579083224058374E-3</v>
      </c>
      <c r="B364"/>
      <c r="C364"/>
      <c r="D364"/>
      <c r="E364"/>
      <c r="F364" s="27" t="s">
        <v>7</v>
      </c>
      <c r="BC364" s="27" t="s">
        <v>8</v>
      </c>
    </row>
    <row r="365" spans="1:55" x14ac:dyDescent="0.25">
      <c r="A365" s="30">
        <v>2.245626973719844E-3</v>
      </c>
      <c r="B365"/>
      <c r="C365"/>
      <c r="D365"/>
      <c r="E365"/>
      <c r="F365" s="27" t="s">
        <v>7</v>
      </c>
      <c r="BC365" s="27" t="s">
        <v>8</v>
      </c>
    </row>
    <row r="366" spans="1:55" x14ac:dyDescent="0.25">
      <c r="A366" s="30">
        <v>2.1386923559236601E-3</v>
      </c>
      <c r="B366"/>
      <c r="C366"/>
      <c r="D366"/>
      <c r="E366"/>
      <c r="F366" s="27" t="s">
        <v>7</v>
      </c>
      <c r="BC366" s="27" t="s">
        <v>8</v>
      </c>
    </row>
    <row r="367" spans="1:55" x14ac:dyDescent="0.25">
      <c r="A367" s="30">
        <v>2.0368498627844375E-3</v>
      </c>
      <c r="B367"/>
      <c r="C367"/>
      <c r="D367"/>
      <c r="E367"/>
      <c r="F367" s="27" t="s">
        <v>7</v>
      </c>
      <c r="BC367" s="27" t="s">
        <v>8</v>
      </c>
    </row>
    <row r="368" spans="1:55" x14ac:dyDescent="0.25">
      <c r="A368" s="30">
        <v>1.9398570121756541E-3</v>
      </c>
      <c r="B368"/>
      <c r="C368"/>
      <c r="D368"/>
      <c r="E368"/>
      <c r="F368" s="27" t="s">
        <v>7</v>
      </c>
      <c r="BC368" s="27" t="s">
        <v>8</v>
      </c>
    </row>
    <row r="369" spans="1:55" x14ac:dyDescent="0.25">
      <c r="A369" s="30">
        <v>1.8474828687387174E-3</v>
      </c>
      <c r="B369"/>
      <c r="C369"/>
      <c r="D369"/>
      <c r="E369"/>
      <c r="F369" s="27" t="s">
        <v>7</v>
      </c>
      <c r="BC369" s="27" t="s">
        <v>8</v>
      </c>
    </row>
    <row r="370" spans="1:55" x14ac:dyDescent="0.25">
      <c r="A370" s="30">
        <v>1.759507494036873E-3</v>
      </c>
      <c r="B370"/>
      <c r="C370"/>
      <c r="D370"/>
      <c r="E370"/>
      <c r="F370" s="27" t="s">
        <v>7</v>
      </c>
      <c r="BC370" s="27" t="s">
        <v>8</v>
      </c>
    </row>
    <row r="371" spans="1:55" x14ac:dyDescent="0.25">
      <c r="A371" s="30">
        <v>1.6757214228922594E-3</v>
      </c>
      <c r="B371"/>
      <c r="C371"/>
      <c r="D371"/>
      <c r="E371"/>
      <c r="F371" s="27" t="s">
        <v>7</v>
      </c>
      <c r="BC371" s="27" t="s">
        <v>8</v>
      </c>
    </row>
    <row r="372" spans="1:55" x14ac:dyDescent="0.25">
      <c r="A372" s="30">
        <v>1.595925164659294E-3</v>
      </c>
      <c r="B372"/>
      <c r="C372"/>
      <c r="D372"/>
      <c r="E372"/>
      <c r="F372" s="27" t="s">
        <v>7</v>
      </c>
      <c r="BC372" s="27" t="s">
        <v>8</v>
      </c>
    </row>
    <row r="373" spans="1:55" x14ac:dyDescent="0.25">
      <c r="A373" s="30">
        <v>1.5199287282469461E-3</v>
      </c>
      <c r="B373"/>
      <c r="C373"/>
      <c r="D373"/>
      <c r="E373"/>
      <c r="F373" s="27" t="s">
        <v>7</v>
      </c>
      <c r="BC373" s="27" t="s">
        <v>8</v>
      </c>
    </row>
    <row r="374" spans="1:55" x14ac:dyDescent="0.25">
      <c r="A374" s="30">
        <v>1.4475511697589958E-3</v>
      </c>
      <c r="B374"/>
      <c r="C374"/>
      <c r="D374"/>
      <c r="E374"/>
      <c r="F374" s="27" t="s">
        <v>7</v>
      </c>
      <c r="BC374" s="27" t="s">
        <v>8</v>
      </c>
    </row>
    <row r="375" spans="1:55" x14ac:dyDescent="0.25">
      <c r="A375" s="30">
        <v>1.3786201616752334E-3</v>
      </c>
      <c r="B375"/>
      <c r="C375"/>
      <c r="D375"/>
      <c r="E375"/>
      <c r="F375" s="27" t="s">
        <v>7</v>
      </c>
      <c r="BC375" s="27" t="s">
        <v>8</v>
      </c>
    </row>
    <row r="376" spans="1:55" x14ac:dyDescent="0.25">
      <c r="A376" s="30">
        <v>1.3129715825478407E-3</v>
      </c>
      <c r="B376"/>
      <c r="C376"/>
      <c r="D376"/>
      <c r="E376"/>
      <c r="F376" s="27" t="s">
        <v>7</v>
      </c>
      <c r="BC376" s="27" t="s">
        <v>8</v>
      </c>
    </row>
    <row r="377" spans="1:55" x14ac:dyDescent="0.25">
      <c r="A377" s="30">
        <v>1.2504491262360382E-3</v>
      </c>
      <c r="B377"/>
      <c r="C377"/>
      <c r="D377"/>
      <c r="E377"/>
      <c r="F377" s="27" t="s">
        <v>7</v>
      </c>
      <c r="BC377" s="27" t="s">
        <v>8</v>
      </c>
    </row>
    <row r="378" spans="1:55" x14ac:dyDescent="0.25">
      <c r="A378" s="30">
        <v>1.1909039297486072E-3</v>
      </c>
      <c r="B378"/>
      <c r="C378"/>
      <c r="D378"/>
      <c r="E378"/>
      <c r="F378" s="27" t="s">
        <v>7</v>
      </c>
      <c r="BC378" s="27" t="s">
        <v>8</v>
      </c>
    </row>
    <row r="379" spans="1:55" x14ac:dyDescent="0.25">
      <c r="A379" s="30">
        <v>1.1341942188081969E-3</v>
      </c>
      <c r="B379"/>
      <c r="C379"/>
      <c r="D379"/>
      <c r="E379"/>
      <c r="F379" s="27" t="s">
        <v>7</v>
      </c>
      <c r="BC379" s="27" t="s">
        <v>8</v>
      </c>
    </row>
    <row r="380" spans="1:55" x14ac:dyDescent="0.25">
      <c r="A380" s="30">
        <v>1.0801849702935203E-3</v>
      </c>
      <c r="B380"/>
      <c r="C380"/>
      <c r="D380"/>
      <c r="E380"/>
      <c r="F380" s="27" t="s">
        <v>7</v>
      </c>
      <c r="BC380" s="27" t="s">
        <v>8</v>
      </c>
    </row>
    <row r="381" spans="1:55" x14ac:dyDescent="0.25">
      <c r="A381" s="30">
        <v>1.0287475907557332E-3</v>
      </c>
      <c r="B381"/>
      <c r="C381"/>
      <c r="D381"/>
      <c r="E381"/>
      <c r="F381" s="27" t="s">
        <v>7</v>
      </c>
      <c r="BC381" s="27" t="s">
        <v>8</v>
      </c>
    </row>
    <row r="382" spans="1:55" x14ac:dyDescent="0.25">
      <c r="A382" s="30">
        <v>9.7731021121794646E-4</v>
      </c>
      <c r="F382" s="27" t="s">
        <v>7</v>
      </c>
      <c r="BC382" s="27" t="s">
        <v>8</v>
      </c>
    </row>
    <row r="383" spans="1:55" x14ac:dyDescent="0.25">
      <c r="A383" s="30">
        <v>9.2844470065704904E-4</v>
      </c>
      <c r="F383" s="27" t="s">
        <v>7</v>
      </c>
      <c r="BC383" s="27" t="s">
        <v>8</v>
      </c>
    </row>
    <row r="384" spans="1:55" x14ac:dyDescent="0.25">
      <c r="A384" s="30">
        <v>8.8202246562419653E-4</v>
      </c>
      <c r="F384" s="27" t="s">
        <v>7</v>
      </c>
      <c r="BC384" s="27" t="s">
        <v>8</v>
      </c>
    </row>
    <row r="385" spans="1:55" x14ac:dyDescent="0.25">
      <c r="A385" s="30">
        <v>8.3792134234298668E-4</v>
      </c>
      <c r="F385" s="27" t="s">
        <v>7</v>
      </c>
      <c r="BC385" s="27" t="s">
        <v>8</v>
      </c>
    </row>
    <row r="386" spans="1:55" x14ac:dyDescent="0.25">
      <c r="A386" s="30">
        <v>7.9602527522583736E-4</v>
      </c>
      <c r="F386" s="27" t="s">
        <v>7</v>
      </c>
      <c r="BC386" s="27" t="s">
        <v>8</v>
      </c>
    </row>
    <row r="387" spans="1:55" x14ac:dyDescent="0.25">
      <c r="A387" s="30">
        <v>7.5622401146454546E-4</v>
      </c>
      <c r="F387" s="27" t="s">
        <v>7</v>
      </c>
      <c r="K387" s="27" t="s">
        <v>8</v>
      </c>
      <c r="BA387" s="27" t="s">
        <v>8</v>
      </c>
      <c r="BC387" s="27" t="s">
        <v>8</v>
      </c>
    </row>
    <row r="388" spans="1:55" x14ac:dyDescent="0.25">
      <c r="A388" s="30">
        <v>7.1841281089131816E-4</v>
      </c>
      <c r="F388" s="27" t="s">
        <v>7</v>
      </c>
      <c r="I388" s="27" t="s">
        <v>8</v>
      </c>
      <c r="K388" s="27" t="s">
        <v>8</v>
      </c>
      <c r="L388" s="27" t="s">
        <v>7</v>
      </c>
      <c r="BA388" s="27" t="s">
        <v>8</v>
      </c>
      <c r="BB388" s="27" t="s">
        <v>7</v>
      </c>
      <c r="BC388" s="27" t="s">
        <v>8</v>
      </c>
    </row>
    <row r="389" spans="1:55" x14ac:dyDescent="0.25">
      <c r="A389" s="30">
        <v>6.8249217034675226E-4</v>
      </c>
      <c r="F389" s="27" t="s">
        <v>7</v>
      </c>
      <c r="I389" s="27" t="s">
        <v>8</v>
      </c>
      <c r="J389" s="27" t="s">
        <v>7</v>
      </c>
      <c r="K389" s="27" t="s">
        <v>8</v>
      </c>
      <c r="L389" s="27" t="s">
        <v>7</v>
      </c>
      <c r="M389" s="27" t="s">
        <v>8</v>
      </c>
      <c r="BA389" s="27" t="s">
        <v>8</v>
      </c>
      <c r="BB389" s="27" t="s">
        <v>7</v>
      </c>
      <c r="BC389" s="27" t="s">
        <v>8</v>
      </c>
    </row>
    <row r="390" spans="1:55" x14ac:dyDescent="0.25">
      <c r="A390" s="30">
        <v>6.4836756182941465E-4</v>
      </c>
      <c r="F390" s="27" t="s">
        <v>7</v>
      </c>
      <c r="G390" s="27" t="s">
        <v>8</v>
      </c>
      <c r="I390" s="27" t="s">
        <v>8</v>
      </c>
      <c r="J390" s="27" t="s">
        <v>7</v>
      </c>
      <c r="L390" s="27" t="s">
        <v>7</v>
      </c>
      <c r="M390" s="27" t="s">
        <v>8</v>
      </c>
      <c r="N390" s="27" t="s">
        <v>7</v>
      </c>
      <c r="AK390" s="27" t="s">
        <v>8</v>
      </c>
      <c r="BA390" s="27" t="s">
        <v>8</v>
      </c>
      <c r="BB390" s="27" t="s">
        <v>7</v>
      </c>
      <c r="BC390" s="27" t="s">
        <v>8</v>
      </c>
    </row>
    <row r="391" spans="1:55" x14ac:dyDescent="0.25">
      <c r="A391" s="30">
        <v>6.1594918373794388E-4</v>
      </c>
      <c r="F391" s="27" t="s">
        <v>7</v>
      </c>
      <c r="G391" s="27" t="s">
        <v>8</v>
      </c>
      <c r="H391" s="27" t="s">
        <v>7</v>
      </c>
      <c r="I391" s="27" t="s">
        <v>8</v>
      </c>
      <c r="L391" s="27" t="s">
        <v>7</v>
      </c>
      <c r="M391" s="27" t="s">
        <v>8</v>
      </c>
      <c r="N391" s="27" t="s">
        <v>7</v>
      </c>
      <c r="AI391" s="27" t="s">
        <v>8</v>
      </c>
      <c r="AK391" s="27" t="s">
        <v>8</v>
      </c>
      <c r="AL391" s="27" t="s">
        <v>7</v>
      </c>
      <c r="BA391" s="27" t="s">
        <v>8</v>
      </c>
      <c r="BB391" s="27" t="s">
        <v>7</v>
      </c>
      <c r="BC391" s="27" t="s">
        <v>8</v>
      </c>
    </row>
    <row r="392" spans="1:55" x14ac:dyDescent="0.25">
      <c r="A392" s="30">
        <v>5.8515172455104666E-4</v>
      </c>
      <c r="F392" s="27" t="s">
        <v>7</v>
      </c>
      <c r="G392" s="27" t="s">
        <v>8</v>
      </c>
      <c r="H392" s="27" t="s">
        <v>7</v>
      </c>
      <c r="I392" s="27" t="s">
        <v>8</v>
      </c>
      <c r="L392" s="27" t="s">
        <v>7</v>
      </c>
      <c r="N392" s="27" t="s">
        <v>7</v>
      </c>
      <c r="AI392" s="27" t="s">
        <v>8</v>
      </c>
      <c r="AJ392" s="27" t="s">
        <v>7</v>
      </c>
      <c r="AK392" s="27" t="s">
        <v>8</v>
      </c>
      <c r="AL392" s="27" t="s">
        <v>7</v>
      </c>
      <c r="BA392" s="27" t="s">
        <v>8</v>
      </c>
      <c r="BB392" s="27" t="s">
        <v>7</v>
      </c>
      <c r="BC392" s="27" t="s">
        <v>8</v>
      </c>
    </row>
    <row r="393" spans="1:55" x14ac:dyDescent="0.25">
      <c r="A393" s="30">
        <v>5.5589413832349429E-4</v>
      </c>
      <c r="F393" s="27" t="s">
        <v>7</v>
      </c>
      <c r="H393" s="27" t="s">
        <v>7</v>
      </c>
      <c r="I393" s="27" t="s">
        <v>8</v>
      </c>
      <c r="N393" s="27" t="s">
        <v>7</v>
      </c>
      <c r="AI393" s="27" t="s">
        <v>8</v>
      </c>
      <c r="AJ393" s="27" t="s">
        <v>7</v>
      </c>
      <c r="AK393" s="27" t="s">
        <v>8</v>
      </c>
      <c r="AL393" s="27" t="s">
        <v>7</v>
      </c>
      <c r="BA393" s="27" t="s">
        <v>8</v>
      </c>
      <c r="BB393" s="27" t="s">
        <v>7</v>
      </c>
      <c r="BC393" s="27" t="s">
        <v>8</v>
      </c>
    </row>
    <row r="394" spans="1:55" x14ac:dyDescent="0.25">
      <c r="A394" s="30">
        <v>5.2809943140731956E-4</v>
      </c>
      <c r="H394" s="27" t="s">
        <v>7</v>
      </c>
      <c r="I394" s="27" t="s">
        <v>8</v>
      </c>
      <c r="N394" s="27" t="s">
        <v>7</v>
      </c>
      <c r="O394" s="27" t="s">
        <v>8</v>
      </c>
      <c r="AG394" s="27" t="s">
        <v>8</v>
      </c>
      <c r="AI394" s="27" t="s">
        <v>8</v>
      </c>
      <c r="AJ394" s="27" t="s">
        <v>7</v>
      </c>
      <c r="AK394" s="27" t="s">
        <v>8</v>
      </c>
      <c r="AL394" s="27" t="s">
        <v>7</v>
      </c>
      <c r="BA394" s="27" t="s">
        <v>8</v>
      </c>
      <c r="BB394" s="27" t="s">
        <v>7</v>
      </c>
      <c r="BC394" s="27" t="s">
        <v>8</v>
      </c>
    </row>
    <row r="395" spans="1:55" x14ac:dyDescent="0.25">
      <c r="A395" s="30">
        <v>5.0169445983695357E-4</v>
      </c>
      <c r="H395" s="27" t="s">
        <v>7</v>
      </c>
      <c r="N395" s="27" t="s">
        <v>7</v>
      </c>
      <c r="O395" s="27" t="s">
        <v>8</v>
      </c>
      <c r="P395" s="27" t="s">
        <v>7</v>
      </c>
      <c r="AG395" s="27" t="s">
        <v>8</v>
      </c>
      <c r="AH395" s="27" t="s">
        <v>7</v>
      </c>
      <c r="AI395" s="27" t="s">
        <v>8</v>
      </c>
      <c r="AJ395" s="27" t="s">
        <v>7</v>
      </c>
      <c r="AK395" s="27" t="s">
        <v>8</v>
      </c>
      <c r="AL395" s="27" t="s">
        <v>7</v>
      </c>
      <c r="AM395" s="27" t="s">
        <v>8</v>
      </c>
      <c r="BA395" s="27" t="s">
        <v>8</v>
      </c>
      <c r="BB395" s="27" t="s">
        <v>7</v>
      </c>
      <c r="BC395" s="27" t="s">
        <v>8</v>
      </c>
    </row>
    <row r="396" spans="1:55" x14ac:dyDescent="0.25">
      <c r="A396" s="30">
        <v>4.7660973684510589E-4</v>
      </c>
      <c r="N396" s="27" t="s">
        <v>7</v>
      </c>
      <c r="O396" s="27" t="s">
        <v>8</v>
      </c>
      <c r="P396" s="27" t="s">
        <v>7</v>
      </c>
      <c r="AG396" s="27" t="s">
        <v>8</v>
      </c>
      <c r="AH396" s="27" t="s">
        <v>7</v>
      </c>
      <c r="AI396" s="27" t="s">
        <v>8</v>
      </c>
      <c r="AJ396" s="27" t="s">
        <v>7</v>
      </c>
      <c r="AL396" s="27" t="s">
        <v>7</v>
      </c>
      <c r="AM396" s="27" t="s">
        <v>8</v>
      </c>
      <c r="AN396" s="27" t="s">
        <v>7</v>
      </c>
      <c r="BA396" s="27" t="s">
        <v>8</v>
      </c>
      <c r="BB396" s="27" t="s">
        <v>7</v>
      </c>
    </row>
    <row r="397" spans="1:55" x14ac:dyDescent="0.25">
      <c r="A397" s="30">
        <v>4.5277925000285056E-4</v>
      </c>
      <c r="N397" s="27" t="s">
        <v>7</v>
      </c>
      <c r="O397" s="27" t="s">
        <v>8</v>
      </c>
      <c r="P397" s="27" t="s">
        <v>7</v>
      </c>
      <c r="AC397" s="27" t="s">
        <v>8</v>
      </c>
      <c r="AG397" s="27" t="s">
        <v>8</v>
      </c>
      <c r="AH397" s="27" t="s">
        <v>7</v>
      </c>
      <c r="AI397" s="27" t="s">
        <v>8</v>
      </c>
      <c r="AL397" s="27" t="s">
        <v>7</v>
      </c>
      <c r="AM397" s="27" t="s">
        <v>8</v>
      </c>
      <c r="AN397" s="27" t="s">
        <v>7</v>
      </c>
      <c r="AQ397" s="27" t="s">
        <v>8</v>
      </c>
      <c r="AS397" s="27" t="s">
        <v>8</v>
      </c>
      <c r="BA397" s="27" t="s">
        <v>8</v>
      </c>
    </row>
    <row r="398" spans="1:55" x14ac:dyDescent="0.25">
      <c r="A398" s="30">
        <v>4.3014028750270803E-4</v>
      </c>
      <c r="N398" s="27" t="s">
        <v>7</v>
      </c>
      <c r="P398" s="27" t="s">
        <v>7</v>
      </c>
      <c r="AC398" s="27" t="s">
        <v>8</v>
      </c>
      <c r="AD398" s="27" t="s">
        <v>7</v>
      </c>
      <c r="AE398" s="27" t="s">
        <v>8</v>
      </c>
      <c r="AG398" s="27" t="s">
        <v>8</v>
      </c>
      <c r="AH398" s="27" t="s">
        <v>7</v>
      </c>
      <c r="AI398" s="27" t="s">
        <v>8</v>
      </c>
      <c r="AL398" s="27" t="s">
        <v>7</v>
      </c>
      <c r="AM398" s="27" t="s">
        <v>8</v>
      </c>
      <c r="AN398" s="27" t="s">
        <v>7</v>
      </c>
      <c r="AQ398" s="27" t="s">
        <v>8</v>
      </c>
      <c r="AR398" s="27" t="s">
        <v>7</v>
      </c>
      <c r="AS398" s="27" t="s">
        <v>8</v>
      </c>
      <c r="AT398" s="27" t="s">
        <v>7</v>
      </c>
      <c r="BA398" s="27" t="s">
        <v>8</v>
      </c>
    </row>
    <row r="399" spans="1:55" x14ac:dyDescent="0.25">
      <c r="A399" s="30">
        <v>4.0863327312757263E-4</v>
      </c>
      <c r="P399" s="27" t="s">
        <v>7</v>
      </c>
      <c r="AC399" s="27" t="s">
        <v>8</v>
      </c>
      <c r="AD399" s="27" t="s">
        <v>7</v>
      </c>
      <c r="AE399" s="27" t="s">
        <v>8</v>
      </c>
      <c r="AF399" s="27" t="s">
        <v>7</v>
      </c>
      <c r="AG399" s="27" t="s">
        <v>8</v>
      </c>
      <c r="AH399" s="27" t="s">
        <v>7</v>
      </c>
      <c r="AL399" s="27" t="s">
        <v>7</v>
      </c>
      <c r="AN399" s="27" t="s">
        <v>7</v>
      </c>
      <c r="AQ399" s="27" t="s">
        <v>8</v>
      </c>
      <c r="AR399" s="27" t="s">
        <v>7</v>
      </c>
      <c r="AS399" s="27" t="s">
        <v>8</v>
      </c>
      <c r="AT399" s="27" t="s">
        <v>7</v>
      </c>
      <c r="BA399" s="27" t="s">
        <v>8</v>
      </c>
    </row>
    <row r="400" spans="1:55" x14ac:dyDescent="0.25">
      <c r="A400" s="30">
        <v>3.8820160947119396E-4</v>
      </c>
      <c r="P400" s="27" t="s">
        <v>7</v>
      </c>
      <c r="AC400" s="27" t="s">
        <v>8</v>
      </c>
      <c r="AD400" s="27" t="s">
        <v>7</v>
      </c>
      <c r="AE400" s="27" t="s">
        <v>8</v>
      </c>
      <c r="AF400" s="27" t="s">
        <v>7</v>
      </c>
      <c r="AG400" s="27" t="s">
        <v>8</v>
      </c>
      <c r="AN400" s="27" t="s">
        <v>7</v>
      </c>
      <c r="AQ400" s="27" t="s">
        <v>8</v>
      </c>
      <c r="AR400" s="27" t="s">
        <v>7</v>
      </c>
      <c r="AS400" s="27" t="s">
        <v>8</v>
      </c>
      <c r="AT400" s="27" t="s">
        <v>7</v>
      </c>
      <c r="BA400" s="27" t="s">
        <v>8</v>
      </c>
    </row>
    <row r="401" spans="1:53" x14ac:dyDescent="0.25">
      <c r="A401" s="30">
        <v>3.6879152899763426E-4</v>
      </c>
      <c r="P401" s="27" t="s">
        <v>7</v>
      </c>
      <c r="S401" s="27" t="s">
        <v>8</v>
      </c>
      <c r="Y401" s="27" t="s">
        <v>8</v>
      </c>
      <c r="AC401" s="27" t="s">
        <v>8</v>
      </c>
      <c r="AD401" s="27" t="s">
        <v>7</v>
      </c>
      <c r="AE401" s="27" t="s">
        <v>8</v>
      </c>
      <c r="AF401" s="27" t="s">
        <v>7</v>
      </c>
      <c r="AG401" s="27" t="s">
        <v>8</v>
      </c>
      <c r="AN401" s="27" t="s">
        <v>7</v>
      </c>
      <c r="AO401" s="27" t="s">
        <v>8</v>
      </c>
      <c r="AQ401" s="27" t="s">
        <v>8</v>
      </c>
      <c r="AR401" s="27" t="s">
        <v>7</v>
      </c>
      <c r="AS401" s="27" t="s">
        <v>8</v>
      </c>
      <c r="AT401" s="27" t="s">
        <v>7</v>
      </c>
      <c r="AU401" s="27" t="s">
        <v>8</v>
      </c>
      <c r="BA401" s="27" t="s">
        <v>8</v>
      </c>
    </row>
    <row r="402" spans="1:53" x14ac:dyDescent="0.25">
      <c r="A402" s="30">
        <v>3.5035195254775253E-4</v>
      </c>
      <c r="P402" s="27" t="s">
        <v>7</v>
      </c>
      <c r="S402" s="27" t="s">
        <v>8</v>
      </c>
      <c r="T402" s="27" t="s">
        <v>7</v>
      </c>
      <c r="Y402" s="27" t="s">
        <v>8</v>
      </c>
      <c r="Z402" s="27" t="s">
        <v>7</v>
      </c>
      <c r="AA402" s="27" t="s">
        <v>8</v>
      </c>
      <c r="AC402" s="27" t="s">
        <v>8</v>
      </c>
      <c r="AD402" s="27" t="s">
        <v>7</v>
      </c>
      <c r="AF402" s="27" t="s">
        <v>7</v>
      </c>
      <c r="AG402" s="27" t="s">
        <v>8</v>
      </c>
      <c r="AN402" s="27" t="s">
        <v>7</v>
      </c>
      <c r="AO402" s="27" t="s">
        <v>8</v>
      </c>
      <c r="AP402" s="27" t="s">
        <v>7</v>
      </c>
      <c r="AQ402" s="27" t="s">
        <v>8</v>
      </c>
      <c r="AR402" s="27" t="s">
        <v>7</v>
      </c>
      <c r="AS402" s="27" t="s">
        <v>8</v>
      </c>
      <c r="AT402" s="27" t="s">
        <v>7</v>
      </c>
      <c r="AU402" s="27" t="s">
        <v>8</v>
      </c>
      <c r="AV402" s="27" t="s">
        <v>7</v>
      </c>
      <c r="AW402" s="27" t="s">
        <v>8</v>
      </c>
      <c r="AY402" s="27" t="s">
        <v>8</v>
      </c>
      <c r="BA402" s="27" t="s">
        <v>8</v>
      </c>
    </row>
    <row r="403" spans="1:53" x14ac:dyDescent="0.25">
      <c r="A403" s="30">
        <v>3.3283435492036491E-4</v>
      </c>
      <c r="P403" s="27" t="s">
        <v>7</v>
      </c>
      <c r="S403" s="27" t="s">
        <v>8</v>
      </c>
      <c r="T403" s="27" t="s">
        <v>7</v>
      </c>
      <c r="W403" s="27" t="s">
        <v>8</v>
      </c>
      <c r="Y403" s="27" t="s">
        <v>8</v>
      </c>
      <c r="Z403" s="27" t="s">
        <v>7</v>
      </c>
      <c r="AA403" s="27" t="s">
        <v>8</v>
      </c>
      <c r="AB403" s="27" t="s">
        <v>7</v>
      </c>
      <c r="AC403" s="27" t="s">
        <v>8</v>
      </c>
      <c r="AF403" s="27" t="s">
        <v>7</v>
      </c>
      <c r="AG403" s="27" t="s">
        <v>8</v>
      </c>
      <c r="AN403" s="27" t="s">
        <v>7</v>
      </c>
      <c r="AO403" s="27" t="s">
        <v>8</v>
      </c>
      <c r="AP403" s="27" t="s">
        <v>7</v>
      </c>
      <c r="AQ403" s="27" t="s">
        <v>8</v>
      </c>
      <c r="AR403" s="27" t="s">
        <v>7</v>
      </c>
      <c r="AS403" s="27" t="s">
        <v>8</v>
      </c>
      <c r="AT403" s="27" t="s">
        <v>7</v>
      </c>
      <c r="AU403" s="27" t="s">
        <v>8</v>
      </c>
      <c r="AV403" s="27" t="s">
        <v>7</v>
      </c>
      <c r="AW403" s="27" t="s">
        <v>8</v>
      </c>
      <c r="AX403" s="27" t="s">
        <v>7</v>
      </c>
      <c r="AY403" s="27" t="s">
        <v>8</v>
      </c>
      <c r="AZ403" s="27" t="s">
        <v>7</v>
      </c>
      <c r="BA403" s="27" t="s">
        <v>8</v>
      </c>
    </row>
    <row r="404" spans="1:53" x14ac:dyDescent="0.25">
      <c r="A404" s="30">
        <v>3.1619263717434668E-4</v>
      </c>
      <c r="P404" s="27" t="s">
        <v>7</v>
      </c>
      <c r="S404" s="27" t="s">
        <v>8</v>
      </c>
      <c r="T404" s="27" t="s">
        <v>7</v>
      </c>
      <c r="U404" s="27" t="s">
        <v>8</v>
      </c>
      <c r="W404" s="27" t="s">
        <v>8</v>
      </c>
      <c r="X404" s="27" t="s">
        <v>7</v>
      </c>
      <c r="Y404" s="27" t="s">
        <v>8</v>
      </c>
      <c r="Z404" s="27" t="s">
        <v>7</v>
      </c>
      <c r="AA404" s="27" t="s">
        <v>8</v>
      </c>
      <c r="AB404" s="27" t="s">
        <v>7</v>
      </c>
      <c r="AC404" s="27" t="s">
        <v>8</v>
      </c>
      <c r="AF404" s="27" t="s">
        <v>7</v>
      </c>
      <c r="AN404" s="27" t="s">
        <v>7</v>
      </c>
      <c r="AO404" s="27" t="s">
        <v>8</v>
      </c>
      <c r="AP404" s="27" t="s">
        <v>7</v>
      </c>
      <c r="AR404" s="27" t="s">
        <v>7</v>
      </c>
      <c r="AS404" s="27" t="s">
        <v>8</v>
      </c>
      <c r="AT404" s="27" t="s">
        <v>7</v>
      </c>
      <c r="AU404" s="27" t="s">
        <v>8</v>
      </c>
      <c r="AV404" s="27" t="s">
        <v>7</v>
      </c>
      <c r="AW404" s="27" t="s">
        <v>8</v>
      </c>
      <c r="AX404" s="27" t="s">
        <v>7</v>
      </c>
      <c r="AY404" s="27" t="s">
        <v>8</v>
      </c>
      <c r="AZ404" s="27" t="s">
        <v>7</v>
      </c>
      <c r="BA404" s="27" t="s">
        <v>8</v>
      </c>
    </row>
    <row r="405" spans="1:53" x14ac:dyDescent="0.25">
      <c r="A405" s="30">
        <v>3.0038300531562933E-4</v>
      </c>
      <c r="P405" s="27" t="s">
        <v>7</v>
      </c>
      <c r="S405" s="27" t="s">
        <v>8</v>
      </c>
      <c r="T405" s="27" t="s">
        <v>7</v>
      </c>
      <c r="U405" s="27" t="s">
        <v>8</v>
      </c>
      <c r="V405" s="27" t="s">
        <v>7</v>
      </c>
      <c r="W405" s="27" t="s">
        <v>8</v>
      </c>
      <c r="X405" s="27" t="s">
        <v>7</v>
      </c>
      <c r="Y405" s="27" t="s">
        <v>8</v>
      </c>
      <c r="Z405" s="27" t="s">
        <v>7</v>
      </c>
      <c r="AB405" s="27" t="s">
        <v>7</v>
      </c>
      <c r="AC405" s="27" t="s">
        <v>8</v>
      </c>
      <c r="AN405" s="27" t="s">
        <v>7</v>
      </c>
      <c r="AO405" s="27" t="s">
        <v>8</v>
      </c>
      <c r="AR405" s="27" t="s">
        <v>7</v>
      </c>
      <c r="AT405" s="27" t="s">
        <v>7</v>
      </c>
      <c r="AU405" s="27" t="s">
        <v>8</v>
      </c>
      <c r="AV405" s="27" t="s">
        <v>7</v>
      </c>
      <c r="AW405" s="27" t="s">
        <v>8</v>
      </c>
      <c r="AX405" s="27" t="s">
        <v>7</v>
      </c>
      <c r="AY405" s="27" t="s">
        <v>8</v>
      </c>
      <c r="AZ405" s="27" t="s">
        <v>7</v>
      </c>
      <c r="BA405" s="27" t="s">
        <v>8</v>
      </c>
    </row>
    <row r="406" spans="1:53" x14ac:dyDescent="0.25">
      <c r="A406" s="30">
        <v>2.8536385504984783E-4</v>
      </c>
      <c r="P406" s="27" t="s">
        <v>7</v>
      </c>
      <c r="S406" s="27" t="s">
        <v>8</v>
      </c>
      <c r="T406" s="27" t="s">
        <v>7</v>
      </c>
      <c r="U406" s="27" t="s">
        <v>8</v>
      </c>
      <c r="V406" s="27" t="s">
        <v>7</v>
      </c>
      <c r="W406" s="27" t="s">
        <v>8</v>
      </c>
      <c r="X406" s="27" t="s">
        <v>7</v>
      </c>
      <c r="Y406" s="27" t="s">
        <v>8</v>
      </c>
      <c r="AB406" s="27" t="s">
        <v>7</v>
      </c>
      <c r="AN406" s="27" t="s">
        <v>7</v>
      </c>
      <c r="AT406" s="27" t="s">
        <v>7</v>
      </c>
      <c r="AU406" s="27" t="s">
        <v>8</v>
      </c>
      <c r="AV406" s="27" t="s">
        <v>7</v>
      </c>
      <c r="AW406" s="27" t="s">
        <v>8</v>
      </c>
      <c r="AX406" s="27" t="s">
        <v>7</v>
      </c>
      <c r="AY406" s="27" t="s">
        <v>8</v>
      </c>
      <c r="AZ406" s="27" t="s">
        <v>7</v>
      </c>
      <c r="BA406" s="27" t="s">
        <v>8</v>
      </c>
    </row>
    <row r="407" spans="1:53" x14ac:dyDescent="0.25">
      <c r="A407" s="30">
        <v>2.7109566229735542E-4</v>
      </c>
      <c r="P407" s="27" t="s">
        <v>7</v>
      </c>
      <c r="S407" s="27" t="s">
        <v>8</v>
      </c>
      <c r="T407" s="27" t="s">
        <v>7</v>
      </c>
      <c r="V407" s="27" t="s">
        <v>7</v>
      </c>
      <c r="W407" s="27" t="s">
        <v>8</v>
      </c>
      <c r="X407" s="27" t="s">
        <v>7</v>
      </c>
      <c r="Y407" s="27" t="s">
        <v>8</v>
      </c>
      <c r="AT407" s="27" t="s">
        <v>7</v>
      </c>
      <c r="AU407" s="27" t="s">
        <v>8</v>
      </c>
      <c r="AV407" s="27" t="s">
        <v>7</v>
      </c>
      <c r="AX407" s="27" t="s">
        <v>7</v>
      </c>
      <c r="AY407" s="27" t="s">
        <v>8</v>
      </c>
      <c r="AZ407" s="27" t="s">
        <v>7</v>
      </c>
    </row>
    <row r="408" spans="1:53" x14ac:dyDescent="0.25">
      <c r="A408" s="30">
        <v>2.5754087918248761E-4</v>
      </c>
      <c r="P408" s="27" t="s">
        <v>7</v>
      </c>
      <c r="Q408" s="27" t="s">
        <v>8</v>
      </c>
      <c r="S408" s="27" t="s">
        <v>8</v>
      </c>
      <c r="V408" s="27" t="s">
        <v>7</v>
      </c>
      <c r="W408" s="27" t="s">
        <v>8</v>
      </c>
      <c r="X408" s="27" t="s">
        <v>7</v>
      </c>
      <c r="AT408" s="27" t="s">
        <v>7</v>
      </c>
      <c r="AX408" s="27" t="s">
        <v>7</v>
      </c>
      <c r="AY408" s="27" t="s">
        <v>8</v>
      </c>
    </row>
    <row r="409" spans="1:53" x14ac:dyDescent="0.25">
      <c r="A409" s="30">
        <v>2.4466383522336323E-4</v>
      </c>
      <c r="P409" s="27" t="s">
        <v>7</v>
      </c>
      <c r="Q409" s="27" t="s">
        <v>8</v>
      </c>
      <c r="R409" s="27" t="s">
        <v>7</v>
      </c>
      <c r="S409" s="27" t="s">
        <v>8</v>
      </c>
      <c r="V409" s="27" t="s">
        <v>7</v>
      </c>
      <c r="AX409" s="27" t="s">
        <v>7</v>
      </c>
      <c r="AY409" s="27" t="s">
        <v>8</v>
      </c>
    </row>
    <row r="410" spans="1:53" x14ac:dyDescent="0.25">
      <c r="A410" s="30">
        <v>2.3243064346219506E-4</v>
      </c>
      <c r="P410" s="27" t="s">
        <v>7</v>
      </c>
      <c r="Q410" s="27" t="s">
        <v>8</v>
      </c>
      <c r="R410" s="27" t="s">
        <v>7</v>
      </c>
      <c r="S410" s="27" t="s">
        <v>8</v>
      </c>
      <c r="AX410" s="27" t="s">
        <v>7</v>
      </c>
    </row>
    <row r="411" spans="1:53" x14ac:dyDescent="0.25">
      <c r="A411" s="30">
        <v>2.2080911128908529E-4</v>
      </c>
      <c r="P411" s="27" t="s">
        <v>7</v>
      </c>
      <c r="Q411" s="27" t="s">
        <v>8</v>
      </c>
      <c r="R411" s="27" t="s">
        <v>7</v>
      </c>
      <c r="S411" s="27" t="s">
        <v>8</v>
      </c>
    </row>
    <row r="412" spans="1:53" x14ac:dyDescent="0.25">
      <c r="A412" s="30">
        <v>2.0976865572463102E-4</v>
      </c>
      <c r="P412" s="27" t="s">
        <v>7</v>
      </c>
      <c r="Q412" s="27" t="s">
        <v>8</v>
      </c>
      <c r="R412" s="27" t="s">
        <v>7</v>
      </c>
      <c r="S412" s="27" t="s">
        <v>8</v>
      </c>
    </row>
    <row r="413" spans="1:53" x14ac:dyDescent="0.25">
      <c r="A413" s="30">
        <v>1.9928022293839946E-4</v>
      </c>
      <c r="P413" s="27" t="s">
        <v>7</v>
      </c>
      <c r="Q413" s="27" t="s">
        <v>8</v>
      </c>
      <c r="R413" s="27" t="s">
        <v>7</v>
      </c>
      <c r="S413" s="27" t="s">
        <v>8</v>
      </c>
    </row>
    <row r="414" spans="1:53" x14ac:dyDescent="0.25">
      <c r="A414" s="30">
        <v>1.8931621179147948E-4</v>
      </c>
      <c r="P414" s="27" t="s">
        <v>7</v>
      </c>
      <c r="Q414" s="27" t="s">
        <v>8</v>
      </c>
      <c r="R414" s="27" t="s">
        <v>7</v>
      </c>
    </row>
    <row r="415" spans="1:53" x14ac:dyDescent="0.25">
      <c r="A415" s="30">
        <v>1.798504012019055E-4</v>
      </c>
      <c r="P415" s="27" t="s">
        <v>7</v>
      </c>
      <c r="Q415" s="27" t="s">
        <v>8</v>
      </c>
    </row>
    <row r="416" spans="1:53" x14ac:dyDescent="0.25">
      <c r="A416" s="30">
        <v>1.7085788114181021E-4</v>
      </c>
      <c r="P416" s="27" t="s">
        <v>7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75" operator="equal">
      <formula>$U$1</formula>
    </cfRule>
    <cfRule type="cellIs" dxfId="67" priority="1176" operator="equal">
      <formula>$S$1</formula>
    </cfRule>
  </conditionalFormatting>
  <conditionalFormatting sqref="D136">
    <cfRule type="cellIs" dxfId="66" priority="1173" operator="equal">
      <formula>$S$1</formula>
    </cfRule>
    <cfRule type="cellIs" dxfId="65" priority="1174" operator="equal">
      <formula>$U$1</formula>
    </cfRule>
  </conditionalFormatting>
  <conditionalFormatting sqref="C162">
    <cfRule type="cellIs" dxfId="64" priority="1171" operator="equal">
      <formula>$U$1</formula>
    </cfRule>
    <cfRule type="cellIs" dxfId="63" priority="1172" operator="equal">
      <formula>$S$1</formula>
    </cfRule>
  </conditionalFormatting>
  <conditionalFormatting sqref="D162">
    <cfRule type="cellIs" dxfId="62" priority="1169" operator="equal">
      <formula>$S$1</formula>
    </cfRule>
    <cfRule type="cellIs" dxfId="61" priority="1170" operator="equal">
      <formula>$U$1</formula>
    </cfRule>
  </conditionalFormatting>
  <conditionalFormatting sqref="C187">
    <cfRule type="cellIs" dxfId="60" priority="1167" operator="equal">
      <formula>$U$1</formula>
    </cfRule>
    <cfRule type="cellIs" dxfId="59" priority="1168" operator="equal">
      <formula>$S$1</formula>
    </cfRule>
  </conditionalFormatting>
  <conditionalFormatting sqref="D187">
    <cfRule type="cellIs" dxfId="58" priority="1165" operator="equal">
      <formula>$S$1</formula>
    </cfRule>
    <cfRule type="cellIs" dxfId="57" priority="1166" operator="equal">
      <formula>$U$1</formula>
    </cfRule>
  </conditionalFormatting>
  <conditionalFormatting sqref="C212">
    <cfRule type="cellIs" dxfId="56" priority="1163" operator="equal">
      <formula>$U$1</formula>
    </cfRule>
    <cfRule type="cellIs" dxfId="55" priority="1164" operator="equal">
      <formula>$S$1</formula>
    </cfRule>
  </conditionalFormatting>
  <conditionalFormatting sqref="D212">
    <cfRule type="cellIs" dxfId="54" priority="1161" operator="equal">
      <formula>$S$1</formula>
    </cfRule>
    <cfRule type="cellIs" dxfId="53" priority="1162" operator="equal">
      <formula>$U$1</formula>
    </cfRule>
  </conditionalFormatting>
  <conditionalFormatting sqref="C237">
    <cfRule type="cellIs" dxfId="52" priority="1159" operator="equal">
      <formula>$U$1</formula>
    </cfRule>
    <cfRule type="cellIs" dxfId="51" priority="1160" operator="equal">
      <formula>$S$1</formula>
    </cfRule>
  </conditionalFormatting>
  <conditionalFormatting sqref="D237">
    <cfRule type="cellIs" dxfId="50" priority="1157" operator="equal">
      <formula>$S$1</formula>
    </cfRule>
    <cfRule type="cellIs" dxfId="49" priority="1158" operator="equal">
      <formula>$U$1</formula>
    </cfRule>
  </conditionalFormatting>
  <conditionalFormatting sqref="C106">
    <cfRule type="cellIs" dxfId="48" priority="1155" operator="equal">
      <formula>$U$1</formula>
    </cfRule>
    <cfRule type="cellIs" dxfId="47" priority="1156" operator="equal">
      <formula>$S$1</formula>
    </cfRule>
  </conditionalFormatting>
  <conditionalFormatting sqref="D106">
    <cfRule type="cellIs" dxfId="46" priority="1153" operator="equal">
      <formula>$S$1</formula>
    </cfRule>
    <cfRule type="cellIs" dxfId="45" priority="1154" operator="equal">
      <formula>$U$1</formula>
    </cfRule>
  </conditionalFormatting>
  <conditionalFormatting sqref="C81">
    <cfRule type="cellIs" dxfId="44" priority="1151" operator="equal">
      <formula>$U$1</formula>
    </cfRule>
    <cfRule type="cellIs" dxfId="43" priority="1152" operator="equal">
      <formula>$S$1</formula>
    </cfRule>
  </conditionalFormatting>
  <conditionalFormatting sqref="D81">
    <cfRule type="cellIs" dxfId="42" priority="1149" operator="equal">
      <formula>$S$1</formula>
    </cfRule>
    <cfRule type="cellIs" dxfId="41" priority="1150" operator="equal">
      <formula>$U$1</formula>
    </cfRule>
  </conditionalFormatting>
  <conditionalFormatting sqref="C56">
    <cfRule type="cellIs" dxfId="40" priority="1147" operator="equal">
      <formula>$U$1</formula>
    </cfRule>
    <cfRule type="cellIs" dxfId="39" priority="1148" operator="equal">
      <formula>$S$1</formula>
    </cfRule>
  </conditionalFormatting>
  <conditionalFormatting sqref="D56">
    <cfRule type="cellIs" dxfId="38" priority="1145" operator="equal">
      <formula>$S$1</formula>
    </cfRule>
    <cfRule type="cellIs" dxfId="37" priority="1146" operator="equal">
      <formula>$U$1</formula>
    </cfRule>
  </conditionalFormatting>
  <conditionalFormatting sqref="C31">
    <cfRule type="cellIs" dxfId="36" priority="1143" operator="equal">
      <formula>$U$1</formula>
    </cfRule>
    <cfRule type="cellIs" dxfId="35" priority="1144" operator="equal">
      <formula>$S$1</formula>
    </cfRule>
  </conditionalFormatting>
  <conditionalFormatting sqref="D31">
    <cfRule type="cellIs" dxfId="34" priority="1141" operator="equal">
      <formula>$S$1</formula>
    </cfRule>
    <cfRule type="cellIs" dxfId="33" priority="114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2" zoomScale="90" zoomScaleNormal="90" workbookViewId="0">
      <pane xSplit="4" topLeftCell="G1" activePane="topRight" state="frozen"/>
      <selection activeCell="A109" sqref="A109"/>
      <selection pane="topRight" activeCell="BP121" sqref="BP12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8" x14ac:dyDescent="0.25">
      <c r="A97" s="30">
        <v>9.849732675807628</v>
      </c>
      <c r="E97"/>
    </row>
    <row r="98" spans="1:68" x14ac:dyDescent="0.25">
      <c r="A98" s="30">
        <v>8.9543024325523888</v>
      </c>
      <c r="C98" s="1" t="s">
        <v>13</v>
      </c>
      <c r="E98"/>
    </row>
    <row r="99" spans="1:68" x14ac:dyDescent="0.25">
      <c r="A99" s="30">
        <v>8.140274938683989</v>
      </c>
      <c r="C99" s="1">
        <f>C88</f>
        <v>0</v>
      </c>
      <c r="E99"/>
    </row>
    <row r="100" spans="1:68" x14ac:dyDescent="0.25">
      <c r="A100" s="30">
        <v>7.4002499442581717</v>
      </c>
      <c r="C100"/>
      <c r="D100"/>
      <c r="E100"/>
    </row>
    <row r="101" spans="1:68" x14ac:dyDescent="0.25">
      <c r="A101" s="30">
        <v>6.72749994932561</v>
      </c>
      <c r="C101" s="1" t="s">
        <v>14</v>
      </c>
      <c r="E101"/>
    </row>
    <row r="102" spans="1:6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BG102" s="27" t="s">
        <v>8</v>
      </c>
    </row>
    <row r="103" spans="1:68" x14ac:dyDescent="0.25">
      <c r="A103" s="30">
        <v>5.5599173134922388</v>
      </c>
      <c r="E103"/>
      <c r="BG103" s="27" t="s">
        <v>8</v>
      </c>
      <c r="BH103" s="27" t="s">
        <v>7</v>
      </c>
    </row>
    <row r="104" spans="1:68" x14ac:dyDescent="0.25">
      <c r="A104" s="30">
        <v>5.0544702849929442</v>
      </c>
      <c r="E104"/>
      <c r="BG104" s="27" t="s">
        <v>8</v>
      </c>
      <c r="BH104" s="27" t="s">
        <v>7</v>
      </c>
      <c r="BI104" s="27" t="s">
        <v>8</v>
      </c>
    </row>
    <row r="105" spans="1:68" x14ac:dyDescent="0.25">
      <c r="A105" s="30">
        <v>4.594972986357222</v>
      </c>
      <c r="E105"/>
      <c r="BG105" s="27" t="s">
        <v>8</v>
      </c>
      <c r="BH105" s="27" t="s">
        <v>7</v>
      </c>
      <c r="BI105" s="27" t="s">
        <v>8</v>
      </c>
      <c r="BJ105" s="27" t="s">
        <v>7</v>
      </c>
    </row>
    <row r="106" spans="1:68" x14ac:dyDescent="0.25">
      <c r="A106" s="30">
        <v>4.1772481694156562</v>
      </c>
      <c r="E106"/>
      <c r="BG106" s="27" t="s">
        <v>8</v>
      </c>
      <c r="BH106" s="27" t="s">
        <v>7</v>
      </c>
      <c r="BI106" s="27" t="s">
        <v>8</v>
      </c>
      <c r="BJ106" s="27" t="s">
        <v>7</v>
      </c>
      <c r="BK106" s="27" t="s">
        <v>8</v>
      </c>
    </row>
    <row r="107" spans="1:68" x14ac:dyDescent="0.25">
      <c r="A107" s="30">
        <v>3.7974983358324148</v>
      </c>
      <c r="E107"/>
      <c r="BG107" s="27" t="s">
        <v>8</v>
      </c>
      <c r="BH107" s="27" t="s">
        <v>7</v>
      </c>
      <c r="BI107" s="27" t="s">
        <v>8</v>
      </c>
      <c r="BJ107" s="27" t="s">
        <v>7</v>
      </c>
      <c r="BK107" s="27" t="s">
        <v>8</v>
      </c>
      <c r="BL107" s="27" t="s">
        <v>7</v>
      </c>
    </row>
    <row r="108" spans="1:68" x14ac:dyDescent="0.25">
      <c r="A108" s="30">
        <v>3.4522712143931042</v>
      </c>
      <c r="E108"/>
      <c r="BG108" s="27" t="s">
        <v>8</v>
      </c>
      <c r="BH108" s="27" t="s">
        <v>7</v>
      </c>
      <c r="BI108" s="27" t="s">
        <v>8</v>
      </c>
      <c r="BJ108" s="27" t="s">
        <v>7</v>
      </c>
      <c r="BK108" s="27" t="s">
        <v>8</v>
      </c>
      <c r="BL108" s="27" t="s">
        <v>7</v>
      </c>
    </row>
    <row r="109" spans="1:68" x14ac:dyDescent="0.25">
      <c r="A109" s="30">
        <v>3.1384283767210035</v>
      </c>
      <c r="E109"/>
      <c r="BG109" s="27" t="s">
        <v>8</v>
      </c>
      <c r="BH109" s="27" t="s">
        <v>7</v>
      </c>
      <c r="BI109" s="27" t="s">
        <v>8</v>
      </c>
      <c r="BJ109" s="27" t="s">
        <v>7</v>
      </c>
      <c r="BL109" s="27" t="s">
        <v>7</v>
      </c>
      <c r="BM109" s="27" t="s">
        <v>8</v>
      </c>
    </row>
    <row r="110" spans="1:68" x14ac:dyDescent="0.25">
      <c r="A110" s="30">
        <v>2.8531167061100029</v>
      </c>
      <c r="E110"/>
      <c r="BG110" s="27" t="s">
        <v>8</v>
      </c>
      <c r="BH110" s="27" t="s">
        <v>7</v>
      </c>
      <c r="BL110" s="27" t="s">
        <v>7</v>
      </c>
      <c r="BM110" s="27" t="s">
        <v>8</v>
      </c>
      <c r="BN110" s="27" t="s">
        <v>7</v>
      </c>
    </row>
    <row r="111" spans="1:68" x14ac:dyDescent="0.25">
      <c r="A111" s="30">
        <v>2.5937424601000023</v>
      </c>
      <c r="C111" s="1" t="str">
        <f>ADDRESS(C121-1,1,1,1)</f>
        <v>$A$120</v>
      </c>
      <c r="D111" s="1" t="str">
        <f>ADDRESS(C121-1,D121,1,1)</f>
        <v>$BP$120</v>
      </c>
      <c r="E111"/>
      <c r="BG111" s="27" t="s">
        <v>8</v>
      </c>
      <c r="BL111" s="27" t="s">
        <v>7</v>
      </c>
      <c r="BM111" s="27" t="s">
        <v>8</v>
      </c>
      <c r="BN111" s="27" t="s">
        <v>7</v>
      </c>
      <c r="BO111" s="27" t="s">
        <v>8</v>
      </c>
    </row>
    <row r="112" spans="1:68" x14ac:dyDescent="0.25">
      <c r="A112" s="30">
        <v>2.3579476910000019</v>
      </c>
      <c r="C112" s="1" t="str">
        <f>ADDRESS(C121,1,1,1)</f>
        <v>$A$121</v>
      </c>
      <c r="D112" s="1" t="str">
        <f>ADDRESS(C121,D121-1,1,1)</f>
        <v>$BO$121</v>
      </c>
      <c r="E112"/>
      <c r="BG112" s="27" t="s">
        <v>8</v>
      </c>
      <c r="BL112" s="27" t="s">
        <v>7</v>
      </c>
      <c r="BM112" s="27" t="s">
        <v>8</v>
      </c>
      <c r="BN112" s="27" t="s">
        <v>7</v>
      </c>
      <c r="BO112" s="27" t="s">
        <v>8</v>
      </c>
      <c r="BP112" s="27" t="s">
        <v>7</v>
      </c>
    </row>
    <row r="113" spans="1:68" x14ac:dyDescent="0.25">
      <c r="A113" s="30">
        <v>2.1435888100000016</v>
      </c>
      <c r="C113" s="1" t="str">
        <f>ADDRESS(C121+1,1,1,1)</f>
        <v>$A$122</v>
      </c>
      <c r="D113" s="1" t="str">
        <f>ADDRESS(C121-1,D121+1,1,1)</f>
        <v>$BQ$120</v>
      </c>
      <c r="BG113" s="27" t="s">
        <v>8</v>
      </c>
      <c r="BL113" s="27" t="s">
        <v>7</v>
      </c>
      <c r="BM113" s="27" t="s">
        <v>8</v>
      </c>
      <c r="BN113" s="27" t="s">
        <v>7</v>
      </c>
      <c r="BO113" s="27" t="s">
        <v>8</v>
      </c>
      <c r="BP113" s="27" t="s">
        <v>7</v>
      </c>
    </row>
    <row r="114" spans="1:68" x14ac:dyDescent="0.25">
      <c r="A114" s="30">
        <v>1.9487171000000014</v>
      </c>
      <c r="C114" s="1" t="str">
        <f>ADDRESS(C121,D121,1,1)</f>
        <v>$BP$121</v>
      </c>
      <c r="D114" s="1" t="str">
        <f>ADDRESS(C121+1,D121+1,1,1)</f>
        <v>$BQ$122</v>
      </c>
      <c r="BG114" s="27" t="s">
        <v>8</v>
      </c>
      <c r="BL114" s="27" t="s">
        <v>7</v>
      </c>
      <c r="BN114" s="27" t="s">
        <v>7</v>
      </c>
      <c r="BP114" s="27" t="s">
        <v>7</v>
      </c>
    </row>
    <row r="115" spans="1:68" x14ac:dyDescent="0.25">
      <c r="A115" s="30">
        <v>1.7715610000000011</v>
      </c>
      <c r="C115" s="1" t="str">
        <f>ADDRESS(C121+1,D121,1,1)</f>
        <v>$BP$122</v>
      </c>
      <c r="AE115" s="27" t="s">
        <v>8</v>
      </c>
      <c r="AG115" s="27" t="s">
        <v>8</v>
      </c>
      <c r="BG115" s="27" t="s">
        <v>8</v>
      </c>
      <c r="BP115" s="27" t="s">
        <v>7</v>
      </c>
    </row>
    <row r="116" spans="1:68" x14ac:dyDescent="0.25">
      <c r="A116" s="30">
        <v>1.6105100000000008</v>
      </c>
      <c r="C116" s="1">
        <f>C117-1</f>
        <v>120</v>
      </c>
      <c r="AE116" s="27" t="s">
        <v>8</v>
      </c>
      <c r="AF116" s="27" t="s">
        <v>7</v>
      </c>
      <c r="AG116" s="27" t="s">
        <v>8</v>
      </c>
      <c r="AH116" s="27" t="s">
        <v>7</v>
      </c>
      <c r="BG116" s="27" t="s">
        <v>8</v>
      </c>
      <c r="BP116" s="27" t="s">
        <v>7</v>
      </c>
    </row>
    <row r="117" spans="1:68" x14ac:dyDescent="0.25">
      <c r="A117" s="30">
        <v>1.4641000000000006</v>
      </c>
      <c r="C117" s="1">
        <f>C121</f>
        <v>121</v>
      </c>
      <c r="D117" s="1">
        <f>D121</f>
        <v>68</v>
      </c>
      <c r="AE117" s="27" t="s">
        <v>8</v>
      </c>
      <c r="AF117" s="27" t="s">
        <v>7</v>
      </c>
      <c r="AG117" s="27" t="s">
        <v>8</v>
      </c>
      <c r="AH117" s="27" t="s">
        <v>7</v>
      </c>
      <c r="AI117" s="27" t="s">
        <v>8</v>
      </c>
      <c r="BG117" s="27" t="s">
        <v>8</v>
      </c>
      <c r="BP117" s="27" t="s">
        <v>7</v>
      </c>
    </row>
    <row r="118" spans="1:68" x14ac:dyDescent="0.25">
      <c r="A118" s="30">
        <v>1.3310000000000004</v>
      </c>
      <c r="C118" s="1">
        <f>C117+1</f>
        <v>122</v>
      </c>
      <c r="D118" s="1">
        <f>D117+1</f>
        <v>69</v>
      </c>
      <c r="AA118" s="27" t="s">
        <v>8</v>
      </c>
      <c r="AE118" s="27" t="s">
        <v>8</v>
      </c>
      <c r="AF118" s="27" t="s">
        <v>7</v>
      </c>
      <c r="AG118" s="27" t="s">
        <v>8</v>
      </c>
      <c r="AH118" s="27" t="s">
        <v>7</v>
      </c>
      <c r="AI118" s="27" t="s">
        <v>8</v>
      </c>
      <c r="AJ118" s="27" t="s">
        <v>7</v>
      </c>
      <c r="BG118" s="27" t="s">
        <v>8</v>
      </c>
      <c r="BP118" s="27" t="s">
        <v>7</v>
      </c>
    </row>
    <row r="119" spans="1:68" x14ac:dyDescent="0.25">
      <c r="A119" s="30">
        <v>1.2100000000000002</v>
      </c>
      <c r="W119" s="27" t="s">
        <v>8</v>
      </c>
      <c r="AA119" s="27" t="s">
        <v>8</v>
      </c>
      <c r="AB119" s="27" t="s">
        <v>7</v>
      </c>
      <c r="AE119" s="27" t="s">
        <v>8</v>
      </c>
      <c r="AF119" s="27" t="s">
        <v>7</v>
      </c>
      <c r="AG119" s="27" t="s">
        <v>8</v>
      </c>
      <c r="AH119" s="27" t="s">
        <v>7</v>
      </c>
      <c r="AI119" s="27" t="s">
        <v>8</v>
      </c>
      <c r="AJ119" s="27" t="s">
        <v>7</v>
      </c>
      <c r="BG119" s="27" t="s">
        <v>8</v>
      </c>
      <c r="BP119" s="27" t="s">
        <v>7</v>
      </c>
    </row>
    <row r="120" spans="1:68" x14ac:dyDescent="0.25">
      <c r="A120" s="30">
        <v>1.1000000000000001</v>
      </c>
      <c r="C120" s="1" t="s">
        <v>9</v>
      </c>
      <c r="W120" s="27" t="s">
        <v>8</v>
      </c>
      <c r="X120" s="27" t="s">
        <v>7</v>
      </c>
      <c r="AA120" s="27" t="s">
        <v>8</v>
      </c>
      <c r="AB120" s="27" t="s">
        <v>7</v>
      </c>
      <c r="AE120" s="27" t="s">
        <v>8</v>
      </c>
      <c r="AF120" s="27" t="s">
        <v>7</v>
      </c>
      <c r="AH120" s="27" t="s">
        <v>7</v>
      </c>
      <c r="AI120" s="27" t="s">
        <v>8</v>
      </c>
      <c r="AJ120" s="27" t="s">
        <v>7</v>
      </c>
      <c r="BE120" s="27" t="s">
        <v>8</v>
      </c>
      <c r="BG120" s="27" t="s">
        <v>8</v>
      </c>
      <c r="BP120" s="27" t="s">
        <v>7</v>
      </c>
    </row>
    <row r="121" spans="1:68" x14ac:dyDescent="0.25">
      <c r="A121" s="30">
        <v>1</v>
      </c>
      <c r="C121" s="18">
        <v>121</v>
      </c>
      <c r="D121" s="19">
        <v>68</v>
      </c>
      <c r="E121" s="18" t="s">
        <v>8</v>
      </c>
      <c r="W121" s="27" t="s">
        <v>8</v>
      </c>
      <c r="X121" s="27" t="s">
        <v>7</v>
      </c>
      <c r="AA121" s="27" t="s">
        <v>8</v>
      </c>
      <c r="AB121" s="27" t="s">
        <v>7</v>
      </c>
      <c r="AE121" s="27" t="s">
        <v>8</v>
      </c>
      <c r="AH121" s="27" t="s">
        <v>7</v>
      </c>
      <c r="AI121" s="27" t="s">
        <v>8</v>
      </c>
      <c r="AJ121" s="27" t="s">
        <v>7</v>
      </c>
      <c r="AY121" s="27" t="s">
        <v>8</v>
      </c>
      <c r="BE121" s="27" t="s">
        <v>8</v>
      </c>
      <c r="BF121" s="27" t="s">
        <v>7</v>
      </c>
      <c r="BG121" s="27" t="s">
        <v>8</v>
      </c>
      <c r="BP121" s="27" t="s">
        <v>7</v>
      </c>
    </row>
    <row r="122" spans="1:68" x14ac:dyDescent="0.25">
      <c r="A122" s="30">
        <v>0.90909090909090895</v>
      </c>
      <c r="C122" s="1" t="str">
        <f>INDEX(1:1048576,C117,D117)</f>
        <v>O</v>
      </c>
      <c r="F122" s="27" t="s">
        <v>7</v>
      </c>
      <c r="W122" s="27" t="s">
        <v>8</v>
      </c>
      <c r="X122" s="27" t="s">
        <v>7</v>
      </c>
      <c r="AA122" s="27" t="s">
        <v>8</v>
      </c>
      <c r="AB122" s="27" t="s">
        <v>7</v>
      </c>
      <c r="AE122" s="27" t="s">
        <v>8</v>
      </c>
      <c r="AH122" s="27" t="s">
        <v>7</v>
      </c>
      <c r="AI122" s="27" t="s">
        <v>8</v>
      </c>
      <c r="AJ122" s="27" t="s">
        <v>7</v>
      </c>
      <c r="AW122" s="27" t="s">
        <v>8</v>
      </c>
      <c r="AY122" s="27" t="s">
        <v>8</v>
      </c>
      <c r="AZ122" s="27" t="s">
        <v>7</v>
      </c>
      <c r="BA122" s="27" t="s">
        <v>8</v>
      </c>
      <c r="BE122" s="27" t="s">
        <v>8</v>
      </c>
      <c r="BF122" s="27" t="s">
        <v>7</v>
      </c>
      <c r="BG122" s="27" t="s">
        <v>8</v>
      </c>
    </row>
    <row r="123" spans="1:68" x14ac:dyDescent="0.25">
      <c r="A123" s="30">
        <v>0.82644628099173523</v>
      </c>
      <c r="C123" s="1" t="str">
        <f>"R"&amp;C121</f>
        <v>R121</v>
      </c>
      <c r="D123" s="1" t="str">
        <f>"C"&amp;D121</f>
        <v>C68</v>
      </c>
      <c r="F123" s="27" t="s">
        <v>7</v>
      </c>
      <c r="W123" s="27" t="s">
        <v>8</v>
      </c>
      <c r="X123" s="27" t="s">
        <v>7</v>
      </c>
      <c r="AA123" s="27" t="s">
        <v>8</v>
      </c>
      <c r="AB123" s="27" t="s">
        <v>7</v>
      </c>
      <c r="AC123" s="27" t="s">
        <v>8</v>
      </c>
      <c r="AE123" s="27" t="s">
        <v>8</v>
      </c>
      <c r="AH123" s="27" t="s">
        <v>7</v>
      </c>
      <c r="AI123" s="27" t="s">
        <v>8</v>
      </c>
      <c r="AJ123" s="27" t="s">
        <v>7</v>
      </c>
      <c r="AQ123" s="27" t="s">
        <v>8</v>
      </c>
      <c r="AW123" s="27" t="s">
        <v>8</v>
      </c>
      <c r="AX123" s="27" t="s">
        <v>7</v>
      </c>
      <c r="AY123" s="27" t="s">
        <v>8</v>
      </c>
      <c r="AZ123" s="27" t="s">
        <v>7</v>
      </c>
      <c r="BA123" s="27" t="s">
        <v>8</v>
      </c>
      <c r="BB123" s="27" t="s">
        <v>7</v>
      </c>
      <c r="BC123" s="27" t="s">
        <v>8</v>
      </c>
      <c r="BE123" s="27" t="s">
        <v>8</v>
      </c>
      <c r="BF123" s="27" t="s">
        <v>7</v>
      </c>
      <c r="BG123" s="27" t="s">
        <v>8</v>
      </c>
    </row>
    <row r="124" spans="1:6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W124" s="27" t="s">
        <v>8</v>
      </c>
      <c r="X124" s="27" t="s">
        <v>7</v>
      </c>
      <c r="AA124" s="27" t="s">
        <v>8</v>
      </c>
      <c r="AB124" s="27" t="s">
        <v>7</v>
      </c>
      <c r="AC124" s="27" t="s">
        <v>8</v>
      </c>
      <c r="AD124" s="27" t="s">
        <v>7</v>
      </c>
      <c r="AE124" s="27" t="s">
        <v>8</v>
      </c>
      <c r="AH124" s="27" t="s">
        <v>7</v>
      </c>
      <c r="AI124" s="27" t="s">
        <v>8</v>
      </c>
      <c r="AJ124" s="27" t="s">
        <v>7</v>
      </c>
      <c r="AQ124" s="27" t="s">
        <v>8</v>
      </c>
      <c r="AR124" s="27" t="s">
        <v>7</v>
      </c>
      <c r="AS124" s="27" t="s">
        <v>8</v>
      </c>
      <c r="AW124" s="27" t="s">
        <v>8</v>
      </c>
      <c r="AX124" s="27" t="s">
        <v>7</v>
      </c>
      <c r="AY124" s="27" t="s">
        <v>8</v>
      </c>
      <c r="AZ124" s="27" t="s">
        <v>7</v>
      </c>
      <c r="BA124" s="27" t="s">
        <v>8</v>
      </c>
      <c r="BB124" s="27" t="s">
        <v>7</v>
      </c>
      <c r="BC124" s="27" t="s">
        <v>8</v>
      </c>
      <c r="BD124" s="27" t="s">
        <v>7</v>
      </c>
      <c r="BE124" s="27" t="s">
        <v>8</v>
      </c>
      <c r="BF124" s="27" t="s">
        <v>7</v>
      </c>
      <c r="BG124" s="27" t="s">
        <v>8</v>
      </c>
    </row>
    <row r="125" spans="1:68" x14ac:dyDescent="0.25">
      <c r="A125" s="30">
        <v>0.68301345536507019</v>
      </c>
      <c r="F125" s="27" t="s">
        <v>7</v>
      </c>
      <c r="W125" s="27" t="s">
        <v>8</v>
      </c>
      <c r="X125" s="27" t="s">
        <v>7</v>
      </c>
      <c r="Y125" s="27" t="s">
        <v>8</v>
      </c>
      <c r="AA125" s="27" t="s">
        <v>8</v>
      </c>
      <c r="AB125" s="27" t="s">
        <v>7</v>
      </c>
      <c r="AC125" s="27" t="s">
        <v>8</v>
      </c>
      <c r="AD125" s="27" t="s">
        <v>7</v>
      </c>
      <c r="AE125" s="27" t="s">
        <v>8</v>
      </c>
      <c r="AH125" s="27" t="s">
        <v>7</v>
      </c>
      <c r="AJ125" s="27" t="s">
        <v>7</v>
      </c>
      <c r="AQ125" s="27" t="s">
        <v>8</v>
      </c>
      <c r="AR125" s="27" t="s">
        <v>7</v>
      </c>
      <c r="AS125" s="27" t="s">
        <v>8</v>
      </c>
      <c r="AT125" s="27" t="s">
        <v>7</v>
      </c>
      <c r="AW125" s="27" t="s">
        <v>8</v>
      </c>
      <c r="AX125" s="27" t="s">
        <v>7</v>
      </c>
      <c r="AY125" s="27" t="s">
        <v>8</v>
      </c>
      <c r="AZ125" s="27" t="s">
        <v>7</v>
      </c>
      <c r="BB125" s="27" t="s">
        <v>7</v>
      </c>
      <c r="BC125" s="27" t="s">
        <v>8</v>
      </c>
      <c r="BD125" s="27" t="s">
        <v>7</v>
      </c>
      <c r="BE125" s="27" t="s">
        <v>8</v>
      </c>
      <c r="BF125" s="27" t="s">
        <v>7</v>
      </c>
    </row>
    <row r="126" spans="1:68" x14ac:dyDescent="0.25">
      <c r="A126" s="30">
        <v>0.6209213230591546</v>
      </c>
      <c r="C126" s="1" t="s">
        <v>10</v>
      </c>
      <c r="F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B126" s="27" t="s">
        <v>7</v>
      </c>
      <c r="AD126" s="27" t="s">
        <v>7</v>
      </c>
      <c r="AE126" s="27" t="s">
        <v>8</v>
      </c>
      <c r="AJ126" s="27" t="s">
        <v>7</v>
      </c>
      <c r="AK126" s="27" t="s">
        <v>8</v>
      </c>
      <c r="AM126" s="27" t="s">
        <v>8</v>
      </c>
      <c r="AQ126" s="27" t="s">
        <v>8</v>
      </c>
      <c r="AR126" s="27" t="s">
        <v>7</v>
      </c>
      <c r="AS126" s="27" t="s">
        <v>8</v>
      </c>
      <c r="AT126" s="27" t="s">
        <v>7</v>
      </c>
      <c r="AW126" s="27" t="s">
        <v>8</v>
      </c>
      <c r="AX126" s="27" t="s">
        <v>7</v>
      </c>
      <c r="AY126" s="27" t="s">
        <v>8</v>
      </c>
      <c r="BB126" s="27" t="s">
        <v>7</v>
      </c>
      <c r="BC126" s="27" t="s">
        <v>8</v>
      </c>
      <c r="BD126" s="27" t="s">
        <v>7</v>
      </c>
    </row>
    <row r="127" spans="1:68" x14ac:dyDescent="0.25">
      <c r="A127" s="30">
        <v>0.56447393005377677</v>
      </c>
      <c r="C127" s="30">
        <v>1</v>
      </c>
      <c r="D127"/>
      <c r="F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D127" s="27" t="s">
        <v>7</v>
      </c>
      <c r="AJ127" s="27" t="s">
        <v>7</v>
      </c>
      <c r="AK127" s="27" t="s">
        <v>8</v>
      </c>
      <c r="AL127" s="27" t="s">
        <v>7</v>
      </c>
      <c r="AM127" s="27" t="s">
        <v>8</v>
      </c>
      <c r="AN127" s="27" t="s">
        <v>7</v>
      </c>
      <c r="AO127" s="27" t="s">
        <v>8</v>
      </c>
      <c r="AQ127" s="27" t="s">
        <v>8</v>
      </c>
      <c r="AR127" s="27" t="s">
        <v>7</v>
      </c>
      <c r="AS127" s="27" t="s">
        <v>8</v>
      </c>
      <c r="AT127" s="27" t="s">
        <v>7</v>
      </c>
      <c r="AW127" s="27" t="s">
        <v>8</v>
      </c>
      <c r="AX127" s="27" t="s">
        <v>7</v>
      </c>
      <c r="AY127" s="27" t="s">
        <v>8</v>
      </c>
      <c r="BB127" s="27" t="s">
        <v>7</v>
      </c>
      <c r="BC127" s="27" t="s">
        <v>8</v>
      </c>
    </row>
    <row r="128" spans="1:68" x14ac:dyDescent="0.25">
      <c r="A128" s="30">
        <v>0.51315811823070612</v>
      </c>
      <c r="F128" s="27" t="s">
        <v>7</v>
      </c>
      <c r="W128" s="27" t="s">
        <v>8</v>
      </c>
      <c r="X128" s="27" t="s">
        <v>7</v>
      </c>
      <c r="Y128" s="27" t="s">
        <v>8</v>
      </c>
      <c r="Z128" s="27" t="s">
        <v>7</v>
      </c>
      <c r="AJ128" s="27" t="s">
        <v>7</v>
      </c>
      <c r="AK128" s="27" t="s">
        <v>8</v>
      </c>
      <c r="AL128" s="27" t="s">
        <v>7</v>
      </c>
      <c r="AM128" s="27" t="s">
        <v>8</v>
      </c>
      <c r="AN128" s="27" t="s">
        <v>7</v>
      </c>
      <c r="AO128" s="27" t="s">
        <v>8</v>
      </c>
      <c r="AP128" s="27" t="s">
        <v>7</v>
      </c>
      <c r="AQ128" s="27" t="s">
        <v>8</v>
      </c>
      <c r="AR128" s="27" t="s">
        <v>7</v>
      </c>
      <c r="AT128" s="27" t="s">
        <v>7</v>
      </c>
      <c r="AU128" s="27" t="s">
        <v>8</v>
      </c>
      <c r="AW128" s="27" t="s">
        <v>8</v>
      </c>
      <c r="AX128" s="18" t="s">
        <v>7</v>
      </c>
      <c r="AY128" s="27" t="s">
        <v>8</v>
      </c>
      <c r="BB128" s="27" t="s">
        <v>7</v>
      </c>
    </row>
    <row r="129" spans="1:5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W129" s="27" t="s">
        <v>8</v>
      </c>
      <c r="X129" s="27" t="s">
        <v>7</v>
      </c>
      <c r="Y129" s="27" t="s">
        <v>8</v>
      </c>
      <c r="AJ129" s="27" t="s">
        <v>7</v>
      </c>
      <c r="AL129" s="27" t="s">
        <v>7</v>
      </c>
      <c r="AM129" s="27" t="s">
        <v>8</v>
      </c>
      <c r="AN129" s="27" t="s">
        <v>7</v>
      </c>
      <c r="AO129" s="27" t="s">
        <v>8</v>
      </c>
      <c r="AP129" s="27" t="s">
        <v>7</v>
      </c>
      <c r="AQ129" s="27" t="s">
        <v>8</v>
      </c>
      <c r="AT129" s="27" t="s">
        <v>7</v>
      </c>
      <c r="AU129" s="27" t="s">
        <v>8</v>
      </c>
      <c r="AV129" s="27" t="s">
        <v>7</v>
      </c>
      <c r="AW129" s="27" t="s">
        <v>8</v>
      </c>
      <c r="AX129" s="27" t="s">
        <v>7</v>
      </c>
    </row>
    <row r="130" spans="1:50" x14ac:dyDescent="0.25">
      <c r="A130" s="30">
        <v>0.42409761837248428</v>
      </c>
      <c r="C130" s="6"/>
      <c r="D130" s="6"/>
      <c r="E130"/>
      <c r="F130" s="27" t="s">
        <v>7</v>
      </c>
      <c r="W130" s="27" t="s">
        <v>8</v>
      </c>
      <c r="X130" s="27" t="s">
        <v>7</v>
      </c>
      <c r="Y130" s="27" t="s">
        <v>8</v>
      </c>
      <c r="AL130" s="27" t="s">
        <v>7</v>
      </c>
      <c r="AM130" s="27" t="s">
        <v>8</v>
      </c>
      <c r="AN130" s="27" t="s">
        <v>7</v>
      </c>
      <c r="AP130" s="27" t="s">
        <v>7</v>
      </c>
      <c r="AT130" s="27" t="s">
        <v>7</v>
      </c>
      <c r="AU130" s="27" t="s">
        <v>8</v>
      </c>
      <c r="AV130" s="27" t="s">
        <v>7</v>
      </c>
      <c r="AW130" s="27" t="s">
        <v>8</v>
      </c>
    </row>
    <row r="131" spans="1:50" x14ac:dyDescent="0.25">
      <c r="A131" s="30">
        <v>0.38554328942953109</v>
      </c>
      <c r="E131"/>
      <c r="F131" s="27" t="s">
        <v>7</v>
      </c>
      <c r="W131" s="27" t="s">
        <v>8</v>
      </c>
      <c r="X131" s="27" t="s">
        <v>7</v>
      </c>
      <c r="AL131" s="27" t="s">
        <v>7</v>
      </c>
      <c r="AM131" s="27" t="s">
        <v>8</v>
      </c>
      <c r="AT131" s="27" t="s">
        <v>7</v>
      </c>
      <c r="AV131" s="27" t="s">
        <v>7</v>
      </c>
    </row>
    <row r="132" spans="1:50" x14ac:dyDescent="0.25">
      <c r="A132" s="30">
        <v>0.35049389948139187</v>
      </c>
      <c r="C132" s="1" t="s">
        <v>13</v>
      </c>
      <c r="E132"/>
      <c r="F132" s="27" t="s">
        <v>7</v>
      </c>
      <c r="W132" s="27" t="s">
        <v>8</v>
      </c>
      <c r="AL132" s="27" t="s">
        <v>7</v>
      </c>
      <c r="AM132" s="27" t="s">
        <v>8</v>
      </c>
    </row>
    <row r="133" spans="1:50" x14ac:dyDescent="0.25">
      <c r="A133" s="30">
        <v>0.31863081771035617</v>
      </c>
      <c r="C133" s="1" t="str">
        <f>C122</f>
        <v>O</v>
      </c>
      <c r="E133"/>
      <c r="F133" s="27" t="s">
        <v>7</v>
      </c>
      <c r="W133" s="27" t="s">
        <v>8</v>
      </c>
      <c r="AL133" s="27" t="s">
        <v>7</v>
      </c>
      <c r="AM133" s="27" t="s">
        <v>8</v>
      </c>
    </row>
    <row r="134" spans="1:50" x14ac:dyDescent="0.25">
      <c r="A134" s="30">
        <v>0.28966437973668741</v>
      </c>
      <c r="C134"/>
      <c r="D134"/>
      <c r="E134"/>
      <c r="F134" s="27" t="s">
        <v>7</v>
      </c>
      <c r="W134" s="27" t="s">
        <v>8</v>
      </c>
      <c r="AL134" s="27" t="s">
        <v>7</v>
      </c>
    </row>
    <row r="135" spans="1:50" x14ac:dyDescent="0.25">
      <c r="A135" s="30">
        <v>0.2633312543060794</v>
      </c>
      <c r="C135" s="1" t="s">
        <v>14</v>
      </c>
      <c r="E135"/>
      <c r="F135" s="27" t="s">
        <v>7</v>
      </c>
      <c r="W135" s="27" t="s">
        <v>8</v>
      </c>
    </row>
    <row r="136" spans="1:5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W136" s="27" t="s">
        <v>8</v>
      </c>
    </row>
    <row r="137" spans="1:50" x14ac:dyDescent="0.25">
      <c r="A137" s="30">
        <v>0.2176291357901482</v>
      </c>
      <c r="E137"/>
      <c r="F137" s="27" t="s">
        <v>7</v>
      </c>
      <c r="W137" s="27" t="s">
        <v>8</v>
      </c>
    </row>
    <row r="138" spans="1:5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W138" s="27" t="s">
        <v>8</v>
      </c>
    </row>
    <row r="139" spans="1:50" x14ac:dyDescent="0.25">
      <c r="A139" s="30">
        <v>0.17985878990921333</v>
      </c>
      <c r="E139"/>
      <c r="F139" s="27" t="s">
        <v>7</v>
      </c>
      <c r="W139" s="27" t="s">
        <v>8</v>
      </c>
    </row>
    <row r="140" spans="1:50" x14ac:dyDescent="0.25">
      <c r="A140" s="30">
        <v>0.16350799082655756</v>
      </c>
      <c r="C140" s="1">
        <v>0</v>
      </c>
      <c r="E140"/>
      <c r="F140" s="27" t="s">
        <v>7</v>
      </c>
      <c r="W140" s="27" t="s">
        <v>8</v>
      </c>
    </row>
    <row r="141" spans="1:50" x14ac:dyDescent="0.25">
      <c r="A141" s="30">
        <v>0.14864362802414322</v>
      </c>
      <c r="C141" s="1">
        <v>1</v>
      </c>
      <c r="E141"/>
      <c r="F141" s="27" t="s">
        <v>7</v>
      </c>
      <c r="W141" s="27" t="s">
        <v>8</v>
      </c>
    </row>
    <row r="142" spans="1:50" x14ac:dyDescent="0.25">
      <c r="A142" s="30">
        <v>0.13513057093103928</v>
      </c>
      <c r="C142" s="1">
        <v>2</v>
      </c>
      <c r="E142"/>
      <c r="F142" s="27" t="s">
        <v>7</v>
      </c>
      <c r="W142" s="27" t="s">
        <v>8</v>
      </c>
    </row>
    <row r="143" spans="1:50" x14ac:dyDescent="0.25">
      <c r="A143" s="30">
        <v>0.12284597357367205</v>
      </c>
      <c r="C143" s="1">
        <v>3</v>
      </c>
      <c r="E143"/>
      <c r="F143" s="27" t="s">
        <v>7</v>
      </c>
      <c r="W143" s="27" t="s">
        <v>8</v>
      </c>
    </row>
    <row r="144" spans="1:50" x14ac:dyDescent="0.25">
      <c r="A144" s="30">
        <v>0.11167815779424731</v>
      </c>
      <c r="C144" s="1">
        <v>4</v>
      </c>
      <c r="E144"/>
      <c r="F144" s="27" t="s">
        <v>7</v>
      </c>
      <c r="W144" s="27" t="s">
        <v>8</v>
      </c>
    </row>
    <row r="145" spans="1:23" x14ac:dyDescent="0.25">
      <c r="A145" s="30">
        <v>0.10152559799477026</v>
      </c>
      <c r="B145"/>
      <c r="C145"/>
      <c r="D145"/>
      <c r="E145"/>
      <c r="F145" s="27" t="s">
        <v>7</v>
      </c>
      <c r="W145" s="27" t="s">
        <v>8</v>
      </c>
    </row>
    <row r="146" spans="1:23" x14ac:dyDescent="0.25">
      <c r="A146" s="30">
        <v>9.2295998177063854E-2</v>
      </c>
      <c r="B146"/>
      <c r="C146"/>
      <c r="D146"/>
      <c r="E146"/>
      <c r="F146" s="27" t="s">
        <v>7</v>
      </c>
      <c r="W146" s="27" t="s">
        <v>8</v>
      </c>
    </row>
    <row r="147" spans="1:23" x14ac:dyDescent="0.25">
      <c r="A147" s="30">
        <v>8.3905452888239848E-2</v>
      </c>
      <c r="B147"/>
      <c r="C147"/>
      <c r="D147"/>
      <c r="E147"/>
      <c r="F147" s="27" t="s">
        <v>7</v>
      </c>
      <c r="W147" s="27" t="s">
        <v>8</v>
      </c>
    </row>
    <row r="148" spans="1:23" x14ac:dyDescent="0.25">
      <c r="A148" s="30">
        <v>7.6277684443854396E-2</v>
      </c>
      <c r="B148"/>
      <c r="C148"/>
      <c r="D148"/>
      <c r="E148"/>
      <c r="F148" s="27" t="s">
        <v>7</v>
      </c>
      <c r="W148" s="27" t="s">
        <v>8</v>
      </c>
    </row>
    <row r="149" spans="1:23" x14ac:dyDescent="0.25">
      <c r="A149" s="30">
        <v>6.9343349494413078E-2</v>
      </c>
      <c r="B149"/>
      <c r="C149"/>
      <c r="D149"/>
      <c r="E149"/>
      <c r="F149" s="27" t="s">
        <v>7</v>
      </c>
      <c r="W149" s="27" t="s">
        <v>8</v>
      </c>
    </row>
    <row r="150" spans="1:23" x14ac:dyDescent="0.25">
      <c r="A150" s="30">
        <v>6.3039408631284613E-2</v>
      </c>
      <c r="B150"/>
      <c r="C150"/>
      <c r="D150"/>
      <c r="E150"/>
      <c r="F150" s="27" t="s">
        <v>7</v>
      </c>
      <c r="W150" s="27" t="s">
        <v>8</v>
      </c>
    </row>
    <row r="151" spans="1:23" x14ac:dyDescent="0.25">
      <c r="A151" s="30">
        <v>5.7308553301167818E-2</v>
      </c>
      <c r="B151"/>
      <c r="C151"/>
      <c r="D151"/>
      <c r="E151"/>
      <c r="F151" s="27" t="s">
        <v>7</v>
      </c>
      <c r="W151" s="27" t="s">
        <v>8</v>
      </c>
    </row>
    <row r="152" spans="1:23" x14ac:dyDescent="0.25">
      <c r="A152" s="30">
        <v>5.2098684819243464E-2</v>
      </c>
      <c r="B152"/>
      <c r="C152"/>
      <c r="D152"/>
      <c r="E152"/>
      <c r="F152" s="27" t="s">
        <v>7</v>
      </c>
      <c r="W152" s="27" t="s">
        <v>8</v>
      </c>
    </row>
    <row r="153" spans="1:23" x14ac:dyDescent="0.25">
      <c r="A153" s="30">
        <v>4.7362440744766775E-2</v>
      </c>
      <c r="B153"/>
      <c r="C153"/>
      <c r="D153"/>
      <c r="E153"/>
      <c r="F153" s="27" t="s">
        <v>7</v>
      </c>
      <c r="W153" s="27" t="s">
        <v>8</v>
      </c>
    </row>
    <row r="154" spans="1:23" x14ac:dyDescent="0.25">
      <c r="A154" s="30">
        <v>4.3056764313424332E-2</v>
      </c>
      <c r="B154"/>
      <c r="C154"/>
      <c r="D154"/>
      <c r="E154"/>
      <c r="F154" s="27" t="s">
        <v>7</v>
      </c>
      <c r="W154" s="27" t="s">
        <v>8</v>
      </c>
    </row>
    <row r="155" spans="1:23" x14ac:dyDescent="0.25">
      <c r="A155" s="30">
        <v>3.9142513012203929E-2</v>
      </c>
      <c r="B155"/>
      <c r="C155"/>
      <c r="D155"/>
      <c r="E155"/>
      <c r="F155" s="27" t="s">
        <v>7</v>
      </c>
      <c r="W155" s="27" t="s">
        <v>8</v>
      </c>
    </row>
    <row r="156" spans="1:23" x14ac:dyDescent="0.25">
      <c r="A156" s="30">
        <v>3.55841027383672E-2</v>
      </c>
      <c r="B156"/>
      <c r="C156"/>
      <c r="D156"/>
      <c r="E156"/>
      <c r="F156" s="27" t="s">
        <v>7</v>
      </c>
      <c r="W156" s="27" t="s">
        <v>8</v>
      </c>
    </row>
    <row r="157" spans="1:23" x14ac:dyDescent="0.25">
      <c r="A157" s="30">
        <v>3.2349184307606541E-2</v>
      </c>
      <c r="B157"/>
      <c r="C157"/>
      <c r="D157"/>
      <c r="E157"/>
      <c r="F157" s="27" t="s">
        <v>7</v>
      </c>
      <c r="W157" s="27" t="s">
        <v>8</v>
      </c>
    </row>
    <row r="158" spans="1:23" x14ac:dyDescent="0.25">
      <c r="A158" s="30">
        <v>2.9408349370551395E-2</v>
      </c>
      <c r="B158"/>
      <c r="C158"/>
      <c r="D158"/>
      <c r="E158"/>
      <c r="F158" s="27" t="s">
        <v>7</v>
      </c>
      <c r="W158" s="27" t="s">
        <v>8</v>
      </c>
    </row>
    <row r="159" spans="1:23" x14ac:dyDescent="0.25">
      <c r="A159" s="30">
        <v>2.6734863064137627E-2</v>
      </c>
      <c r="B159"/>
      <c r="C159"/>
      <c r="D159"/>
      <c r="E159"/>
      <c r="F159" s="27" t="s">
        <v>7</v>
      </c>
      <c r="W159" s="27" t="s">
        <v>8</v>
      </c>
    </row>
    <row r="160" spans="1:23" x14ac:dyDescent="0.25">
      <c r="A160" s="30">
        <v>2.4304420967397839E-2</v>
      </c>
      <c r="B160"/>
      <c r="C160"/>
      <c r="D160"/>
      <c r="E160"/>
      <c r="F160" s="27" t="s">
        <v>7</v>
      </c>
      <c r="W160" s="27" t="s">
        <v>8</v>
      </c>
    </row>
    <row r="161" spans="1:23" x14ac:dyDescent="0.25">
      <c r="A161" s="30">
        <v>2.2094928152179852E-2</v>
      </c>
      <c r="B161"/>
      <c r="C161"/>
      <c r="D161"/>
      <c r="E161"/>
      <c r="F161" s="27" t="s">
        <v>7</v>
      </c>
      <c r="W161" s="27" t="s">
        <v>8</v>
      </c>
    </row>
    <row r="162" spans="1:23" x14ac:dyDescent="0.25">
      <c r="A162" s="30">
        <v>2.0086298320163499E-2</v>
      </c>
      <c r="B162"/>
      <c r="C162"/>
      <c r="D162"/>
      <c r="E162"/>
      <c r="F162" s="27" t="s">
        <v>7</v>
      </c>
      <c r="W162" s="27" t="s">
        <v>8</v>
      </c>
    </row>
    <row r="163" spans="1:23" x14ac:dyDescent="0.25">
      <c r="A163" s="30">
        <v>1.8260271200148632E-2</v>
      </c>
      <c r="B163"/>
      <c r="C163"/>
      <c r="D163"/>
      <c r="E163"/>
      <c r="F163" s="27" t="s">
        <v>7</v>
      </c>
      <c r="W163" s="27" t="s">
        <v>8</v>
      </c>
    </row>
    <row r="164" spans="1:23" x14ac:dyDescent="0.25">
      <c r="A164" s="30">
        <v>1.6600246545589663E-2</v>
      </c>
      <c r="B164"/>
      <c r="C164"/>
      <c r="D164"/>
      <c r="E164"/>
      <c r="F164" s="27" t="s">
        <v>7</v>
      </c>
      <c r="W164" s="27" t="s">
        <v>8</v>
      </c>
    </row>
    <row r="165" spans="1:23" x14ac:dyDescent="0.25">
      <c r="A165" s="30">
        <v>1.5091133223263328E-2</v>
      </c>
      <c r="B165"/>
      <c r="C165"/>
      <c r="D165"/>
      <c r="E165"/>
      <c r="F165" s="27" t="s">
        <v>7</v>
      </c>
      <c r="W165" s="27" t="s">
        <v>8</v>
      </c>
    </row>
    <row r="166" spans="1:23" x14ac:dyDescent="0.25">
      <c r="A166" s="30">
        <v>1.3719212021148477E-2</v>
      </c>
      <c r="B166"/>
      <c r="C166"/>
      <c r="D166"/>
      <c r="E166"/>
      <c r="F166" s="27" t="s">
        <v>7</v>
      </c>
      <c r="W166" s="27" t="s">
        <v>8</v>
      </c>
    </row>
    <row r="167" spans="1:23" x14ac:dyDescent="0.25">
      <c r="A167" s="30">
        <v>1.2472010928316795E-2</v>
      </c>
      <c r="B167"/>
      <c r="C167"/>
      <c r="D167"/>
      <c r="E167"/>
      <c r="F167" s="27" t="s">
        <v>7</v>
      </c>
      <c r="W167" s="27" t="s">
        <v>8</v>
      </c>
    </row>
    <row r="168" spans="1:23" x14ac:dyDescent="0.25">
      <c r="A168" s="30">
        <v>1.1338191753015267E-2</v>
      </c>
      <c r="B168"/>
      <c r="C168"/>
      <c r="D168"/>
      <c r="E168"/>
      <c r="F168" s="27" t="s">
        <v>7</v>
      </c>
      <c r="W168" s="27" t="s">
        <v>8</v>
      </c>
    </row>
    <row r="169" spans="1:23" x14ac:dyDescent="0.25">
      <c r="A169" s="30">
        <v>1.0307447048195697E-2</v>
      </c>
      <c r="B169"/>
      <c r="C169"/>
      <c r="D169"/>
      <c r="E169"/>
      <c r="F169" s="27" t="s">
        <v>7</v>
      </c>
      <c r="W169" s="27" t="s">
        <v>8</v>
      </c>
    </row>
    <row r="170" spans="1:23" x14ac:dyDescent="0.25">
      <c r="A170" s="30">
        <v>9.3704064074506318E-3</v>
      </c>
      <c r="B170"/>
      <c r="C170"/>
      <c r="D170"/>
      <c r="E170"/>
      <c r="F170" s="27" t="s">
        <v>7</v>
      </c>
      <c r="W170" s="27" t="s">
        <v>8</v>
      </c>
    </row>
    <row r="171" spans="1:23" x14ac:dyDescent="0.25">
      <c r="A171" s="30">
        <v>8.5185512795005747E-3</v>
      </c>
      <c r="F171" s="27" t="s">
        <v>7</v>
      </c>
      <c r="W171" s="27" t="s">
        <v>8</v>
      </c>
    </row>
    <row r="172" spans="1:23" x14ac:dyDescent="0.25">
      <c r="A172" s="30">
        <v>7.744137526818704E-3</v>
      </c>
      <c r="F172" s="27" t="s">
        <v>7</v>
      </c>
      <c r="W172" s="27" t="s">
        <v>8</v>
      </c>
    </row>
    <row r="173" spans="1:23" x14ac:dyDescent="0.25">
      <c r="A173" s="30">
        <v>7.0401250243806394E-3</v>
      </c>
      <c r="F173" s="27" t="s">
        <v>7</v>
      </c>
      <c r="W173" s="27" t="s">
        <v>8</v>
      </c>
    </row>
    <row r="174" spans="1:23" x14ac:dyDescent="0.25">
      <c r="A174" s="30">
        <v>6.4001136585278536E-3</v>
      </c>
      <c r="F174" s="27" t="s">
        <v>7</v>
      </c>
      <c r="W174" s="27" t="s">
        <v>8</v>
      </c>
    </row>
    <row r="175" spans="1:23" x14ac:dyDescent="0.25">
      <c r="A175" s="30">
        <v>5.8182851441162305E-3</v>
      </c>
      <c r="F175" s="27" t="s">
        <v>7</v>
      </c>
      <c r="W175" s="27" t="s">
        <v>8</v>
      </c>
    </row>
    <row r="176" spans="1:23" x14ac:dyDescent="0.25">
      <c r="A176" s="30">
        <v>5.2893501310147546E-3</v>
      </c>
      <c r="F176" s="27" t="s">
        <v>7</v>
      </c>
      <c r="W176" s="27" t="s">
        <v>8</v>
      </c>
    </row>
    <row r="177" spans="1:23" x14ac:dyDescent="0.25">
      <c r="A177" s="30">
        <v>4.8085001191043222E-3</v>
      </c>
      <c r="F177" s="27" t="s">
        <v>7</v>
      </c>
      <c r="W177" s="27" t="s">
        <v>8</v>
      </c>
    </row>
    <row r="178" spans="1:23" x14ac:dyDescent="0.25">
      <c r="A178" s="30">
        <v>4.3713637446402926E-3</v>
      </c>
      <c r="F178" s="27" t="s">
        <v>7</v>
      </c>
      <c r="W178" s="27" t="s">
        <v>8</v>
      </c>
    </row>
    <row r="179" spans="1:23" x14ac:dyDescent="0.25">
      <c r="A179" s="30">
        <v>3.9739670405820838E-3</v>
      </c>
      <c r="F179" s="27" t="s">
        <v>7</v>
      </c>
      <c r="W179" s="27" t="s">
        <v>8</v>
      </c>
    </row>
    <row r="180" spans="1:23" x14ac:dyDescent="0.25">
      <c r="A180" s="30">
        <v>3.6126973096200759E-3</v>
      </c>
      <c r="F180" s="27" t="s">
        <v>7</v>
      </c>
      <c r="W180" s="27" t="s">
        <v>8</v>
      </c>
    </row>
    <row r="181" spans="1:23" x14ac:dyDescent="0.25">
      <c r="A181" s="30">
        <v>3.2842702814727962E-3</v>
      </c>
      <c r="F181" s="27" t="s">
        <v>7</v>
      </c>
      <c r="W181" s="27" t="s">
        <v>8</v>
      </c>
    </row>
    <row r="182" spans="1:23" x14ac:dyDescent="0.25">
      <c r="A182" s="30">
        <v>2.9857002558843601E-3</v>
      </c>
      <c r="F182" s="27" t="s">
        <v>7</v>
      </c>
      <c r="W182" s="27" t="s">
        <v>8</v>
      </c>
    </row>
    <row r="183" spans="1:23" x14ac:dyDescent="0.25">
      <c r="A183" s="30">
        <v>2.7142729598948726E-3</v>
      </c>
      <c r="F183" s="27" t="s">
        <v>7</v>
      </c>
      <c r="W183" s="27" t="s">
        <v>8</v>
      </c>
    </row>
    <row r="184" spans="1:23" x14ac:dyDescent="0.25">
      <c r="A184" s="30">
        <v>2.4675208726317021E-3</v>
      </c>
      <c r="F184" s="27" t="s">
        <v>7</v>
      </c>
      <c r="W184" s="27" t="s">
        <v>8</v>
      </c>
    </row>
    <row r="185" spans="1:23" x14ac:dyDescent="0.25">
      <c r="A185" s="30">
        <v>2.2432007933015472E-3</v>
      </c>
      <c r="F185" s="27" t="s">
        <v>7</v>
      </c>
      <c r="W185" s="27" t="s">
        <v>8</v>
      </c>
    </row>
    <row r="186" spans="1:23" x14ac:dyDescent="0.25">
      <c r="A186" s="30">
        <v>2.0392734484559519E-3</v>
      </c>
      <c r="F186" s="27" t="s">
        <v>7</v>
      </c>
      <c r="W186" s="27" t="s">
        <v>8</v>
      </c>
    </row>
    <row r="187" spans="1:23" x14ac:dyDescent="0.25">
      <c r="A187" s="30">
        <v>1.8538849531417744E-3</v>
      </c>
      <c r="F187" s="27" t="s">
        <v>7</v>
      </c>
      <c r="W187" s="27" t="s">
        <v>8</v>
      </c>
    </row>
    <row r="188" spans="1:23" x14ac:dyDescent="0.25">
      <c r="A188" s="30">
        <v>1.6853499574016129E-3</v>
      </c>
      <c r="F188" s="27" t="s">
        <v>7</v>
      </c>
      <c r="W188" s="27" t="s">
        <v>8</v>
      </c>
    </row>
    <row r="189" spans="1:23" x14ac:dyDescent="0.25">
      <c r="A189" s="30">
        <v>1.5321363249105571E-3</v>
      </c>
      <c r="F189" s="27" t="s">
        <v>7</v>
      </c>
      <c r="W189" s="27" t="s">
        <v>8</v>
      </c>
    </row>
    <row r="190" spans="1:23" x14ac:dyDescent="0.25">
      <c r="A190" s="30">
        <v>1.3928512044641427E-3</v>
      </c>
      <c r="F190" s="27" t="s">
        <v>7</v>
      </c>
      <c r="W190" s="27" t="s">
        <v>8</v>
      </c>
    </row>
    <row r="191" spans="1:23" x14ac:dyDescent="0.25">
      <c r="A191" s="30">
        <v>1.2662283676946752E-3</v>
      </c>
      <c r="F191" s="27" t="s">
        <v>7</v>
      </c>
      <c r="W191" s="27" t="s">
        <v>8</v>
      </c>
    </row>
    <row r="192" spans="1:23" x14ac:dyDescent="0.25">
      <c r="A192" s="30">
        <v>1.15111669790425E-3</v>
      </c>
      <c r="F192" s="27" t="s">
        <v>7</v>
      </c>
      <c r="W192" s="27" t="s">
        <v>8</v>
      </c>
    </row>
    <row r="193" spans="1:23" x14ac:dyDescent="0.25">
      <c r="A193" s="30">
        <v>1.0464697253675E-3</v>
      </c>
      <c r="F193" s="27" t="s">
        <v>7</v>
      </c>
      <c r="W193" s="27" t="s">
        <v>8</v>
      </c>
    </row>
    <row r="194" spans="1:23" x14ac:dyDescent="0.25">
      <c r="A194" s="30">
        <v>9.5133611397045449E-4</v>
      </c>
      <c r="F194" s="27" t="s">
        <v>7</v>
      </c>
      <c r="W194" s="27" t="s">
        <v>8</v>
      </c>
    </row>
    <row r="195" spans="1:23" x14ac:dyDescent="0.25">
      <c r="A195" s="30">
        <v>8.6485101270041313E-4</v>
      </c>
      <c r="F195" s="27" t="s">
        <v>7</v>
      </c>
      <c r="W195" s="27" t="s">
        <v>8</v>
      </c>
    </row>
    <row r="196" spans="1:23" x14ac:dyDescent="0.25">
      <c r="A196" s="30">
        <v>7.862281933640119E-4</v>
      </c>
      <c r="F196" s="27" t="s">
        <v>7</v>
      </c>
      <c r="W196" s="27" t="s">
        <v>8</v>
      </c>
    </row>
    <row r="197" spans="1:23" x14ac:dyDescent="0.25">
      <c r="A197" s="30">
        <v>7.0760537402761068E-4</v>
      </c>
      <c r="F197" s="27" t="s">
        <v>7</v>
      </c>
      <c r="G197" s="27" t="s">
        <v>8</v>
      </c>
      <c r="U197" s="27" t="s">
        <v>8</v>
      </c>
      <c r="W197" s="27" t="s">
        <v>8</v>
      </c>
    </row>
    <row r="198" spans="1:23" x14ac:dyDescent="0.25">
      <c r="A198" s="30">
        <v>6.368448366248496E-4</v>
      </c>
      <c r="F198" s="27" t="s">
        <v>7</v>
      </c>
      <c r="G198" s="27" t="s">
        <v>8</v>
      </c>
      <c r="H198" s="27" t="s">
        <v>7</v>
      </c>
      <c r="M198" s="27" t="s">
        <v>8</v>
      </c>
      <c r="U198" s="27" t="s">
        <v>8</v>
      </c>
      <c r="V198" s="27" t="s">
        <v>7</v>
      </c>
      <c r="W198" s="27" t="s">
        <v>8</v>
      </c>
    </row>
    <row r="199" spans="1:23" x14ac:dyDescent="0.25">
      <c r="A199" s="30">
        <v>5.7316035296236471E-4</v>
      </c>
      <c r="F199" s="27" t="s">
        <v>7</v>
      </c>
      <c r="G199" s="27" t="s">
        <v>8</v>
      </c>
      <c r="H199" s="27" t="s">
        <v>7</v>
      </c>
      <c r="M199" s="27" t="s">
        <v>8</v>
      </c>
      <c r="N199" s="27" t="s">
        <v>7</v>
      </c>
      <c r="U199" s="27" t="s">
        <v>8</v>
      </c>
      <c r="V199" s="27" t="s">
        <v>7</v>
      </c>
      <c r="W199" s="27" t="s">
        <v>8</v>
      </c>
    </row>
    <row r="200" spans="1:23" x14ac:dyDescent="0.25">
      <c r="A200" s="30">
        <v>5.1584431766612821E-4</v>
      </c>
      <c r="F200" s="27" t="s">
        <v>7</v>
      </c>
      <c r="H200" s="27" t="s">
        <v>7</v>
      </c>
      <c r="M200" s="27" t="s">
        <v>8</v>
      </c>
      <c r="N200" s="27" t="s">
        <v>7</v>
      </c>
      <c r="U200" s="27" t="s">
        <v>8</v>
      </c>
      <c r="V200" s="27" t="s">
        <v>7</v>
      </c>
      <c r="W200" s="27" t="s">
        <v>8</v>
      </c>
    </row>
    <row r="201" spans="1:23" x14ac:dyDescent="0.25">
      <c r="A201" s="30">
        <v>4.6425988589951538E-4</v>
      </c>
      <c r="H201" s="27" t="s">
        <v>7</v>
      </c>
      <c r="M201" s="27" t="s">
        <v>8</v>
      </c>
      <c r="N201" s="27" t="s">
        <v>7</v>
      </c>
      <c r="O201" s="27" t="s">
        <v>8</v>
      </c>
      <c r="Q201" s="27" t="s">
        <v>8</v>
      </c>
      <c r="U201" s="27" t="s">
        <v>8</v>
      </c>
      <c r="V201" s="27" t="s">
        <v>7</v>
      </c>
    </row>
    <row r="202" spans="1:23" x14ac:dyDescent="0.25">
      <c r="A202" s="30">
        <v>4.1783389730956383E-4</v>
      </c>
      <c r="H202" s="27" t="s">
        <v>7</v>
      </c>
      <c r="K202" s="27" t="s">
        <v>8</v>
      </c>
      <c r="M202" s="27" t="s">
        <v>8</v>
      </c>
      <c r="N202" s="27" t="s">
        <v>7</v>
      </c>
      <c r="O202" s="27" t="s">
        <v>8</v>
      </c>
      <c r="P202" s="27" t="s">
        <v>7</v>
      </c>
      <c r="Q202" s="27" t="s">
        <v>8</v>
      </c>
      <c r="R202" s="27" t="s">
        <v>7</v>
      </c>
      <c r="U202" s="27" t="s">
        <v>8</v>
      </c>
    </row>
    <row r="203" spans="1:23" x14ac:dyDescent="0.25">
      <c r="A203" s="30">
        <v>3.7605050757860746E-4</v>
      </c>
      <c r="H203" s="27" t="s">
        <v>7</v>
      </c>
      <c r="I203" s="27" t="s">
        <v>8</v>
      </c>
      <c r="K203" s="27" t="s">
        <v>8</v>
      </c>
      <c r="L203" s="27" t="s">
        <v>7</v>
      </c>
      <c r="M203" s="27" t="s">
        <v>8</v>
      </c>
      <c r="N203" s="27" t="s">
        <v>7</v>
      </c>
      <c r="O203" s="27" t="s">
        <v>8</v>
      </c>
      <c r="P203" s="27" t="s">
        <v>7</v>
      </c>
      <c r="Q203" s="27" t="s">
        <v>8</v>
      </c>
      <c r="R203" s="27" t="s">
        <v>7</v>
      </c>
      <c r="S203" s="27" t="s">
        <v>8</v>
      </c>
      <c r="U203" s="27" t="s">
        <v>8</v>
      </c>
    </row>
    <row r="204" spans="1:23" x14ac:dyDescent="0.25">
      <c r="A204" s="30">
        <v>3.3844545682074675E-4</v>
      </c>
      <c r="H204" s="27" t="s">
        <v>7</v>
      </c>
      <c r="I204" s="27" t="s">
        <v>8</v>
      </c>
      <c r="J204" s="27" t="s">
        <v>7</v>
      </c>
      <c r="K204" s="27" t="s">
        <v>8</v>
      </c>
      <c r="L204" s="27" t="s">
        <v>7</v>
      </c>
      <c r="N204" s="27" t="s">
        <v>7</v>
      </c>
      <c r="O204" s="27" t="s">
        <v>8</v>
      </c>
      <c r="P204" s="27" t="s">
        <v>7</v>
      </c>
      <c r="Q204" s="27" t="s">
        <v>8</v>
      </c>
      <c r="R204" s="27" t="s">
        <v>7</v>
      </c>
      <c r="S204" s="27" t="s">
        <v>8</v>
      </c>
      <c r="T204" s="27" t="s">
        <v>7</v>
      </c>
      <c r="U204" s="27" t="s">
        <v>8</v>
      </c>
    </row>
    <row r="205" spans="1:23" x14ac:dyDescent="0.25">
      <c r="A205" s="30">
        <v>3.0460091113867208E-4</v>
      </c>
      <c r="H205" s="27" t="s">
        <v>7</v>
      </c>
      <c r="I205" s="27" t="s">
        <v>8</v>
      </c>
      <c r="J205" s="27" t="s">
        <v>7</v>
      </c>
      <c r="K205" s="27" t="s">
        <v>8</v>
      </c>
      <c r="N205" s="27" t="s">
        <v>7</v>
      </c>
      <c r="O205" s="27" t="s">
        <v>8</v>
      </c>
      <c r="P205" s="27" t="s">
        <v>7</v>
      </c>
      <c r="R205" s="27" t="s">
        <v>7</v>
      </c>
      <c r="S205" s="27" t="s">
        <v>8</v>
      </c>
      <c r="T205" s="27" t="s">
        <v>7</v>
      </c>
      <c r="U205" s="27" t="s">
        <v>8</v>
      </c>
    </row>
    <row r="206" spans="1:23" x14ac:dyDescent="0.25">
      <c r="A206" s="30">
        <v>2.7414082002480487E-4</v>
      </c>
      <c r="H206" s="27" t="s">
        <v>7</v>
      </c>
      <c r="I206" s="27" t="s">
        <v>8</v>
      </c>
      <c r="J206" s="27" t="s">
        <v>7</v>
      </c>
      <c r="K206" s="27" t="s">
        <v>8</v>
      </c>
      <c r="N206" s="27" t="s">
        <v>7</v>
      </c>
      <c r="R206" s="27" t="s">
        <v>7</v>
      </c>
      <c r="S206" s="27" t="s">
        <v>8</v>
      </c>
      <c r="T206" s="27" t="s">
        <v>7</v>
      </c>
      <c r="U206" s="27" t="s">
        <v>8</v>
      </c>
    </row>
    <row r="207" spans="1:23" x14ac:dyDescent="0.25">
      <c r="A207" s="30">
        <v>2.4672673802232442E-4</v>
      </c>
      <c r="H207" s="27" t="s">
        <v>7</v>
      </c>
      <c r="I207" s="27" t="s">
        <v>8</v>
      </c>
      <c r="J207" s="27" t="s">
        <v>7</v>
      </c>
      <c r="R207" s="27" t="s">
        <v>7</v>
      </c>
      <c r="T207" s="27" t="s">
        <v>7</v>
      </c>
    </row>
    <row r="208" spans="1:23" x14ac:dyDescent="0.25">
      <c r="A208" s="30">
        <v>2.2205406422009198E-4</v>
      </c>
      <c r="H208" s="27" t="s">
        <v>7</v>
      </c>
      <c r="I208" s="27" t="s">
        <v>8</v>
      </c>
    </row>
    <row r="209" spans="1:9" x14ac:dyDescent="0.25">
      <c r="A209" s="30">
        <v>1.998486577980828E-4</v>
      </c>
      <c r="H209" s="27" t="s">
        <v>7</v>
      </c>
      <c r="I209" s="27" t="s">
        <v>8</v>
      </c>
    </row>
    <row r="210" spans="1:9" x14ac:dyDescent="0.25">
      <c r="A210" s="30">
        <v>1.7986379201827453E-4</v>
      </c>
      <c r="H210" s="27" t="s">
        <v>7</v>
      </c>
    </row>
    <row r="211" spans="1:9" x14ac:dyDescent="0.25">
      <c r="A211" s="30">
        <v>1.6187741281644709E-4</v>
      </c>
    </row>
    <row r="212" spans="1:9" x14ac:dyDescent="0.25">
      <c r="A212" s="30">
        <v>1.4568967153480238E-4</v>
      </c>
    </row>
    <row r="213" spans="1:9" x14ac:dyDescent="0.25">
      <c r="A213" s="30">
        <v>1.3112070438132215E-4</v>
      </c>
    </row>
    <row r="214" spans="1:9" x14ac:dyDescent="0.25">
      <c r="A214" s="30">
        <v>1.1800863394318995E-4</v>
      </c>
    </row>
    <row r="215" spans="1:9" x14ac:dyDescent="0.25">
      <c r="A215" s="30">
        <v>1.0620777054887096E-4</v>
      </c>
    </row>
    <row r="216" spans="1:9" x14ac:dyDescent="0.25">
      <c r="A216" s="30">
        <v>9.5586993493983861E-5</v>
      </c>
    </row>
    <row r="217" spans="1:9" x14ac:dyDescent="0.25">
      <c r="A217" s="30">
        <v>8.6028294144585476E-5</v>
      </c>
    </row>
    <row r="218" spans="1:9" x14ac:dyDescent="0.25">
      <c r="A218" s="30">
        <v>7.7425464730126924E-5</v>
      </c>
    </row>
    <row r="219" spans="1:9" x14ac:dyDescent="0.25">
      <c r="A219" s="30">
        <v>6.9682918257114228E-5</v>
      </c>
    </row>
    <row r="220" spans="1:9" x14ac:dyDescent="0.25">
      <c r="A220" s="30">
        <v>6.2714626431402813E-5</v>
      </c>
    </row>
    <row r="221" spans="1:9" x14ac:dyDescent="0.25">
      <c r="A221" s="30">
        <v>5.6443163788262536E-5</v>
      </c>
    </row>
    <row r="222" spans="1:9" x14ac:dyDescent="0.25">
      <c r="A222" s="30">
        <v>5.0798847409436286E-5</v>
      </c>
    </row>
    <row r="223" spans="1:9" x14ac:dyDescent="0.25">
      <c r="A223" s="30">
        <v>4.5718962668492656E-5</v>
      </c>
    </row>
    <row r="224" spans="1:9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59" operator="equal">
      <formula>$U$1</formula>
    </cfRule>
    <cfRule type="cellIs" dxfId="30" priority="1160" operator="equal">
      <formula>$S$1</formula>
    </cfRule>
  </conditionalFormatting>
  <conditionalFormatting sqref="D136">
    <cfRule type="cellIs" dxfId="29" priority="1157" operator="equal">
      <formula>$S$1</formula>
    </cfRule>
    <cfRule type="cellIs" dxfId="28" priority="1158" operator="equal">
      <formula>$U$1</formula>
    </cfRule>
  </conditionalFormatting>
  <conditionalFormatting sqref="C102">
    <cfRule type="cellIs" dxfId="27" priority="1155" operator="equal">
      <formula>$U$1</formula>
    </cfRule>
    <cfRule type="cellIs" dxfId="26" priority="1156" operator="equal">
      <formula>$S$1</formula>
    </cfRule>
  </conditionalFormatting>
  <conditionalFormatting sqref="D102">
    <cfRule type="cellIs" dxfId="25" priority="1153" operator="equal">
      <formula>$S$1</formula>
    </cfRule>
    <cfRule type="cellIs" dxfId="24" priority="1154" operator="equal">
      <formula>$U$1</formula>
    </cfRule>
  </conditionalFormatting>
  <conditionalFormatting sqref="C77">
    <cfRule type="cellIs" dxfId="23" priority="1151" operator="equal">
      <formula>$U$1</formula>
    </cfRule>
    <cfRule type="cellIs" dxfId="22" priority="1152" operator="equal">
      <formula>$S$1</formula>
    </cfRule>
  </conditionalFormatting>
  <conditionalFormatting sqref="D77">
    <cfRule type="cellIs" dxfId="21" priority="1149" operator="equal">
      <formula>$S$1</formula>
    </cfRule>
    <cfRule type="cellIs" dxfId="20" priority="1150" operator="equal">
      <formula>$U$1</formula>
    </cfRule>
  </conditionalFormatting>
  <conditionalFormatting sqref="C52">
    <cfRule type="cellIs" dxfId="19" priority="1147" operator="equal">
      <formula>$U$1</formula>
    </cfRule>
    <cfRule type="cellIs" dxfId="18" priority="1148" operator="equal">
      <formula>$S$1</formula>
    </cfRule>
  </conditionalFormatting>
  <conditionalFormatting sqref="D52">
    <cfRule type="cellIs" dxfId="17" priority="1145" operator="equal">
      <formula>$S$1</formula>
    </cfRule>
    <cfRule type="cellIs" dxfId="16" priority="1146" operator="equal">
      <formula>$U$1</formula>
    </cfRule>
  </conditionalFormatting>
  <conditionalFormatting sqref="C26">
    <cfRule type="cellIs" dxfId="15" priority="1143" operator="equal">
      <formula>$U$1</formula>
    </cfRule>
    <cfRule type="cellIs" dxfId="14" priority="1144" operator="equal">
      <formula>$S$1</formula>
    </cfRule>
  </conditionalFormatting>
  <conditionalFormatting sqref="D26">
    <cfRule type="cellIs" dxfId="13" priority="1141" operator="equal">
      <formula>$S$1</formula>
    </cfRule>
    <cfRule type="cellIs" dxfId="12" priority="114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2022-01-28T01:15:04Z</dcterms:modified>
</cp:coreProperties>
</file>