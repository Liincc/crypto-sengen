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575A37F-1C2B-49AF-9925-392552DAA8B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8" i="5"/>
  <c r="C122" i="5"/>
  <c r="C133" i="5" s="1"/>
  <c r="C2" i="1" l="1"/>
  <c r="D2" i="1"/>
  <c r="C118" i="4"/>
  <c r="C122" i="4"/>
  <c r="C133" i="4" s="1"/>
  <c r="C136" i="4" s="1"/>
  <c r="C122" i="3"/>
  <c r="C133" i="3" s="1"/>
  <c r="D136" i="3" s="1"/>
  <c r="R765" i="1"/>
  <c r="S766" i="1"/>
  <c r="T766" i="1" s="1"/>
  <c r="C116" i="3"/>
  <c r="D136" i="5"/>
  <c r="C136" i="5"/>
  <c r="C118" i="3"/>
  <c r="D136" i="4" l="1"/>
  <c r="C138" i="4" s="1"/>
  <c r="C136" i="3"/>
  <c r="C138" i="3" s="1"/>
  <c r="R764" i="1"/>
  <c r="S765" i="1"/>
  <c r="T765" i="1" s="1"/>
  <c r="C138" i="5"/>
  <c r="S764" i="1" l="1"/>
  <c r="T764" i="1" s="1"/>
  <c r="R763" i="1"/>
  <c r="S763" i="1" l="1"/>
  <c r="T763" i="1" s="1"/>
  <c r="R762" i="1"/>
  <c r="R761" i="1" l="1"/>
  <c r="S762" i="1"/>
  <c r="T762" i="1" s="1"/>
  <c r="S761" i="1" l="1"/>
  <c r="T761" i="1" s="1"/>
  <c r="R760" i="1"/>
  <c r="S760" i="1" l="1"/>
  <c r="T760" i="1" s="1"/>
  <c r="R759" i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R753" i="1" l="1"/>
  <c r="S754" i="1"/>
  <c r="T754" i="1" s="1"/>
  <c r="S753" i="1" l="1"/>
  <c r="T753" i="1" s="1"/>
  <c r="R752" i="1"/>
  <c r="R751" i="1" l="1"/>
  <c r="S752" i="1"/>
  <c r="T752" i="1" s="1"/>
  <c r="S751" i="1" l="1"/>
  <c r="T751" i="1" s="1"/>
  <c r="R750" i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S738" i="1" l="1"/>
  <c r="T738" i="1" s="1"/>
  <c r="R737" i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R718" i="1" l="1"/>
  <c r="S719" i="1"/>
  <c r="T719" i="1" s="1"/>
  <c r="S718" i="1" l="1"/>
  <c r="T718" i="1" s="1"/>
  <c r="R717" i="1"/>
  <c r="R716" i="1" l="1"/>
  <c r="S717" i="1"/>
  <c r="T717" i="1" s="1"/>
  <c r="S716" i="1" l="1"/>
  <c r="T716" i="1" s="1"/>
  <c r="R715" i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S656" i="1" l="1"/>
  <c r="T656" i="1" s="1"/>
  <c r="R655" i="1"/>
  <c r="R654" i="1" l="1"/>
  <c r="S655" i="1"/>
  <c r="T655" i="1" s="1"/>
  <c r="S654" i="1" l="1"/>
  <c r="T654" i="1" s="1"/>
  <c r="R653" i="1"/>
  <c r="R652" i="1" l="1"/>
  <c r="S653" i="1"/>
  <c r="T653" i="1" s="1"/>
  <c r="S652" i="1" l="1"/>
  <c r="T652" i="1" s="1"/>
  <c r="R651" i="1"/>
  <c r="R650" i="1" l="1"/>
  <c r="S651" i="1"/>
  <c r="T651" i="1" s="1"/>
  <c r="S650" i="1" l="1"/>
  <c r="T650" i="1" s="1"/>
  <c r="R649" i="1"/>
  <c r="R648" i="1" l="1"/>
  <c r="S649" i="1"/>
  <c r="T649" i="1" s="1"/>
  <c r="S648" i="1" l="1"/>
  <c r="T648" i="1" s="1"/>
  <c r="R647" i="1"/>
  <c r="R646" i="1" l="1"/>
  <c r="S647" i="1"/>
  <c r="T647" i="1" s="1"/>
  <c r="S646" i="1" l="1"/>
  <c r="T646" i="1" s="1"/>
  <c r="R645" i="1"/>
  <c r="R644" i="1" l="1"/>
  <c r="S645" i="1"/>
  <c r="T645" i="1" s="1"/>
  <c r="S644" i="1" l="1"/>
  <c r="T644" i="1" s="1"/>
  <c r="R643" i="1"/>
  <c r="R642" i="1" l="1"/>
  <c r="S643" i="1"/>
  <c r="T643" i="1" s="1"/>
  <c r="S642" i="1" l="1"/>
  <c r="T642" i="1" s="1"/>
  <c r="R641" i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S620" i="1" l="1"/>
  <c r="T620" i="1" s="1"/>
  <c r="R619" i="1"/>
  <c r="R618" i="1" l="1"/>
  <c r="S619" i="1"/>
  <c r="T619" i="1" s="1"/>
  <c r="S618" i="1" l="1"/>
  <c r="T618" i="1" s="1"/>
  <c r="R617" i="1"/>
  <c r="S617" i="1" l="1"/>
  <c r="T617" i="1" s="1"/>
  <c r="R616" i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R609" i="1" l="1"/>
  <c r="S610" i="1"/>
  <c r="T610" i="1" s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S580" i="1" l="1"/>
  <c r="T580" i="1" s="1"/>
  <c r="R579" i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R568" i="1" l="1"/>
  <c r="S569" i="1"/>
  <c r="T569" i="1" s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S558" i="1" l="1"/>
  <c r="T558" i="1" s="1"/>
  <c r="R557" i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R525" i="1" l="1"/>
  <c r="S526" i="1"/>
  <c r="T526" i="1" s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S441" i="1" l="1"/>
  <c r="T441" i="1" s="1"/>
  <c r="R440" i="1"/>
  <c r="R439" i="1" l="1"/>
  <c r="S440" i="1"/>
  <c r="T440" i="1" s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R433" i="1" l="1"/>
  <c r="S434" i="1"/>
  <c r="T434" i="1" s="1"/>
  <c r="S433" i="1" l="1"/>
  <c r="T433" i="1" s="1"/>
  <c r="R432" i="1"/>
  <c r="R431" i="1" l="1"/>
  <c r="S432" i="1"/>
  <c r="T432" i="1" s="1"/>
  <c r="S431" i="1" l="1"/>
  <c r="T431" i="1" s="1"/>
  <c r="R430" i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S413" i="1" l="1"/>
  <c r="T413" i="1" s="1"/>
  <c r="R412" i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S398" i="1" l="1"/>
  <c r="T398" i="1" s="1"/>
  <c r="R397" i="1"/>
  <c r="R396" i="1" l="1"/>
  <c r="S397" i="1"/>
  <c r="T397" i="1" s="1"/>
  <c r="S396" i="1" l="1"/>
  <c r="T396" i="1" s="1"/>
  <c r="R395" i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R388" i="1" l="1"/>
  <c r="S389" i="1"/>
  <c r="T389" i="1" s="1"/>
  <c r="S388" i="1" l="1"/>
  <c r="T388" i="1" s="1"/>
  <c r="R387" i="1"/>
  <c r="R386" i="1" l="1"/>
  <c r="S387" i="1"/>
  <c r="T387" i="1" s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S373" i="1" l="1"/>
  <c r="T373" i="1" s="1"/>
  <c r="R372" i="1"/>
  <c r="S372" i="1" l="1"/>
  <c r="T372" i="1" s="1"/>
  <c r="R371" i="1"/>
  <c r="R370" i="1" l="1"/>
  <c r="S371" i="1"/>
  <c r="T371" i="1" s="1"/>
  <c r="S370" i="1" l="1"/>
  <c r="T370" i="1" s="1"/>
  <c r="R369" i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S365" i="1" l="1"/>
  <c r="T365" i="1" s="1"/>
  <c r="R364" i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S344" i="1" l="1"/>
  <c r="T344" i="1" s="1"/>
  <c r="R343" i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S317" i="1" l="1"/>
  <c r="T317" i="1" s="1"/>
  <c r="R316" i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S306" i="1" l="1"/>
  <c r="T306" i="1" s="1"/>
  <c r="R305" i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R268" i="1" l="1"/>
  <c r="S269" i="1"/>
  <c r="T269" i="1" s="1"/>
  <c r="S268" i="1" l="1"/>
  <c r="T268" i="1" s="1"/>
  <c r="R267" i="1"/>
  <c r="S267" i="1" l="1"/>
  <c r="T267" i="1" s="1"/>
  <c r="R266" i="1"/>
  <c r="S266" i="1" l="1"/>
  <c r="T266" i="1" s="1"/>
  <c r="R265" i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R239" i="1" l="1"/>
  <c r="S240" i="1"/>
  <c r="T240" i="1" s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R217" i="1" l="1"/>
  <c r="S218" i="1"/>
  <c r="T218" i="1" s="1"/>
  <c r="S217" i="1" l="1"/>
  <c r="T217" i="1" s="1"/>
  <c r="R216" i="1"/>
  <c r="R215" i="1" l="1"/>
  <c r="S216" i="1"/>
  <c r="T216" i="1" s="1"/>
  <c r="S215" i="1" l="1"/>
  <c r="T215" i="1" s="1"/>
  <c r="R214" i="1"/>
  <c r="R213" i="1" l="1"/>
  <c r="S214" i="1"/>
  <c r="T214" i="1" s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S161" i="1" l="1"/>
  <c r="T161" i="1" s="1"/>
  <c r="R160" i="1"/>
  <c r="S160" i="1" l="1"/>
  <c r="T160" i="1" s="1"/>
  <c r="R159" i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S137" i="1" l="1"/>
  <c r="T137" i="1" s="1"/>
  <c r="R136" i="1"/>
  <c r="R135" i="1" l="1"/>
  <c r="S136" i="1"/>
  <c r="T136" i="1" s="1"/>
  <c r="S135" i="1" l="1"/>
  <c r="T135" i="1" s="1"/>
  <c r="R134" i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S126" i="1" l="1"/>
  <c r="T126" i="1" s="1"/>
  <c r="R125" i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S95" i="1" l="1"/>
  <c r="T95" i="1" s="1"/>
  <c r="R94" i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<sst xmlns="http://schemas.openxmlformats.org/spreadsheetml/2006/main" count="3477" uniqueCount="34">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</sst>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19.2</c:v>
                </c:pt>
                <c:pt idx="1">
                  <c:v>19.809999999999999</c:v>
                </c:pt>
                <c:pt idx="2">
                  <c:v>20.05</c:v>
                </c:pt>
                <c:pt idx="3">
                  <c:v>20.72</c:v>
                </c:pt>
                <c:pt idx="4">
                  <c:v>21.28</c:v>
                </c:pt>
                <c:pt idx="5">
                  <c:v>20.55</c:v>
                </c:pt>
                <c:pt idx="6">
                  <c:v>24.2</c:v>
                </c:pt>
                <c:pt idx="7">
                  <c:v>24.98</c:v>
                </c:pt>
                <c:pt idx="8">
                  <c:v>26.52</c:v>
                </c:pt>
                <c:pt idx="9">
                  <c:v>29.38</c:v>
                </c:pt>
                <c:pt idx="10">
                  <c:v>29.64</c:v>
                </c:pt>
                <c:pt idx="11">
                  <c:v>31.15</c:v>
                </c:pt>
                <c:pt idx="12">
                  <c:v>32.549999999999997</c:v>
                </c:pt>
                <c:pt idx="13">
                  <c:v>32.51</c:v>
                </c:pt>
                <c:pt idx="14">
                  <c:v>31.38</c:v>
                </c:pt>
                <c:pt idx="15">
                  <c:v>34.99</c:v>
                </c:pt>
                <c:pt idx="16">
                  <c:v>34.43</c:v>
                </c:pt>
                <c:pt idx="17">
                  <c:v>34.31</c:v>
                </c:pt>
                <c:pt idx="18">
                  <c:v>36.15</c:v>
                </c:pt>
                <c:pt idx="19">
                  <c:v>32.92</c:v>
                </c:pt>
                <c:pt idx="20">
                  <c:v>30.23</c:v>
                </c:pt>
                <c:pt idx="21">
                  <c:v>30.59</c:v>
                </c:pt>
                <c:pt idx="22">
                  <c:v>30.64</c:v>
                </c:pt>
                <c:pt idx="23">
                  <c:v>33.79</c:v>
                </c:pt>
                <c:pt idx="24">
                  <c:v>29.26</c:v>
                </c:pt>
                <c:pt idx="25">
                  <c:v>27.31</c:v>
                </c:pt>
                <c:pt idx="26">
                  <c:v>25.62</c:v>
                </c:pt>
                <c:pt idx="27">
                  <c:v>24.4</c:v>
                </c:pt>
                <c:pt idx="28">
                  <c:v>24.77</c:v>
                </c:pt>
                <c:pt idx="29">
                  <c:v>24.05</c:v>
                </c:pt>
                <c:pt idx="30">
                  <c:v>24.72</c:v>
                </c:pt>
                <c:pt idx="31">
                  <c:v>28.25</c:v>
                </c:pt>
                <c:pt idx="32">
                  <c:v>26.69</c:v>
                </c:pt>
                <c:pt idx="33">
                  <c:v>27.27</c:v>
                </c:pt>
                <c:pt idx="34">
                  <c:v>27.62</c:v>
                </c:pt>
                <c:pt idx="35">
                  <c:v>27</c:v>
                </c:pt>
                <c:pt idx="36">
                  <c:v>23.31</c:v>
                </c:pt>
                <c:pt idx="37">
                  <c:v>23.1</c:v>
                </c:pt>
                <c:pt idx="38">
                  <c:v>21.76</c:v>
                </c:pt>
                <c:pt idx="39">
                  <c:v>22.65</c:v>
                </c:pt>
                <c:pt idx="40">
                  <c:v>23.66</c:v>
                </c:pt>
                <c:pt idx="41">
                  <c:v>23.28</c:v>
                </c:pt>
                <c:pt idx="42">
                  <c:v>24.38</c:v>
                </c:pt>
                <c:pt idx="43">
                  <c:v>25.94</c:v>
                </c:pt>
                <c:pt idx="44">
                  <c:v>25.52</c:v>
                </c:pt>
                <c:pt idx="45">
                  <c:v>25.06</c:v>
                </c:pt>
                <c:pt idx="46">
                  <c:v>28.48</c:v>
                </c:pt>
                <c:pt idx="47">
                  <c:v>27.01</c:v>
                </c:pt>
                <c:pt idx="48">
                  <c:v>26.73</c:v>
                </c:pt>
                <c:pt idx="49">
                  <c:v>28.29</c:v>
                </c:pt>
                <c:pt idx="50">
                  <c:v>31.55</c:v>
                </c:pt>
                <c:pt idx="51">
                  <c:v>29.49</c:v>
                </c:pt>
                <c:pt idx="52">
                  <c:v>30.21</c:v>
                </c:pt>
                <c:pt idx="53">
                  <c:v>30.37</c:v>
                </c:pt>
                <c:pt idx="54">
                  <c:v>31.71</c:v>
                </c:pt>
                <c:pt idx="55">
                  <c:v>37.92</c:v>
                </c:pt>
                <c:pt idx="56">
                  <c:v>40.14</c:v>
                </c:pt>
                <c:pt idx="57">
                  <c:v>41.01</c:v>
                </c:pt>
                <c:pt idx="58">
                  <c:v>40.840000000000003</c:v>
                </c:pt>
                <c:pt idx="59">
                  <c:v>41.97</c:v>
                </c:pt>
                <c:pt idx="60">
                  <c:v>41.86</c:v>
                </c:pt>
                <c:pt idx="61">
                  <c:v>42.13</c:v>
                </c:pt>
                <c:pt idx="62">
                  <c:v>39.6</c:v>
                </c:pt>
                <c:pt idx="63">
                  <c:v>43.1</c:v>
                </c:pt>
                <c:pt idx="64">
                  <c:v>41.07</c:v>
                </c:pt>
                <c:pt idx="65">
                  <c:v>41.99</c:v>
                </c:pt>
                <c:pt idx="66">
                  <c:v>41.63</c:v>
                </c:pt>
                <c:pt idx="67">
                  <c:v>43.24</c:v>
                </c:pt>
                <c:pt idx="68">
                  <c:v>43.46</c:v>
                </c:pt>
                <c:pt idx="69">
                  <c:v>41.88</c:v>
                </c:pt>
                <c:pt idx="70">
                  <c:v>39.83</c:v>
                </c:pt>
                <c:pt idx="71">
                  <c:v>42.91</c:v>
                </c:pt>
                <c:pt idx="72">
                  <c:v>42.59</c:v>
                </c:pt>
                <c:pt idx="73">
                  <c:v>46.87</c:v>
                </c:pt>
                <c:pt idx="74">
                  <c:v>48.33</c:v>
                </c:pt>
                <c:pt idx="75">
                  <c:v>48.46</c:v>
                </c:pt>
                <c:pt idx="76">
                  <c:v>46.35</c:v>
                </c:pt>
                <c:pt idx="77">
                  <c:v>47.7</c:v>
                </c:pt>
                <c:pt idx="78">
                  <c:v>48.21</c:v>
                </c:pt>
                <c:pt idx="79">
                  <c:v>52.5</c:v>
                </c:pt>
                <c:pt idx="80">
                  <c:v>54.73</c:v>
                </c:pt>
                <c:pt idx="81">
                  <c:v>53.52</c:v>
                </c:pt>
                <c:pt idx="82">
                  <c:v>49.53</c:v>
                </c:pt>
                <c:pt idx="83">
                  <c:v>49.36</c:v>
                </c:pt>
                <c:pt idx="84">
                  <c:v>46.04</c:v>
                </c:pt>
                <c:pt idx="85">
                  <c:v>46.68</c:v>
                </c:pt>
                <c:pt idx="86">
                  <c:v>47.23</c:v>
                </c:pt>
                <c:pt idx="87">
                  <c:v>47.02</c:v>
                </c:pt>
                <c:pt idx="88">
                  <c:v>44.96</c:v>
                </c:pt>
                <c:pt idx="89">
                  <c:v>43.38</c:v>
                </c:pt>
                <c:pt idx="90">
                  <c:v>45.41</c:v>
                </c:pt>
                <c:pt idx="91">
                  <c:v>43.19</c:v>
                </c:pt>
                <c:pt idx="92">
                  <c:v>40.68</c:v>
                </c:pt>
                <c:pt idx="93">
                  <c:v>46.8</c:v>
                </c:pt>
                <c:pt idx="94">
                  <c:v>48.74</c:v>
                </c:pt>
                <c:pt idx="95">
                  <c:v>43.32</c:v>
                </c:pt>
                <c:pt idx="96">
                  <c:v>45.43</c:v>
                </c:pt>
                <c:pt idx="97">
                  <c:v>45.02</c:v>
                </c:pt>
                <c:pt idx="98">
                  <c:v>44.67</c:v>
                </c:pt>
                <c:pt idx="99">
                  <c:v>46.94</c:v>
                </c:pt>
                <c:pt idx="100">
                  <c:v>43.77</c:v>
                </c:pt>
                <c:pt idx="101">
                  <c:v>43.85</c:v>
                </c:pt>
                <c:pt idx="102">
                  <c:v>44.11</c:v>
                </c:pt>
                <c:pt idx="103">
                  <c:v>45.96</c:v>
                </c:pt>
                <c:pt idx="104">
                  <c:v>43.12</c:v>
                </c:pt>
                <c:pt idx="105">
                  <c:v>42.91</c:v>
                </c:pt>
                <c:pt idx="106">
                  <c:v>43.17</c:v>
                </c:pt>
                <c:pt idx="107">
                  <c:v>43.18</c:v>
                </c:pt>
                <c:pt idx="108">
                  <c:v>45</c:v>
                </c:pt>
                <c:pt idx="109">
                  <c:v>44.91</c:v>
                </c:pt>
                <c:pt idx="110">
                  <c:v>49.56</c:v>
                </c:pt>
                <c:pt idx="111">
                  <c:v>49.2</c:v>
                </c:pt>
                <c:pt idx="112">
                  <c:v>50.95</c:v>
                </c:pt>
                <c:pt idx="113">
                  <c:v>52.74</c:v>
                </c:pt>
                <c:pt idx="114">
                  <c:v>54.44</c:v>
                </c:pt>
                <c:pt idx="115">
                  <c:v>48.73</c:v>
                </c:pt>
                <c:pt idx="116">
                  <c:v>50.33</c:v>
                </c:pt>
                <c:pt idx="117">
                  <c:v>49.57</c:v>
                </c:pt>
                <c:pt idx="118">
                  <c:v>51.68</c:v>
                </c:pt>
                <c:pt idx="119">
                  <c:v>45.09</c:v>
                </c:pt>
                <c:pt idx="120">
                  <c:v>44.4</c:v>
                </c:pt>
                <c:pt idx="121">
                  <c:v>40.869999999999997</c:v>
                </c:pt>
                <c:pt idx="122">
                  <c:v>42.46</c:v>
                </c:pt>
                <c:pt idx="123">
                  <c:v>43.69</c:v>
                </c:pt>
                <c:pt idx="124">
                  <c:v>45.79</c:v>
                </c:pt>
                <c:pt idx="125">
                  <c:v>46.11</c:v>
                </c:pt>
                <c:pt idx="126">
                  <c:v>50.56</c:v>
                </c:pt>
                <c:pt idx="127">
                  <c:v>49.89</c:v>
                </c:pt>
                <c:pt idx="128">
                  <c:v>44.79</c:v>
                </c:pt>
                <c:pt idx="129">
                  <c:v>51.27</c:v>
                </c:pt>
                <c:pt idx="130">
                  <c:v>57.16</c:v>
                </c:pt>
                <c:pt idx="131">
                  <c:v>58.6</c:v>
                </c:pt>
                <c:pt idx="132">
                  <c:v>56.45</c:v>
                </c:pt>
                <c:pt idx="133">
                  <c:v>57.93</c:v>
                </c:pt>
                <c:pt idx="134">
                  <c:v>61.37</c:v>
                </c:pt>
                <c:pt idx="135">
                  <c:v>56.93</c:v>
                </c:pt>
                <c:pt idx="136">
                  <c:v>55.06</c:v>
                </c:pt>
                <c:pt idx="137">
                  <c:v>59.43</c:v>
                </c:pt>
                <c:pt idx="138">
                  <c:v>58.1</c:v>
                </c:pt>
                <c:pt idx="139">
                  <c:v>56.91</c:v>
                </c:pt>
                <c:pt idx="140">
                  <c:v>60.82</c:v>
                </c:pt>
                <c:pt idx="141">
                  <c:v>61.58</c:v>
                </c:pt>
                <c:pt idx="142">
                  <c:v>61.23</c:v>
                </c:pt>
                <c:pt idx="143">
                  <c:v>79.55</c:v>
                </c:pt>
                <c:pt idx="144">
                  <c:v>79.33</c:v>
                </c:pt>
                <c:pt idx="145">
                  <c:v>78.3</c:v>
                </c:pt>
                <c:pt idx="146">
                  <c:v>65.819999999999993</c:v>
                </c:pt>
                <c:pt idx="147">
                  <c:v>64.58</c:v>
                </c:pt>
                <c:pt idx="148">
                  <c:v>66.239999999999995</c:v>
                </c:pt>
                <c:pt idx="149">
                  <c:v>62.78</c:v>
                </c:pt>
                <c:pt idx="150">
                  <c:v>64.73</c:v>
                </c:pt>
                <c:pt idx="151">
                  <c:v>72</c:v>
                </c:pt>
                <c:pt idx="152">
                  <c:v>65.08</c:v>
                </c:pt>
                <c:pt idx="153">
                  <c:v>62.7</c:v>
                </c:pt>
                <c:pt idx="154">
                  <c:v>56.45</c:v>
                </c:pt>
                <c:pt idx="155">
                  <c:v>62.18</c:v>
                </c:pt>
                <c:pt idx="156">
                  <c:v>59.23</c:v>
                </c:pt>
                <c:pt idx="157">
                  <c:v>65.62</c:v>
                </c:pt>
                <c:pt idx="158">
                  <c:v>66.150000000000006</c:v>
                </c:pt>
                <c:pt idx="159">
                  <c:v>64.58</c:v>
                </c:pt>
                <c:pt idx="160">
                  <c:v>67.91</c:v>
                </c:pt>
                <c:pt idx="161">
                  <c:v>67.150000000000006</c:v>
                </c:pt>
                <c:pt idx="162">
                  <c:v>58.53</c:v>
                </c:pt>
                <c:pt idx="163">
                  <c:v>56.05</c:v>
                </c:pt>
                <c:pt idx="164">
                  <c:v>61.06</c:v>
                </c:pt>
                <c:pt idx="165">
                  <c:v>63.4</c:v>
                </c:pt>
                <c:pt idx="166">
                  <c:v>64.2</c:v>
                </c:pt>
                <c:pt idx="167">
                  <c:v>68.23</c:v>
                </c:pt>
                <c:pt idx="168">
                  <c:v>64.180000000000007</c:v>
                </c:pt>
                <c:pt idx="169">
                  <c:v>67.16</c:v>
                </c:pt>
                <c:pt idx="170">
                  <c:v>71.599999999999994</c:v>
                </c:pt>
                <c:pt idx="171">
                  <c:v>64.25</c:v>
                </c:pt>
                <c:pt idx="172">
                  <c:v>55.27</c:v>
                </c:pt>
                <c:pt idx="173">
                  <c:v>61.65</c:v>
                </c:pt>
                <c:pt idx="174">
                  <c:v>48.27</c:v>
                </c:pt>
                <c:pt idx="175">
                  <c:v>42.1</c:v>
                </c:pt>
                <c:pt idx="176">
                  <c:v>39.32</c:v>
                </c:pt>
                <c:pt idx="177">
                  <c:v>38.53</c:v>
                </c:pt>
                <c:pt idx="178">
                  <c:v>40.18</c:v>
                </c:pt>
                <c:pt idx="179">
                  <c:v>40.869999999999997</c:v>
                </c:pt>
                <c:pt idx="180">
                  <c:v>41.97</c:v>
                </c:pt>
                <c:pt idx="181">
                  <c:v>42.19</c:v>
                </c:pt>
                <c:pt idx="182">
                  <c:v>41.25</c:v>
                </c:pt>
                <c:pt idx="183">
                  <c:v>40.75</c:v>
                </c:pt>
                <c:pt idx="184">
                  <c:v>41.01</c:v>
                </c:pt>
                <c:pt idx="185">
                  <c:v>40.6</c:v>
                </c:pt>
                <c:pt idx="186">
                  <c:v>42.6</c:v>
                </c:pt>
                <c:pt idx="187">
                  <c:v>43.48</c:v>
                </c:pt>
                <c:pt idx="188">
                  <c:v>34.65</c:v>
                </c:pt>
                <c:pt idx="189">
                  <c:v>33.75</c:v>
                </c:pt>
                <c:pt idx="190">
                  <c:v>33.51</c:v>
                </c:pt>
                <c:pt idx="191">
                  <c:v>28.53</c:v>
                </c:pt>
                <c:pt idx="192">
                  <c:v>30.92</c:v>
                </c:pt>
                <c:pt idx="193">
                  <c:v>32.36</c:v>
                </c:pt>
                <c:pt idx="194">
                  <c:v>32.270000000000003</c:v>
                </c:pt>
                <c:pt idx="195">
                  <c:v>32.369999999999997</c:v>
                </c:pt>
                <c:pt idx="196">
                  <c:v>35.96</c:v>
                </c:pt>
                <c:pt idx="197">
                  <c:v>36.89</c:v>
                </c:pt>
                <c:pt idx="198">
                  <c:v>38.92</c:v>
                </c:pt>
                <c:pt idx="199">
                  <c:v>37.22</c:v>
                </c:pt>
                <c:pt idx="200">
                  <c:v>39.71</c:v>
                </c:pt>
                <c:pt idx="201">
                  <c:v>38.64</c:v>
                </c:pt>
                <c:pt idx="202">
                  <c:v>40.6</c:v>
                </c:pt>
                <c:pt idx="203">
                  <c:v>40.28</c:v>
                </c:pt>
                <c:pt idx="204">
                  <c:v>45.37</c:v>
                </c:pt>
                <c:pt idx="205">
                  <c:v>46.2</c:v>
                </c:pt>
                <c:pt idx="206">
                  <c:v>46.22</c:v>
                </c:pt>
                <c:pt idx="207">
                  <c:v>46.71</c:v>
                </c:pt>
                <c:pt idx="208">
                  <c:v>48.74</c:v>
                </c:pt>
                <c:pt idx="209">
                  <c:v>43.87</c:v>
                </c:pt>
                <c:pt idx="210">
                  <c:v>45.69</c:v>
                </c:pt>
                <c:pt idx="211">
                  <c:v>49.94</c:v>
                </c:pt>
                <c:pt idx="212">
                  <c:v>54.22</c:v>
                </c:pt>
                <c:pt idx="213">
                  <c:v>51.26</c:v>
                </c:pt>
                <c:pt idx="214">
                  <c:v>43</c:v>
                </c:pt>
                <c:pt idx="215">
                  <c:v>30.34</c:v>
                </c:pt>
                <c:pt idx="216">
                  <c:v>31.13</c:v>
                </c:pt>
                <c:pt idx="217">
                  <c:v>34.6</c:v>
                </c:pt>
                <c:pt idx="218">
                  <c:v>37.75</c:v>
                </c:pt>
                <c:pt idx="219">
                  <c:v>34.54</c:v>
                </c:pt>
                <c:pt idx="220">
                  <c:v>36.61</c:v>
                </c:pt>
                <c:pt idx="221">
                  <c:v>47.1</c:v>
                </c:pt>
                <c:pt idx="222">
                  <c:v>48.62</c:v>
                </c:pt>
                <c:pt idx="223">
                  <c:v>48.44</c:v>
                </c:pt>
                <c:pt idx="224">
                  <c:v>54.09</c:v>
                </c:pt>
                <c:pt idx="225">
                  <c:v>55.34</c:v>
                </c:pt>
                <c:pt idx="226">
                  <c:v>60.39</c:v>
                </c:pt>
                <c:pt idx="227">
                  <c:v>66.69</c:v>
                </c:pt>
                <c:pt idx="228">
                  <c:v>64.45</c:v>
                </c:pt>
                <c:pt idx="229">
                  <c:v>61.08</c:v>
                </c:pt>
                <c:pt idx="230">
                  <c:v>58.49</c:v>
                </c:pt>
                <c:pt idx="231">
                  <c:v>66.569999999999993</c:v>
                </c:pt>
                <c:pt idx="232">
                  <c:v>81.55</c:v>
                </c:pt>
                <c:pt idx="233">
                  <c:v>81.31</c:v>
                </c:pt>
                <c:pt idx="234">
                  <c:v>91.13</c:v>
                </c:pt>
                <c:pt idx="235">
                  <c:v>104.49</c:v>
                </c:pt>
                <c:pt idx="236">
                  <c:v>104.55</c:v>
                </c:pt>
                <c:pt idx="237">
                  <c:v>108.78</c:v>
                </c:pt>
                <c:pt idx="238">
                  <c:v>124.54</c:v>
                </c:pt>
                <c:pt idx="239">
                  <c:v>108.01</c:v>
                </c:pt>
                <c:pt idx="240">
                  <c:v>107.58</c:v>
                </c:pt>
                <c:pt idx="241">
                  <c:v>114.65</c:v>
                </c:pt>
                <c:pt idx="242">
                  <c:v>111.9</c:v>
                </c:pt>
                <c:pt idx="243">
                  <c:v>110.75</c:v>
                </c:pt>
                <c:pt idx="244">
                  <c:v>115.65</c:v>
                </c:pt>
                <c:pt idx="245">
                  <c:v>132.12</c:v>
                </c:pt>
                <c:pt idx="246">
                  <c:v>142.66999999999999</c:v>
                </c:pt>
                <c:pt idx="247">
                  <c:v>134.04</c:v>
                </c:pt>
                <c:pt idx="248">
                  <c:v>147.66999999999999</c:v>
                </c:pt>
                <c:pt idx="249">
                  <c:v>143.94</c:v>
                </c:pt>
                <c:pt idx="250">
                  <c:v>146.22999999999999</c:v>
                </c:pt>
                <c:pt idx="251">
                  <c:v>145.88</c:v>
                </c:pt>
                <c:pt idx="252">
                  <c:v>164.15</c:v>
                </c:pt>
                <c:pt idx="253">
                  <c:v>122.79</c:v>
                </c:pt>
                <c:pt idx="254">
                  <c:v>163.47</c:v>
                </c:pt>
                <c:pt idx="255">
                  <c:v>195.59</c:v>
                </c:pt>
                <c:pt idx="256">
                  <c:v>225.19</c:v>
                </c:pt>
                <c:pt idx="257">
                  <c:v>246.06</c:v>
                </c:pt>
                <c:pt idx="258">
                  <c:v>304.13</c:v>
                </c:pt>
                <c:pt idx="259">
                  <c:v>301.44</c:v>
                </c:pt>
                <c:pt idx="260">
                  <c:v>258.02</c:v>
                </c:pt>
                <c:pt idx="261">
                  <c:v>364.01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8-4DF2-8D33-B4EA0CAC65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-0.37830843287102828</c:v>
                </c:pt>
                <c:pt idx="1">
                  <c:v>-0.37397867745963587</c:v>
                </c:pt>
                <c:pt idx="2">
                  <c:v>-0.33440020557835726</c:v>
                </c:pt>
                <c:pt idx="3">
                  <c:v>-0.31787385082433428</c:v>
                </c:pt>
                <c:pt idx="4">
                  <c:v>-0.33424868835558424</c:v>
                </c:pt>
                <c:pt idx="5">
                  <c:v>-0.33907843496563222</c:v>
                </c:pt>
                <c:pt idx="6">
                  <c:v>-0.31707981426480575</c:v>
                </c:pt>
                <c:pt idx="7">
                  <c:v>-0.32700698732392519</c:v>
                </c:pt>
                <c:pt idx="8">
                  <c:v>-0.29689993616139293</c:v>
                </c:pt>
                <c:pt idx="9">
                  <c:v>-0.27198136697757791</c:v>
                </c:pt>
                <c:pt idx="10">
                  <c:v>-0.26354617697307081</c:v>
                </c:pt>
                <c:pt idx="11">
                  <c:v>-0.25828266139853207</c:v>
                </c:pt>
                <c:pt idx="12">
                  <c:v>-0.24679288614662367</c:v>
                </c:pt>
                <c:pt idx="13">
                  <c:v>-0.24172695735245325</c:v>
                </c:pt>
                <c:pt idx="14">
                  <c:v>-0.25334986715440438</c:v>
                </c:pt>
                <c:pt idx="15">
                  <c:v>-0.22221150757856886</c:v>
                </c:pt>
                <c:pt idx="16">
                  <c:v>-0.23965181982917133</c:v>
                </c:pt>
                <c:pt idx="17">
                  <c:v>-0.21569474921264953</c:v>
                </c:pt>
                <c:pt idx="18">
                  <c:v>-0.19732468735703462</c:v>
                </c:pt>
                <c:pt idx="19">
                  <c:v>-0.23292991262626528</c:v>
                </c:pt>
                <c:pt idx="20">
                  <c:v>-0.26358323804140893</c:v>
                </c:pt>
                <c:pt idx="21">
                  <c:v>-0.27390846889096016</c:v>
                </c:pt>
                <c:pt idx="22">
                  <c:v>-0.27373118311233602</c:v>
                </c:pt>
                <c:pt idx="23">
                  <c:v>-0.20622124322142693</c:v>
                </c:pt>
                <c:pt idx="24">
                  <c:v>-0.25224082867549141</c:v>
                </c:pt>
                <c:pt idx="25">
                  <c:v>-0.28613490054576168</c:v>
                </c:pt>
                <c:pt idx="26">
                  <c:v>-0.29400062085986828</c:v>
                </c:pt>
                <c:pt idx="27">
                  <c:v>-0.30161494565486829</c:v>
                </c:pt>
                <c:pt idx="28">
                  <c:v>-0.28404170165409609</c:v>
                </c:pt>
                <c:pt idx="29">
                  <c:v>-0.28590912883259068</c:v>
                </c:pt>
                <c:pt idx="30">
                  <c:v>-0.27589122910592395</c:v>
                </c:pt>
                <c:pt idx="31">
                  <c:v>-0.2446445318453179</c:v>
                </c:pt>
                <c:pt idx="32">
                  <c:v>-0.24394626322705165</c:v>
                </c:pt>
                <c:pt idx="33">
                  <c:v>-0.23986811528800406</c:v>
                </c:pt>
                <c:pt idx="34">
                  <c:v>-0.23290664438178185</c:v>
                </c:pt>
                <c:pt idx="35">
                  <c:v>-0.23414999271626466</c:v>
                </c:pt>
                <c:pt idx="36">
                  <c:v>-0.27054455384506465</c:v>
                </c:pt>
                <c:pt idx="37">
                  <c:v>-0.26073653055935031</c:v>
                </c:pt>
                <c:pt idx="38">
                  <c:v>-0.27675092089204262</c:v>
                </c:pt>
                <c:pt idx="39">
                  <c:v>-0.27155341104298614</c:v>
                </c:pt>
                <c:pt idx="40">
                  <c:v>-0.25368039670685166</c:v>
                </c:pt>
                <c:pt idx="41">
                  <c:v>-0.26149939100526437</c:v>
                </c:pt>
                <c:pt idx="42">
                  <c:v>-0.2490691190057383</c:v>
                </c:pt>
                <c:pt idx="43">
                  <c:v>-0.23330285542218274</c:v>
                </c:pt>
                <c:pt idx="44">
                  <c:v>-0.24538143417946431</c:v>
                </c:pt>
                <c:pt idx="45">
                  <c:v>-0.25694335754528708</c:v>
                </c:pt>
                <c:pt idx="46">
                  <c:v>-0.24178549001585073</c:v>
                </c:pt>
                <c:pt idx="47">
                  <c:v>-0.2479386798899624</c:v>
                </c:pt>
                <c:pt idx="48">
                  <c:v>-0.24880670507567668</c:v>
                </c:pt>
                <c:pt idx="49">
                  <c:v>-0.23318906662457262</c:v>
                </c:pt>
                <c:pt idx="50">
                  <c:v>-0.21911051122972169</c:v>
                </c:pt>
                <c:pt idx="51">
                  <c:v>-0.22579113394251787</c:v>
                </c:pt>
                <c:pt idx="52">
                  <c:v>-0.21313942501174865</c:v>
                </c:pt>
                <c:pt idx="53">
                  <c:v>-0.23796559972355966</c:v>
                </c:pt>
                <c:pt idx="54">
                  <c:v>-0.23949981703480661</c:v>
                </c:pt>
                <c:pt idx="55">
                  <c:v>-0.245297870610001</c:v>
                </c:pt>
                <c:pt idx="56">
                  <c:v>-0.24067705664080993</c:v>
                </c:pt>
                <c:pt idx="57">
                  <c:v>-0.23872844838817836</c:v>
                </c:pt>
                <c:pt idx="58">
                  <c:v>-0.23000452730614709</c:v>
                </c:pt>
                <c:pt idx="59">
                  <c:v>-0.22076326423580495</c:v>
                </c:pt>
                <c:pt idx="60">
                  <c:v>-0.22351678864684782</c:v>
                </c:pt>
                <c:pt idx="61">
                  <c:v>-0.23793778438919019</c:v>
                </c:pt>
                <c:pt idx="62">
                  <c:v>-0.23942857547842958</c:v>
                </c:pt>
                <c:pt idx="63">
                  <c:v>-0.21561234719339023</c:v>
                </c:pt>
                <c:pt idx="64">
                  <c:v>-0.2232089360380603</c:v>
                </c:pt>
                <c:pt idx="65">
                  <c:v>-0.22106191188162469</c:v>
                </c:pt>
                <c:pt idx="66">
                  <c:v>-0.22468343751955572</c:v>
                </c:pt>
                <c:pt idx="67">
                  <c:v>-0.21944779850006113</c:v>
                </c:pt>
                <c:pt idx="68">
                  <c:v>-0.20181454936902668</c:v>
                </c:pt>
                <c:pt idx="69">
                  <c:v>-0.21101968960444986</c:v>
                </c:pt>
                <c:pt idx="70">
                  <c:v>-0.22021012564970735</c:v>
                </c:pt>
                <c:pt idx="71">
                  <c:v>-0.2118008890090943</c:v>
                </c:pt>
                <c:pt idx="72">
                  <c:v>-0.22251385835960627</c:v>
                </c:pt>
                <c:pt idx="73">
                  <c:v>-0.21432573219155279</c:v>
                </c:pt>
                <c:pt idx="74">
                  <c:v>-0.2070129678283309</c:v>
                </c:pt>
                <c:pt idx="75">
                  <c:v>-0.20717955127981602</c:v>
                </c:pt>
                <c:pt idx="76">
                  <c:v>-0.21777658368411709</c:v>
                </c:pt>
                <c:pt idx="77">
                  <c:v>-0.21633656705241547</c:v>
                </c:pt>
                <c:pt idx="78">
                  <c:v>-0.21796386460901929</c:v>
                </c:pt>
                <c:pt idx="79">
                  <c:v>-0.21319538453776707</c:v>
                </c:pt>
                <c:pt idx="80">
                  <c:v>-0.19302814779296051</c:v>
                </c:pt>
                <c:pt idx="81">
                  <c:v>-0.19115020200274152</c:v>
                </c:pt>
                <c:pt idx="82">
                  <c:v>-0.21119821549802642</c:v>
                </c:pt>
                <c:pt idx="83">
                  <c:v>-0.21389182412401922</c:v>
                </c:pt>
                <c:pt idx="84">
                  <c:v>-0.20239448681531458</c:v>
                </c:pt>
                <c:pt idx="85">
                  <c:v>-0.19864291048279917</c:v>
                </c:pt>
                <c:pt idx="86">
                  <c:v>-0.20189026476851343</c:v>
                </c:pt>
                <c:pt idx="87">
                  <c:v>-0.20259474568376765</c:v>
                </c:pt>
                <c:pt idx="88">
                  <c:v>-0.22454568377957018</c:v>
                </c:pt>
                <c:pt idx="89">
                  <c:v>-0.22447233500028627</c:v>
                </c:pt>
                <c:pt idx="90">
                  <c:v>-0.2211584392187301</c:v>
                </c:pt>
                <c:pt idx="91">
                  <c:v>-0.2359036771290749</c:v>
                </c:pt>
                <c:pt idx="92">
                  <c:v>-0.24648448110791082</c:v>
                </c:pt>
                <c:pt idx="93">
                  <c:v>-0.23015198308281579</c:v>
                </c:pt>
                <c:pt idx="94">
                  <c:v>-0.20637811182170465</c:v>
                </c:pt>
                <c:pt idx="95">
                  <c:v>-0.2244124775599492</c:v>
                </c:pt>
                <c:pt idx="96">
                  <c:v>-0.22011639397484278</c:v>
                </c:pt>
                <c:pt idx="97">
                  <c:v>-0.22342663169559754</c:v>
                </c:pt>
                <c:pt idx="98">
                  <c:v>-0.22296832814872256</c:v>
                </c:pt>
                <c:pt idx="99">
                  <c:v>-0.20345836016227395</c:v>
                </c:pt>
                <c:pt idx="100">
                  <c:v>-0.21502495172358471</c:v>
                </c:pt>
                <c:pt idx="101">
                  <c:v>-0.21079732672435403</c:v>
                </c:pt>
                <c:pt idx="102">
                  <c:v>-0.21776144228173114</c:v>
                </c:pt>
                <c:pt idx="103">
                  <c:v>-0.21474525940082764</c:v>
                </c:pt>
                <c:pt idx="104">
                  <c:v>-0.22613795590300634</c:v>
                </c:pt>
                <c:pt idx="105">
                  <c:v>-0.23004054980048266</c:v>
                </c:pt>
                <c:pt idx="106">
                  <c:v>-0.21561464907715996</c:v>
                </c:pt>
                <c:pt idx="107">
                  <c:v>-0.22514427379964802</c:v>
                </c:pt>
                <c:pt idx="108">
                  <c:v>-0.22832458745754275</c:v>
                </c:pt>
                <c:pt idx="109">
                  <c:v>-0.22736801759783759</c:v>
                </c:pt>
                <c:pt idx="110">
                  <c:v>-0.21502084907100832</c:v>
                </c:pt>
                <c:pt idx="111">
                  <c:v>-0.2088556882537464</c:v>
                </c:pt>
                <c:pt idx="112">
                  <c:v>-0.19418505767098784</c:v>
                </c:pt>
                <c:pt idx="113">
                  <c:v>-0.17598511877465281</c:v>
                </c:pt>
                <c:pt idx="114">
                  <c:v>-0.16975783939072425</c:v>
                </c:pt>
                <c:pt idx="115">
                  <c:v>-0.18276327060322423</c:v>
                </c:pt>
                <c:pt idx="116">
                  <c:v>-0.18351651980671257</c:v>
                </c:pt>
                <c:pt idx="117">
                  <c:v>-0.18779397706180237</c:v>
                </c:pt>
                <c:pt idx="118">
                  <c:v>-0.18039250227893791</c:v>
                </c:pt>
                <c:pt idx="119">
                  <c:v>-0.19405077979621874</c:v>
                </c:pt>
                <c:pt idx="120">
                  <c:v>-0.19969063632324577</c:v>
                </c:pt>
                <c:pt idx="121">
                  <c:v>-0.20632306230794942</c:v>
                </c:pt>
                <c:pt idx="122">
                  <c:v>-0.19803363864379847</c:v>
                </c:pt>
                <c:pt idx="123">
                  <c:v>-0.18457616281567346</c:v>
                </c:pt>
                <c:pt idx="124">
                  <c:v>-0.19072271531598303</c:v>
                </c:pt>
                <c:pt idx="125">
                  <c:v>-0.19225870593072664</c:v>
                </c:pt>
                <c:pt idx="126">
                  <c:v>-0.18889067219061967</c:v>
                </c:pt>
                <c:pt idx="127">
                  <c:v>-0.18905640888266514</c:v>
                </c:pt>
                <c:pt idx="128">
                  <c:v>-0.19643240546359364</c:v>
                </c:pt>
                <c:pt idx="129">
                  <c:v>-0.19009444927007743</c:v>
                </c:pt>
                <c:pt idx="130">
                  <c:v>-0.18345746938316643</c:v>
                </c:pt>
                <c:pt idx="131">
                  <c:v>-0.18161788712353008</c:v>
                </c:pt>
                <c:pt idx="132">
                  <c:v>-0.18275643585215134</c:v>
                </c:pt>
                <c:pt idx="133">
                  <c:v>-0.18084674141048473</c:v>
                </c:pt>
                <c:pt idx="134">
                  <c:v>-0.17475570409569874</c:v>
                </c:pt>
                <c:pt idx="135">
                  <c:v>-0.18471229020530724</c:v>
                </c:pt>
                <c:pt idx="136">
                  <c:v>-0.18679933125755951</c:v>
                </c:pt>
                <c:pt idx="137">
                  <c:v>-0.18571949950367453</c:v>
                </c:pt>
                <c:pt idx="138">
                  <c:v>-0.18767543157587671</c:v>
                </c:pt>
                <c:pt idx="139">
                  <c:v>-0.18367515041899593</c:v>
                </c:pt>
                <c:pt idx="140">
                  <c:v>-0.1730217279605204</c:v>
                </c:pt>
                <c:pt idx="141">
                  <c:v>-0.16480494501387608</c:v>
                </c:pt>
                <c:pt idx="142">
                  <c:v>-0.18026477383205791</c:v>
                </c:pt>
                <c:pt idx="143">
                  <c:v>-0.14730090724634903</c:v>
                </c:pt>
                <c:pt idx="144">
                  <c:v>-0.13391167150303349</c:v>
                </c:pt>
                <c:pt idx="145">
                  <c:v>-0.12732432142371861</c:v>
                </c:pt>
                <c:pt idx="146">
                  <c:v>-0.1666436291207774</c:v>
                </c:pt>
                <c:pt idx="147">
                  <c:v>-0.16637670848621175</c:v>
                </c:pt>
                <c:pt idx="148">
                  <c:v>-0.14757007764032423</c:v>
                </c:pt>
                <c:pt idx="149">
                  <c:v>-0.16818927830082844</c:v>
                </c:pt>
                <c:pt idx="150">
                  <c:v>-0.14793349014512372</c:v>
                </c:pt>
                <c:pt idx="151">
                  <c:v>-0.11571304729365935</c:v>
                </c:pt>
                <c:pt idx="152">
                  <c:v>-0.14312526302377981</c:v>
                </c:pt>
                <c:pt idx="153">
                  <c:v>-0.14204155538967239</c:v>
                </c:pt>
                <c:pt idx="154">
                  <c:v>-0.16442315283472739</c:v>
                </c:pt>
                <c:pt idx="155">
                  <c:v>-0.14345859364529764</c:v>
                </c:pt>
                <c:pt idx="156">
                  <c:v>-0.15659816228529763</c:v>
                </c:pt>
                <c:pt idx="157">
                  <c:v>-0.14482926237781102</c:v>
                </c:pt>
                <c:pt idx="158">
                  <c:v>-0.14586549244385316</c:v>
                </c:pt>
                <c:pt idx="159">
                  <c:v>-0.14721223548003068</c:v>
                </c:pt>
                <c:pt idx="160">
                  <c:v>-0.13386122781277091</c:v>
                </c:pt>
                <c:pt idx="161">
                  <c:v>-0.12928026962780839</c:v>
                </c:pt>
                <c:pt idx="162">
                  <c:v>-0.15996824228318765</c:v>
                </c:pt>
                <c:pt idx="163">
                  <c:v>-0.16506225035250124</c:v>
                </c:pt>
                <c:pt idx="164">
                  <c:v>-0.14593347779225779</c:v>
                </c:pt>
                <c:pt idx="165">
                  <c:v>-0.12319770741294747</c:v>
                </c:pt>
                <c:pt idx="166">
                  <c:v>-0.13507530867961412</c:v>
                </c:pt>
                <c:pt idx="167">
                  <c:v>-0.1276364414280218</c:v>
                </c:pt>
                <c:pt idx="168">
                  <c:v>-0.14458518071238199</c:v>
                </c:pt>
                <c:pt idx="169">
                  <c:v>-0.13253327511952492</c:v>
                </c:pt>
                <c:pt idx="170">
                  <c:v>-9.9226498328186349E-2</c:v>
                </c:pt>
                <c:pt idx="171">
                  <c:v>-0.12003346601063207</c:v>
                </c:pt>
                <c:pt idx="172">
                  <c:v>-0.14472905275886952</c:v>
                </c:pt>
                <c:pt idx="173">
                  <c:v>-0.12319491130837448</c:v>
                </c:pt>
                <c:pt idx="174">
                  <c:v>-0.1613220424498272</c:v>
                </c:pt>
                <c:pt idx="175">
                  <c:v>-0.1748955558559683</c:v>
                </c:pt>
                <c:pt idx="176">
                  <c:v>-0.18644395579527717</c:v>
                </c:pt>
                <c:pt idx="177">
                  <c:v>-0.18849379884005327</c:v>
                </c:pt>
                <c:pt idx="178">
                  <c:v>-0.18358963049243426</c:v>
                </c:pt>
                <c:pt idx="179">
                  <c:v>-0.17735659554465644</c:v>
                </c:pt>
                <c:pt idx="180">
                  <c:v>-0.16097356423082926</c:v>
                </c:pt>
                <c:pt idx="181">
                  <c:v>-0.15898505809398714</c:v>
                </c:pt>
                <c:pt idx="182">
                  <c:v>-0.17224024280733508</c:v>
                </c:pt>
                <c:pt idx="183">
                  <c:v>-0.17946839567238695</c:v>
                </c:pt>
                <c:pt idx="184">
                  <c:v>-0.17088035305753976</c:v>
                </c:pt>
                <c:pt idx="185">
                  <c:v>-0.19150333987162751</c:v>
                </c:pt>
                <c:pt idx="186">
                  <c:v>-0.15333577628043585</c:v>
                </c:pt>
                <c:pt idx="187">
                  <c:v>-0.14392621371471145</c:v>
                </c:pt>
                <c:pt idx="188">
                  <c:v>-0.17358681339380461</c:v>
                </c:pt>
                <c:pt idx="189">
                  <c:v>-0.18636052846477233</c:v>
                </c:pt>
                <c:pt idx="190">
                  <c:v>-0.1851490673185037</c:v>
                </c:pt>
                <c:pt idx="191">
                  <c:v>-0.19751206858858456</c:v>
                </c:pt>
                <c:pt idx="192">
                  <c:v>-0.19339759421611147</c:v>
                </c:pt>
                <c:pt idx="193">
                  <c:v>-0.19163159404920502</c:v>
                </c:pt>
                <c:pt idx="194">
                  <c:v>-0.18569526815192608</c:v>
                </c:pt>
                <c:pt idx="195">
                  <c:v>-0.1852755525048673</c:v>
                </c:pt>
                <c:pt idx="196">
                  <c:v>-0.17538793945562106</c:v>
                </c:pt>
                <c:pt idx="197">
                  <c:v>-0.16760473604105797</c:v>
                </c:pt>
                <c:pt idx="198">
                  <c:v>-0.16146872304105797</c:v>
                </c:pt>
                <c:pt idx="199">
                  <c:v>-0.16978871264865292</c:v>
                </c:pt>
                <c:pt idx="200">
                  <c:v>-0.16477470951125134</c:v>
                </c:pt>
                <c:pt idx="201">
                  <c:v>-0.16543680734798055</c:v>
                </c:pt>
                <c:pt idx="202">
                  <c:v>-0.15898081216131388</c:v>
                </c:pt>
                <c:pt idx="203">
                  <c:v>-0.16266216880253526</c:v>
                </c:pt>
                <c:pt idx="204">
                  <c:v>-0.15151523075048479</c:v>
                </c:pt>
                <c:pt idx="205">
                  <c:v>-0.14038041387217967</c:v>
                </c:pt>
                <c:pt idx="206">
                  <c:v>-0.13525826969391883</c:v>
                </c:pt>
                <c:pt idx="207">
                  <c:v>-0.13760321454891883</c:v>
                </c:pt>
                <c:pt idx="208">
                  <c:v>-0.11904667276584192</c:v>
                </c:pt>
                <c:pt idx="209">
                  <c:v>-0.13528246568507268</c:v>
                </c:pt>
                <c:pt idx="210">
                  <c:v>-0.13074004221735219</c:v>
                </c:pt>
                <c:pt idx="211">
                  <c:v>-0.11221709392615337</c:v>
                </c:pt>
                <c:pt idx="212">
                  <c:v>-0.12304240084712811</c:v>
                </c:pt>
                <c:pt idx="213">
                  <c:v>-0.13221829070968733</c:v>
                </c:pt>
                <c:pt idx="214">
                  <c:v>-0.18755458085542234</c:v>
                </c:pt>
                <c:pt idx="215">
                  <c:v>-0.21800442515844343</c:v>
                </c:pt>
                <c:pt idx="216">
                  <c:v>-0.21234730751472758</c:v>
                </c:pt>
                <c:pt idx="217">
                  <c:v>-0.19317406178172761</c:v>
                </c:pt>
                <c:pt idx="218">
                  <c:v>-0.18240012687202228</c:v>
                </c:pt>
                <c:pt idx="219">
                  <c:v>-0.18529246779146671</c:v>
                </c:pt>
                <c:pt idx="220">
                  <c:v>-0.17729248332131028</c:v>
                </c:pt>
                <c:pt idx="221">
                  <c:v>-0.15463113724054106</c:v>
                </c:pt>
                <c:pt idx="222">
                  <c:v>-0.15353890744949628</c:v>
                </c:pt>
                <c:pt idx="223">
                  <c:v>-0.14544995395813104</c:v>
                </c:pt>
                <c:pt idx="224">
                  <c:v>-0.13707633146680154</c:v>
                </c:pt>
                <c:pt idx="225">
                  <c:v>-0.13249804275479279</c:v>
                </c:pt>
                <c:pt idx="226">
                  <c:v>-0.12214477411155909</c:v>
                </c:pt>
                <c:pt idx="227">
                  <c:v>-0.11045955952087949</c:v>
                </c:pt>
                <c:pt idx="228">
                  <c:v>-0.11168703974965886</c:v>
                </c:pt>
                <c:pt idx="229">
                  <c:v>-0.12146899057980144</c:v>
                </c:pt>
                <c:pt idx="230">
                  <c:v>-0.12380569629242016</c:v>
                </c:pt>
                <c:pt idx="231">
                  <c:v>-0.10874433089642016</c:v>
                </c:pt>
                <c:pt idx="232">
                  <c:v>-9.0575981411142065E-2</c:v>
                </c:pt>
                <c:pt idx="233">
                  <c:v>-8.7491544964464193E-2</c:v>
                </c:pt>
                <c:pt idx="234">
                  <c:v>-8.2300258162084583E-2</c:v>
                </c:pt>
                <c:pt idx="235">
                  <c:v>-7.6171451610824087E-2</c:v>
                </c:pt>
                <c:pt idx="236">
                  <c:v>-7.3875832575738667E-2</c:v>
                </c:pt>
                <c:pt idx="237">
                  <c:v>-7.0550334159256489E-2</c:v>
                </c:pt>
                <c:pt idx="238">
                  <c:v>-6.2131399919774642E-2</c:v>
                </c:pt>
                <c:pt idx="239">
                  <c:v>-6.5982568402651792E-2</c:v>
                </c:pt>
                <c:pt idx="240">
                  <c:v>-6.6702389600487688E-2</c:v>
                </c:pt>
                <c:pt idx="241">
                  <c:v>-6.338949256533731E-2</c:v>
                </c:pt>
                <c:pt idx="242">
                  <c:v>-6.7666957695895605E-2</c:v>
                </c:pt>
                <c:pt idx="243">
                  <c:v>-6.7801576216966294E-2</c:v>
                </c:pt>
                <c:pt idx="244">
                  <c:v>-6.6437105716542558E-2</c:v>
                </c:pt>
                <c:pt idx="245">
                  <c:v>-6.2170535845151496E-2</c:v>
                </c:pt>
                <c:pt idx="246">
                  <c:v>-5.741726618468062E-2</c:v>
                </c:pt>
                <c:pt idx="247">
                  <c:v>-5.7998076528766637E-2</c:v>
                </c:pt>
                <c:pt idx="248">
                  <c:v>-5.4549151617138733E-2</c:v>
                </c:pt>
                <c:pt idx="249">
                  <c:v>-5.2862093233935877E-2</c:v>
                </c:pt>
                <c:pt idx="250">
                  <c:v>-5.3402485574207154E-2</c:v>
                </c:pt>
                <c:pt idx="251">
                  <c:v>-5.2909356528797281E-2</c:v>
                </c:pt>
                <c:pt idx="252">
                  <c:v>-4.8320956499728382E-2</c:v>
                </c:pt>
                <c:pt idx="253">
                  <c:v>-4.8496168328745648E-2</c:v>
                </c:pt>
                <c:pt idx="254">
                  <c:v>-4.4760756439971544E-2</c:v>
                </c:pt>
                <c:pt idx="255">
                  <c:v>-3.8805723063190536E-2</c:v>
                </c:pt>
                <c:pt idx="256">
                  <c:v>-3.637755244803325E-2</c:v>
                </c:pt>
                <c:pt idx="257">
                  <c:v>-3.4787403092001852E-2</c:v>
                </c:pt>
                <c:pt idx="258">
                  <c:v>-3.0393701609624488E-2</c:v>
                </c:pt>
                <c:pt idx="259">
                  <c:v>-2.8145690837260047E-2</c:v>
                </c:pt>
                <c:pt idx="260">
                  <c:v>-2.8495652296399377E-2</c:v>
                </c:pt>
                <c:pt idx="261">
                  <c:v>-1.6159868578710483E-2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08-4DF2-8D33-B4EA0CAC6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345120"/>
        <c:axId val="611345952"/>
      </c:lineChart>
      <c:dateAx>
        <c:axId val="611345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345952"/>
        <c:crosses val="autoZero"/>
        <c:auto val="1"/>
        <c:lblOffset val="100"/>
        <c:baseTimeUnit val="days"/>
      </c:dateAx>
      <c:valAx>
        <c:axId val="6113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34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677146-6F42-41DF-8515-A43D2FE01261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C317DE-936E-45F0-BE66-ACDAD5647E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2831.02</v>
      </c>
      <c r="D2" s="4">
        <f>MIN(D3:D1912)</f>
        <v>18.059999999999999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19.809999999999999</v>
      </c>
      <c r="C5">
        <v>19.97</v>
      </c>
      <c r="D5">
        <v>19.18</v>
      </c>
      <c r="E5">
        <v>19.2</v>
      </c>
      <c r="F5">
        <v>456067.57</v>
      </c>
      <c r="G5">
        <v>19.2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-0.949367088607596</v>
      </c>
      <c r="Q5">
        <f t="shared" ref="Q5" si="1">F5*P5</f>
        <v>-432975.54113924102</v>
      </c>
      <c r="R5">
        <f t="shared" ref="R5" si="2">R6+Q5</f>
        <v>-37830843.287102826</v>
      </c>
      <c r="S5">
        <f t="shared" ref="S5" si="3">R5/100000</f>
        <v>-378.30843287102829</v>
      </c>
      <c r="T5">
        <f t="shared" ref="T5" si="4">S5/1000</f>
        <v>-0.37830843287102828</v>
      </c>
    </row>
    <row r="6" spans="1:20" x14ac:dyDescent="0.25">
      <c r="A6" s="5">
        <v>44587</v>
      </c>
      <c r="B6">
        <v>20.05</v>
      </c>
      <c r="C6">
        <v>21.83</v>
      </c>
      <c r="D6">
        <v>19.64</v>
      </c>
      <c r="E6">
        <v>19.809999999999999</v>
      </c>
      <c r="F6">
        <v>4685235.32</v>
      </c>
      <c r="G6">
        <v>19.809999999999999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-0.84474885844749015</v>
      </c>
      <c r="Q6">
        <f t="shared" ref="Q6" si="6">F6*P6</f>
        <v>-3957847.1881278614</v>
      </c>
      <c r="R6">
        <f t="shared" ref="R6" si="7">R7+Q6</f>
        <v>-37397867.745963588</v>
      </c>
      <c r="S6">
        <f t="shared" ref="S6" si="8">R6/100000</f>
        <v>-373.97867745963589</v>
      </c>
      <c r="T6">
        <f t="shared" ref="T6" si="9">S6/1000</f>
        <v>-0.37397867745963587</v>
      </c>
    </row>
    <row r="7" spans="1:20" x14ac:dyDescent="0.25">
      <c r="A7" s="5">
        <v>44586</v>
      </c>
      <c r="B7">
        <v>20.71</v>
      </c>
      <c r="C7">
        <v>21.38</v>
      </c>
      <c r="D7">
        <v>19.64</v>
      </c>
      <c r="E7">
        <v>20.05</v>
      </c>
      <c r="F7">
        <v>3125636.66</v>
      </c>
      <c r="G7">
        <v>20.05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-0.52873563218390751</v>
      </c>
      <c r="Q7">
        <f t="shared" ref="Q7" si="11">F7*P7</f>
        <v>-1652635.4754022972</v>
      </c>
      <c r="R7">
        <f t="shared" ref="R7" si="12">R8+Q7</f>
        <v>-33440020.557835724</v>
      </c>
      <c r="S7">
        <f t="shared" ref="S7" si="13">R7/100000</f>
        <v>-334.40020557835726</v>
      </c>
      <c r="T7">
        <f t="shared" ref="T7" si="14">S7/1000</f>
        <v>-0.33440020557835726</v>
      </c>
    </row>
    <row r="8" spans="1:20" x14ac:dyDescent="0.25">
      <c r="A8" s="5">
        <v>44585</v>
      </c>
      <c r="B8">
        <v>21.27</v>
      </c>
      <c r="C8">
        <v>21.93</v>
      </c>
      <c r="D8">
        <v>18.41</v>
      </c>
      <c r="E8">
        <v>20.72</v>
      </c>
      <c r="F8">
        <v>5239948.01</v>
      </c>
      <c r="G8">
        <v>20.72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0.31249999999999944</v>
      </c>
      <c r="Q8">
        <f t="shared" ref="Q8" si="16">F8*P8</f>
        <v>1637483.753124997</v>
      </c>
      <c r="R8">
        <f t="shared" ref="R8" si="17">R9+Q8</f>
        <v>-31787385.082433429</v>
      </c>
      <c r="S8">
        <f t="shared" ref="S8" si="18">R8/100000</f>
        <v>-317.87385082433428</v>
      </c>
      <c r="T8">
        <f t="shared" ref="T8" si="19">S8/1000</f>
        <v>-0.31787385082433428</v>
      </c>
    </row>
    <row r="9" spans="1:20" x14ac:dyDescent="0.25">
      <c r="A9" s="5">
        <v>44584</v>
      </c>
      <c r="B9">
        <v>20.55</v>
      </c>
      <c r="C9">
        <v>22.15</v>
      </c>
      <c r="D9">
        <v>20.059999999999999</v>
      </c>
      <c r="E9">
        <v>21.28</v>
      </c>
      <c r="F9">
        <v>2884048.69</v>
      </c>
      <c r="G9">
        <v>21.28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0.16746411483253829</v>
      </c>
      <c r="Q9">
        <f t="shared" ref="Q9" si="21">F9*P9</f>
        <v>482974.66100479162</v>
      </c>
      <c r="R9">
        <f t="shared" ref="R9" si="22">R10+Q9</f>
        <v>-33424868.835558426</v>
      </c>
      <c r="S9">
        <f t="shared" ref="S9" si="23">R9/100000</f>
        <v>-334.24868835558425</v>
      </c>
      <c r="T9">
        <f t="shared" ref="T9" si="24">S9/1000</f>
        <v>-0.33424868835558424</v>
      </c>
    </row>
    <row r="10" spans="1:20" x14ac:dyDescent="0.25">
      <c r="A10" s="5">
        <v>44583</v>
      </c>
      <c r="B10">
        <v>24.19</v>
      </c>
      <c r="C10">
        <v>25.32</v>
      </c>
      <c r="D10">
        <v>18.059999999999999</v>
      </c>
      <c r="E10">
        <v>20.55</v>
      </c>
      <c r="F10">
        <v>7004823.96</v>
      </c>
      <c r="G10">
        <v>20.55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-0.31404958677685912</v>
      </c>
      <c r="Q10">
        <f t="shared" ref="Q10" si="26">F10*P10</f>
        <v>-2199862.0700826421</v>
      </c>
      <c r="R10">
        <f t="shared" ref="R10" si="27">R11+Q10</f>
        <v>-33907843.496563219</v>
      </c>
      <c r="S10">
        <f t="shared" ref="S10" si="28">R10/100000</f>
        <v>-339.0784349656322</v>
      </c>
      <c r="T10">
        <f t="shared" ref="T10" si="29">S10/1000</f>
        <v>-0.33907843496563222</v>
      </c>
    </row>
    <row r="11" spans="1:20" x14ac:dyDescent="0.25">
      <c r="A11" s="5">
        <v>44582</v>
      </c>
      <c r="B11">
        <v>24.97</v>
      </c>
      <c r="C11">
        <v>25.51</v>
      </c>
      <c r="D11">
        <v>22.33</v>
      </c>
      <c r="E11">
        <v>24.2</v>
      </c>
      <c r="F11">
        <v>5637216.1299999999</v>
      </c>
      <c r="G11">
        <v>24.2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0.17610062893081702</v>
      </c>
      <c r="Q11">
        <f t="shared" ref="Q11" si="31">F11*P11</f>
        <v>992717.30591194634</v>
      </c>
      <c r="R11">
        <f t="shared" ref="R11" si="32">R12+Q11</f>
        <v>-31707981.426480576</v>
      </c>
      <c r="S11">
        <f t="shared" ref="S11" si="33">R11/100000</f>
        <v>-317.07981426480575</v>
      </c>
      <c r="T11">
        <f t="shared" ref="T11" si="34">S11/1000</f>
        <v>-0.31707981426480575</v>
      </c>
    </row>
    <row r="12" spans="1:20" x14ac:dyDescent="0.25">
      <c r="A12" s="5">
        <v>44581</v>
      </c>
      <c r="B12">
        <v>26.52</v>
      </c>
      <c r="C12">
        <v>28.6</v>
      </c>
      <c r="D12">
        <v>24.73</v>
      </c>
      <c r="E12">
        <v>24.98</v>
      </c>
      <c r="F12">
        <v>3457397.27</v>
      </c>
      <c r="G12">
        <v>24.98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-0.87080103359173133</v>
      </c>
      <c r="Q12">
        <f t="shared" ref="Q12" si="36">F12*P12</f>
        <v>-3010705.1162532303</v>
      </c>
      <c r="R12">
        <f t="shared" ref="R12" si="37">R13+Q12</f>
        <v>-32700698.732392523</v>
      </c>
      <c r="S12">
        <f t="shared" ref="S12" si="38">R12/100000</f>
        <v>-327.00698732392522</v>
      </c>
      <c r="T12">
        <f t="shared" ref="T12" si="39">S12/1000</f>
        <v>-0.32700698732392519</v>
      </c>
    </row>
    <row r="13" spans="1:20" x14ac:dyDescent="0.25">
      <c r="A13" s="5">
        <v>44580</v>
      </c>
      <c r="B13">
        <v>29.36</v>
      </c>
      <c r="C13">
        <v>29.61</v>
      </c>
      <c r="D13">
        <v>26.15</v>
      </c>
      <c r="E13">
        <v>26.52</v>
      </c>
      <c r="F13">
        <v>3169788.58</v>
      </c>
      <c r="G13">
        <v>26.52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-0.7861271676300573</v>
      </c>
      <c r="Q13">
        <f t="shared" ref="Q13" si="41">F13*P13</f>
        <v>-2491856.9183815015</v>
      </c>
      <c r="R13">
        <f t="shared" ref="R13" si="42">R14+Q13</f>
        <v>-29689993.616139293</v>
      </c>
      <c r="S13">
        <f t="shared" ref="S13" si="43">R13/100000</f>
        <v>-296.89993616139293</v>
      </c>
      <c r="T13">
        <f t="shared" ref="T13" si="44">S13/1000</f>
        <v>-0.29689993616139293</v>
      </c>
    </row>
    <row r="14" spans="1:20" x14ac:dyDescent="0.25">
      <c r="A14" s="5">
        <v>44579</v>
      </c>
      <c r="B14">
        <v>29.64</v>
      </c>
      <c r="C14">
        <v>31.72</v>
      </c>
      <c r="D14">
        <v>28.17</v>
      </c>
      <c r="E14">
        <v>29.38</v>
      </c>
      <c r="F14">
        <v>2649993.3199999998</v>
      </c>
      <c r="G14">
        <v>29.38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-0.31830985915493054</v>
      </c>
      <c r="Q14">
        <f t="shared" ref="Q14" si="46">F14*P14</f>
        <v>-843519.00045070669</v>
      </c>
      <c r="R14">
        <f t="shared" ref="R14" si="47">R15+Q14</f>
        <v>-27198136.697757792</v>
      </c>
      <c r="S14">
        <f t="shared" ref="S14" si="48">R14/100000</f>
        <v>-271.98136697757792</v>
      </c>
      <c r="T14">
        <f t="shared" ref="T14" si="49">S14/1000</f>
        <v>-0.27198136697757791</v>
      </c>
    </row>
    <row r="15" spans="1:20" x14ac:dyDescent="0.25">
      <c r="A15" s="5">
        <v>44578</v>
      </c>
      <c r="B15">
        <v>31.15</v>
      </c>
      <c r="C15">
        <v>31.33</v>
      </c>
      <c r="D15">
        <v>28.62</v>
      </c>
      <c r="E15">
        <v>29.64</v>
      </c>
      <c r="F15">
        <v>2128974.21</v>
      </c>
      <c r="G15">
        <v>29.64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-0.24723247232472281</v>
      </c>
      <c r="Q15">
        <f t="shared" ref="Q15" si="51">F15*P15</f>
        <v>-526351.55745387357</v>
      </c>
      <c r="R15">
        <f t="shared" ref="R15" si="52">R16+Q15</f>
        <v>-26354617.697307084</v>
      </c>
      <c r="S15">
        <f t="shared" ref="S15" si="53">R15/100000</f>
        <v>-263.54617697307083</v>
      </c>
      <c r="T15">
        <f t="shared" ref="T15" si="54">S15/1000</f>
        <v>-0.26354617697307081</v>
      </c>
    </row>
    <row r="16" spans="1:20" x14ac:dyDescent="0.25">
      <c r="A16" s="5">
        <v>44577</v>
      </c>
      <c r="B16">
        <v>32.54</v>
      </c>
      <c r="C16">
        <v>33.119999999999997</v>
      </c>
      <c r="D16">
        <v>30.5</v>
      </c>
      <c r="E16">
        <v>31.15</v>
      </c>
      <c r="F16">
        <v>2280546.2999999998</v>
      </c>
      <c r="G16">
        <v>31.15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-0.50381679389313039</v>
      </c>
      <c r="Q16">
        <f t="shared" ref="Q16" si="56">F16*P16</f>
        <v>-1148977.5251908409</v>
      </c>
      <c r="R16">
        <f t="shared" ref="R16" si="57">R17+Q16</f>
        <v>-25828266.139853209</v>
      </c>
      <c r="S16">
        <f t="shared" ref="S16" si="58">R16/100000</f>
        <v>-258.28266139853207</v>
      </c>
      <c r="T16">
        <f t="shared" ref="T16" si="59">S16/1000</f>
        <v>-0.25828266139853207</v>
      </c>
    </row>
    <row r="17" spans="1:20" x14ac:dyDescent="0.25">
      <c r="A17" s="5">
        <v>44576</v>
      </c>
      <c r="B17">
        <v>32.520000000000003</v>
      </c>
      <c r="C17">
        <v>33.979999999999997</v>
      </c>
      <c r="D17">
        <v>31.75</v>
      </c>
      <c r="E17">
        <v>32.549999999999997</v>
      </c>
      <c r="F17">
        <v>1793177.97</v>
      </c>
      <c r="G17">
        <v>32.549999999999997</v>
      </c>
      <c r="L17" t="s">
        <v>8</v>
      </c>
      <c r="M17" t="s">
        <v>7</v>
      </c>
      <c r="N17" t="s">
        <v>8</v>
      </c>
      <c r="P17">
        <f t="shared" ref="P17" si="60">IF(C17=D17,0,((E17-D17)-(C17-E17))/(C17-D17))</f>
        <v>-0.28251121076233338</v>
      </c>
      <c r="Q17">
        <f t="shared" ref="Q17" si="61">F17*P17</f>
        <v>-506592.87941704312</v>
      </c>
      <c r="R17">
        <f t="shared" ref="R17" si="62">R18+Q17</f>
        <v>-24679288.614662368</v>
      </c>
      <c r="S17">
        <f t="shared" ref="S17" si="63">R17/100000</f>
        <v>-246.79288614662369</v>
      </c>
      <c r="T17">
        <f t="shared" ref="T17" si="64">S17/1000</f>
        <v>-0.24679288614662367</v>
      </c>
    </row>
    <row r="18" spans="1:20" x14ac:dyDescent="0.25">
      <c r="A18" s="5">
        <v>44575</v>
      </c>
      <c r="B18">
        <v>31.37</v>
      </c>
      <c r="C18">
        <v>33.1</v>
      </c>
      <c r="D18">
        <v>31.05</v>
      </c>
      <c r="E18">
        <v>32.51</v>
      </c>
      <c r="F18">
        <v>2738731.62</v>
      </c>
      <c r="G18">
        <v>32.51</v>
      </c>
      <c r="L18" t="s">
        <v>7</v>
      </c>
      <c r="M18" t="s">
        <v>7</v>
      </c>
      <c r="N18" t="s">
        <v>8</v>
      </c>
      <c r="P18">
        <f t="shared" ref="P18" si="65">IF(C18=D18,0,((E18-D18)-(C18-E18))/(C18-D18))</f>
        <v>0.4243902439024359</v>
      </c>
      <c r="Q18">
        <f t="shared" ref="Q18" si="66">F18*P18</f>
        <v>1162290.9801951135</v>
      </c>
      <c r="R18">
        <f t="shared" ref="R18" si="67">R19+Q18</f>
        <v>-24172695.735245325</v>
      </c>
      <c r="S18">
        <f t="shared" ref="S18" si="68">R18/100000</f>
        <v>-241.72695735245324</v>
      </c>
      <c r="T18">
        <f t="shared" ref="T18" si="69">S18/1000</f>
        <v>-0.24172695735245325</v>
      </c>
    </row>
    <row r="19" spans="1:20" x14ac:dyDescent="0.25">
      <c r="A19" s="5">
        <v>44574</v>
      </c>
      <c r="B19">
        <v>35.01</v>
      </c>
      <c r="C19">
        <v>35.1</v>
      </c>
      <c r="D19">
        <v>31.21</v>
      </c>
      <c r="E19">
        <v>31.38</v>
      </c>
      <c r="F19">
        <v>3412062.5</v>
      </c>
      <c r="G19">
        <v>31.38</v>
      </c>
      <c r="L19" t="s">
        <v>7</v>
      </c>
      <c r="M19" t="s">
        <v>7</v>
      </c>
      <c r="N19" t="s">
        <v>8</v>
      </c>
      <c r="P19">
        <f t="shared" ref="P19" si="70">IF(C19=D19,0,((E19-D19)-(C19-E19))/(C19-D19))</f>
        <v>-0.91259640102827855</v>
      </c>
      <c r="Q19">
        <f t="shared" ref="Q19" si="71">F19*P19</f>
        <v>-3113835.9575835508</v>
      </c>
      <c r="R19">
        <f t="shared" ref="R19" si="72">R20+Q19</f>
        <v>-25334986.715440437</v>
      </c>
      <c r="S19">
        <f t="shared" ref="S19" si="73">R19/100000</f>
        <v>-253.34986715440436</v>
      </c>
      <c r="T19">
        <f t="shared" ref="T19" si="74">S19/1000</f>
        <v>-0.25334986715440438</v>
      </c>
    </row>
    <row r="20" spans="1:20" x14ac:dyDescent="0.25">
      <c r="A20" s="5">
        <v>44573</v>
      </c>
      <c r="B20">
        <v>34.44</v>
      </c>
      <c r="C20">
        <v>35.93</v>
      </c>
      <c r="D20">
        <v>32.61</v>
      </c>
      <c r="E20">
        <v>34.99</v>
      </c>
      <c r="F20">
        <v>4020960.88</v>
      </c>
      <c r="G20">
        <v>34.99</v>
      </c>
      <c r="L20" t="s">
        <v>7</v>
      </c>
      <c r="M20" t="s">
        <v>8</v>
      </c>
      <c r="N20" t="s">
        <v>8</v>
      </c>
      <c r="P20">
        <f t="shared" ref="P20" si="75">IF(C20=D20,0,((E20-D20)-(C20-E20))/(C20-D20))</f>
        <v>0.43373493975903754</v>
      </c>
      <c r="Q20">
        <f t="shared" ref="Q20" si="76">F20*P20</f>
        <v>1744031.2250602464</v>
      </c>
      <c r="R20">
        <f t="shared" ref="R20" si="77">R21+Q20</f>
        <v>-22221150.757856887</v>
      </c>
      <c r="S20">
        <f t="shared" ref="S20" si="78">R20/100000</f>
        <v>-222.21150757856887</v>
      </c>
      <c r="T20">
        <f t="shared" ref="T20" si="79">S20/1000</f>
        <v>-0.22221150757856886</v>
      </c>
    </row>
    <row r="21" spans="1:20" x14ac:dyDescent="0.25">
      <c r="A21" s="5">
        <v>44572</v>
      </c>
      <c r="B21">
        <v>34.31</v>
      </c>
      <c r="C21">
        <v>37.04</v>
      </c>
      <c r="D21">
        <v>33.590000000000003</v>
      </c>
      <c r="E21">
        <v>34.43</v>
      </c>
      <c r="F21">
        <v>4669598.51</v>
      </c>
      <c r="G21">
        <v>34.43</v>
      </c>
      <c r="L21" t="s">
        <v>7</v>
      </c>
      <c r="M21" t="s">
        <v>8</v>
      </c>
      <c r="N21" t="s">
        <v>8</v>
      </c>
      <c r="P21">
        <f t="shared" ref="P21" si="80">IF(C21=D21,0,((E21-D21)-(C21-E21))/(C21-D21))</f>
        <v>-0.51304347826087116</v>
      </c>
      <c r="Q21">
        <f t="shared" ref="Q21" si="81">F21*P21</f>
        <v>-2395707.0616521812</v>
      </c>
      <c r="R21">
        <f t="shared" ref="R21" si="82">R22+Q21</f>
        <v>-23965181.982917134</v>
      </c>
      <c r="S21">
        <f t="shared" ref="S21" si="83">R21/100000</f>
        <v>-239.65181982917133</v>
      </c>
      <c r="T21">
        <f t="shared" ref="T21" si="84">S21/1000</f>
        <v>-0.23965181982917133</v>
      </c>
    </row>
    <row r="22" spans="1:20" x14ac:dyDescent="0.25">
      <c r="A22" s="5">
        <v>44571</v>
      </c>
      <c r="B22">
        <v>36.15</v>
      </c>
      <c r="C22">
        <v>37.79</v>
      </c>
      <c r="D22">
        <v>32.18</v>
      </c>
      <c r="E22">
        <v>34.31</v>
      </c>
      <c r="F22">
        <v>7633781.2599999998</v>
      </c>
      <c r="G22">
        <v>34.31</v>
      </c>
      <c r="L22" t="s">
        <v>8</v>
      </c>
      <c r="M22" t="s">
        <v>8</v>
      </c>
      <c r="N22" t="s">
        <v>8</v>
      </c>
      <c r="P22">
        <f t="shared" ref="P22" si="85">IF(C22=D22,0,((E22-D22)-(C22-E22))/(C22-D22))</f>
        <v>-0.24064171122994554</v>
      </c>
      <c r="Q22">
        <f t="shared" ref="Q22" si="86">F22*P22</f>
        <v>-1837006.1855614898</v>
      </c>
      <c r="R22">
        <f t="shared" ref="R22" si="87">R23+Q22</f>
        <v>-21569474.921264954</v>
      </c>
      <c r="S22">
        <f t="shared" ref="S22" si="88">R22/100000</f>
        <v>-215.69474921264953</v>
      </c>
      <c r="T22">
        <f t="shared" ref="T22" si="89">S22/1000</f>
        <v>-0.21569474921264953</v>
      </c>
    </row>
    <row r="23" spans="1:20" x14ac:dyDescent="0.25">
      <c r="A23" s="5">
        <v>44570</v>
      </c>
      <c r="B23">
        <v>32.93</v>
      </c>
      <c r="C23">
        <v>37.340000000000003</v>
      </c>
      <c r="D23">
        <v>32.79</v>
      </c>
      <c r="E23">
        <v>36.15</v>
      </c>
      <c r="F23">
        <v>7465611.75</v>
      </c>
      <c r="G23">
        <v>36.15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0.47692307692307528</v>
      </c>
      <c r="Q23">
        <f t="shared" ref="Q23" si="91">F23*P23</f>
        <v>3560522.5269230646</v>
      </c>
      <c r="R23">
        <f t="shared" ref="R23" si="92">R24+Q23</f>
        <v>-19732468.735703465</v>
      </c>
      <c r="S23">
        <f t="shared" ref="S23" si="93">R23/100000</f>
        <v>-197.32468735703463</v>
      </c>
      <c r="T23">
        <f t="shared" ref="T23" si="94">S23/1000</f>
        <v>-0.19732468735703462</v>
      </c>
    </row>
    <row r="24" spans="1:20" x14ac:dyDescent="0.25">
      <c r="A24" s="5">
        <v>44569</v>
      </c>
      <c r="B24">
        <v>30.23</v>
      </c>
      <c r="C24">
        <v>33.93</v>
      </c>
      <c r="D24">
        <v>30.1</v>
      </c>
      <c r="E24">
        <v>32.92</v>
      </c>
      <c r="F24">
        <v>6486311.4000000004</v>
      </c>
      <c r="G24">
        <v>32.92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0.47258485639686765</v>
      </c>
      <c r="Q24">
        <f t="shared" ref="Q24" si="96">F24*P24</f>
        <v>3065332.5415143659</v>
      </c>
      <c r="R24">
        <f t="shared" ref="R24" si="97">R25+Q24</f>
        <v>-23292991.262626529</v>
      </c>
      <c r="S24">
        <f t="shared" ref="S24" si="98">R24/100000</f>
        <v>-232.92991262626529</v>
      </c>
      <c r="T24">
        <f t="shared" ref="T24" si="99">S24/1000</f>
        <v>-0.23292991262626528</v>
      </c>
    </row>
    <row r="25" spans="1:20" x14ac:dyDescent="0.25">
      <c r="A25" s="5">
        <v>44568</v>
      </c>
      <c r="B25">
        <v>30.59</v>
      </c>
      <c r="C25">
        <v>32.58</v>
      </c>
      <c r="D25">
        <v>27.01</v>
      </c>
      <c r="E25">
        <v>30.23</v>
      </c>
      <c r="F25">
        <v>6610521.3600000003</v>
      </c>
      <c r="G25">
        <v>30.23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0.15619389587073634</v>
      </c>
      <c r="Q25">
        <f t="shared" ref="Q25" si="101">F25*P25</f>
        <v>1032523.0849551185</v>
      </c>
      <c r="R25">
        <f t="shared" ref="R25" si="102">R26+Q25</f>
        <v>-26358323.804140896</v>
      </c>
      <c r="S25">
        <f t="shared" ref="S25" si="103">R25/100000</f>
        <v>-263.58323804140895</v>
      </c>
      <c r="T25">
        <f t="shared" ref="T25" si="104">S25/1000</f>
        <v>-0.26358323804140893</v>
      </c>
    </row>
    <row r="26" spans="1:20" x14ac:dyDescent="0.25">
      <c r="A26" s="5">
        <v>44567</v>
      </c>
      <c r="B26">
        <v>30.63</v>
      </c>
      <c r="C26">
        <v>32.630000000000003</v>
      </c>
      <c r="D26">
        <v>28.56</v>
      </c>
      <c r="E26">
        <v>30.59</v>
      </c>
      <c r="F26">
        <v>7215531.1900000004</v>
      </c>
      <c r="G26">
        <v>30.59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-2.4570024570028386E-3</v>
      </c>
      <c r="Q26">
        <f t="shared" ref="Q26" si="106">F26*P26</f>
        <v>-17728.577862410617</v>
      </c>
      <c r="R26">
        <f t="shared" ref="R26" si="107">R27+Q26</f>
        <v>-27390846.889096014</v>
      </c>
      <c r="S26">
        <f t="shared" ref="S26" si="108">R26/100000</f>
        <v>-273.90846889096014</v>
      </c>
      <c r="T26">
        <f t="shared" ref="T26" si="109">S26/1000</f>
        <v>-0.27390846889096016</v>
      </c>
    </row>
    <row r="27" spans="1:20" x14ac:dyDescent="0.25">
      <c r="A27" s="5">
        <v>44566</v>
      </c>
      <c r="B27">
        <v>33.79</v>
      </c>
      <c r="C27">
        <v>38.020000000000003</v>
      </c>
      <c r="D27">
        <v>29</v>
      </c>
      <c r="E27">
        <v>30.64</v>
      </c>
      <c r="F27">
        <v>10608704.84</v>
      </c>
      <c r="G27">
        <v>30.64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-0.63636363636363635</v>
      </c>
      <c r="Q27">
        <f t="shared" ref="Q27" si="111">F27*P27</f>
        <v>-6750993.9890909093</v>
      </c>
      <c r="R27">
        <f t="shared" ref="R27" si="112">R28+Q27</f>
        <v>-27373118.311233602</v>
      </c>
      <c r="S27">
        <f t="shared" ref="S27" si="113">R27/100000</f>
        <v>-273.731183112336</v>
      </c>
      <c r="T27">
        <f t="shared" ref="T27" si="114">S27/1000</f>
        <v>-0.27373118311233602</v>
      </c>
    </row>
    <row r="28" spans="1:20" x14ac:dyDescent="0.25">
      <c r="A28" s="5">
        <v>44565</v>
      </c>
      <c r="B28">
        <v>29.26</v>
      </c>
      <c r="C28">
        <v>35.56</v>
      </c>
      <c r="D28">
        <v>27.81</v>
      </c>
      <c r="E28">
        <v>33.79</v>
      </c>
      <c r="F28">
        <v>8471538.8900000006</v>
      </c>
      <c r="G28">
        <v>33.79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0.54322580645161234</v>
      </c>
      <c r="Q28">
        <f t="shared" ref="Q28" si="116">F28*P28</f>
        <v>4601958.5454064468</v>
      </c>
      <c r="R28">
        <f t="shared" ref="R28" si="117">R29+Q28</f>
        <v>-20622124.322142694</v>
      </c>
      <c r="S28">
        <f t="shared" ref="S28" si="118">R28/100000</f>
        <v>-206.22124322142693</v>
      </c>
      <c r="T28">
        <f t="shared" ref="T28" si="119">S28/1000</f>
        <v>-0.20622124322142693</v>
      </c>
    </row>
    <row r="29" spans="1:20" x14ac:dyDescent="0.25">
      <c r="A29" s="5">
        <v>44564</v>
      </c>
      <c r="B29">
        <v>27.31</v>
      </c>
      <c r="C29">
        <v>29.46</v>
      </c>
      <c r="D29">
        <v>26.5</v>
      </c>
      <c r="E29">
        <v>29.26</v>
      </c>
      <c r="F29">
        <v>3919002.06</v>
      </c>
      <c r="G29">
        <v>29.26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0.86486486486486536</v>
      </c>
      <c r="Q29">
        <f t="shared" ref="Q29" si="121">F29*P29</f>
        <v>3389407.1870270292</v>
      </c>
      <c r="R29">
        <f t="shared" ref="R29" si="122">R30+Q29</f>
        <v>-25224082.86754914</v>
      </c>
      <c r="S29">
        <f t="shared" ref="S29" si="123">R29/100000</f>
        <v>-252.2408286754914</v>
      </c>
      <c r="T29">
        <f t="shared" ref="T29" si="124">S29/1000</f>
        <v>-0.25224082867549141</v>
      </c>
    </row>
    <row r="30" spans="1:20" x14ac:dyDescent="0.25">
      <c r="A30" s="5">
        <v>44563</v>
      </c>
      <c r="B30">
        <v>25.62</v>
      </c>
      <c r="C30">
        <v>28.57</v>
      </c>
      <c r="D30">
        <v>25.38</v>
      </c>
      <c r="E30">
        <v>27.31</v>
      </c>
      <c r="F30">
        <v>3745022.06</v>
      </c>
      <c r="G30">
        <v>27.31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0.21003134796238179</v>
      </c>
      <c r="Q30">
        <f t="shared" ref="Q30" si="126">F30*P30</f>
        <v>786572.03141065582</v>
      </c>
      <c r="R30">
        <f t="shared" ref="R30" si="127">R31+Q30</f>
        <v>-28613490.05457617</v>
      </c>
      <c r="S30">
        <f t="shared" ref="S30" si="128">R30/100000</f>
        <v>-286.1349005457617</v>
      </c>
      <c r="T30">
        <f t="shared" ref="T30" si="129">S30/1000</f>
        <v>-0.28613490054576168</v>
      </c>
    </row>
    <row r="31" spans="1:20" x14ac:dyDescent="0.25">
      <c r="A31" s="5">
        <v>44562</v>
      </c>
      <c r="B31">
        <v>24.42</v>
      </c>
      <c r="C31">
        <v>26</v>
      </c>
      <c r="D31">
        <v>24.4</v>
      </c>
      <c r="E31">
        <v>25.62</v>
      </c>
      <c r="F31">
        <v>1450347.58</v>
      </c>
      <c r="G31">
        <v>25.62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0.52500000000000169</v>
      </c>
      <c r="Q31">
        <f t="shared" ref="Q31" si="131">F31*P31</f>
        <v>761432.47950000246</v>
      </c>
      <c r="R31">
        <f t="shared" ref="R31" si="132">R32+Q31</f>
        <v>-29400062.085986827</v>
      </c>
      <c r="S31">
        <f t="shared" ref="S31" si="133">R31/100000</f>
        <v>-294.00062085986826</v>
      </c>
      <c r="T31">
        <f t="shared" ref="T31" si="134">S31/1000</f>
        <v>-0.29400062085986828</v>
      </c>
    </row>
    <row r="32" spans="1:20" x14ac:dyDescent="0.25">
      <c r="A32" s="5">
        <v>44561</v>
      </c>
      <c r="B32">
        <v>24.77</v>
      </c>
      <c r="C32">
        <v>26.59</v>
      </c>
      <c r="D32">
        <v>24</v>
      </c>
      <c r="E32">
        <v>24.4</v>
      </c>
      <c r="F32">
        <v>2542720.7799999998</v>
      </c>
      <c r="G32">
        <v>24.4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-0.69111969111969218</v>
      </c>
      <c r="Q32">
        <f t="shared" ref="Q32" si="136">F32*P32</f>
        <v>-1757324.4000772226</v>
      </c>
      <c r="R32">
        <f t="shared" ref="R32" si="137">R33+Q32</f>
        <v>-30161494.56548683</v>
      </c>
      <c r="S32">
        <f t="shared" ref="S32" si="138">R32/100000</f>
        <v>-301.61494565486828</v>
      </c>
      <c r="T32">
        <f t="shared" ref="T32" si="139">S32/1000</f>
        <v>-0.30161494565486829</v>
      </c>
    </row>
    <row r="33" spans="1:20" x14ac:dyDescent="0.25">
      <c r="A33" s="5">
        <v>44560</v>
      </c>
      <c r="B33">
        <v>24.04</v>
      </c>
      <c r="C33">
        <v>26.05</v>
      </c>
      <c r="D33">
        <v>23.26</v>
      </c>
      <c r="E33">
        <v>24.77</v>
      </c>
      <c r="F33">
        <v>2265270.36</v>
      </c>
      <c r="G33">
        <v>24.77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8.2437275985661987E-2</v>
      </c>
      <c r="Q33">
        <f t="shared" ref="Q33" si="141">F33*P33</f>
        <v>186742.71784945988</v>
      </c>
      <c r="R33">
        <f t="shared" ref="R33" si="142">R34+Q33</f>
        <v>-28404170.165409606</v>
      </c>
      <c r="S33">
        <f t="shared" ref="S33" si="143">R33/100000</f>
        <v>-284.04170165409607</v>
      </c>
      <c r="T33">
        <f t="shared" ref="T33" si="144">S33/1000</f>
        <v>-0.28404170165409609</v>
      </c>
    </row>
    <row r="34" spans="1:20" x14ac:dyDescent="0.25">
      <c r="A34" s="5">
        <v>44559</v>
      </c>
      <c r="B34">
        <v>24.72</v>
      </c>
      <c r="C34">
        <v>25.32</v>
      </c>
      <c r="D34">
        <v>23.52</v>
      </c>
      <c r="E34">
        <v>24.05</v>
      </c>
      <c r="F34">
        <v>2436786.42</v>
      </c>
      <c r="G34">
        <v>24.05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-0.41111111111111009</v>
      </c>
      <c r="Q34">
        <f t="shared" ref="Q34" si="146">F34*P34</f>
        <v>-1001789.9726666642</v>
      </c>
      <c r="R34">
        <f t="shared" ref="R34" si="147">R35+Q34</f>
        <v>-28590912.883259065</v>
      </c>
      <c r="S34">
        <f t="shared" ref="S34" si="148">R34/100000</f>
        <v>-285.90912883259068</v>
      </c>
      <c r="T34">
        <f t="shared" ref="T34" si="149">S34/1000</f>
        <v>-0.28590912883259068</v>
      </c>
    </row>
    <row r="35" spans="1:20" x14ac:dyDescent="0.25">
      <c r="A35" s="5">
        <v>44558</v>
      </c>
      <c r="B35">
        <v>28.23</v>
      </c>
      <c r="C35">
        <v>28.26</v>
      </c>
      <c r="D35">
        <v>24.3</v>
      </c>
      <c r="E35">
        <v>24.72</v>
      </c>
      <c r="F35">
        <v>3965926.96</v>
      </c>
      <c r="G35">
        <v>24.72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-0.78787878787878884</v>
      </c>
      <c r="Q35">
        <f t="shared" ref="Q35" si="151">F35*P35</f>
        <v>-3124669.7260606098</v>
      </c>
      <c r="R35">
        <f t="shared" ref="R35" si="152">R36+Q35</f>
        <v>-27589122.9105924</v>
      </c>
      <c r="S35">
        <f t="shared" ref="S35" si="153">R35/100000</f>
        <v>-275.89122910592397</v>
      </c>
      <c r="T35">
        <f t="shared" ref="T35" si="154">S35/1000</f>
        <v>-0.27589122910592395</v>
      </c>
    </row>
    <row r="36" spans="1:20" x14ac:dyDescent="0.25">
      <c r="A36" s="5">
        <v>44557</v>
      </c>
      <c r="B36">
        <v>26.69</v>
      </c>
      <c r="C36">
        <v>29.9</v>
      </c>
      <c r="D36">
        <v>26.67</v>
      </c>
      <c r="E36">
        <v>28.25</v>
      </c>
      <c r="F36">
        <v>3222010.91</v>
      </c>
      <c r="G36">
        <v>28.25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-2.1671826625387105E-2</v>
      </c>
      <c r="Q36">
        <f t="shared" ref="Q36" si="156">F36*P36</f>
        <v>-69826.86182662574</v>
      </c>
      <c r="R36">
        <f t="shared" ref="R36" si="157">R37+Q36</f>
        <v>-24464453.184531789</v>
      </c>
      <c r="S36">
        <f t="shared" ref="S36" si="158">R36/100000</f>
        <v>-244.64453184531789</v>
      </c>
      <c r="T36">
        <f t="shared" ref="T36" si="159">S36/1000</f>
        <v>-0.2446445318453179</v>
      </c>
    </row>
    <row r="37" spans="1:20" x14ac:dyDescent="0.25">
      <c r="A37" s="5">
        <v>44556</v>
      </c>
      <c r="B37">
        <v>27.27</v>
      </c>
      <c r="C37">
        <v>27.91</v>
      </c>
      <c r="D37">
        <v>25.81</v>
      </c>
      <c r="E37">
        <v>26.69</v>
      </c>
      <c r="F37">
        <v>2518856.08</v>
      </c>
      <c r="G37">
        <v>26.69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-0.16190476190476003</v>
      </c>
      <c r="Q37">
        <f t="shared" ref="Q37" si="161">F37*P37</f>
        <v>-407814.79390475719</v>
      </c>
      <c r="R37">
        <f t="shared" ref="R37" si="162">R38+Q37</f>
        <v>-24394626.322705165</v>
      </c>
      <c r="S37">
        <f t="shared" ref="S37" si="163">R37/100000</f>
        <v>-243.94626322705165</v>
      </c>
      <c r="T37">
        <f t="shared" ref="T37" si="164">S37/1000</f>
        <v>-0.24394626322705165</v>
      </c>
    </row>
    <row r="38" spans="1:20" x14ac:dyDescent="0.25">
      <c r="A38" s="5">
        <v>44555</v>
      </c>
      <c r="B38">
        <v>27.62</v>
      </c>
      <c r="C38">
        <v>28.79</v>
      </c>
      <c r="D38">
        <v>26.54</v>
      </c>
      <c r="E38">
        <v>27.27</v>
      </c>
      <c r="F38">
        <v>1982697.41</v>
      </c>
      <c r="G38">
        <v>27.27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-0.35111111111111071</v>
      </c>
      <c r="Q38">
        <f t="shared" ref="Q38" si="166">F38*P38</f>
        <v>-696147.09062222135</v>
      </c>
      <c r="R38">
        <f t="shared" ref="R38" si="167">R39+Q38</f>
        <v>-23986811.528800406</v>
      </c>
      <c r="S38">
        <f t="shared" ref="S38" si="168">R38/100000</f>
        <v>-239.86811528800405</v>
      </c>
      <c r="T38">
        <f t="shared" ref="T38" si="169">S38/1000</f>
        <v>-0.23986811528800406</v>
      </c>
    </row>
    <row r="39" spans="1:20" x14ac:dyDescent="0.25">
      <c r="A39" s="5">
        <v>44554</v>
      </c>
      <c r="B39">
        <v>27.01</v>
      </c>
      <c r="C39">
        <v>28.74</v>
      </c>
      <c r="D39">
        <v>26.42</v>
      </c>
      <c r="E39">
        <v>27.62</v>
      </c>
      <c r="F39">
        <v>3605710.17</v>
      </c>
      <c r="G39">
        <v>27.62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3.4482758620690501E-2</v>
      </c>
      <c r="Q39">
        <f t="shared" ref="Q39" si="171">F39*P39</f>
        <v>124334.83344827891</v>
      </c>
      <c r="R39">
        <f t="shared" ref="R39" si="172">R40+Q39</f>
        <v>-23290664.438178185</v>
      </c>
      <c r="S39">
        <f t="shared" ref="S39" si="173">R39/100000</f>
        <v>-232.90664438178186</v>
      </c>
      <c r="T39">
        <f t="shared" ref="T39" si="174">S39/1000</f>
        <v>-0.23290664438178185</v>
      </c>
    </row>
    <row r="40" spans="1:20" x14ac:dyDescent="0.25">
      <c r="A40" s="5">
        <v>44553</v>
      </c>
      <c r="B40">
        <v>23.32</v>
      </c>
      <c r="C40">
        <v>27.92</v>
      </c>
      <c r="D40">
        <v>22.92</v>
      </c>
      <c r="E40">
        <v>27</v>
      </c>
      <c r="F40">
        <v>5758633.0899999999</v>
      </c>
      <c r="G40">
        <v>27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0.63199999999999934</v>
      </c>
      <c r="Q40">
        <f t="shared" ref="Q40" si="176">F40*P40</f>
        <v>3639456.1128799962</v>
      </c>
      <c r="R40">
        <f t="shared" ref="R40" si="177">R41+Q40</f>
        <v>-23414999.271626465</v>
      </c>
      <c r="S40">
        <f t="shared" ref="S40" si="178">R40/100000</f>
        <v>-234.14999271626465</v>
      </c>
      <c r="T40">
        <f t="shared" ref="T40" si="179">S40/1000</f>
        <v>-0.23414999271626466</v>
      </c>
    </row>
    <row r="41" spans="1:20" x14ac:dyDescent="0.25">
      <c r="A41" s="5">
        <v>44552</v>
      </c>
      <c r="B41">
        <v>23.1</v>
      </c>
      <c r="C41">
        <v>24.21</v>
      </c>
      <c r="D41">
        <v>22.81</v>
      </c>
      <c r="E41">
        <v>23.31</v>
      </c>
      <c r="F41">
        <v>3432808.15</v>
      </c>
      <c r="G41">
        <v>23.31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-0.28571428571428681</v>
      </c>
      <c r="Q41">
        <f t="shared" ref="Q41" si="181">F41*P41</f>
        <v>-980802.32857143227</v>
      </c>
      <c r="R41">
        <f t="shared" ref="R41" si="182">R42+Q41</f>
        <v>-27054455.38450646</v>
      </c>
      <c r="S41">
        <f t="shared" ref="S41" si="183">R41/100000</f>
        <v>-270.54455384506463</v>
      </c>
      <c r="T41">
        <f t="shared" ref="T41" si="184">S41/1000</f>
        <v>-0.27054455384506465</v>
      </c>
    </row>
    <row r="42" spans="1:20" x14ac:dyDescent="0.25">
      <c r="A42" s="5">
        <v>44551</v>
      </c>
      <c r="B42">
        <v>21.77</v>
      </c>
      <c r="C42">
        <v>23.52</v>
      </c>
      <c r="D42">
        <v>21.44</v>
      </c>
      <c r="E42">
        <v>23.1</v>
      </c>
      <c r="F42">
        <v>2686284.83</v>
      </c>
      <c r="G42">
        <v>23.1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0.59615384615384759</v>
      </c>
      <c r="Q42">
        <f t="shared" ref="Q42" si="186">F42*P42</f>
        <v>1601439.0332692347</v>
      </c>
      <c r="R42">
        <f t="shared" ref="R42" si="187">R43+Q42</f>
        <v>-26073653.055935029</v>
      </c>
      <c r="S42">
        <f t="shared" ref="S42" si="188">R42/100000</f>
        <v>-260.73653055935029</v>
      </c>
      <c r="T42">
        <f t="shared" ref="T42" si="189">S42/1000</f>
        <v>-0.26073653055935031</v>
      </c>
    </row>
    <row r="43" spans="1:20" x14ac:dyDescent="0.25">
      <c r="A43" s="5">
        <v>44550</v>
      </c>
      <c r="B43">
        <v>22.65</v>
      </c>
      <c r="C43">
        <v>23</v>
      </c>
      <c r="D43">
        <v>20.88</v>
      </c>
      <c r="E43">
        <v>21.76</v>
      </c>
      <c r="F43">
        <v>3060755.8</v>
      </c>
      <c r="G43">
        <v>21.76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-0.16981132075471495</v>
      </c>
      <c r="Q43">
        <f t="shared" ref="Q43" si="191">F43*P43</f>
        <v>-519750.9849056541</v>
      </c>
      <c r="R43">
        <f t="shared" ref="R43" si="192">R44+Q43</f>
        <v>-27675092.089204263</v>
      </c>
      <c r="S43">
        <f t="shared" ref="S43" si="193">R43/100000</f>
        <v>-276.75092089204264</v>
      </c>
      <c r="T43">
        <f t="shared" ref="T43" si="194">S43/1000</f>
        <v>-0.27675092089204262</v>
      </c>
    </row>
    <row r="44" spans="1:20" x14ac:dyDescent="0.25">
      <c r="A44" s="5">
        <v>44549</v>
      </c>
      <c r="B44">
        <v>23.66</v>
      </c>
      <c r="C44">
        <v>24.76</v>
      </c>
      <c r="D44">
        <v>22.38</v>
      </c>
      <c r="E44">
        <v>22.65</v>
      </c>
      <c r="F44">
        <v>2311835.5499999998</v>
      </c>
      <c r="G44">
        <v>22.65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-0.77310924369747958</v>
      </c>
      <c r="Q44">
        <f t="shared" ref="Q44" si="196">F44*P44</f>
        <v>-1787301.4336134465</v>
      </c>
      <c r="R44">
        <f t="shared" ref="R44" si="197">R45+Q44</f>
        <v>-27155341.10429861</v>
      </c>
      <c r="S44">
        <f t="shared" ref="S44" si="198">R44/100000</f>
        <v>-271.55341104298611</v>
      </c>
      <c r="T44">
        <f t="shared" ref="T44" si="199">S44/1000</f>
        <v>-0.27155341104298614</v>
      </c>
    </row>
    <row r="45" spans="1:20" x14ac:dyDescent="0.25">
      <c r="A45" s="5">
        <v>44548</v>
      </c>
      <c r="B45">
        <v>23.28</v>
      </c>
      <c r="C45">
        <v>24.07</v>
      </c>
      <c r="D45">
        <v>22.81</v>
      </c>
      <c r="E45">
        <v>23.66</v>
      </c>
      <c r="F45">
        <v>2239075.64</v>
      </c>
      <c r="G45">
        <v>23.66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0.3492063492063498</v>
      </c>
      <c r="Q45">
        <f t="shared" ref="Q45" si="201">F45*P45</f>
        <v>781899.42984127125</v>
      </c>
      <c r="R45">
        <f t="shared" ref="R45" si="202">R46+Q45</f>
        <v>-25368039.670685165</v>
      </c>
      <c r="S45">
        <f t="shared" ref="S45" si="203">R45/100000</f>
        <v>-253.68039670685164</v>
      </c>
      <c r="T45">
        <f t="shared" ref="T45" si="204">S45/1000</f>
        <v>-0.25368039670685166</v>
      </c>
    </row>
    <row r="46" spans="1:20" x14ac:dyDescent="0.25">
      <c r="A46" s="5">
        <v>44547</v>
      </c>
      <c r="B46">
        <v>24.38</v>
      </c>
      <c r="C46">
        <v>24.87</v>
      </c>
      <c r="D46">
        <v>22.76</v>
      </c>
      <c r="E46">
        <v>23.28</v>
      </c>
      <c r="F46">
        <v>2451203.17</v>
      </c>
      <c r="G46">
        <v>23.28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-0.50710900473933673</v>
      </c>
      <c r="Q46">
        <f t="shared" ref="Q46" si="206">F46*P46</f>
        <v>-1243027.1999526073</v>
      </c>
      <c r="R46">
        <f t="shared" ref="R46" si="207">R47+Q46</f>
        <v>-26149939.100526437</v>
      </c>
      <c r="S46">
        <f t="shared" ref="S46" si="208">R46/100000</f>
        <v>-261.49939100526439</v>
      </c>
      <c r="T46">
        <f t="shared" ref="T46" si="209">S46/1000</f>
        <v>-0.26149939100526437</v>
      </c>
    </row>
    <row r="47" spans="1:20" x14ac:dyDescent="0.25">
      <c r="A47" s="5">
        <v>44546</v>
      </c>
      <c r="B47">
        <v>25.94</v>
      </c>
      <c r="C47">
        <v>26.47</v>
      </c>
      <c r="D47">
        <v>24.22</v>
      </c>
      <c r="E47">
        <v>24.38</v>
      </c>
      <c r="F47">
        <v>1838035.91</v>
      </c>
      <c r="G47">
        <v>24.38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-0.85777777777777764</v>
      </c>
      <c r="Q47">
        <f t="shared" ref="Q47" si="211">F47*P47</f>
        <v>-1576626.3583555552</v>
      </c>
      <c r="R47">
        <f t="shared" ref="R47" si="212">R48+Q47</f>
        <v>-24906911.900573831</v>
      </c>
      <c r="S47">
        <f t="shared" ref="S47" si="213">R47/100000</f>
        <v>-249.06911900573832</v>
      </c>
      <c r="T47">
        <f t="shared" ref="T47" si="214">S47/1000</f>
        <v>-0.2490691190057383</v>
      </c>
    </row>
    <row r="48" spans="1:20" x14ac:dyDescent="0.25">
      <c r="A48" s="5">
        <v>44545</v>
      </c>
      <c r="B48">
        <v>25.5</v>
      </c>
      <c r="C48">
        <v>26.71</v>
      </c>
      <c r="D48">
        <v>23.62</v>
      </c>
      <c r="E48">
        <v>25.94</v>
      </c>
      <c r="F48">
        <v>2407923.12</v>
      </c>
      <c r="G48">
        <v>25.94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0.50161812297734654</v>
      </c>
      <c r="Q48">
        <f t="shared" ref="Q48" si="216">F48*P48</f>
        <v>1207857.875728156</v>
      </c>
      <c r="R48">
        <f t="shared" ref="R48" si="217">R49+Q48</f>
        <v>-23330285.542218275</v>
      </c>
      <c r="S48">
        <f t="shared" ref="S48" si="218">R48/100000</f>
        <v>-233.30285542218274</v>
      </c>
      <c r="T48">
        <f t="shared" ref="T48" si="219">S48/1000</f>
        <v>-0.23330285542218274</v>
      </c>
    </row>
    <row r="49" spans="1:20" x14ac:dyDescent="0.25">
      <c r="A49" s="5">
        <v>44544</v>
      </c>
      <c r="B49">
        <v>25.07</v>
      </c>
      <c r="C49">
        <v>25.78</v>
      </c>
      <c r="D49">
        <v>24.2</v>
      </c>
      <c r="E49">
        <v>25.52</v>
      </c>
      <c r="F49">
        <v>1723381.03</v>
      </c>
      <c r="G49">
        <v>25.52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0.67088607594936545</v>
      </c>
      <c r="Q49">
        <f t="shared" ref="Q49" si="221">F49*P49</f>
        <v>1156192.3365822756</v>
      </c>
      <c r="R49">
        <f t="shared" ref="R49" si="222">R50+Q49</f>
        <v>-24538143.417946432</v>
      </c>
      <c r="S49">
        <f t="shared" ref="S49" si="223">R49/100000</f>
        <v>-245.38143417946432</v>
      </c>
      <c r="T49">
        <f t="shared" ref="T49" si="224">S49/1000</f>
        <v>-0.24538143417946431</v>
      </c>
    </row>
    <row r="50" spans="1:20" x14ac:dyDescent="0.25">
      <c r="A50" s="5">
        <v>44543</v>
      </c>
      <c r="B50">
        <v>28.46</v>
      </c>
      <c r="C50">
        <v>29</v>
      </c>
      <c r="D50">
        <v>24.21</v>
      </c>
      <c r="E50">
        <v>25.06</v>
      </c>
      <c r="F50">
        <v>2349714.7400000002</v>
      </c>
      <c r="G50">
        <v>25.06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-0.64509394572025136</v>
      </c>
      <c r="Q50">
        <f t="shared" ref="Q50" si="226">F50*P50</f>
        <v>-1515786.7529436348</v>
      </c>
      <c r="R50">
        <f t="shared" ref="R50" si="227">R51+Q50</f>
        <v>-25694335.754528709</v>
      </c>
      <c r="S50">
        <f t="shared" ref="S50" si="228">R50/100000</f>
        <v>-256.94335754528709</v>
      </c>
      <c r="T50">
        <f t="shared" ref="T50" si="229">S50/1000</f>
        <v>-0.25694335754528708</v>
      </c>
    </row>
    <row r="51" spans="1:20" x14ac:dyDescent="0.25">
      <c r="A51" s="5">
        <v>44542</v>
      </c>
      <c r="B51">
        <v>27.91</v>
      </c>
      <c r="C51">
        <v>29</v>
      </c>
      <c r="D51">
        <v>27.03</v>
      </c>
      <c r="E51">
        <v>28.48</v>
      </c>
      <c r="F51">
        <v>1303417.6399999999</v>
      </c>
      <c r="G51">
        <v>28.48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0.47208121827411181</v>
      </c>
      <c r="Q51">
        <f t="shared" ref="Q51" si="231">F51*P51</f>
        <v>615318.98741116759</v>
      </c>
      <c r="R51">
        <f t="shared" ref="R51" si="232">R52+Q51</f>
        <v>-24178549.001585074</v>
      </c>
      <c r="S51">
        <f t="shared" ref="S51" si="233">R51/100000</f>
        <v>-241.78549001585074</v>
      </c>
      <c r="T51">
        <f t="shared" ref="T51" si="234">S51/1000</f>
        <v>-0.24178549001585073</v>
      </c>
    </row>
    <row r="52" spans="1:20" x14ac:dyDescent="0.25">
      <c r="A52" s="5">
        <v>44541</v>
      </c>
      <c r="B52">
        <v>26.74</v>
      </c>
      <c r="C52">
        <v>27.21</v>
      </c>
      <c r="D52">
        <v>26.09</v>
      </c>
      <c r="E52">
        <v>27.01</v>
      </c>
      <c r="F52">
        <v>135026.14000000001</v>
      </c>
      <c r="G52">
        <v>27.01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0.64285714285714446</v>
      </c>
      <c r="Q52">
        <f t="shared" ref="Q52" si="236">F52*P52</f>
        <v>86802.518571428795</v>
      </c>
      <c r="R52">
        <f t="shared" ref="R52" si="237">R53+Q52</f>
        <v>-24793867.988996241</v>
      </c>
      <c r="S52">
        <f t="shared" ref="S52" si="238">R52/100000</f>
        <v>-247.9386798899624</v>
      </c>
      <c r="T52">
        <f t="shared" ref="T52" si="239">S52/1000</f>
        <v>-0.2479386798899624</v>
      </c>
    </row>
    <row r="53" spans="1:20" x14ac:dyDescent="0.25">
      <c r="A53" s="5">
        <v>44540</v>
      </c>
      <c r="B53">
        <v>28.29</v>
      </c>
      <c r="C53">
        <v>29.49</v>
      </c>
      <c r="D53">
        <v>26.32</v>
      </c>
      <c r="E53">
        <v>26.73</v>
      </c>
      <c r="F53">
        <v>2106719.7400000002</v>
      </c>
      <c r="G53">
        <v>26.73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-0.74132492113564641</v>
      </c>
      <c r="Q53">
        <f t="shared" ref="Q53" si="241">F53*P53</f>
        <v>-1561763.8451104097</v>
      </c>
      <c r="R53">
        <f t="shared" ref="R53" si="242">R54+Q53</f>
        <v>-24880670.50756767</v>
      </c>
      <c r="S53">
        <f t="shared" ref="S53" si="243">R53/100000</f>
        <v>-248.80670507567669</v>
      </c>
      <c r="T53">
        <f t="shared" ref="T53" si="244">S53/1000</f>
        <v>-0.24880670507567668</v>
      </c>
    </row>
    <row r="54" spans="1:20" x14ac:dyDescent="0.25">
      <c r="A54" s="5">
        <v>44539</v>
      </c>
      <c r="B54">
        <v>31.56</v>
      </c>
      <c r="C54">
        <v>31.75</v>
      </c>
      <c r="D54">
        <v>28.06</v>
      </c>
      <c r="E54">
        <v>28.29</v>
      </c>
      <c r="F54">
        <v>1608355.09</v>
      </c>
      <c r="G54">
        <v>28.29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-0.87533875338753364</v>
      </c>
      <c r="Q54">
        <f t="shared" ref="Q54" si="246">F54*P54</f>
        <v>-1407855.5394850946</v>
      </c>
      <c r="R54">
        <f t="shared" ref="R54" si="247">R55+Q54</f>
        <v>-23318906.662457261</v>
      </c>
      <c r="S54">
        <f t="shared" ref="S54" si="248">R54/100000</f>
        <v>-233.1890666245726</v>
      </c>
      <c r="T54">
        <f t="shared" ref="T54" si="249">S54/1000</f>
        <v>-0.23318906662457262</v>
      </c>
    </row>
    <row r="55" spans="1:20" x14ac:dyDescent="0.25">
      <c r="A55" s="5">
        <v>44538</v>
      </c>
      <c r="B55">
        <v>29.5</v>
      </c>
      <c r="C55">
        <v>33.29</v>
      </c>
      <c r="D55">
        <v>29.07</v>
      </c>
      <c r="E55">
        <v>31.55</v>
      </c>
      <c r="F55">
        <v>3809760.52</v>
      </c>
      <c r="G55">
        <v>31.55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0.17535545023696733</v>
      </c>
      <c r="Q55">
        <f t="shared" ref="Q55" si="251">F55*P55</f>
        <v>668062.2712796228</v>
      </c>
      <c r="R55">
        <f t="shared" ref="R55" si="252">R56+Q55</f>
        <v>-21911051.122972168</v>
      </c>
      <c r="S55">
        <f t="shared" ref="S55" si="253">R55/100000</f>
        <v>-219.11051122972168</v>
      </c>
      <c r="T55">
        <f t="shared" ref="T55" si="254">S55/1000</f>
        <v>-0.21911051122972169</v>
      </c>
    </row>
    <row r="56" spans="1:20" x14ac:dyDescent="0.25">
      <c r="A56" s="5">
        <v>44537</v>
      </c>
      <c r="B56">
        <v>30.21</v>
      </c>
      <c r="C56">
        <v>31.25</v>
      </c>
      <c r="D56">
        <v>29.04</v>
      </c>
      <c r="E56">
        <v>29.49</v>
      </c>
      <c r="F56">
        <v>2134372.27</v>
      </c>
      <c r="G56">
        <v>29.49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-0.59276018099547589</v>
      </c>
      <c r="Q56">
        <f t="shared" ref="Q56" si="256">F56*P56</f>
        <v>-1265170.8930769248</v>
      </c>
      <c r="R56">
        <f t="shared" ref="R56" si="257">R57+Q56</f>
        <v>-22579113.39425179</v>
      </c>
      <c r="S56">
        <f t="shared" ref="S56" si="258">R56/100000</f>
        <v>-225.79113394251789</v>
      </c>
      <c r="T56">
        <f t="shared" ref="T56" si="259">S56/1000</f>
        <v>-0.22579113394251787</v>
      </c>
    </row>
    <row r="57" spans="1:20" x14ac:dyDescent="0.25">
      <c r="A57" s="5">
        <v>44536</v>
      </c>
      <c r="B57">
        <v>30.38</v>
      </c>
      <c r="C57">
        <v>30.51</v>
      </c>
      <c r="D57">
        <v>26.7</v>
      </c>
      <c r="E57">
        <v>30.21</v>
      </c>
      <c r="F57">
        <v>2946658.12</v>
      </c>
      <c r="G57">
        <v>30.21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0.8425196850393698</v>
      </c>
      <c r="Q57">
        <f t="shared" ref="Q57" si="261">F57*P57</f>
        <v>2482617.4711811016</v>
      </c>
      <c r="R57">
        <f t="shared" ref="R57" si="262">R58+Q57</f>
        <v>-21313942.501174863</v>
      </c>
      <c r="S57">
        <f t="shared" ref="S57" si="263">R57/100000</f>
        <v>-213.13942501174864</v>
      </c>
      <c r="T57">
        <f t="shared" ref="T57" si="264">S57/1000</f>
        <v>-0.21313942501174865</v>
      </c>
    </row>
    <row r="58" spans="1:20" x14ac:dyDescent="0.25">
      <c r="A58" s="5">
        <v>44535</v>
      </c>
      <c r="B58">
        <v>31.71</v>
      </c>
      <c r="C58">
        <v>32.299999999999997</v>
      </c>
      <c r="D58">
        <v>28.21</v>
      </c>
      <c r="E58">
        <v>30.37</v>
      </c>
      <c r="F58">
        <v>2728238.61</v>
      </c>
      <c r="G58">
        <v>30.37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5.623471882640689E-2</v>
      </c>
      <c r="Q58">
        <f t="shared" ref="Q58" si="266">F58*P58</f>
        <v>153421.73112469717</v>
      </c>
      <c r="R58">
        <f t="shared" ref="R58" si="267">R59+Q58</f>
        <v>-23796559.972355966</v>
      </c>
      <c r="S58">
        <f t="shared" ref="S58" si="268">R58/100000</f>
        <v>-237.96559972355965</v>
      </c>
      <c r="T58">
        <f t="shared" ref="T58" si="269">S58/1000</f>
        <v>-0.23796559972355966</v>
      </c>
    </row>
    <row r="59" spans="1:20" x14ac:dyDescent="0.25">
      <c r="A59" s="5">
        <v>44534</v>
      </c>
      <c r="B59">
        <v>37.909999999999997</v>
      </c>
      <c r="C59">
        <v>38.15</v>
      </c>
      <c r="D59">
        <v>24</v>
      </c>
      <c r="E59">
        <v>31.71</v>
      </c>
      <c r="F59">
        <v>6460036.0700000003</v>
      </c>
      <c r="G59">
        <v>31.71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8.9752650176678675E-2</v>
      </c>
      <c r="Q59">
        <f t="shared" ref="Q59" si="271">F59*P59</f>
        <v>579805.35751943616</v>
      </c>
      <c r="R59">
        <f t="shared" ref="R59" si="272">R60+Q59</f>
        <v>-23949981.703480661</v>
      </c>
      <c r="S59">
        <f t="shared" ref="S59" si="273">R59/100000</f>
        <v>-239.4998170348066</v>
      </c>
      <c r="T59">
        <f t="shared" ref="T59" si="274">S59/1000</f>
        <v>-0.23949981703480661</v>
      </c>
    </row>
    <row r="60" spans="1:20" x14ac:dyDescent="0.25">
      <c r="A60" s="5">
        <v>44533</v>
      </c>
      <c r="B60">
        <v>40.119999999999997</v>
      </c>
      <c r="C60">
        <v>41.46</v>
      </c>
      <c r="D60">
        <v>35.65</v>
      </c>
      <c r="E60">
        <v>37.92</v>
      </c>
      <c r="F60">
        <v>2113931.4300000002</v>
      </c>
      <c r="G60">
        <v>37.92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-0.21858864027538649</v>
      </c>
      <c r="Q60">
        <f t="shared" ref="Q60" si="276">F60*P60</f>
        <v>-462081.3969191034</v>
      </c>
      <c r="R60">
        <f t="shared" ref="R60" si="277">R61+Q60</f>
        <v>-24529787.061000098</v>
      </c>
      <c r="S60">
        <f t="shared" ref="S60" si="278">R60/100000</f>
        <v>-245.29787061000098</v>
      </c>
      <c r="T60">
        <f t="shared" ref="T60" si="279">S60/1000</f>
        <v>-0.245297870610001</v>
      </c>
    </row>
    <row r="61" spans="1:20" x14ac:dyDescent="0.25">
      <c r="A61" s="5">
        <v>44532</v>
      </c>
      <c r="B61">
        <v>41</v>
      </c>
      <c r="C61">
        <v>41.02</v>
      </c>
      <c r="D61">
        <v>39.5</v>
      </c>
      <c r="E61">
        <v>40.14</v>
      </c>
      <c r="F61">
        <v>1234118.56</v>
      </c>
      <c r="G61">
        <v>40.14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-0.15789473684210625</v>
      </c>
      <c r="Q61">
        <f t="shared" ref="Q61" si="281">F61*P61</f>
        <v>-194860.82526315912</v>
      </c>
      <c r="R61">
        <f t="shared" ref="R61" si="282">R62+Q61</f>
        <v>-24067705.664080992</v>
      </c>
      <c r="S61">
        <f t="shared" ref="S61" si="283">R61/100000</f>
        <v>-240.67705664080992</v>
      </c>
      <c r="T61">
        <f t="shared" ref="T61" si="284">S61/1000</f>
        <v>-0.24067705664080993</v>
      </c>
    </row>
    <row r="62" spans="1:20" x14ac:dyDescent="0.25">
      <c r="A62" s="5">
        <v>44531</v>
      </c>
      <c r="B62">
        <v>40.840000000000003</v>
      </c>
      <c r="C62">
        <v>42.96</v>
      </c>
      <c r="D62">
        <v>40.4</v>
      </c>
      <c r="E62">
        <v>41.01</v>
      </c>
      <c r="F62">
        <v>1666659.55</v>
      </c>
      <c r="G62">
        <v>41.01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-0.52343750000000089</v>
      </c>
      <c r="Q62">
        <f t="shared" ref="Q62" si="286">F62*P62</f>
        <v>-872392.10820312647</v>
      </c>
      <c r="R62">
        <f t="shared" ref="R62" si="287">R63+Q62</f>
        <v>-23872844.838817835</v>
      </c>
      <c r="S62">
        <f t="shared" ref="S62" si="288">R62/100000</f>
        <v>-238.72844838817835</v>
      </c>
      <c r="T62">
        <f t="shared" ref="T62" si="289">S62/1000</f>
        <v>-0.23872844838817836</v>
      </c>
    </row>
    <row r="63" spans="1:20" x14ac:dyDescent="0.25">
      <c r="A63" s="5">
        <v>44530</v>
      </c>
      <c r="B63">
        <v>41.96</v>
      </c>
      <c r="C63">
        <v>42.78</v>
      </c>
      <c r="D63">
        <v>40.15</v>
      </c>
      <c r="E63">
        <v>40.840000000000003</v>
      </c>
      <c r="F63">
        <v>1944361.75</v>
      </c>
      <c r="G63">
        <v>40.840000000000003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-0.47528517110265844</v>
      </c>
      <c r="Q63">
        <f t="shared" ref="Q63" si="291">F63*P63</f>
        <v>-924126.30703421438</v>
      </c>
      <c r="R63">
        <f t="shared" ref="R63" si="292">R64+Q63</f>
        <v>-23000452.730614707</v>
      </c>
      <c r="S63">
        <f t="shared" ref="S63" si="293">R63/100000</f>
        <v>-230.00452730614708</v>
      </c>
      <c r="T63">
        <f t="shared" ref="T63" si="294">S63/1000</f>
        <v>-0.23000452730614709</v>
      </c>
    </row>
    <row r="64" spans="1:20" x14ac:dyDescent="0.25">
      <c r="A64" s="5">
        <v>44529</v>
      </c>
      <c r="B64">
        <v>41.86</v>
      </c>
      <c r="C64">
        <v>42.63</v>
      </c>
      <c r="D64">
        <v>41</v>
      </c>
      <c r="E64">
        <v>41.97</v>
      </c>
      <c r="F64">
        <v>1447820.9</v>
      </c>
      <c r="G64">
        <v>41.97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0.19018404907975134</v>
      </c>
      <c r="Q64">
        <f t="shared" ref="Q64" si="296">F64*P64</f>
        <v>275352.44110428973</v>
      </c>
      <c r="R64">
        <f t="shared" ref="R64" si="297">R65+Q64</f>
        <v>-22076326.423580494</v>
      </c>
      <c r="S64">
        <f t="shared" ref="S64" si="298">R64/100000</f>
        <v>-220.76326423580494</v>
      </c>
      <c r="T64">
        <f t="shared" ref="T64" si="299">S64/1000</f>
        <v>-0.22076326423580495</v>
      </c>
    </row>
    <row r="65" spans="1:20" x14ac:dyDescent="0.25">
      <c r="A65" s="5">
        <v>44528</v>
      </c>
      <c r="B65">
        <v>42.13</v>
      </c>
      <c r="C65">
        <v>42.41</v>
      </c>
      <c r="D65">
        <v>39.08</v>
      </c>
      <c r="E65">
        <v>41.86</v>
      </c>
      <c r="F65">
        <v>2153449.14</v>
      </c>
      <c r="G65">
        <v>41.86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0.66966966966967123</v>
      </c>
      <c r="Q65">
        <f t="shared" ref="Q65" si="301">F65*P65</f>
        <v>1442099.5742342377</v>
      </c>
      <c r="R65">
        <f t="shared" ref="R65" si="302">R66+Q65</f>
        <v>-22351678.864684783</v>
      </c>
      <c r="S65">
        <f t="shared" ref="S65" si="303">R65/100000</f>
        <v>-223.51678864684783</v>
      </c>
      <c r="T65">
        <f t="shared" ref="T65" si="304">S65/1000</f>
        <v>-0.22351678864684782</v>
      </c>
    </row>
    <row r="66" spans="1:20" x14ac:dyDescent="0.25">
      <c r="A66" s="5">
        <v>44527</v>
      </c>
      <c r="B66">
        <v>39.6</v>
      </c>
      <c r="C66">
        <v>44.69</v>
      </c>
      <c r="D66">
        <v>39.299999999999997</v>
      </c>
      <c r="E66">
        <v>42.13</v>
      </c>
      <c r="F66">
        <v>2976060.73</v>
      </c>
      <c r="G66">
        <v>42.13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5.0092764378480557E-2</v>
      </c>
      <c r="Q66">
        <f t="shared" ref="Q66" si="306">F66*P66</f>
        <v>149079.10892393885</v>
      </c>
      <c r="R66">
        <f t="shared" ref="R66" si="307">R67+Q66</f>
        <v>-23793778.438919019</v>
      </c>
      <c r="S66">
        <f t="shared" ref="S66" si="308">R66/100000</f>
        <v>-237.9377843891902</v>
      </c>
      <c r="T66">
        <f t="shared" ref="T66" si="309">S66/1000</f>
        <v>-0.23793778438919019</v>
      </c>
    </row>
    <row r="67" spans="1:20" x14ac:dyDescent="0.25">
      <c r="A67" s="5">
        <v>44526</v>
      </c>
      <c r="B67">
        <v>43.1</v>
      </c>
      <c r="C67">
        <v>45.92</v>
      </c>
      <c r="D67">
        <v>38.299999999999997</v>
      </c>
      <c r="E67">
        <v>39.6</v>
      </c>
      <c r="F67">
        <v>3615132.66</v>
      </c>
      <c r="G67">
        <v>39.6</v>
      </c>
      <c r="L67" t="s">
        <v>8</v>
      </c>
      <c r="M67" t="s">
        <v>7</v>
      </c>
      <c r="N67" t="s">
        <v>7</v>
      </c>
      <c r="P67">
        <f t="shared" ref="P67" si="310">IF(C67=D67,0,((E67-D67)-(C67-E67))/(C67-D67))</f>
        <v>-0.65879265091863426</v>
      </c>
      <c r="Q67">
        <f t="shared" ref="Q67" si="311">F67*P67</f>
        <v>-2381622.8285039337</v>
      </c>
      <c r="R67">
        <f t="shared" ref="R67" si="312">R68+Q67</f>
        <v>-23942857.547842957</v>
      </c>
      <c r="S67">
        <f t="shared" ref="S67" si="313">R67/100000</f>
        <v>-239.42857547842956</v>
      </c>
      <c r="T67">
        <f t="shared" ref="T67" si="314">S67/1000</f>
        <v>-0.23942857547842958</v>
      </c>
    </row>
    <row r="68" spans="1:20" x14ac:dyDescent="0.25">
      <c r="A68" s="5">
        <v>44525</v>
      </c>
      <c r="B68">
        <v>40.380000000000003</v>
      </c>
      <c r="C68">
        <v>44.21</v>
      </c>
      <c r="D68">
        <v>40.270000000000003</v>
      </c>
      <c r="E68">
        <v>43.1</v>
      </c>
      <c r="F68">
        <v>1740148.84</v>
      </c>
      <c r="G68">
        <v>43.1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0.43654822335025378</v>
      </c>
      <c r="Q68">
        <f t="shared" ref="Q68" si="316">F68*P68</f>
        <v>759658.88446700503</v>
      </c>
      <c r="R68">
        <f t="shared" ref="R68" si="317">R69+Q68</f>
        <v>-21561234.719339024</v>
      </c>
      <c r="S68">
        <f t="shared" ref="S68" si="318">R68/100000</f>
        <v>-215.61234719339024</v>
      </c>
      <c r="T68">
        <f t="shared" ref="T68" si="319">S68/1000</f>
        <v>-0.21561234719339023</v>
      </c>
    </row>
    <row r="69" spans="1:20" x14ac:dyDescent="0.25">
      <c r="A69" s="5">
        <v>44524</v>
      </c>
      <c r="B69">
        <v>42</v>
      </c>
      <c r="C69">
        <v>42.5</v>
      </c>
      <c r="D69">
        <v>40.479999999999997</v>
      </c>
      <c r="E69">
        <v>41.07</v>
      </c>
      <c r="F69">
        <v>516308.19</v>
      </c>
      <c r="G69">
        <v>41.07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-0.41584158415841338</v>
      </c>
      <c r="Q69">
        <f t="shared" ref="Q69" si="321">F69*P69</f>
        <v>-214702.41564356309</v>
      </c>
      <c r="R69">
        <f t="shared" ref="R69" si="322">R70+Q69</f>
        <v>-22320893.60380603</v>
      </c>
      <c r="S69">
        <f t="shared" ref="S69" si="323">R69/100000</f>
        <v>-223.2089360380603</v>
      </c>
      <c r="T69">
        <f t="shared" ref="T69" si="324">S69/1000</f>
        <v>-0.2232089360380603</v>
      </c>
    </row>
    <row r="70" spans="1:20" x14ac:dyDescent="0.25">
      <c r="A70" s="5">
        <v>44523</v>
      </c>
      <c r="B70">
        <v>41.62</v>
      </c>
      <c r="C70">
        <v>42.74</v>
      </c>
      <c r="D70">
        <v>40.71</v>
      </c>
      <c r="E70">
        <v>41.99</v>
      </c>
      <c r="F70">
        <v>1387112.65</v>
      </c>
      <c r="G70">
        <v>41.99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0.26108374384236493</v>
      </c>
      <c r="Q70">
        <f t="shared" ref="Q70" si="326">F70*P70</f>
        <v>362152.56379310397</v>
      </c>
      <c r="R70">
        <f t="shared" ref="R70" si="327">R71+Q70</f>
        <v>-22106191.188162468</v>
      </c>
      <c r="S70">
        <f t="shared" ref="S70" si="328">R70/100000</f>
        <v>-221.0619118816247</v>
      </c>
      <c r="T70">
        <f t="shared" ref="T70" si="329">S70/1000</f>
        <v>-0.22106191188162469</v>
      </c>
    </row>
    <row r="71" spans="1:20" x14ac:dyDescent="0.25">
      <c r="A71" s="5">
        <v>44522</v>
      </c>
      <c r="B71">
        <v>43.25</v>
      </c>
      <c r="C71">
        <v>43.45</v>
      </c>
      <c r="D71">
        <v>40.68</v>
      </c>
      <c r="E71">
        <v>41.63</v>
      </c>
      <c r="F71">
        <v>1666979.32</v>
      </c>
      <c r="G71">
        <v>41.63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-0.31407942238267023</v>
      </c>
      <c r="Q71">
        <f t="shared" ref="Q71" si="331">F71*P71</f>
        <v>-523563.90194945643</v>
      </c>
      <c r="R71">
        <f t="shared" ref="R71" si="332">R72+Q71</f>
        <v>-22468343.751955573</v>
      </c>
      <c r="S71">
        <f t="shared" ref="S71" si="333">R71/100000</f>
        <v>-224.68343751955572</v>
      </c>
      <c r="T71">
        <f t="shared" ref="T71" si="334">S71/1000</f>
        <v>-0.22468343751955572</v>
      </c>
    </row>
    <row r="72" spans="1:20" x14ac:dyDescent="0.25">
      <c r="A72" s="5">
        <v>44521</v>
      </c>
      <c r="B72">
        <v>43.46</v>
      </c>
      <c r="C72">
        <v>45.79</v>
      </c>
      <c r="D72">
        <v>42.89</v>
      </c>
      <c r="E72">
        <v>43.24</v>
      </c>
      <c r="F72">
        <v>2324382.84</v>
      </c>
      <c r="G72">
        <v>43.24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-0.75862068965517127</v>
      </c>
      <c r="Q72">
        <f t="shared" ref="Q72" si="336">F72*P72</f>
        <v>-1763324.9131034454</v>
      </c>
      <c r="R72">
        <f t="shared" ref="R72" si="337">R73+Q72</f>
        <v>-21944779.850006115</v>
      </c>
      <c r="S72">
        <f t="shared" ref="S72" si="338">R72/100000</f>
        <v>-219.44779850006114</v>
      </c>
      <c r="T72">
        <f t="shared" ref="T72" si="339">S72/1000</f>
        <v>-0.21944779850006113</v>
      </c>
    </row>
    <row r="73" spans="1:20" x14ac:dyDescent="0.25">
      <c r="A73" s="5">
        <v>44520</v>
      </c>
      <c r="B73">
        <v>41.88</v>
      </c>
      <c r="C73">
        <v>44.24</v>
      </c>
      <c r="D73">
        <v>41.05</v>
      </c>
      <c r="E73">
        <v>43.46</v>
      </c>
      <c r="F73">
        <v>1801496.77</v>
      </c>
      <c r="G73">
        <v>43.46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0.5109717868338558</v>
      </c>
      <c r="Q73">
        <f t="shared" ref="Q73" si="341">F73*P73</f>
        <v>920514.02354231977</v>
      </c>
      <c r="R73">
        <f t="shared" ref="R73" si="342">R74+Q73</f>
        <v>-20181454.936902668</v>
      </c>
      <c r="S73">
        <f t="shared" ref="S73" si="343">R73/100000</f>
        <v>-201.81454936902668</v>
      </c>
      <c r="T73">
        <f t="shared" ref="T73" si="344">S73/1000</f>
        <v>-0.20181454936902668</v>
      </c>
    </row>
    <row r="74" spans="1:20" x14ac:dyDescent="0.25">
      <c r="A74" s="5">
        <v>44519</v>
      </c>
      <c r="B74">
        <v>39.83</v>
      </c>
      <c r="C74">
        <v>42.74</v>
      </c>
      <c r="D74">
        <v>39.049999999999997</v>
      </c>
      <c r="E74">
        <v>41.88</v>
      </c>
      <c r="F74">
        <v>1721457.31</v>
      </c>
      <c r="G74">
        <v>41.88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0.53387533875338844</v>
      </c>
      <c r="Q74">
        <f t="shared" ref="Q74" si="346">F74*P74</f>
        <v>919043.60452574689</v>
      </c>
      <c r="R74">
        <f t="shared" ref="R74" si="347">R75+Q74</f>
        <v>-21101968.960444987</v>
      </c>
      <c r="S74">
        <f t="shared" ref="S74" si="348">R74/100000</f>
        <v>-211.01968960444987</v>
      </c>
      <c r="T74">
        <f t="shared" ref="T74" si="349">S74/1000</f>
        <v>-0.21101968960444986</v>
      </c>
    </row>
    <row r="75" spans="1:20" x14ac:dyDescent="0.25">
      <c r="A75" s="5">
        <v>44518</v>
      </c>
      <c r="B75">
        <v>42.91</v>
      </c>
      <c r="C75">
        <v>43.32</v>
      </c>
      <c r="D75">
        <v>38.1</v>
      </c>
      <c r="E75">
        <v>39.83</v>
      </c>
      <c r="F75">
        <v>2494103.14</v>
      </c>
      <c r="G75">
        <v>39.83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-0.33716475095785547</v>
      </c>
      <c r="Q75">
        <f t="shared" ref="Q75" si="351">F75*P75</f>
        <v>-840923.66406130535</v>
      </c>
      <c r="R75">
        <f t="shared" ref="R75" si="352">R76+Q75</f>
        <v>-22021012.564970735</v>
      </c>
      <c r="S75">
        <f t="shared" ref="S75" si="353">R75/100000</f>
        <v>-220.21012564970735</v>
      </c>
      <c r="T75">
        <f t="shared" ref="T75" si="354">S75/1000</f>
        <v>-0.22021012564970735</v>
      </c>
    </row>
    <row r="76" spans="1:20" x14ac:dyDescent="0.25">
      <c r="A76" s="5">
        <v>44517</v>
      </c>
      <c r="B76">
        <v>42.58</v>
      </c>
      <c r="C76">
        <v>43.48</v>
      </c>
      <c r="D76">
        <v>40.549999999999997</v>
      </c>
      <c r="E76">
        <v>42.91</v>
      </c>
      <c r="F76">
        <v>1753575.43</v>
      </c>
      <c r="G76">
        <v>42.91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0.6109215017064844</v>
      </c>
      <c r="Q76">
        <f t="shared" ref="Q76" si="356">F76*P76</f>
        <v>1071296.9350511942</v>
      </c>
      <c r="R76">
        <f t="shared" ref="R76" si="357">R77+Q76</f>
        <v>-21180088.900909431</v>
      </c>
      <c r="S76">
        <f t="shared" ref="S76" si="358">R76/100000</f>
        <v>-211.80088900909431</v>
      </c>
      <c r="T76">
        <f t="shared" ref="T76" si="359">S76/1000</f>
        <v>-0.2118008890090943</v>
      </c>
    </row>
    <row r="77" spans="1:20" x14ac:dyDescent="0.25">
      <c r="A77" s="5">
        <v>44516</v>
      </c>
      <c r="B77">
        <v>46.84</v>
      </c>
      <c r="C77">
        <v>46.86</v>
      </c>
      <c r="D77">
        <v>40.130000000000003</v>
      </c>
      <c r="E77">
        <v>42.59</v>
      </c>
      <c r="F77">
        <v>3044535.31</v>
      </c>
      <c r="G77">
        <v>42.59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-0.26894502228826095</v>
      </c>
      <c r="Q77">
        <f t="shared" ref="Q77" si="361">F77*P77</f>
        <v>-818812.6168053475</v>
      </c>
      <c r="R77">
        <f t="shared" ref="R77" si="362">R78+Q77</f>
        <v>-22251385.835960627</v>
      </c>
      <c r="S77">
        <f t="shared" ref="S77" si="363">R77/100000</f>
        <v>-222.51385835960627</v>
      </c>
      <c r="T77">
        <f t="shared" ref="T77" si="364">S77/1000</f>
        <v>-0.22251385835960627</v>
      </c>
    </row>
    <row r="78" spans="1:20" x14ac:dyDescent="0.25">
      <c r="A78" s="5">
        <v>44515</v>
      </c>
      <c r="B78">
        <v>48.34</v>
      </c>
      <c r="C78">
        <v>49.29</v>
      </c>
      <c r="D78">
        <v>46</v>
      </c>
      <c r="E78">
        <v>46.87</v>
      </c>
      <c r="F78">
        <v>1552193.21</v>
      </c>
      <c r="G78">
        <v>46.87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-0.4711246200607917</v>
      </c>
      <c r="Q78">
        <f t="shared" ref="Q78" si="366">F78*P78</f>
        <v>-731276.43632219068</v>
      </c>
      <c r="R78">
        <f t="shared" ref="R78" si="367">R79+Q78</f>
        <v>-21432573.219155278</v>
      </c>
      <c r="S78">
        <f t="shared" ref="S78" si="368">R78/100000</f>
        <v>-214.32573219155279</v>
      </c>
      <c r="T78">
        <f t="shared" ref="T78" si="369">S78/1000</f>
        <v>-0.21432573219155279</v>
      </c>
    </row>
    <row r="79" spans="1:20" x14ac:dyDescent="0.25">
      <c r="A79" s="5">
        <v>44514</v>
      </c>
      <c r="B79">
        <v>48.46</v>
      </c>
      <c r="C79">
        <v>49.83</v>
      </c>
      <c r="D79">
        <v>46.8</v>
      </c>
      <c r="E79">
        <v>48.33</v>
      </c>
      <c r="F79">
        <v>1682492.86</v>
      </c>
      <c r="G79">
        <v>48.33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9.9009900990102723E-3</v>
      </c>
      <c r="Q79">
        <f t="shared" ref="Q79" si="371">F79*P79</f>
        <v>16658.345148515476</v>
      </c>
      <c r="R79">
        <f t="shared" ref="R79" si="372">R80+Q79</f>
        <v>-20701296.782833088</v>
      </c>
      <c r="S79">
        <f t="shared" ref="S79" si="373">R79/100000</f>
        <v>-207.01296782833089</v>
      </c>
      <c r="T79">
        <f t="shared" ref="T79" si="374">S79/1000</f>
        <v>-0.2070129678283309</v>
      </c>
    </row>
    <row r="80" spans="1:20" x14ac:dyDescent="0.25">
      <c r="A80" s="5">
        <v>44513</v>
      </c>
      <c r="B80">
        <v>46.36</v>
      </c>
      <c r="C80">
        <v>49.13</v>
      </c>
      <c r="D80">
        <v>45.41</v>
      </c>
      <c r="E80">
        <v>48.46</v>
      </c>
      <c r="F80">
        <v>1656342.88</v>
      </c>
      <c r="G80">
        <v>48.46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0.63978494623655879</v>
      </c>
      <c r="Q80">
        <f t="shared" ref="Q80" si="376">F80*P80</f>
        <v>1059703.2404301069</v>
      </c>
      <c r="R80">
        <f t="shared" ref="R80" si="377">R81+Q80</f>
        <v>-20717955.127981603</v>
      </c>
      <c r="S80">
        <f t="shared" ref="S80" si="378">R80/100000</f>
        <v>-207.17955127981602</v>
      </c>
      <c r="T80">
        <f t="shared" ref="T80" si="379">S80/1000</f>
        <v>-0.20717955127981602</v>
      </c>
    </row>
    <row r="81" spans="1:20" x14ac:dyDescent="0.25">
      <c r="A81" s="5">
        <v>44512</v>
      </c>
      <c r="B81">
        <v>47.7</v>
      </c>
      <c r="C81">
        <v>48.64</v>
      </c>
      <c r="D81">
        <v>44.35</v>
      </c>
      <c r="E81">
        <v>46.35</v>
      </c>
      <c r="F81">
        <v>2130231.5</v>
      </c>
      <c r="G81">
        <v>46.35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-6.7599067599067419E-2</v>
      </c>
      <c r="Q81">
        <f t="shared" ref="Q81" si="381">F81*P81</f>
        <v>-144001.66317016279</v>
      </c>
      <c r="R81">
        <f t="shared" ref="R81" si="382">R82+Q81</f>
        <v>-21777658.368411709</v>
      </c>
      <c r="S81">
        <f t="shared" ref="S81" si="383">R81/100000</f>
        <v>-217.7765836841171</v>
      </c>
      <c r="T81">
        <f t="shared" ref="T81" si="384">S81/1000</f>
        <v>-0.21777658368411709</v>
      </c>
    </row>
    <row r="82" spans="1:20" x14ac:dyDescent="0.25">
      <c r="A82" s="5">
        <v>44511</v>
      </c>
      <c r="B82">
        <v>48.21</v>
      </c>
      <c r="C82">
        <v>49.18</v>
      </c>
      <c r="D82">
        <v>46</v>
      </c>
      <c r="E82">
        <v>47.7</v>
      </c>
      <c r="F82">
        <v>2352184.65</v>
      </c>
      <c r="G82">
        <v>47.7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6.9182389937108804E-2</v>
      </c>
      <c r="Q82">
        <f t="shared" ref="Q82" si="386">F82*P82</f>
        <v>162729.75566038178</v>
      </c>
      <c r="R82">
        <f t="shared" ref="R82" si="387">R83+Q82</f>
        <v>-21633656.705241546</v>
      </c>
      <c r="S82">
        <f t="shared" ref="S82" si="388">R82/100000</f>
        <v>-216.33656705241546</v>
      </c>
      <c r="T82">
        <f t="shared" ref="T82" si="389">S82/1000</f>
        <v>-0.21633656705241547</v>
      </c>
    </row>
    <row r="83" spans="1:20" x14ac:dyDescent="0.25">
      <c r="A83" s="5">
        <v>44510</v>
      </c>
      <c r="B83">
        <v>52.54</v>
      </c>
      <c r="C83">
        <v>54.67</v>
      </c>
      <c r="D83">
        <v>43.33</v>
      </c>
      <c r="E83">
        <v>48.21</v>
      </c>
      <c r="F83">
        <v>3422440.76</v>
      </c>
      <c r="G83">
        <v>48.21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-0.13932980599647246</v>
      </c>
      <c r="Q83">
        <f t="shared" ref="Q83" si="391">F83*P83</f>
        <v>-476848.00712521974</v>
      </c>
      <c r="R83">
        <f t="shared" ref="R83" si="392">R84+Q83</f>
        <v>-21796386.460901927</v>
      </c>
      <c r="S83">
        <f t="shared" ref="S83" si="393">R83/100000</f>
        <v>-217.96386460901928</v>
      </c>
      <c r="T83">
        <f t="shared" ref="T83" si="394">S83/1000</f>
        <v>-0.21796386460901929</v>
      </c>
    </row>
    <row r="84" spans="1:20" x14ac:dyDescent="0.25">
      <c r="A84" s="5">
        <v>44509</v>
      </c>
      <c r="B84">
        <v>54.71</v>
      </c>
      <c r="C84">
        <v>57.11</v>
      </c>
      <c r="D84">
        <v>52.2</v>
      </c>
      <c r="E84">
        <v>52.5</v>
      </c>
      <c r="F84">
        <v>2297474.0699999998</v>
      </c>
      <c r="G84">
        <v>52.5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-0.87780040733197662</v>
      </c>
      <c r="Q84">
        <f t="shared" ref="Q84" si="396">F84*P84</f>
        <v>-2016723.6744806541</v>
      </c>
      <c r="R84">
        <f t="shared" ref="R84" si="397">R85+Q84</f>
        <v>-21319538.453776706</v>
      </c>
      <c r="S84">
        <f t="shared" ref="S84" si="398">R84/100000</f>
        <v>-213.19538453776707</v>
      </c>
      <c r="T84">
        <f t="shared" ref="T84" si="399">S84/1000</f>
        <v>-0.21319538453776707</v>
      </c>
    </row>
    <row r="85" spans="1:20" x14ac:dyDescent="0.25">
      <c r="A85" s="5">
        <v>44508</v>
      </c>
      <c r="B85">
        <v>53.53</v>
      </c>
      <c r="C85">
        <v>58.3</v>
      </c>
      <c r="D85">
        <v>51.45</v>
      </c>
      <c r="E85">
        <v>54.73</v>
      </c>
      <c r="F85">
        <v>4435837.47</v>
      </c>
      <c r="G85">
        <v>54.73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-4.2335766423358609E-2</v>
      </c>
      <c r="Q85">
        <f t="shared" ref="Q85" si="401">F85*P85</f>
        <v>-187794.579021902</v>
      </c>
      <c r="R85">
        <f t="shared" ref="R85" si="402">R86+Q85</f>
        <v>-19302814.779296052</v>
      </c>
      <c r="S85">
        <f t="shared" ref="S85" si="403">R85/100000</f>
        <v>-193.02814779296051</v>
      </c>
      <c r="T85">
        <f t="shared" ref="T85" si="404">S85/1000</f>
        <v>-0.19302814779296051</v>
      </c>
    </row>
    <row r="86" spans="1:20" x14ac:dyDescent="0.25">
      <c r="A86" s="5">
        <v>44507</v>
      </c>
      <c r="B86">
        <v>49.52</v>
      </c>
      <c r="C86">
        <v>53.93</v>
      </c>
      <c r="D86">
        <v>48.84</v>
      </c>
      <c r="E86">
        <v>53.52</v>
      </c>
      <c r="F86">
        <v>2389798.33</v>
      </c>
      <c r="G86">
        <v>53.52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0.83889980353634697</v>
      </c>
      <c r="Q86">
        <f t="shared" ref="Q86" si="406">F86*P86</f>
        <v>2004801.3495284901</v>
      </c>
      <c r="R86">
        <f t="shared" ref="R86" si="407">R87+Q86</f>
        <v>-19115020.200274151</v>
      </c>
      <c r="S86">
        <f t="shared" ref="S86" si="408">R86/100000</f>
        <v>-191.15020200274151</v>
      </c>
      <c r="T86">
        <f t="shared" ref="T86" si="409">S86/1000</f>
        <v>-0.19115020200274152</v>
      </c>
    </row>
    <row r="87" spans="1:20" x14ac:dyDescent="0.25">
      <c r="A87" s="5">
        <v>44506</v>
      </c>
      <c r="B87">
        <v>49.37</v>
      </c>
      <c r="C87">
        <v>52.04</v>
      </c>
      <c r="D87">
        <v>46.5</v>
      </c>
      <c r="E87">
        <v>49.53</v>
      </c>
      <c r="F87">
        <v>2869729.19</v>
      </c>
      <c r="G87">
        <v>49.53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9.3862815884477119E-2</v>
      </c>
      <c r="Q87">
        <f t="shared" ref="Q87" si="411">F87*P87</f>
        <v>269360.86259927967</v>
      </c>
      <c r="R87">
        <f t="shared" ref="R87" si="412">R88+Q87</f>
        <v>-21119821.549802642</v>
      </c>
      <c r="S87">
        <f t="shared" ref="S87" si="413">R87/100000</f>
        <v>-211.19821549802643</v>
      </c>
      <c r="T87">
        <f t="shared" ref="T87" si="414">S87/1000</f>
        <v>-0.21119821549802642</v>
      </c>
    </row>
    <row r="88" spans="1:20" x14ac:dyDescent="0.25">
      <c r="A88" s="5">
        <v>44505</v>
      </c>
      <c r="B88">
        <v>46.03</v>
      </c>
      <c r="C88">
        <v>55</v>
      </c>
      <c r="D88">
        <v>45.35</v>
      </c>
      <c r="E88">
        <v>49.36</v>
      </c>
      <c r="F88">
        <v>6806705.8300000001</v>
      </c>
      <c r="G88">
        <v>49.36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-0.16891191709844589</v>
      </c>
      <c r="Q88">
        <f t="shared" ref="Q88" si="416">F88*P88</f>
        <v>-1149733.7308704683</v>
      </c>
      <c r="R88">
        <f t="shared" ref="R88" si="417">R89+Q88</f>
        <v>-21389182.412401922</v>
      </c>
      <c r="S88">
        <f t="shared" ref="S88" si="418">R88/100000</f>
        <v>-213.89182412401922</v>
      </c>
      <c r="T88">
        <f t="shared" ref="T88" si="419">S88/1000</f>
        <v>-0.21389182412401922</v>
      </c>
    </row>
    <row r="89" spans="1:20" x14ac:dyDescent="0.25">
      <c r="A89" s="5">
        <v>44504</v>
      </c>
      <c r="B89">
        <v>46.68</v>
      </c>
      <c r="C89">
        <v>48</v>
      </c>
      <c r="D89">
        <v>44.74</v>
      </c>
      <c r="E89">
        <v>46.04</v>
      </c>
      <c r="F89">
        <v>1853051.34</v>
      </c>
      <c r="G89">
        <v>46.04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-0.2024539877300626</v>
      </c>
      <c r="Q89">
        <f t="shared" ref="Q89" si="421">F89*P89</f>
        <v>-375157.63325153606</v>
      </c>
      <c r="R89">
        <f t="shared" ref="R89" si="422">R90+Q89</f>
        <v>-20239448.681531455</v>
      </c>
      <c r="S89">
        <f t="shared" ref="S89" si="423">R89/100000</f>
        <v>-202.39448681531456</v>
      </c>
      <c r="T89">
        <f t="shared" ref="T89" si="424">S89/1000</f>
        <v>-0.20239448681531458</v>
      </c>
    </row>
    <row r="90" spans="1:20" x14ac:dyDescent="0.25">
      <c r="A90" s="5">
        <v>44503</v>
      </c>
      <c r="B90">
        <v>47.25</v>
      </c>
      <c r="C90">
        <v>48.2</v>
      </c>
      <c r="D90">
        <v>44.56</v>
      </c>
      <c r="E90">
        <v>46.68</v>
      </c>
      <c r="F90">
        <v>1970061.6</v>
      </c>
      <c r="G90">
        <v>46.68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0.16483516483516325</v>
      </c>
      <c r="Q90">
        <f t="shared" ref="Q90" si="426">F90*P90</f>
        <v>324735.42857142544</v>
      </c>
      <c r="R90">
        <f t="shared" ref="R90" si="427">R91+Q90</f>
        <v>-19864291.048279919</v>
      </c>
      <c r="S90">
        <f t="shared" ref="S90" si="428">R90/100000</f>
        <v>-198.64291048279918</v>
      </c>
      <c r="T90">
        <f t="shared" ref="T90" si="429">S90/1000</f>
        <v>-0.19864291048279917</v>
      </c>
    </row>
    <row r="91" spans="1:20" x14ac:dyDescent="0.25">
      <c r="A91" s="5">
        <v>44502</v>
      </c>
      <c r="B91">
        <v>47.02</v>
      </c>
      <c r="C91">
        <v>48.95</v>
      </c>
      <c r="D91">
        <v>45.41</v>
      </c>
      <c r="E91">
        <v>47.23</v>
      </c>
      <c r="F91">
        <v>2493862.44</v>
      </c>
      <c r="G91">
        <v>47.23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2.8248587570619814E-2</v>
      </c>
      <c r="Q91">
        <f t="shared" ref="Q91" si="431">F91*P91</f>
        <v>70448.091525419601</v>
      </c>
      <c r="R91">
        <f t="shared" ref="R91" si="432">R92+Q91</f>
        <v>-20189026.476851344</v>
      </c>
      <c r="S91">
        <f t="shared" ref="S91" si="433">R91/100000</f>
        <v>-201.89026476851345</v>
      </c>
      <c r="T91">
        <f t="shared" ref="T91" si="434">S91/1000</f>
        <v>-0.20189026476851343</v>
      </c>
    </row>
    <row r="92" spans="1:20" x14ac:dyDescent="0.25">
      <c r="A92" s="5">
        <v>44501</v>
      </c>
      <c r="B92">
        <v>44.95</v>
      </c>
      <c r="C92">
        <v>47.15</v>
      </c>
      <c r="D92">
        <v>43.1</v>
      </c>
      <c r="E92">
        <v>47.02</v>
      </c>
      <c r="F92">
        <v>2345680.7200000002</v>
      </c>
      <c r="G92">
        <v>47.02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0.93580246913580467</v>
      </c>
      <c r="Q92">
        <f t="shared" ref="Q92" si="436">F92*P92</f>
        <v>2195093.809580252</v>
      </c>
      <c r="R92">
        <f t="shared" ref="R92" si="437">R93+Q92</f>
        <v>-20259474.568376765</v>
      </c>
      <c r="S92">
        <f t="shared" ref="S92" si="438">R92/100000</f>
        <v>-202.59474568376766</v>
      </c>
      <c r="T92">
        <f t="shared" ref="T92" si="439">S92/1000</f>
        <v>-0.20259474568376765</v>
      </c>
    </row>
    <row r="93" spans="1:20" x14ac:dyDescent="0.25">
      <c r="A93" s="5">
        <v>44500</v>
      </c>
      <c r="B93">
        <v>43.38</v>
      </c>
      <c r="C93">
        <v>46.92</v>
      </c>
      <c r="D93">
        <v>43.01</v>
      </c>
      <c r="E93">
        <v>44.96</v>
      </c>
      <c r="F93">
        <v>2867937.27</v>
      </c>
      <c r="G93">
        <v>44.96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-2.557544757032737E-3</v>
      </c>
      <c r="Q93">
        <f t="shared" ref="Q93" si="441">F93*P93</f>
        <v>-7334.8779283872809</v>
      </c>
      <c r="R93">
        <f t="shared" ref="R93" si="442">R94+Q93</f>
        <v>-22454568.377957016</v>
      </c>
      <c r="S93">
        <f t="shared" ref="S93" si="443">R93/100000</f>
        <v>-224.54568377957017</v>
      </c>
      <c r="T93">
        <f t="shared" ref="T93" si="444">S93/1000</f>
        <v>-0.22454568377957018</v>
      </c>
    </row>
    <row r="94" spans="1:20" x14ac:dyDescent="0.25">
      <c r="A94" s="5">
        <v>44499</v>
      </c>
      <c r="B94">
        <v>45.43</v>
      </c>
      <c r="C94">
        <v>45.47</v>
      </c>
      <c r="D94">
        <v>42</v>
      </c>
      <c r="E94">
        <v>43.38</v>
      </c>
      <c r="F94">
        <v>1619608.22</v>
      </c>
      <c r="G94">
        <v>43.38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-0.20461095100864379</v>
      </c>
      <c r="Q94">
        <f t="shared" ref="Q94" si="446">F94*P94</f>
        <v>-331389.57815561676</v>
      </c>
      <c r="R94">
        <f t="shared" ref="R94" si="447">R95+Q94</f>
        <v>-22447233.500028629</v>
      </c>
      <c r="S94">
        <f t="shared" ref="S94" si="448">R94/100000</f>
        <v>-224.47233500028628</v>
      </c>
      <c r="T94">
        <f t="shared" ref="T94" si="449">S94/1000</f>
        <v>-0.22447233500028627</v>
      </c>
    </row>
    <row r="95" spans="1:20" x14ac:dyDescent="0.25">
      <c r="A95" s="5">
        <v>44498</v>
      </c>
      <c r="B95">
        <v>43.18</v>
      </c>
      <c r="C95">
        <v>45.85</v>
      </c>
      <c r="D95">
        <v>42.66</v>
      </c>
      <c r="E95">
        <v>45.41</v>
      </c>
      <c r="F95">
        <v>2036247.14</v>
      </c>
      <c r="G95">
        <v>45.41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0.7241379310344801</v>
      </c>
      <c r="Q95">
        <f t="shared" ref="Q95" si="451">F95*P95</f>
        <v>1474523.7910344773</v>
      </c>
      <c r="R95">
        <f t="shared" ref="R95" si="452">R96+Q95</f>
        <v>-22115843.921873011</v>
      </c>
      <c r="S95">
        <f t="shared" ref="S95" si="453">R95/100000</f>
        <v>-221.15843921873011</v>
      </c>
      <c r="T95">
        <f t="shared" ref="T95" si="454">S95/1000</f>
        <v>-0.2211584392187301</v>
      </c>
    </row>
    <row r="96" spans="1:20" x14ac:dyDescent="0.25">
      <c r="A96" s="5">
        <v>44497</v>
      </c>
      <c r="B96">
        <v>40.69</v>
      </c>
      <c r="C96">
        <v>44.28</v>
      </c>
      <c r="D96">
        <v>40.5</v>
      </c>
      <c r="E96">
        <v>43.19</v>
      </c>
      <c r="F96">
        <v>2499714.94</v>
      </c>
      <c r="G96">
        <v>43.19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0.42328042328042165</v>
      </c>
      <c r="Q96">
        <f t="shared" ref="Q96" si="456">F96*P96</f>
        <v>1058080.3978835938</v>
      </c>
      <c r="R96">
        <f t="shared" ref="R96" si="457">R97+Q96</f>
        <v>-23590367.712907489</v>
      </c>
      <c r="S96">
        <f t="shared" ref="S96" si="458">R96/100000</f>
        <v>-235.90367712907491</v>
      </c>
      <c r="T96">
        <f t="shared" ref="T96" si="459">S96/1000</f>
        <v>-0.2359036771290749</v>
      </c>
    </row>
    <row r="97" spans="1:20" x14ac:dyDescent="0.25">
      <c r="A97" s="5">
        <v>44496</v>
      </c>
      <c r="B97">
        <v>46.82</v>
      </c>
      <c r="C97">
        <v>47.98</v>
      </c>
      <c r="D97">
        <v>37.46</v>
      </c>
      <c r="E97">
        <v>40.68</v>
      </c>
      <c r="F97">
        <v>4211222.53</v>
      </c>
      <c r="G97">
        <v>40.68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-0.38783269961977185</v>
      </c>
      <c r="Q97">
        <f t="shared" ref="Q97" si="461">F97*P97</f>
        <v>-1633249.8025095058</v>
      </c>
      <c r="R97">
        <f t="shared" ref="R97" si="462">R98+Q97</f>
        <v>-24648448.110791083</v>
      </c>
      <c r="S97">
        <f t="shared" ref="S97" si="463">R97/100000</f>
        <v>-246.48448110791082</v>
      </c>
      <c r="T97">
        <f t="shared" ref="T97" si="464">S97/1000</f>
        <v>-0.24648448110791082</v>
      </c>
    </row>
    <row r="98" spans="1:20" x14ac:dyDescent="0.25">
      <c r="A98" s="5">
        <v>44495</v>
      </c>
      <c r="B98">
        <v>48.75</v>
      </c>
      <c r="C98">
        <v>51.76</v>
      </c>
      <c r="D98">
        <v>46</v>
      </c>
      <c r="E98">
        <v>46.8</v>
      </c>
      <c r="F98">
        <v>3291766.79</v>
      </c>
      <c r="G98">
        <v>46.8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-0.7222222222222231</v>
      </c>
      <c r="Q98">
        <f t="shared" ref="Q98" si="466">F98*P98</f>
        <v>-2377387.1261111139</v>
      </c>
      <c r="R98">
        <f t="shared" ref="R98" si="467">R99+Q98</f>
        <v>-23015198.308281578</v>
      </c>
      <c r="S98">
        <f t="shared" ref="S98" si="468">R98/100000</f>
        <v>-230.15198308281578</v>
      </c>
      <c r="T98">
        <f t="shared" ref="T98" si="469">S98/1000</f>
        <v>-0.23015198308281579</v>
      </c>
    </row>
    <row r="99" spans="1:20" x14ac:dyDescent="0.25">
      <c r="A99" s="5">
        <v>44494</v>
      </c>
      <c r="B99">
        <v>43.34</v>
      </c>
      <c r="C99">
        <v>49.5</v>
      </c>
      <c r="D99">
        <v>43.12</v>
      </c>
      <c r="E99">
        <v>48.74</v>
      </c>
      <c r="F99">
        <v>2367474.35</v>
      </c>
      <c r="G99">
        <v>48.74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0.76175548589341768</v>
      </c>
      <c r="Q99">
        <f t="shared" ref="Q99" si="471">F99*P99</f>
        <v>1803436.5738244532</v>
      </c>
      <c r="R99">
        <f t="shared" ref="R99" si="472">R100+Q99</f>
        <v>-20637811.182170466</v>
      </c>
      <c r="S99">
        <f t="shared" ref="S99" si="473">R99/100000</f>
        <v>-206.37811182170466</v>
      </c>
      <c r="T99">
        <f t="shared" ref="T99" si="474">S99/1000</f>
        <v>-0.20637811182170465</v>
      </c>
    </row>
    <row r="100" spans="1:20" x14ac:dyDescent="0.25">
      <c r="A100" s="5">
        <v>44493</v>
      </c>
      <c r="B100">
        <v>45.44</v>
      </c>
      <c r="C100">
        <v>45.49</v>
      </c>
      <c r="D100">
        <v>42.2</v>
      </c>
      <c r="E100">
        <v>43.32</v>
      </c>
      <c r="F100">
        <v>1346106.19</v>
      </c>
      <c r="G100">
        <v>43.32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-0.31914893617021417</v>
      </c>
      <c r="Q100">
        <f t="shared" ref="Q100" si="476">F100*P100</f>
        <v>-429608.35851064016</v>
      </c>
      <c r="R100">
        <f t="shared" ref="R100" si="477">R101+Q100</f>
        <v>-22441247.75599492</v>
      </c>
      <c r="S100">
        <f t="shared" ref="S100" si="478">R100/100000</f>
        <v>-224.4124775599492</v>
      </c>
      <c r="T100">
        <f t="shared" ref="T100" si="479">S100/1000</f>
        <v>-0.2244124775599492</v>
      </c>
    </row>
    <row r="101" spans="1:20" x14ac:dyDescent="0.25">
      <c r="A101" s="5">
        <v>44492</v>
      </c>
      <c r="B101">
        <v>45.03</v>
      </c>
      <c r="C101">
        <v>46.16</v>
      </c>
      <c r="D101">
        <v>44.04</v>
      </c>
      <c r="E101">
        <v>45.43</v>
      </c>
      <c r="F101">
        <v>1063288.48</v>
      </c>
      <c r="G101">
        <v>45.43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0.31132075471698323</v>
      </c>
      <c r="Q101">
        <f t="shared" ref="Q101" si="481">F101*P101</f>
        <v>331023.77207547391</v>
      </c>
      <c r="R101">
        <f t="shared" ref="R101" si="482">R102+Q101</f>
        <v>-22011639.39748428</v>
      </c>
      <c r="S101">
        <f t="shared" ref="S101" si="483">R101/100000</f>
        <v>-220.11639397484279</v>
      </c>
      <c r="T101">
        <f t="shared" ref="T101" si="484">S101/1000</f>
        <v>-0.22011639397484278</v>
      </c>
    </row>
    <row r="102" spans="1:20" x14ac:dyDescent="0.25">
      <c r="A102" s="5">
        <v>44491</v>
      </c>
      <c r="B102">
        <v>44.66</v>
      </c>
      <c r="C102">
        <v>46.34</v>
      </c>
      <c r="D102">
        <v>43.78</v>
      </c>
      <c r="E102">
        <v>45.02</v>
      </c>
      <c r="F102">
        <v>1466571.35</v>
      </c>
      <c r="G102">
        <v>45.02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-3.1249999999999306E-2</v>
      </c>
      <c r="Q102">
        <f t="shared" ref="Q102" si="486">F102*P102</f>
        <v>-45830.354687498984</v>
      </c>
      <c r="R102">
        <f t="shared" ref="R102" si="487">R103+Q102</f>
        <v>-22342663.169559754</v>
      </c>
      <c r="S102">
        <f t="shared" ref="S102" si="488">R102/100000</f>
        <v>-223.42663169559754</v>
      </c>
      <c r="T102">
        <f t="shared" ref="T102" si="489">S102/1000</f>
        <v>-0.22342663169559754</v>
      </c>
    </row>
    <row r="103" spans="1:20" x14ac:dyDescent="0.25">
      <c r="A103" s="5">
        <v>44490</v>
      </c>
      <c r="B103">
        <v>46.94</v>
      </c>
      <c r="C103">
        <v>48.48</v>
      </c>
      <c r="D103">
        <v>44.2</v>
      </c>
      <c r="E103">
        <v>44.67</v>
      </c>
      <c r="F103">
        <v>2500079.73</v>
      </c>
      <c r="G103">
        <v>44.67</v>
      </c>
      <c r="L103" t="s">
        <v>7</v>
      </c>
      <c r="M103" t="s">
        <v>8</v>
      </c>
      <c r="N103" t="s">
        <v>7</v>
      </c>
      <c r="P103">
        <f t="shared" ref="P103" si="490">IF(C103=D103,0,((E103-D103)-(C103-E103))/(C103-D103))</f>
        <v>-0.78037383177570119</v>
      </c>
      <c r="Q103">
        <f t="shared" ref="Q103" si="491">F103*P103</f>
        <v>-1950996.7986448605</v>
      </c>
      <c r="R103">
        <f t="shared" ref="R103" si="492">R104+Q103</f>
        <v>-22296832.814872254</v>
      </c>
      <c r="S103">
        <f t="shared" ref="S103" si="493">R103/100000</f>
        <v>-222.96832814872255</v>
      </c>
      <c r="T103">
        <f t="shared" ref="T103" si="494">S103/1000</f>
        <v>-0.22296832814872256</v>
      </c>
    </row>
    <row r="104" spans="1:20" x14ac:dyDescent="0.25">
      <c r="A104" s="5">
        <v>44489</v>
      </c>
      <c r="B104">
        <v>43.79</v>
      </c>
      <c r="C104">
        <v>48.08</v>
      </c>
      <c r="D104">
        <v>43.35</v>
      </c>
      <c r="E104">
        <v>46.94</v>
      </c>
      <c r="F104">
        <v>2233060.33</v>
      </c>
      <c r="G104">
        <v>46.94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0.51797040169133135</v>
      </c>
      <c r="Q104">
        <f t="shared" ref="Q104" si="496">F104*P104</f>
        <v>1156659.1561310771</v>
      </c>
      <c r="R104">
        <f t="shared" ref="R104" si="497">R105+Q104</f>
        <v>-20345836.016227394</v>
      </c>
      <c r="S104">
        <f t="shared" ref="S104" si="498">R104/100000</f>
        <v>-203.45836016227395</v>
      </c>
      <c r="T104">
        <f t="shared" ref="T104" si="499">S104/1000</f>
        <v>-0.20345836016227395</v>
      </c>
    </row>
    <row r="105" spans="1:20" x14ac:dyDescent="0.25">
      <c r="A105" s="5">
        <v>44488</v>
      </c>
      <c r="B105">
        <v>43.83</v>
      </c>
      <c r="C105">
        <v>45.4</v>
      </c>
      <c r="D105">
        <v>42.8</v>
      </c>
      <c r="E105">
        <v>43.77</v>
      </c>
      <c r="F105">
        <v>1665428.03</v>
      </c>
      <c r="G105">
        <v>43.77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-0.25384615384614967</v>
      </c>
      <c r="Q105">
        <f t="shared" ref="Q105" si="501">F105*P105</f>
        <v>-422762.49992306996</v>
      </c>
      <c r="R105">
        <f t="shared" ref="R105" si="502">R106+Q105</f>
        <v>-21502495.172358472</v>
      </c>
      <c r="S105">
        <f t="shared" ref="S105" si="503">R105/100000</f>
        <v>-215.02495172358471</v>
      </c>
      <c r="T105">
        <f t="shared" ref="T105" si="504">S105/1000</f>
        <v>-0.21502495172358471</v>
      </c>
    </row>
    <row r="106" spans="1:20" x14ac:dyDescent="0.25">
      <c r="A106" s="5">
        <v>44487</v>
      </c>
      <c r="B106">
        <v>44.09</v>
      </c>
      <c r="C106">
        <v>44.55</v>
      </c>
      <c r="D106">
        <v>42.11</v>
      </c>
      <c r="E106">
        <v>43.85</v>
      </c>
      <c r="F106">
        <v>1633888.65</v>
      </c>
      <c r="G106">
        <v>43.85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0.42622950819672428</v>
      </c>
      <c r="Q106">
        <f t="shared" ref="Q106" si="506">F106*P106</f>
        <v>696411.55573770974</v>
      </c>
      <c r="R106">
        <f t="shared" ref="R106" si="507">R107+Q106</f>
        <v>-21079732.672435403</v>
      </c>
      <c r="S106">
        <f t="shared" ref="S106" si="508">R106/100000</f>
        <v>-210.79732672435404</v>
      </c>
      <c r="T106">
        <f t="shared" ref="T106" si="509">S106/1000</f>
        <v>-0.21079732672435403</v>
      </c>
    </row>
    <row r="107" spans="1:20" x14ac:dyDescent="0.25">
      <c r="A107" s="5">
        <v>44486</v>
      </c>
      <c r="B107">
        <v>45.96</v>
      </c>
      <c r="C107">
        <v>46.87</v>
      </c>
      <c r="D107">
        <v>42</v>
      </c>
      <c r="E107">
        <v>44.11</v>
      </c>
      <c r="F107">
        <v>2259817.02</v>
      </c>
      <c r="G107">
        <v>44.11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-0.13347022587268972</v>
      </c>
      <c r="Q107">
        <f t="shared" ref="Q107" si="511">F107*P107</f>
        <v>-301618.28809034859</v>
      </c>
      <c r="R107">
        <f t="shared" ref="R107" si="512">R108+Q107</f>
        <v>-21776144.228173114</v>
      </c>
      <c r="S107">
        <f t="shared" ref="S107" si="513">R107/100000</f>
        <v>-217.76144228173115</v>
      </c>
      <c r="T107">
        <f t="shared" ref="T107" si="514">S107/1000</f>
        <v>-0.21776144228173114</v>
      </c>
    </row>
    <row r="108" spans="1:20" x14ac:dyDescent="0.25">
      <c r="A108" s="5">
        <v>44485</v>
      </c>
      <c r="B108">
        <v>43.1</v>
      </c>
      <c r="C108">
        <v>47.48</v>
      </c>
      <c r="D108">
        <v>42.89</v>
      </c>
      <c r="E108">
        <v>45.96</v>
      </c>
      <c r="F108">
        <v>3373708.19</v>
      </c>
      <c r="G108">
        <v>45.96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0.33769063180828007</v>
      </c>
      <c r="Q108">
        <f t="shared" ref="Q108" si="516">F108*P108</f>
        <v>1139269.6502178691</v>
      </c>
      <c r="R108">
        <f t="shared" ref="R108" si="517">R109+Q108</f>
        <v>-21474525.940082766</v>
      </c>
      <c r="S108">
        <f t="shared" ref="S108" si="518">R108/100000</f>
        <v>-214.74525940082765</v>
      </c>
      <c r="T108">
        <f t="shared" ref="T108" si="519">S108/1000</f>
        <v>-0.21474525940082764</v>
      </c>
    </row>
    <row r="109" spans="1:20" x14ac:dyDescent="0.25">
      <c r="A109" s="5">
        <v>44484</v>
      </c>
      <c r="B109">
        <v>42.91</v>
      </c>
      <c r="C109">
        <v>44.48</v>
      </c>
      <c r="D109">
        <v>41.31</v>
      </c>
      <c r="E109">
        <v>43.12</v>
      </c>
      <c r="F109">
        <v>2749160.59</v>
      </c>
      <c r="G109">
        <v>43.12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0.14195583596214401</v>
      </c>
      <c r="Q109">
        <f t="shared" ref="Q109" si="521">F109*P109</f>
        <v>390259.38974763104</v>
      </c>
      <c r="R109">
        <f t="shared" ref="R109" si="522">R110+Q109</f>
        <v>-22613795.590300635</v>
      </c>
      <c r="S109">
        <f t="shared" ref="S109" si="523">R109/100000</f>
        <v>-226.13795590300634</v>
      </c>
      <c r="T109">
        <f t="shared" ref="T109" si="524">S109/1000</f>
        <v>-0.22613795590300634</v>
      </c>
    </row>
    <row r="110" spans="1:20" x14ac:dyDescent="0.25">
      <c r="A110" s="5">
        <v>44483</v>
      </c>
      <c r="B110">
        <v>43.17</v>
      </c>
      <c r="C110">
        <v>45.43</v>
      </c>
      <c r="D110">
        <v>42.3</v>
      </c>
      <c r="E110">
        <v>42.91</v>
      </c>
      <c r="F110">
        <v>2364035.04</v>
      </c>
      <c r="G110">
        <v>42.91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-0.61022364217252467</v>
      </c>
      <c r="Q110">
        <f t="shared" ref="Q110" si="526">F110*P110</f>
        <v>-1442590.07233227</v>
      </c>
      <c r="R110">
        <f t="shared" ref="R110" si="527">R111+Q110</f>
        <v>-23004054.980048265</v>
      </c>
      <c r="S110">
        <f t="shared" ref="S110" si="528">R110/100000</f>
        <v>-230.04054980048267</v>
      </c>
      <c r="T110">
        <f t="shared" ref="T110" si="529">S110/1000</f>
        <v>-0.23004054980048266</v>
      </c>
    </row>
    <row r="111" spans="1:20" x14ac:dyDescent="0.25">
      <c r="A111" s="5">
        <v>44482</v>
      </c>
      <c r="B111">
        <v>43.16</v>
      </c>
      <c r="C111">
        <v>44.36</v>
      </c>
      <c r="D111">
        <v>40.18</v>
      </c>
      <c r="E111">
        <v>43.17</v>
      </c>
      <c r="F111">
        <v>2212990.63</v>
      </c>
      <c r="G111">
        <v>43.17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0.43062200956937902</v>
      </c>
      <c r="Q111">
        <f t="shared" ref="Q111" si="531">F111*P111</f>
        <v>952962.47224880604</v>
      </c>
      <c r="R111">
        <f t="shared" ref="R111" si="532">R112+Q111</f>
        <v>-21561464.907715995</v>
      </c>
      <c r="S111">
        <f t="shared" ref="S111" si="533">R111/100000</f>
        <v>-215.61464907715995</v>
      </c>
      <c r="T111">
        <f t="shared" ref="T111" si="534">S111/1000</f>
        <v>-0.21561464907715996</v>
      </c>
    </row>
    <row r="112" spans="1:20" x14ac:dyDescent="0.25">
      <c r="A112" s="5">
        <v>44481</v>
      </c>
      <c r="B112">
        <v>45.02</v>
      </c>
      <c r="C112">
        <v>45.06</v>
      </c>
      <c r="D112">
        <v>40.69</v>
      </c>
      <c r="E112">
        <v>43.18</v>
      </c>
      <c r="F112">
        <v>2278355.85</v>
      </c>
      <c r="G112">
        <v>43.18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0.13958810068649857</v>
      </c>
      <c r="Q112">
        <f t="shared" ref="Q112" si="536">F112*P112</f>
        <v>318031.36578947306</v>
      </c>
      <c r="R112">
        <f t="shared" ref="R112" si="537">R113+Q112</f>
        <v>-22514427.379964802</v>
      </c>
      <c r="S112">
        <f t="shared" ref="S112" si="538">R112/100000</f>
        <v>-225.14427379964803</v>
      </c>
      <c r="T112">
        <f t="shared" ref="T112" si="539">S112/1000</f>
        <v>-0.22514427379964802</v>
      </c>
    </row>
    <row r="113" spans="1:20" x14ac:dyDescent="0.25">
      <c r="A113" s="5">
        <v>44480</v>
      </c>
      <c r="B113">
        <v>44.9</v>
      </c>
      <c r="C113">
        <v>47.14</v>
      </c>
      <c r="D113">
        <v>43.07</v>
      </c>
      <c r="E113">
        <v>45</v>
      </c>
      <c r="F113">
        <v>1853923.49</v>
      </c>
      <c r="G113">
        <v>45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-5.1597051597051802E-2</v>
      </c>
      <c r="Q113">
        <f t="shared" ref="Q113" si="541">F113*P113</f>
        <v>-95656.985970516354</v>
      </c>
      <c r="R113">
        <f t="shared" ref="R113" si="542">R114+Q113</f>
        <v>-22832458.745754275</v>
      </c>
      <c r="S113">
        <f t="shared" ref="S113" si="543">R113/100000</f>
        <v>-228.32458745754275</v>
      </c>
      <c r="T113">
        <f t="shared" ref="T113" si="544">S113/1000</f>
        <v>-0.22832458745754275</v>
      </c>
    </row>
    <row r="114" spans="1:20" x14ac:dyDescent="0.25">
      <c r="A114" s="5">
        <v>44479</v>
      </c>
      <c r="B114">
        <v>49.55</v>
      </c>
      <c r="C114">
        <v>49.57</v>
      </c>
      <c r="D114">
        <v>43.83</v>
      </c>
      <c r="E114">
        <v>44.91</v>
      </c>
      <c r="F114">
        <v>1979685.68</v>
      </c>
      <c r="G114">
        <v>44.91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-0.62369337979094153</v>
      </c>
      <c r="Q114">
        <f t="shared" ref="Q114" si="546">F114*P114</f>
        <v>-1234716.8526829283</v>
      </c>
      <c r="R114">
        <f t="shared" ref="R114" si="547">R115+Q114</f>
        <v>-22736801.75978376</v>
      </c>
      <c r="S114">
        <f t="shared" ref="S114" si="548">R114/100000</f>
        <v>-227.36801759783759</v>
      </c>
      <c r="T114">
        <f t="shared" ref="T114" si="549">S114/1000</f>
        <v>-0.22736801759783759</v>
      </c>
    </row>
    <row r="115" spans="1:20" x14ac:dyDescent="0.25">
      <c r="A115" s="5">
        <v>44478</v>
      </c>
      <c r="B115">
        <v>49.23</v>
      </c>
      <c r="C115">
        <v>51.85</v>
      </c>
      <c r="D115">
        <v>48.49</v>
      </c>
      <c r="E115">
        <v>49.56</v>
      </c>
      <c r="F115">
        <v>1697945.93</v>
      </c>
      <c r="G115">
        <v>49.56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-0.3630952380952378</v>
      </c>
      <c r="Q115">
        <f t="shared" ref="Q115" si="551">F115*P115</f>
        <v>-616516.08172618994</v>
      </c>
      <c r="R115">
        <f t="shared" ref="R115" si="552">R116+Q115</f>
        <v>-21502084.90710083</v>
      </c>
      <c r="S115">
        <f t="shared" ref="S115" si="553">R115/100000</f>
        <v>-215.02084907100831</v>
      </c>
      <c r="T115">
        <f t="shared" ref="T115" si="554">S115/1000</f>
        <v>-0.21502084907100832</v>
      </c>
    </row>
    <row r="116" spans="1:20" x14ac:dyDescent="0.25">
      <c r="A116" s="5">
        <v>44477</v>
      </c>
      <c r="B116">
        <v>50.97</v>
      </c>
      <c r="C116">
        <v>52.32</v>
      </c>
      <c r="D116">
        <v>48.55</v>
      </c>
      <c r="E116">
        <v>49.2</v>
      </c>
      <c r="F116">
        <v>2239201.5099999998</v>
      </c>
      <c r="G116">
        <v>49.2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-0.65517241379310076</v>
      </c>
      <c r="Q116">
        <f t="shared" ref="Q116" si="556">F116*P116</f>
        <v>-1467063.0582758558</v>
      </c>
      <c r="R116">
        <f t="shared" ref="R116" si="557">R117+Q116</f>
        <v>-20885568.825374641</v>
      </c>
      <c r="S116">
        <f t="shared" ref="S116" si="558">R116/100000</f>
        <v>-208.85568825374639</v>
      </c>
      <c r="T116">
        <f t="shared" ref="T116" si="559">S116/1000</f>
        <v>-0.2088556882537464</v>
      </c>
    </row>
    <row r="117" spans="1:20" x14ac:dyDescent="0.25">
      <c r="A117" s="5">
        <v>44476</v>
      </c>
      <c r="B117">
        <v>52.75</v>
      </c>
      <c r="C117">
        <v>54.5</v>
      </c>
      <c r="D117">
        <v>50.68</v>
      </c>
      <c r="E117">
        <v>50.95</v>
      </c>
      <c r="F117">
        <v>2119627.0299999998</v>
      </c>
      <c r="G117">
        <v>50.95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-0.85863874345549573</v>
      </c>
      <c r="Q117">
        <f t="shared" ref="Q117" si="561">F117*P117</f>
        <v>-1819993.8896335042</v>
      </c>
      <c r="R117">
        <f t="shared" ref="R117" si="562">R118+Q117</f>
        <v>-19418505.767098784</v>
      </c>
      <c r="S117">
        <f t="shared" ref="S117" si="563">R117/100000</f>
        <v>-194.18505767098785</v>
      </c>
      <c r="T117">
        <f t="shared" ref="T117" si="564">S117/1000</f>
        <v>-0.19418505767098784</v>
      </c>
    </row>
    <row r="118" spans="1:20" x14ac:dyDescent="0.25">
      <c r="A118" s="5">
        <v>44475</v>
      </c>
      <c r="B118">
        <v>54.44</v>
      </c>
      <c r="C118">
        <v>57</v>
      </c>
      <c r="D118">
        <v>50.28</v>
      </c>
      <c r="E118">
        <v>52.74</v>
      </c>
      <c r="F118">
        <v>2324850.9700000002</v>
      </c>
      <c r="G118">
        <v>52.74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-0.26785714285714246</v>
      </c>
      <c r="Q118">
        <f t="shared" ref="Q118" si="566">F118*P118</f>
        <v>-622727.93839285627</v>
      </c>
      <c r="R118">
        <f t="shared" ref="R118" si="567">R119+Q118</f>
        <v>-17598511.877465282</v>
      </c>
      <c r="S118">
        <f t="shared" ref="S118" si="568">R118/100000</f>
        <v>-175.98511877465282</v>
      </c>
      <c r="T118">
        <f t="shared" ref="T118" si="569">S118/1000</f>
        <v>-0.17598511877465281</v>
      </c>
    </row>
    <row r="119" spans="1:20" x14ac:dyDescent="0.25">
      <c r="A119" s="5">
        <v>44474</v>
      </c>
      <c r="B119">
        <v>48.92</v>
      </c>
      <c r="C119">
        <v>57.24</v>
      </c>
      <c r="D119">
        <v>48.28</v>
      </c>
      <c r="E119">
        <v>54.44</v>
      </c>
      <c r="F119">
        <v>3468114.99</v>
      </c>
      <c r="G119">
        <v>54.44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0.37499999999999911</v>
      </c>
      <c r="Q119">
        <f t="shared" ref="Q119" si="571">F119*P119</f>
        <v>1300543.1212499971</v>
      </c>
      <c r="R119">
        <f t="shared" ref="R119" si="572">R120+Q119</f>
        <v>-16975783.939072426</v>
      </c>
      <c r="S119">
        <f t="shared" ref="S119" si="573">R119/100000</f>
        <v>-169.75783939072426</v>
      </c>
      <c r="T119">
        <f t="shared" ref="T119" si="574">S119/1000</f>
        <v>-0.16975783939072425</v>
      </c>
    </row>
    <row r="120" spans="1:20" x14ac:dyDescent="0.25">
      <c r="A120" s="5">
        <v>44473</v>
      </c>
      <c r="B120">
        <v>50.31</v>
      </c>
      <c r="C120">
        <v>50.35</v>
      </c>
      <c r="D120">
        <v>46.91</v>
      </c>
      <c r="E120">
        <v>48.73</v>
      </c>
      <c r="F120">
        <v>1295588.6299999999</v>
      </c>
      <c r="G120">
        <v>48.73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5.8139534883719611E-2</v>
      </c>
      <c r="Q120">
        <f t="shared" ref="Q120" si="576">F120*P120</f>
        <v>75324.920348835498</v>
      </c>
      <c r="R120">
        <f t="shared" ref="R120" si="577">R121+Q120</f>
        <v>-18276327.060322423</v>
      </c>
      <c r="S120">
        <f t="shared" ref="S120" si="578">R120/100000</f>
        <v>-182.76327060322421</v>
      </c>
      <c r="T120">
        <f t="shared" ref="T120" si="579">S120/1000</f>
        <v>-0.18276327060322423</v>
      </c>
    </row>
    <row r="121" spans="1:20" x14ac:dyDescent="0.25">
      <c r="A121" s="5">
        <v>44472</v>
      </c>
      <c r="B121">
        <v>49.59</v>
      </c>
      <c r="C121">
        <v>51.44</v>
      </c>
      <c r="D121">
        <v>48.1</v>
      </c>
      <c r="E121">
        <v>50.33</v>
      </c>
      <c r="F121">
        <v>1275598.8600000001</v>
      </c>
      <c r="G121">
        <v>50.33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0.33532934131736486</v>
      </c>
      <c r="Q121">
        <f t="shared" ref="Q121" si="581">F121*P121</f>
        <v>427745.72550898156</v>
      </c>
      <c r="R121">
        <f t="shared" ref="R121" si="582">R122+Q121</f>
        <v>-18351651.980671257</v>
      </c>
      <c r="S121">
        <f t="shared" ref="S121" si="583">R121/100000</f>
        <v>-183.51651980671258</v>
      </c>
      <c r="T121">
        <f t="shared" ref="T121" si="584">S121/1000</f>
        <v>-0.18351651980671257</v>
      </c>
    </row>
    <row r="122" spans="1:20" x14ac:dyDescent="0.25">
      <c r="A122" s="5">
        <v>44471</v>
      </c>
      <c r="B122">
        <v>51.68</v>
      </c>
      <c r="C122">
        <v>52.58</v>
      </c>
      <c r="D122">
        <v>48.67</v>
      </c>
      <c r="E122">
        <v>49.57</v>
      </c>
      <c r="F122">
        <v>1371552.91</v>
      </c>
      <c r="G122">
        <v>49.57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-0.53964194373401564</v>
      </c>
      <c r="Q122">
        <f t="shared" ref="Q122" si="586">F122*P122</f>
        <v>-740147.47828644537</v>
      </c>
      <c r="R122">
        <f t="shared" ref="R122" si="587">R123+Q122</f>
        <v>-18779397.706180237</v>
      </c>
      <c r="S122">
        <f t="shared" ref="S122" si="588">R122/100000</f>
        <v>-187.79397706180237</v>
      </c>
      <c r="T122">
        <f t="shared" ref="T122" si="589">S122/1000</f>
        <v>-0.18779397706180237</v>
      </c>
    </row>
    <row r="123" spans="1:20" x14ac:dyDescent="0.25">
      <c r="A123" s="5">
        <v>44470</v>
      </c>
      <c r="B123">
        <v>45.1</v>
      </c>
      <c r="C123">
        <v>52.67</v>
      </c>
      <c r="D123">
        <v>44.8</v>
      </c>
      <c r="E123">
        <v>51.68</v>
      </c>
      <c r="F123">
        <v>1824968.49</v>
      </c>
      <c r="G123">
        <v>51.68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0.74841168996188023</v>
      </c>
      <c r="Q123">
        <f t="shared" ref="Q123" si="591">F123*P123</f>
        <v>1365827.7517280807</v>
      </c>
      <c r="R123">
        <f t="shared" ref="R123" si="592">R124+Q123</f>
        <v>-18039250.227893792</v>
      </c>
      <c r="S123">
        <f t="shared" ref="S123" si="593">R123/100000</f>
        <v>-180.39250227893791</v>
      </c>
      <c r="T123">
        <f t="shared" ref="T123" si="594">S123/1000</f>
        <v>-0.18039250227893791</v>
      </c>
    </row>
    <row r="124" spans="1:20" x14ac:dyDescent="0.25">
      <c r="A124" s="5">
        <v>44469</v>
      </c>
      <c r="B124">
        <v>44.4</v>
      </c>
      <c r="C124">
        <v>45.63</v>
      </c>
      <c r="D124">
        <v>43.41</v>
      </c>
      <c r="E124">
        <v>45.09</v>
      </c>
      <c r="F124">
        <v>1098287.8500000001</v>
      </c>
      <c r="G124">
        <v>45.09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0.5135135135135156</v>
      </c>
      <c r="Q124">
        <f t="shared" ref="Q124" si="596">F124*P124</f>
        <v>563985.652702705</v>
      </c>
      <c r="R124">
        <f t="shared" ref="R124" si="597">R125+Q124</f>
        <v>-19405077.979621872</v>
      </c>
      <c r="S124">
        <f t="shared" ref="S124" si="598">R124/100000</f>
        <v>-194.05077979621873</v>
      </c>
      <c r="T124">
        <f t="shared" ref="T124" si="599">S124/1000</f>
        <v>-0.19405077979621874</v>
      </c>
    </row>
    <row r="125" spans="1:20" x14ac:dyDescent="0.25">
      <c r="A125" s="5">
        <v>44468</v>
      </c>
      <c r="B125">
        <v>40.880000000000003</v>
      </c>
      <c r="C125">
        <v>45.81</v>
      </c>
      <c r="D125">
        <v>40.58</v>
      </c>
      <c r="E125">
        <v>44.4</v>
      </c>
      <c r="F125">
        <v>1439319</v>
      </c>
      <c r="G125">
        <v>44.4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0.46080305927342158</v>
      </c>
      <c r="Q125">
        <f t="shared" ref="Q125" si="601">F125*P125</f>
        <v>663242.5984703619</v>
      </c>
      <c r="R125">
        <f t="shared" ref="R125" si="602">R126+Q125</f>
        <v>-19969063.632324576</v>
      </c>
      <c r="S125">
        <f t="shared" ref="S125" si="603">R125/100000</f>
        <v>-199.69063632324577</v>
      </c>
      <c r="T125">
        <f t="shared" ref="T125" si="604">S125/1000</f>
        <v>-0.19969063632324577</v>
      </c>
    </row>
    <row r="126" spans="1:20" x14ac:dyDescent="0.25">
      <c r="A126" s="5">
        <v>44467</v>
      </c>
      <c r="B126">
        <v>42.44</v>
      </c>
      <c r="C126">
        <v>43.84</v>
      </c>
      <c r="D126">
        <v>40.659999999999997</v>
      </c>
      <c r="E126">
        <v>40.869999999999997</v>
      </c>
      <c r="F126">
        <v>955085.77</v>
      </c>
      <c r="G126">
        <v>40.869999999999997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-0.86792452830188649</v>
      </c>
      <c r="Q126">
        <f t="shared" ref="Q126" si="606">F126*P126</f>
        <v>-828942.36641509412</v>
      </c>
      <c r="R126">
        <f t="shared" ref="R126" si="607">R127+Q126</f>
        <v>-20632306.23079494</v>
      </c>
      <c r="S126">
        <f t="shared" ref="S126" si="608">R126/100000</f>
        <v>-206.32306230794941</v>
      </c>
      <c r="T126">
        <f t="shared" ref="T126" si="609">S126/1000</f>
        <v>-0.20632306230794942</v>
      </c>
    </row>
    <row r="127" spans="1:20" x14ac:dyDescent="0.25">
      <c r="A127" s="5">
        <v>44466</v>
      </c>
      <c r="B127">
        <v>43.69</v>
      </c>
      <c r="C127">
        <v>46.73</v>
      </c>
      <c r="D127">
        <v>42.25</v>
      </c>
      <c r="E127">
        <v>42.46</v>
      </c>
      <c r="F127">
        <v>1484962.85</v>
      </c>
      <c r="G127">
        <v>42.46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-0.90624999999999956</v>
      </c>
      <c r="Q127">
        <f t="shared" ref="Q127" si="611">F127*P127</f>
        <v>-1345747.5828124995</v>
      </c>
      <c r="R127">
        <f t="shared" ref="R127" si="612">R128+Q127</f>
        <v>-19803363.864379846</v>
      </c>
      <c r="S127">
        <f t="shared" ref="S127" si="613">R127/100000</f>
        <v>-198.03363864379847</v>
      </c>
      <c r="T127">
        <f t="shared" ref="T127" si="614">S127/1000</f>
        <v>-0.19803363864379847</v>
      </c>
    </row>
    <row r="128" spans="1:20" x14ac:dyDescent="0.25">
      <c r="A128" s="5">
        <v>44465</v>
      </c>
      <c r="B128">
        <v>45.78</v>
      </c>
      <c r="C128">
        <v>45.96</v>
      </c>
      <c r="D128">
        <v>39.5</v>
      </c>
      <c r="E128">
        <v>43.69</v>
      </c>
      <c r="F128">
        <v>2068058.81</v>
      </c>
      <c r="G128">
        <v>43.69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0.29721362229102077</v>
      </c>
      <c r="Q128">
        <f t="shared" ref="Q128" si="616">F128*P128</f>
        <v>614655.25003095786</v>
      </c>
      <c r="R128">
        <f t="shared" ref="R128" si="617">R129+Q128</f>
        <v>-18457616.281567346</v>
      </c>
      <c r="S128">
        <f t="shared" ref="S128" si="618">R128/100000</f>
        <v>-184.57616281567346</v>
      </c>
      <c r="T128">
        <f t="shared" ref="T128" si="619">S128/1000</f>
        <v>-0.18457616281567346</v>
      </c>
    </row>
    <row r="129" spans="1:20" x14ac:dyDescent="0.25">
      <c r="A129" s="5">
        <v>44464</v>
      </c>
      <c r="B129">
        <v>46.1</v>
      </c>
      <c r="C129">
        <v>47.12</v>
      </c>
      <c r="D129">
        <v>44</v>
      </c>
      <c r="E129">
        <v>45.79</v>
      </c>
      <c r="F129">
        <v>1041802.33</v>
      </c>
      <c r="G129">
        <v>45.79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0.14743589743589783</v>
      </c>
      <c r="Q129">
        <f t="shared" ref="Q129" si="621">F129*P129</f>
        <v>153599.06147435939</v>
      </c>
      <c r="R129">
        <f t="shared" ref="R129" si="622">R130+Q129</f>
        <v>-19072271.531598303</v>
      </c>
      <c r="S129">
        <f t="shared" ref="S129" si="623">R129/100000</f>
        <v>-190.72271531598304</v>
      </c>
      <c r="T129">
        <f t="shared" ref="T129" si="624">S129/1000</f>
        <v>-0.19072271531598303</v>
      </c>
    </row>
    <row r="130" spans="1:20" x14ac:dyDescent="0.25">
      <c r="A130" s="5">
        <v>44463</v>
      </c>
      <c r="B130">
        <v>50.55</v>
      </c>
      <c r="C130">
        <v>51.46</v>
      </c>
      <c r="D130">
        <v>42.11</v>
      </c>
      <c r="E130">
        <v>46.11</v>
      </c>
      <c r="F130">
        <v>2332675.2200000002</v>
      </c>
      <c r="G130">
        <v>46.11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-0.14438502673796805</v>
      </c>
      <c r="Q130">
        <f t="shared" ref="Q130" si="626">F130*P130</f>
        <v>-336803.37401069555</v>
      </c>
      <c r="R130">
        <f t="shared" ref="R130" si="627">R131+Q130</f>
        <v>-19225870.593072664</v>
      </c>
      <c r="S130">
        <f t="shared" ref="S130" si="628">R130/100000</f>
        <v>-192.25870593072665</v>
      </c>
      <c r="T130">
        <f t="shared" ref="T130" si="629">S130/1000</f>
        <v>-0.19225870593072664</v>
      </c>
    </row>
    <row r="131" spans="1:20" x14ac:dyDescent="0.25">
      <c r="A131" s="5">
        <v>44462</v>
      </c>
      <c r="B131">
        <v>49.9</v>
      </c>
      <c r="C131">
        <v>52.3</v>
      </c>
      <c r="D131">
        <v>48.78</v>
      </c>
      <c r="E131">
        <v>50.56</v>
      </c>
      <c r="F131">
        <v>1458482.89</v>
      </c>
      <c r="G131">
        <v>50.56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1.1363636363638152E-2</v>
      </c>
      <c r="Q131">
        <f t="shared" ref="Q131" si="631">F131*P131</f>
        <v>16573.669204548063</v>
      </c>
      <c r="R131">
        <f t="shared" ref="R131" si="632">R132+Q131</f>
        <v>-18889067.219061967</v>
      </c>
      <c r="S131">
        <f t="shared" ref="S131" si="633">R131/100000</f>
        <v>-188.89067219061968</v>
      </c>
      <c r="T131">
        <f t="shared" ref="T131" si="634">S131/1000</f>
        <v>-0.18889067219061967</v>
      </c>
    </row>
    <row r="132" spans="1:20" x14ac:dyDescent="0.25">
      <c r="A132" s="5">
        <v>44461</v>
      </c>
      <c r="B132">
        <v>44.77</v>
      </c>
      <c r="C132">
        <v>52</v>
      </c>
      <c r="D132">
        <v>44.03</v>
      </c>
      <c r="E132">
        <v>49.89</v>
      </c>
      <c r="F132">
        <v>1567645.14</v>
      </c>
      <c r="G132">
        <v>49.89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0.47051442910915942</v>
      </c>
      <c r="Q132">
        <f t="shared" ref="Q132" si="636">F132*P132</f>
        <v>737599.65809284826</v>
      </c>
      <c r="R132">
        <f t="shared" ref="R132" si="637">R133+Q132</f>
        <v>-18905640.888266515</v>
      </c>
      <c r="S132">
        <f t="shared" ref="S132" si="638">R132/100000</f>
        <v>-189.05640888266515</v>
      </c>
      <c r="T132">
        <f t="shared" ref="T132" si="639">S132/1000</f>
        <v>-0.18905640888266514</v>
      </c>
    </row>
    <row r="133" spans="1:20" x14ac:dyDescent="0.25">
      <c r="A133" s="5">
        <v>44460</v>
      </c>
      <c r="B133">
        <v>47.57</v>
      </c>
      <c r="C133">
        <v>50.14</v>
      </c>
      <c r="D133">
        <v>42.12</v>
      </c>
      <c r="E133">
        <v>44.79</v>
      </c>
      <c r="F133">
        <v>1896657.04</v>
      </c>
      <c r="G133">
        <v>44.79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-0.33416458852867814</v>
      </c>
      <c r="Q133">
        <f t="shared" ref="Q133" si="641">F133*P133</f>
        <v>-633795.61935162067</v>
      </c>
      <c r="R133">
        <f t="shared" ref="R133" si="642">R134+Q133</f>
        <v>-19643240.546359364</v>
      </c>
      <c r="S133">
        <f t="shared" ref="S133" si="643">R133/100000</f>
        <v>-196.43240546359365</v>
      </c>
      <c r="T133">
        <f t="shared" ref="T133" si="644">S133/1000</f>
        <v>-0.19643240546359364</v>
      </c>
    </row>
    <row r="134" spans="1:20" x14ac:dyDescent="0.25">
      <c r="A134" s="5">
        <v>44459</v>
      </c>
      <c r="B134">
        <v>57.18</v>
      </c>
      <c r="C134">
        <v>57.36</v>
      </c>
      <c r="D134">
        <v>49.72</v>
      </c>
      <c r="E134">
        <v>51.27</v>
      </c>
      <c r="F134">
        <v>1116883.8400000001</v>
      </c>
      <c r="G134">
        <v>51.27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-0.59424083769633396</v>
      </c>
      <c r="Q134">
        <f t="shared" ref="Q134" si="646">F134*P134</f>
        <v>-663697.98869109829</v>
      </c>
      <c r="R134">
        <f t="shared" ref="R134" si="647">R135+Q134</f>
        <v>-19009444.927007742</v>
      </c>
      <c r="S134">
        <f t="shared" ref="S134" si="648">R134/100000</f>
        <v>-190.09444927007743</v>
      </c>
      <c r="T134">
        <f t="shared" ref="T134" si="649">S134/1000</f>
        <v>-0.19009444927007743</v>
      </c>
    </row>
    <row r="135" spans="1:20" x14ac:dyDescent="0.25">
      <c r="A135" s="5">
        <v>44458</v>
      </c>
      <c r="B135">
        <v>58.58</v>
      </c>
      <c r="C135">
        <v>58.87</v>
      </c>
      <c r="D135">
        <v>56.12</v>
      </c>
      <c r="E135">
        <v>57.16</v>
      </c>
      <c r="F135">
        <v>755052.42</v>
      </c>
      <c r="G135">
        <v>57.16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-0.24363636363636426</v>
      </c>
      <c r="Q135">
        <f t="shared" ref="Q135" si="651">F135*P135</f>
        <v>-183958.22596363685</v>
      </c>
      <c r="R135">
        <f t="shared" ref="R135" si="652">R136+Q135</f>
        <v>-18345746.938316643</v>
      </c>
      <c r="S135">
        <f t="shared" ref="S135" si="653">R135/100000</f>
        <v>-183.45746938316643</v>
      </c>
      <c r="T135">
        <f t="shared" ref="T135" si="654">S135/1000</f>
        <v>-0.18345746938316643</v>
      </c>
    </row>
    <row r="136" spans="1:20" x14ac:dyDescent="0.25">
      <c r="A136" s="5">
        <v>44457</v>
      </c>
      <c r="B136">
        <v>56.47</v>
      </c>
      <c r="C136">
        <v>61.2</v>
      </c>
      <c r="D136">
        <v>55.47</v>
      </c>
      <c r="E136">
        <v>58.6</v>
      </c>
      <c r="F136">
        <v>1230921.55</v>
      </c>
      <c r="G136">
        <v>58.6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9.2495636998254929E-2</v>
      </c>
      <c r="Q136">
        <f t="shared" ref="Q136" si="656">F136*P136</f>
        <v>113854.87286212931</v>
      </c>
      <c r="R136">
        <f t="shared" ref="R136" si="657">R137+Q136</f>
        <v>-18161788.712353006</v>
      </c>
      <c r="S136">
        <f t="shared" ref="S136" si="658">R136/100000</f>
        <v>-181.61788712353007</v>
      </c>
      <c r="T136">
        <f t="shared" ref="T136" si="659">S136/1000</f>
        <v>-0.18161788712353008</v>
      </c>
    </row>
    <row r="137" spans="1:20" x14ac:dyDescent="0.25">
      <c r="A137" s="5">
        <v>44456</v>
      </c>
      <c r="B137">
        <v>57.91</v>
      </c>
      <c r="C137">
        <v>58.6</v>
      </c>
      <c r="D137">
        <v>55</v>
      </c>
      <c r="E137">
        <v>56.45</v>
      </c>
      <c r="F137">
        <v>982128.57</v>
      </c>
      <c r="G137">
        <v>56.45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-0.19444444444444317</v>
      </c>
      <c r="Q137">
        <f t="shared" ref="Q137" si="661">F137*P137</f>
        <v>-190969.4441666654</v>
      </c>
      <c r="R137">
        <f t="shared" ref="R137" si="662">R138+Q137</f>
        <v>-18275643.585215136</v>
      </c>
      <c r="S137">
        <f t="shared" ref="S137" si="663">R137/100000</f>
        <v>-182.75643585215136</v>
      </c>
      <c r="T137">
        <f t="shared" ref="T137" si="664">S137/1000</f>
        <v>-0.18275643585215134</v>
      </c>
    </row>
    <row r="138" spans="1:20" x14ac:dyDescent="0.25">
      <c r="A138" s="5">
        <v>44455</v>
      </c>
      <c r="B138">
        <v>61.37</v>
      </c>
      <c r="C138">
        <v>61.71</v>
      </c>
      <c r="D138">
        <v>56.57</v>
      </c>
      <c r="E138">
        <v>57.93</v>
      </c>
      <c r="F138">
        <v>1293716.19</v>
      </c>
      <c r="G138">
        <v>57.93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-0.47081712062256836</v>
      </c>
      <c r="Q138">
        <f t="shared" ref="Q138" si="666">F138*P138</f>
        <v>-609103.7314785996</v>
      </c>
      <c r="R138">
        <f t="shared" ref="R138" si="667">R139+Q138</f>
        <v>-18084674.141048472</v>
      </c>
      <c r="S138">
        <f t="shared" ref="S138" si="668">R138/100000</f>
        <v>-180.84674141048473</v>
      </c>
      <c r="T138">
        <f t="shared" ref="T138" si="669">S138/1000</f>
        <v>-0.18084674141048473</v>
      </c>
    </row>
    <row r="139" spans="1:20" x14ac:dyDescent="0.25">
      <c r="A139" s="5">
        <v>44454</v>
      </c>
      <c r="B139">
        <v>56.93</v>
      </c>
      <c r="C139">
        <v>62.3</v>
      </c>
      <c r="D139">
        <v>56.68</v>
      </c>
      <c r="E139">
        <v>61.37</v>
      </c>
      <c r="F139">
        <v>1488191.86</v>
      </c>
      <c r="G139">
        <v>61.37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0.66903914590747326</v>
      </c>
      <c r="Q139">
        <f t="shared" ref="Q139" si="671">F139*P139</f>
        <v>995658.6109608541</v>
      </c>
      <c r="R139">
        <f t="shared" ref="R139" si="672">R140+Q139</f>
        <v>-17475570.409569874</v>
      </c>
      <c r="S139">
        <f t="shared" ref="S139" si="673">R139/100000</f>
        <v>-174.75570409569875</v>
      </c>
      <c r="T139">
        <f t="shared" ref="T139" si="674">S139/1000</f>
        <v>-0.17475570409569874</v>
      </c>
    </row>
    <row r="140" spans="1:20" x14ac:dyDescent="0.25">
      <c r="A140" s="5">
        <v>44453</v>
      </c>
      <c r="B140">
        <v>55.06</v>
      </c>
      <c r="C140">
        <v>58.81</v>
      </c>
      <c r="D140">
        <v>54.37</v>
      </c>
      <c r="E140">
        <v>56.93</v>
      </c>
      <c r="F140">
        <v>1362715.04</v>
      </c>
      <c r="G140">
        <v>56.93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0.15315315315315292</v>
      </c>
      <c r="Q140">
        <f t="shared" ref="Q140" si="676">F140*P140</f>
        <v>208704.10522522492</v>
      </c>
      <c r="R140">
        <f t="shared" ref="R140" si="677">R141+Q140</f>
        <v>-18471229.020530727</v>
      </c>
      <c r="S140">
        <f t="shared" ref="S140" si="678">R140/100000</f>
        <v>-184.71229020530726</v>
      </c>
      <c r="T140">
        <f t="shared" ref="T140" si="679">S140/1000</f>
        <v>-0.18471229020530724</v>
      </c>
    </row>
    <row r="141" spans="1:20" x14ac:dyDescent="0.25">
      <c r="A141" s="5">
        <v>44452</v>
      </c>
      <c r="B141">
        <v>59.44</v>
      </c>
      <c r="C141">
        <v>60.27</v>
      </c>
      <c r="D141">
        <v>50.36</v>
      </c>
      <c r="E141">
        <v>55.06</v>
      </c>
      <c r="F141">
        <v>2098261.31</v>
      </c>
      <c r="G141">
        <v>55.06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-5.1463168516649629E-2</v>
      </c>
      <c r="Q141">
        <f t="shared" ref="Q141" si="681">F141*P141</f>
        <v>-107983.17538849601</v>
      </c>
      <c r="R141">
        <f t="shared" ref="R141" si="682">R142+Q141</f>
        <v>-18679933.125755951</v>
      </c>
      <c r="S141">
        <f t="shared" ref="S141" si="683">R141/100000</f>
        <v>-186.79933125755952</v>
      </c>
      <c r="T141">
        <f t="shared" ref="T141" si="684">S141/1000</f>
        <v>-0.18679933125755951</v>
      </c>
    </row>
    <row r="142" spans="1:20" x14ac:dyDescent="0.25">
      <c r="A142" s="5">
        <v>44451</v>
      </c>
      <c r="B142">
        <v>58.08</v>
      </c>
      <c r="C142">
        <v>61.88</v>
      </c>
      <c r="D142">
        <v>56.34</v>
      </c>
      <c r="E142">
        <v>59.43</v>
      </c>
      <c r="F142">
        <v>1693103.7</v>
      </c>
      <c r="G142">
        <v>59.43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0.11552346570396996</v>
      </c>
      <c r="Q142">
        <f t="shared" ref="Q142" si="686">F142*P142</f>
        <v>195593.20722021462</v>
      </c>
      <c r="R142">
        <f t="shared" ref="R142" si="687">R143+Q142</f>
        <v>-18571949.950367454</v>
      </c>
      <c r="S142">
        <f t="shared" ref="S142" si="688">R142/100000</f>
        <v>-185.71949950367454</v>
      </c>
      <c r="T142">
        <f t="shared" ref="T142" si="689">S142/1000</f>
        <v>-0.18571949950367453</v>
      </c>
    </row>
    <row r="143" spans="1:20" x14ac:dyDescent="0.25">
      <c r="A143" s="5">
        <v>44450</v>
      </c>
      <c r="B143">
        <v>56.92</v>
      </c>
      <c r="C143">
        <v>62</v>
      </c>
      <c r="D143">
        <v>55.46</v>
      </c>
      <c r="E143">
        <v>58.1</v>
      </c>
      <c r="F143">
        <v>2076336.41</v>
      </c>
      <c r="G143">
        <v>58.1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-0.19266055045871533</v>
      </c>
      <c r="Q143">
        <f t="shared" ref="Q143" si="691">F143*P143</f>
        <v>-400028.11568807281</v>
      </c>
      <c r="R143">
        <f t="shared" ref="R143" si="692">R144+Q143</f>
        <v>-18767543.15758767</v>
      </c>
      <c r="S143">
        <f t="shared" ref="S143" si="693">R143/100000</f>
        <v>-187.6754315758767</v>
      </c>
      <c r="T143">
        <f t="shared" ref="T143" si="694">S143/1000</f>
        <v>-0.18767543157587671</v>
      </c>
    </row>
    <row r="144" spans="1:20" x14ac:dyDescent="0.25">
      <c r="A144" s="5">
        <v>44449</v>
      </c>
      <c r="B144">
        <v>60.82</v>
      </c>
      <c r="C144">
        <v>63.08</v>
      </c>
      <c r="D144">
        <v>54.29</v>
      </c>
      <c r="E144">
        <v>56.91</v>
      </c>
      <c r="F144">
        <v>2637847.42</v>
      </c>
      <c r="G144">
        <v>56.91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-0.40386803185438053</v>
      </c>
      <c r="Q144">
        <f t="shared" ref="Q144" si="696">F144*P144</f>
        <v>-1065342.2458475553</v>
      </c>
      <c r="R144">
        <f t="shared" ref="R144" si="697">R145+Q144</f>
        <v>-18367515.041899595</v>
      </c>
      <c r="S144">
        <f t="shared" ref="S144" si="698">R144/100000</f>
        <v>-183.67515041899594</v>
      </c>
      <c r="T144">
        <f t="shared" ref="T144" si="699">S144/1000</f>
        <v>-0.18367515041899593</v>
      </c>
    </row>
    <row r="145" spans="1:20" x14ac:dyDescent="0.25">
      <c r="A145" s="5">
        <v>44448</v>
      </c>
      <c r="B145">
        <v>61.49</v>
      </c>
      <c r="C145">
        <v>64.63</v>
      </c>
      <c r="D145">
        <v>58.67</v>
      </c>
      <c r="E145">
        <v>60.82</v>
      </c>
      <c r="F145">
        <v>2950122.07</v>
      </c>
      <c r="G145">
        <v>60.82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-0.27852348993288562</v>
      </c>
      <c r="Q145">
        <f t="shared" ref="Q145" si="701">F145*P145</f>
        <v>-821678.29466442857</v>
      </c>
      <c r="R145">
        <f t="shared" ref="R145" si="702">R146+Q145</f>
        <v>-17302172.796052039</v>
      </c>
      <c r="S145">
        <f t="shared" ref="S145" si="703">R145/100000</f>
        <v>-173.02172796052039</v>
      </c>
      <c r="T145">
        <f t="shared" ref="T145" si="704">S145/1000</f>
        <v>-0.1730217279605204</v>
      </c>
    </row>
    <row r="146" spans="1:20" x14ac:dyDescent="0.25">
      <c r="A146" s="5">
        <v>44447</v>
      </c>
      <c r="B146">
        <v>61.23</v>
      </c>
      <c r="C146">
        <v>63.86</v>
      </c>
      <c r="D146">
        <v>55.5</v>
      </c>
      <c r="E146">
        <v>61.58</v>
      </c>
      <c r="F146">
        <v>3401162.34</v>
      </c>
      <c r="G146">
        <v>61.58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0.45454545454545425</v>
      </c>
      <c r="Q146">
        <f t="shared" ref="Q146" si="706">F146*P146</f>
        <v>1545982.8818181807</v>
      </c>
      <c r="R146">
        <f t="shared" ref="R146" si="707">R147+Q146</f>
        <v>-16480494.501387609</v>
      </c>
      <c r="S146">
        <f t="shared" ref="S146" si="708">R146/100000</f>
        <v>-164.80494501387608</v>
      </c>
      <c r="T146">
        <f t="shared" ref="T146" si="709">S146/1000</f>
        <v>-0.16480494501387608</v>
      </c>
    </row>
    <row r="147" spans="1:20" x14ac:dyDescent="0.25">
      <c r="A147" s="5">
        <v>44446</v>
      </c>
      <c r="B147">
        <v>79.52</v>
      </c>
      <c r="C147">
        <v>81.31</v>
      </c>
      <c r="D147">
        <v>55</v>
      </c>
      <c r="E147">
        <v>61.23</v>
      </c>
      <c r="F147">
        <v>6261944.6200000001</v>
      </c>
      <c r="G147">
        <v>61.23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-0.52641581147852556</v>
      </c>
      <c r="Q147">
        <f t="shared" ref="Q147" si="711">F147*P147</f>
        <v>-3296386.6585708875</v>
      </c>
      <c r="R147">
        <f t="shared" ref="R147" si="712">R148+Q147</f>
        <v>-18026477.38320579</v>
      </c>
      <c r="S147">
        <f t="shared" ref="S147" si="713">R147/100000</f>
        <v>-180.2647738320579</v>
      </c>
      <c r="T147">
        <f t="shared" ref="T147" si="714">S147/1000</f>
        <v>-0.18026477383205791</v>
      </c>
    </row>
    <row r="148" spans="1:20" x14ac:dyDescent="0.25">
      <c r="A148" s="5">
        <v>44445</v>
      </c>
      <c r="B148">
        <v>79.3</v>
      </c>
      <c r="C148">
        <v>87</v>
      </c>
      <c r="D148">
        <v>75.78</v>
      </c>
      <c r="E148">
        <v>79.55</v>
      </c>
      <c r="F148">
        <v>4082261.55</v>
      </c>
      <c r="G148">
        <v>79.55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-0.32798573975044626</v>
      </c>
      <c r="Q148">
        <f t="shared" ref="Q148" si="716">F148*P148</f>
        <v>-1338923.5743315532</v>
      </c>
      <c r="R148">
        <f t="shared" ref="R148" si="717">R149+Q148</f>
        <v>-14730090.724634903</v>
      </c>
      <c r="S148">
        <f t="shared" ref="S148" si="718">R148/100000</f>
        <v>-147.30090724634903</v>
      </c>
      <c r="T148">
        <f t="shared" ref="T148" si="719">S148/1000</f>
        <v>-0.14730090724634903</v>
      </c>
    </row>
    <row r="149" spans="1:20" x14ac:dyDescent="0.25">
      <c r="A149" s="5">
        <v>44444</v>
      </c>
      <c r="B149">
        <v>78.27</v>
      </c>
      <c r="C149">
        <v>83.61</v>
      </c>
      <c r="D149">
        <v>76.02</v>
      </c>
      <c r="E149">
        <v>79.33</v>
      </c>
      <c r="F149">
        <v>5154431.66</v>
      </c>
      <c r="G149">
        <v>79.33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-0.12779973649538845</v>
      </c>
      <c r="Q149">
        <f t="shared" ref="Q149" si="721">F149*P149</f>
        <v>-658735.00793148763</v>
      </c>
      <c r="R149">
        <f t="shared" ref="R149" si="722">R150+Q149</f>
        <v>-13391167.150303349</v>
      </c>
      <c r="S149">
        <f t="shared" ref="S149" si="723">R149/100000</f>
        <v>-133.91167150303349</v>
      </c>
      <c r="T149">
        <f t="shared" ref="T149" si="724">S149/1000</f>
        <v>-0.13391167150303349</v>
      </c>
    </row>
    <row r="150" spans="1:20" x14ac:dyDescent="0.25">
      <c r="A150" s="5">
        <v>44443</v>
      </c>
      <c r="B150">
        <v>65.849999999999994</v>
      </c>
      <c r="C150">
        <v>79</v>
      </c>
      <c r="D150">
        <v>65.400000000000006</v>
      </c>
      <c r="E150">
        <v>78.3</v>
      </c>
      <c r="F150">
        <v>4383135.9400000004</v>
      </c>
      <c r="G150">
        <v>78.3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0.89705882352941135</v>
      </c>
      <c r="Q150">
        <f t="shared" ref="Q150" si="726">F150*P150</f>
        <v>3931930.7697058809</v>
      </c>
      <c r="R150">
        <f t="shared" ref="R150" si="727">R151+Q150</f>
        <v>-12732432.142371861</v>
      </c>
      <c r="S150">
        <f t="shared" ref="S150" si="728">R150/100000</f>
        <v>-127.32432142371862</v>
      </c>
      <c r="T150">
        <f t="shared" ref="T150" si="729">S150/1000</f>
        <v>-0.12732432142371861</v>
      </c>
    </row>
    <row r="151" spans="1:20" x14ac:dyDescent="0.25">
      <c r="A151" s="5">
        <v>44442</v>
      </c>
      <c r="B151">
        <v>64.569999999999993</v>
      </c>
      <c r="C151">
        <v>68.56</v>
      </c>
      <c r="D151">
        <v>63.15</v>
      </c>
      <c r="E151">
        <v>65.819999999999993</v>
      </c>
      <c r="F151">
        <v>2062915.19</v>
      </c>
      <c r="G151">
        <v>65.819999999999993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-1.2939001848431506E-2</v>
      </c>
      <c r="Q151">
        <f t="shared" ref="Q151" si="731">F151*P151</f>
        <v>-26692.06345656743</v>
      </c>
      <c r="R151">
        <f t="shared" ref="R151" si="732">R152+Q151</f>
        <v>-16664362.912077742</v>
      </c>
      <c r="S151">
        <f t="shared" ref="S151" si="733">R151/100000</f>
        <v>-166.6436291207774</v>
      </c>
      <c r="T151">
        <f t="shared" ref="T151" si="734">S151/1000</f>
        <v>-0.1666436291207774</v>
      </c>
    </row>
    <row r="152" spans="1:20" x14ac:dyDescent="0.25">
      <c r="A152" s="5">
        <v>44441</v>
      </c>
      <c r="B152">
        <v>66.25</v>
      </c>
      <c r="C152">
        <v>68.91</v>
      </c>
      <c r="D152">
        <v>64.290000000000006</v>
      </c>
      <c r="E152">
        <v>64.58</v>
      </c>
      <c r="F152">
        <v>2150659.27</v>
      </c>
      <c r="G152">
        <v>64.58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-0.8744588744588776</v>
      </c>
      <c r="Q152">
        <f t="shared" ref="Q152" si="736">F152*P152</f>
        <v>-1880663.0845887514</v>
      </c>
      <c r="R152">
        <f t="shared" ref="R152" si="737">R153+Q152</f>
        <v>-16637670.848621175</v>
      </c>
      <c r="S152">
        <f t="shared" ref="S152" si="738">R152/100000</f>
        <v>-166.37670848621175</v>
      </c>
      <c r="T152">
        <f t="shared" ref="T152" si="739">S152/1000</f>
        <v>-0.16637670848621175</v>
      </c>
    </row>
    <row r="153" spans="1:20" x14ac:dyDescent="0.25">
      <c r="A153" s="5">
        <v>44440</v>
      </c>
      <c r="B153">
        <v>62.79</v>
      </c>
      <c r="C153">
        <v>66.459999999999994</v>
      </c>
      <c r="D153">
        <v>60.51</v>
      </c>
      <c r="E153">
        <v>66.239999999999995</v>
      </c>
      <c r="F153">
        <v>2226574.2999999998</v>
      </c>
      <c r="G153">
        <v>66.239999999999995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0.9260504201680676</v>
      </c>
      <c r="Q153">
        <f t="shared" ref="Q153" si="741">F153*P153</f>
        <v>2061920.0660504207</v>
      </c>
      <c r="R153">
        <f t="shared" ref="R153" si="742">R154+Q153</f>
        <v>-14757007.764032423</v>
      </c>
      <c r="S153">
        <f t="shared" ref="S153" si="743">R153/100000</f>
        <v>-147.57007764032423</v>
      </c>
      <c r="T153">
        <f t="shared" ref="T153" si="744">S153/1000</f>
        <v>-0.14757007764032423</v>
      </c>
    </row>
    <row r="154" spans="1:20" x14ac:dyDescent="0.25">
      <c r="A154" s="5">
        <v>44439</v>
      </c>
      <c r="B154">
        <v>64.75</v>
      </c>
      <c r="C154">
        <v>67.8</v>
      </c>
      <c r="D154">
        <v>61.84</v>
      </c>
      <c r="E154">
        <v>62.78</v>
      </c>
      <c r="F154">
        <v>2958933.76</v>
      </c>
      <c r="G154">
        <v>62.78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-0.6845637583892622</v>
      </c>
      <c r="Q154">
        <f t="shared" ref="Q154" si="746">F154*P154</f>
        <v>-2025578.8155704709</v>
      </c>
      <c r="R154">
        <f t="shared" ref="R154" si="747">R155+Q154</f>
        <v>-16818927.830082845</v>
      </c>
      <c r="S154">
        <f t="shared" ref="S154" si="748">R154/100000</f>
        <v>-168.18927830082845</v>
      </c>
      <c r="T154">
        <f t="shared" ref="T154" si="749">S154/1000</f>
        <v>-0.16818927830082844</v>
      </c>
    </row>
    <row r="155" spans="1:20" x14ac:dyDescent="0.25">
      <c r="A155" s="5">
        <v>44438</v>
      </c>
      <c r="B155">
        <v>72.040000000000006</v>
      </c>
      <c r="C155">
        <v>73.17</v>
      </c>
      <c r="D155">
        <v>63.61</v>
      </c>
      <c r="E155">
        <v>64.73</v>
      </c>
      <c r="F155">
        <v>4208025.05</v>
      </c>
      <c r="G155">
        <v>64.73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-0.76569037656903671</v>
      </c>
      <c r="Q155">
        <f t="shared" ref="Q155" si="751">F155*P155</f>
        <v>-3222044.2851464394</v>
      </c>
      <c r="R155">
        <f t="shared" ref="R155" si="752">R156+Q155</f>
        <v>-14793349.014512373</v>
      </c>
      <c r="S155">
        <f t="shared" ref="S155" si="753">R155/100000</f>
        <v>-147.93349014512373</v>
      </c>
      <c r="T155">
        <f t="shared" ref="T155" si="754">S155/1000</f>
        <v>-0.14793349014512372</v>
      </c>
    </row>
    <row r="156" spans="1:20" x14ac:dyDescent="0.25">
      <c r="A156" s="5">
        <v>44437</v>
      </c>
      <c r="B156">
        <v>65.099999999999994</v>
      </c>
      <c r="C156">
        <v>74.8</v>
      </c>
      <c r="D156">
        <v>61.52</v>
      </c>
      <c r="E156">
        <v>72</v>
      </c>
      <c r="F156">
        <v>4740028.97</v>
      </c>
      <c r="G156">
        <v>72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0.57831325301204839</v>
      </c>
      <c r="Q156">
        <f t="shared" ref="Q156" si="756">F156*P156</f>
        <v>2741221.5730120488</v>
      </c>
      <c r="R156">
        <f t="shared" ref="R156" si="757">R157+Q156</f>
        <v>-11571304.729365934</v>
      </c>
      <c r="S156">
        <f t="shared" ref="S156" si="758">R156/100000</f>
        <v>-115.71304729365934</v>
      </c>
      <c r="T156">
        <f t="shared" ref="T156" si="759">S156/1000</f>
        <v>-0.11571304729365935</v>
      </c>
    </row>
    <row r="157" spans="1:20" x14ac:dyDescent="0.25">
      <c r="A157" s="5">
        <v>44436</v>
      </c>
      <c r="B157">
        <v>62.73</v>
      </c>
      <c r="C157">
        <v>68.64</v>
      </c>
      <c r="D157">
        <v>61.75</v>
      </c>
      <c r="E157">
        <v>65.08</v>
      </c>
      <c r="F157">
        <v>3246411.13</v>
      </c>
      <c r="G157">
        <v>65.08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-3.338171262699622E-2</v>
      </c>
      <c r="Q157">
        <f t="shared" ref="Q157" si="761">F157*P157</f>
        <v>-108370.76341074206</v>
      </c>
      <c r="R157">
        <f t="shared" ref="R157" si="762">R158+Q157</f>
        <v>-14312526.302377982</v>
      </c>
      <c r="S157">
        <f t="shared" ref="S157" si="763">R157/100000</f>
        <v>-143.12526302377981</v>
      </c>
      <c r="T157">
        <f t="shared" ref="T157" si="764">S157/1000</f>
        <v>-0.14312526302377981</v>
      </c>
    </row>
    <row r="158" spans="1:20" x14ac:dyDescent="0.25">
      <c r="A158" s="5">
        <v>44435</v>
      </c>
      <c r="B158">
        <v>56.51</v>
      </c>
      <c r="C158">
        <v>63.6</v>
      </c>
      <c r="D158">
        <v>54.5</v>
      </c>
      <c r="E158">
        <v>62.7</v>
      </c>
      <c r="F158">
        <v>2790034.75</v>
      </c>
      <c r="G158">
        <v>62.7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0.80219780219780257</v>
      </c>
      <c r="Q158">
        <f t="shared" ref="Q158" si="766">F158*P158</f>
        <v>2238159.7445054958</v>
      </c>
      <c r="R158">
        <f t="shared" ref="R158" si="767">R159+Q158</f>
        <v>-14204155.538967241</v>
      </c>
      <c r="S158">
        <f t="shared" ref="S158" si="768">R158/100000</f>
        <v>-142.0415553896724</v>
      </c>
      <c r="T158">
        <f t="shared" ref="T158" si="769">S158/1000</f>
        <v>-0.14204155538967239</v>
      </c>
    </row>
    <row r="159" spans="1:20" x14ac:dyDescent="0.25">
      <c r="A159" s="5">
        <v>44434</v>
      </c>
      <c r="B159">
        <v>62.18</v>
      </c>
      <c r="C159">
        <v>63.2</v>
      </c>
      <c r="D159">
        <v>56.01</v>
      </c>
      <c r="E159">
        <v>56.45</v>
      </c>
      <c r="F159">
        <v>2388830.12</v>
      </c>
      <c r="G159">
        <v>56.45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-0.87760778859527</v>
      </c>
      <c r="Q159">
        <f t="shared" ref="Q159" si="771">F159*P159</f>
        <v>-2096455.9189429735</v>
      </c>
      <c r="R159">
        <f t="shared" ref="R159" si="772">R160+Q159</f>
        <v>-16442315.283472737</v>
      </c>
      <c r="S159">
        <f t="shared" ref="S159" si="773">R159/100000</f>
        <v>-164.42315283472738</v>
      </c>
      <c r="T159">
        <f t="shared" ref="T159" si="774">S159/1000</f>
        <v>-0.16442315283472739</v>
      </c>
    </row>
    <row r="160" spans="1:20" x14ac:dyDescent="0.25">
      <c r="A160" s="5">
        <v>44433</v>
      </c>
      <c r="B160">
        <v>59.22</v>
      </c>
      <c r="C160">
        <v>63.8</v>
      </c>
      <c r="D160">
        <v>55.85</v>
      </c>
      <c r="E160">
        <v>62.18</v>
      </c>
      <c r="F160">
        <v>2217825.2799999998</v>
      </c>
      <c r="G160">
        <v>62.18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0.59245283018867967</v>
      </c>
      <c r="Q160">
        <f t="shared" ref="Q160" si="776">F160*P160</f>
        <v>1313956.8640000008</v>
      </c>
      <c r="R160">
        <f t="shared" ref="R160" si="777">R161+Q160</f>
        <v>-14345859.364529764</v>
      </c>
      <c r="S160">
        <f t="shared" ref="S160" si="778">R160/100000</f>
        <v>-143.45859364529764</v>
      </c>
      <c r="T160">
        <f t="shared" ref="T160" si="779">S160/1000</f>
        <v>-0.14345859364529764</v>
      </c>
    </row>
    <row r="161" spans="1:20" x14ac:dyDescent="0.25">
      <c r="A161" s="5">
        <v>44432</v>
      </c>
      <c r="B161">
        <v>65.63</v>
      </c>
      <c r="C161">
        <v>66.900000000000006</v>
      </c>
      <c r="D161">
        <v>57.55</v>
      </c>
      <c r="E161">
        <v>59.23</v>
      </c>
      <c r="F161">
        <v>1837048.65</v>
      </c>
      <c r="G161">
        <v>59.23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-0.64064171122994695</v>
      </c>
      <c r="Q161">
        <f t="shared" ref="Q161" si="781">F161*P161</f>
        <v>-1176889.9907486639</v>
      </c>
      <c r="R161">
        <f t="shared" ref="R161" si="782">R162+Q161</f>
        <v>-15659816.228529764</v>
      </c>
      <c r="S161">
        <f t="shared" ref="S161" si="783">R161/100000</f>
        <v>-156.59816228529763</v>
      </c>
      <c r="T161">
        <f t="shared" ref="T161" si="784">S161/1000</f>
        <v>-0.15659816228529763</v>
      </c>
    </row>
    <row r="162" spans="1:20" x14ac:dyDescent="0.25">
      <c r="A162" s="5">
        <v>44431</v>
      </c>
      <c r="B162">
        <v>64.59</v>
      </c>
      <c r="C162">
        <v>67.62</v>
      </c>
      <c r="D162">
        <v>63.35</v>
      </c>
      <c r="E162">
        <v>65.62</v>
      </c>
      <c r="F162">
        <v>1638778.66</v>
      </c>
      <c r="G162">
        <v>65.62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6.32318501170967E-2</v>
      </c>
      <c r="Q162">
        <f t="shared" ref="Q162" si="786">F162*P162</f>
        <v>103623.00660421657</v>
      </c>
      <c r="R162">
        <f t="shared" ref="R162" si="787">R163+Q162</f>
        <v>-14482926.2377811</v>
      </c>
      <c r="S162">
        <f t="shared" ref="S162" si="788">R162/100000</f>
        <v>-144.82926237781101</v>
      </c>
      <c r="T162">
        <f t="shared" ref="T162" si="789">S162/1000</f>
        <v>-0.14482926237781102</v>
      </c>
    </row>
    <row r="163" spans="1:20" x14ac:dyDescent="0.25">
      <c r="A163" s="5">
        <v>44430</v>
      </c>
      <c r="B163">
        <v>64.62</v>
      </c>
      <c r="C163">
        <v>67</v>
      </c>
      <c r="D163">
        <v>64.069999999999993</v>
      </c>
      <c r="E163">
        <v>66.150000000000006</v>
      </c>
      <c r="F163">
        <v>320809.52</v>
      </c>
      <c r="G163">
        <v>66.150000000000006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0.41979522184300866</v>
      </c>
      <c r="Q163">
        <f t="shared" ref="Q163" si="791">F163*P163</f>
        <v>134674.30361774913</v>
      </c>
      <c r="R163">
        <f t="shared" ref="R163" si="792">R164+Q163</f>
        <v>-14586549.244385317</v>
      </c>
      <c r="S163">
        <f t="shared" ref="S163" si="793">R163/100000</f>
        <v>-145.86549244385316</v>
      </c>
      <c r="T163">
        <f t="shared" ref="T163" si="794">S163/1000</f>
        <v>-0.14586549244385316</v>
      </c>
    </row>
    <row r="164" spans="1:20" x14ac:dyDescent="0.25">
      <c r="A164" s="5">
        <v>44429</v>
      </c>
      <c r="B164">
        <v>67.91</v>
      </c>
      <c r="C164">
        <v>69.42</v>
      </c>
      <c r="D164">
        <v>63.8</v>
      </c>
      <c r="E164">
        <v>64.58</v>
      </c>
      <c r="F164">
        <v>1848095.15</v>
      </c>
      <c r="G164">
        <v>64.58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-0.72241992882562256</v>
      </c>
      <c r="Q164">
        <f t="shared" ref="Q164" si="796">F164*P164</f>
        <v>-1335100.7667259781</v>
      </c>
      <c r="R164">
        <f t="shared" ref="R164" si="797">R165+Q164</f>
        <v>-14721223.548003066</v>
      </c>
      <c r="S164">
        <f t="shared" ref="S164" si="798">R164/100000</f>
        <v>-147.21223548003067</v>
      </c>
      <c r="T164">
        <f t="shared" ref="T164" si="799">S164/1000</f>
        <v>-0.14721223548003068</v>
      </c>
    </row>
    <row r="165" spans="1:20" x14ac:dyDescent="0.25">
      <c r="A165" s="5">
        <v>44428</v>
      </c>
      <c r="B165">
        <v>67.13</v>
      </c>
      <c r="C165">
        <v>71</v>
      </c>
      <c r="D165">
        <v>65.680000000000007</v>
      </c>
      <c r="E165">
        <v>67.91</v>
      </c>
      <c r="F165">
        <v>2833802.04</v>
      </c>
      <c r="G165">
        <v>67.91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-0.16165413533834863</v>
      </c>
      <c r="Q165">
        <f t="shared" ref="Q165" si="801">F165*P165</f>
        <v>-458095.81849624845</v>
      </c>
      <c r="R165">
        <f t="shared" ref="R165" si="802">R166+Q165</f>
        <v>-13386122.781277088</v>
      </c>
      <c r="S165">
        <f t="shared" ref="S165" si="803">R165/100000</f>
        <v>-133.86122781277089</v>
      </c>
      <c r="T165">
        <f t="shared" ref="T165" si="804">S165/1000</f>
        <v>-0.13386122781277091</v>
      </c>
    </row>
    <row r="166" spans="1:20" x14ac:dyDescent="0.25">
      <c r="A166" s="5">
        <v>44427</v>
      </c>
      <c r="B166">
        <v>58.53</v>
      </c>
      <c r="C166">
        <v>69.08</v>
      </c>
      <c r="D166">
        <v>57.74</v>
      </c>
      <c r="E166">
        <v>67.150000000000006</v>
      </c>
      <c r="F166">
        <v>4652427.9400000004</v>
      </c>
      <c r="G166">
        <v>67.150000000000006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0.65961199294532746</v>
      </c>
      <c r="Q166">
        <f t="shared" ref="Q166" si="806">F166*P166</f>
        <v>3068797.2655379246</v>
      </c>
      <c r="R166">
        <f t="shared" ref="R166" si="807">R167+Q166</f>
        <v>-12928026.962780841</v>
      </c>
      <c r="S166">
        <f t="shared" ref="S166" si="808">R166/100000</f>
        <v>-129.28026962780839</v>
      </c>
      <c r="T166">
        <f t="shared" ref="T166" si="809">S166/1000</f>
        <v>-0.12928026962780839</v>
      </c>
    </row>
    <row r="167" spans="1:20" x14ac:dyDescent="0.25">
      <c r="A167" s="5">
        <v>44426</v>
      </c>
      <c r="B167">
        <v>56.11</v>
      </c>
      <c r="C167">
        <v>61.53</v>
      </c>
      <c r="D167">
        <v>54.1</v>
      </c>
      <c r="E167">
        <v>58.53</v>
      </c>
      <c r="F167">
        <v>2646746.85</v>
      </c>
      <c r="G167">
        <v>58.53</v>
      </c>
      <c r="L167" t="s">
        <v>8</v>
      </c>
      <c r="M167" t="s">
        <v>7</v>
      </c>
      <c r="N167" t="s">
        <v>7</v>
      </c>
      <c r="P167">
        <f t="shared" ref="P167" si="810">IF(C167=D167,0,((E167-D167)-(C167-E167))/(C167-D167))</f>
        <v>0.1924629878869448</v>
      </c>
      <c r="Q167">
        <f t="shared" ref="Q167" si="811">F167*P167</f>
        <v>509400.80693135934</v>
      </c>
      <c r="R167">
        <f t="shared" ref="R167" si="812">R168+Q167</f>
        <v>-15996824.228318766</v>
      </c>
      <c r="S167">
        <f t="shared" ref="S167" si="813">R167/100000</f>
        <v>-159.96824228318766</v>
      </c>
      <c r="T167">
        <f t="shared" ref="T167" si="814">S167/1000</f>
        <v>-0.15996824228318765</v>
      </c>
    </row>
    <row r="168" spans="1:20" x14ac:dyDescent="0.25">
      <c r="A168" s="5">
        <v>44425</v>
      </c>
      <c r="B168">
        <v>61.06</v>
      </c>
      <c r="C168">
        <v>64.2</v>
      </c>
      <c r="D168">
        <v>54.34</v>
      </c>
      <c r="E168">
        <v>56.05</v>
      </c>
      <c r="F168">
        <v>2928722.01</v>
      </c>
      <c r="G168">
        <v>56.05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-0.65314401622718177</v>
      </c>
      <c r="Q168">
        <f t="shared" ref="Q168" si="816">F168*P168</f>
        <v>-1912877.2560243444</v>
      </c>
      <c r="R168">
        <f t="shared" ref="R168" si="817">R169+Q168</f>
        <v>-16506225.035250125</v>
      </c>
      <c r="S168">
        <f t="shared" ref="S168" si="818">R168/100000</f>
        <v>-165.06225035250125</v>
      </c>
      <c r="T168">
        <f t="shared" ref="T168" si="819">S168/1000</f>
        <v>-0.16506225035250124</v>
      </c>
    </row>
    <row r="169" spans="1:20" x14ac:dyDescent="0.25">
      <c r="A169" s="5">
        <v>44424</v>
      </c>
      <c r="B169">
        <v>63.4</v>
      </c>
      <c r="C169">
        <v>67.900000000000006</v>
      </c>
      <c r="D169">
        <v>60.07</v>
      </c>
      <c r="E169">
        <v>61.06</v>
      </c>
      <c r="F169">
        <v>3043095.42</v>
      </c>
      <c r="G169">
        <v>61.06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-0.74712643678160884</v>
      </c>
      <c r="Q169">
        <f t="shared" ref="Q169" si="821">F169*P169</f>
        <v>-2273577.0379310334</v>
      </c>
      <c r="R169">
        <f t="shared" ref="R169" si="822">R170+Q169</f>
        <v>-14593347.779225782</v>
      </c>
      <c r="S169">
        <f t="shared" ref="S169" si="823">R169/100000</f>
        <v>-145.9334777922578</v>
      </c>
      <c r="T169">
        <f t="shared" ref="T169" si="824">S169/1000</f>
        <v>-0.14593347779225779</v>
      </c>
    </row>
    <row r="170" spans="1:20" x14ac:dyDescent="0.25">
      <c r="A170" s="5">
        <v>44423</v>
      </c>
      <c r="B170">
        <v>64.209999999999994</v>
      </c>
      <c r="C170">
        <v>65</v>
      </c>
      <c r="D170">
        <v>58.28</v>
      </c>
      <c r="E170">
        <v>63.4</v>
      </c>
      <c r="F170">
        <v>2267542.06</v>
      </c>
      <c r="G170">
        <v>63.4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0.52380952380952328</v>
      </c>
      <c r="Q170">
        <f t="shared" ref="Q170" si="826">F170*P170</f>
        <v>1187760.1266666655</v>
      </c>
      <c r="R170">
        <f t="shared" ref="R170" si="827">R171+Q170</f>
        <v>-12319770.741294747</v>
      </c>
      <c r="S170">
        <f t="shared" ref="S170" si="828">R170/100000</f>
        <v>-123.19770741294747</v>
      </c>
      <c r="T170">
        <f t="shared" ref="T170" si="829">S170/1000</f>
        <v>-0.12319770741294747</v>
      </c>
    </row>
    <row r="171" spans="1:20" x14ac:dyDescent="0.25">
      <c r="A171" s="5">
        <v>44422</v>
      </c>
      <c r="B171">
        <v>68.25</v>
      </c>
      <c r="C171">
        <v>68.33</v>
      </c>
      <c r="D171">
        <v>62.05</v>
      </c>
      <c r="E171">
        <v>64.2</v>
      </c>
      <c r="F171">
        <v>2359398.2999999998</v>
      </c>
      <c r="G171">
        <v>64.2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-0.31528662420381998</v>
      </c>
      <c r="Q171">
        <f t="shared" ref="Q171" si="831">F171*P171</f>
        <v>-743886.72515923169</v>
      </c>
      <c r="R171">
        <f t="shared" ref="R171" si="832">R172+Q171</f>
        <v>-13507530.867961412</v>
      </c>
      <c r="S171">
        <f t="shared" ref="S171" si="833">R171/100000</f>
        <v>-135.07530867961412</v>
      </c>
      <c r="T171">
        <f t="shared" ref="T171" si="834">S171/1000</f>
        <v>-0.13507530867961412</v>
      </c>
    </row>
    <row r="172" spans="1:20" x14ac:dyDescent="0.25">
      <c r="A172" s="5">
        <v>44421</v>
      </c>
      <c r="B172">
        <v>64.2</v>
      </c>
      <c r="C172">
        <v>69.09</v>
      </c>
      <c r="D172">
        <v>62.76</v>
      </c>
      <c r="E172">
        <v>68.23</v>
      </c>
      <c r="F172">
        <v>2327234.7000000002</v>
      </c>
      <c r="G172">
        <v>68.23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0.72827804107424998</v>
      </c>
      <c r="Q172">
        <f t="shared" ref="Q172" si="836">F172*P172</f>
        <v>1694873.9284360199</v>
      </c>
      <c r="R172">
        <f t="shared" ref="R172" si="837">R173+Q172</f>
        <v>-12763644.142802181</v>
      </c>
      <c r="S172">
        <f t="shared" ref="S172" si="838">R172/100000</f>
        <v>-127.63644142802181</v>
      </c>
      <c r="T172">
        <f t="shared" ref="T172" si="839">S172/1000</f>
        <v>-0.1276364414280218</v>
      </c>
    </row>
    <row r="173" spans="1:20" x14ac:dyDescent="0.25">
      <c r="A173" s="5">
        <v>44420</v>
      </c>
      <c r="B173">
        <v>67.14</v>
      </c>
      <c r="C173">
        <v>72.319999999999993</v>
      </c>
      <c r="D173">
        <v>60</v>
      </c>
      <c r="E173">
        <v>64.180000000000007</v>
      </c>
      <c r="F173">
        <v>3749481.74</v>
      </c>
      <c r="G173">
        <v>64.180000000000007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-0.32142857142856995</v>
      </c>
      <c r="Q173">
        <f t="shared" ref="Q173" si="841">F173*P173</f>
        <v>-1205190.5592857089</v>
      </c>
      <c r="R173">
        <f t="shared" ref="R173" si="842">R174+Q173</f>
        <v>-14458518.071238201</v>
      </c>
      <c r="S173">
        <f t="shared" ref="S173" si="843">R173/100000</f>
        <v>-144.585180712382</v>
      </c>
      <c r="T173">
        <f t="shared" ref="T173" si="844">S173/1000</f>
        <v>-0.14458518071238199</v>
      </c>
    </row>
    <row r="174" spans="1:20" x14ac:dyDescent="0.25">
      <c r="A174" s="5">
        <v>44419</v>
      </c>
      <c r="B174">
        <v>71.61</v>
      </c>
      <c r="C174">
        <v>77</v>
      </c>
      <c r="D174">
        <v>65.569999999999993</v>
      </c>
      <c r="E174">
        <v>67.16</v>
      </c>
      <c r="F174">
        <v>4614502.53</v>
      </c>
      <c r="G174">
        <v>67.16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-0.72178477690288667</v>
      </c>
      <c r="Q174">
        <f t="shared" ref="Q174" si="846">F174*P174</f>
        <v>-3330677.6791338562</v>
      </c>
      <c r="R174">
        <f t="shared" ref="R174" si="847">R175+Q174</f>
        <v>-13253327.511952491</v>
      </c>
      <c r="S174">
        <f t="shared" ref="S174" si="848">R174/100000</f>
        <v>-132.53327511952492</v>
      </c>
      <c r="T174">
        <f t="shared" ref="T174" si="849">S174/1000</f>
        <v>-0.13253327511952492</v>
      </c>
    </row>
    <row r="175" spans="1:20" x14ac:dyDescent="0.25">
      <c r="A175" s="5">
        <v>44418</v>
      </c>
      <c r="B175">
        <v>64.25</v>
      </c>
      <c r="C175">
        <v>76.58</v>
      </c>
      <c r="D175">
        <v>61.37</v>
      </c>
      <c r="E175">
        <v>71.599999999999994</v>
      </c>
      <c r="F175">
        <v>6028075.7800000003</v>
      </c>
      <c r="G175">
        <v>71.599999999999994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0.34516765285996004</v>
      </c>
      <c r="Q175">
        <f t="shared" ref="Q175" si="851">F175*P175</f>
        <v>2080696.7682445729</v>
      </c>
      <c r="R175">
        <f t="shared" ref="R175" si="852">R176+Q175</f>
        <v>-9922649.8328186348</v>
      </c>
      <c r="S175">
        <f t="shared" ref="S175" si="853">R175/100000</f>
        <v>-99.226498328186352</v>
      </c>
      <c r="T175">
        <f t="shared" ref="T175" si="854">S175/1000</f>
        <v>-9.9226498328186349E-2</v>
      </c>
    </row>
    <row r="176" spans="1:20" x14ac:dyDescent="0.25">
      <c r="A176" s="5">
        <v>44417</v>
      </c>
      <c r="B176">
        <v>55.23</v>
      </c>
      <c r="C176">
        <v>68.900000000000006</v>
      </c>
      <c r="D176">
        <v>52.73</v>
      </c>
      <c r="E176">
        <v>64.25</v>
      </c>
      <c r="F176">
        <v>5812629.3700000001</v>
      </c>
      <c r="G176">
        <v>64.25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0.42486085343228164</v>
      </c>
      <c r="Q176">
        <f t="shared" ref="Q176" si="856">F176*P176</f>
        <v>2469558.6748237456</v>
      </c>
      <c r="R176">
        <f t="shared" ref="R176" si="857">R177+Q176</f>
        <v>-12003346.601063207</v>
      </c>
      <c r="S176">
        <f t="shared" ref="S176" si="858">R176/100000</f>
        <v>-120.03346601063207</v>
      </c>
      <c r="T176">
        <f t="shared" ref="T176" si="859">S176/1000</f>
        <v>-0.12003346601063207</v>
      </c>
    </row>
    <row r="177" spans="1:20" x14ac:dyDescent="0.25">
      <c r="A177" s="5">
        <v>44416</v>
      </c>
      <c r="B177">
        <v>61.66</v>
      </c>
      <c r="C177">
        <v>62.29</v>
      </c>
      <c r="D177">
        <v>53.2</v>
      </c>
      <c r="E177">
        <v>55.27</v>
      </c>
      <c r="F177">
        <v>3954451.43</v>
      </c>
      <c r="G177">
        <v>55.27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-0.54455445544554426</v>
      </c>
      <c r="Q177">
        <f t="shared" ref="Q177" si="861">F177*P177</f>
        <v>-2153414.145049504</v>
      </c>
      <c r="R177">
        <f t="shared" ref="R177" si="862">R178+Q177</f>
        <v>-14472905.275886953</v>
      </c>
      <c r="S177">
        <f t="shared" ref="S177" si="863">R177/100000</f>
        <v>-144.72905275886953</v>
      </c>
      <c r="T177">
        <f t="shared" ref="T177" si="864">S177/1000</f>
        <v>-0.14472905275886952</v>
      </c>
    </row>
    <row r="178" spans="1:20" x14ac:dyDescent="0.25">
      <c r="A178" s="5">
        <v>44415</v>
      </c>
      <c r="B178">
        <v>48.27</v>
      </c>
      <c r="C178">
        <v>66.180000000000007</v>
      </c>
      <c r="D178">
        <v>47.87</v>
      </c>
      <c r="E178">
        <v>61.65</v>
      </c>
      <c r="F178">
        <v>7547111.04</v>
      </c>
      <c r="G178">
        <v>61.65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0.50518842162752531</v>
      </c>
      <c r="Q178">
        <f t="shared" ref="Q178" si="866">F178*P178</f>
        <v>3812713.114145271</v>
      </c>
      <c r="R178">
        <f t="shared" ref="R178" si="867">R179+Q178</f>
        <v>-12319491.130837448</v>
      </c>
      <c r="S178">
        <f t="shared" ref="S178" si="868">R178/100000</f>
        <v>-123.19491130837449</v>
      </c>
      <c r="T178">
        <f t="shared" ref="T178" si="869">S178/1000</f>
        <v>-0.12319491130837448</v>
      </c>
    </row>
    <row r="179" spans="1:20" x14ac:dyDescent="0.25">
      <c r="A179" s="5">
        <v>44414</v>
      </c>
      <c r="B179">
        <v>42.1</v>
      </c>
      <c r="C179">
        <v>52.5</v>
      </c>
      <c r="D179">
        <v>40.450000000000003</v>
      </c>
      <c r="E179">
        <v>48.27</v>
      </c>
      <c r="F179">
        <v>4556012.16</v>
      </c>
      <c r="G179">
        <v>48.27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0.29792531120331983</v>
      </c>
      <c r="Q179">
        <f t="shared" ref="Q179" si="871">F179*P179</f>
        <v>1357351.3406141095</v>
      </c>
      <c r="R179">
        <f t="shared" ref="R179" si="872">R180+Q179</f>
        <v>-16132204.244982719</v>
      </c>
      <c r="S179">
        <f t="shared" ref="S179" si="873">R179/100000</f>
        <v>-161.32204244982719</v>
      </c>
      <c r="T179">
        <f t="shared" ref="T179" si="874">S179/1000</f>
        <v>-0.1613220424498272</v>
      </c>
    </row>
    <row r="180" spans="1:20" x14ac:dyDescent="0.25">
      <c r="A180" s="5">
        <v>44413</v>
      </c>
      <c r="B180">
        <v>39.31</v>
      </c>
      <c r="C180">
        <v>42.75</v>
      </c>
      <c r="D180">
        <v>38.119999999999997</v>
      </c>
      <c r="E180">
        <v>42.1</v>
      </c>
      <c r="F180">
        <v>1605678.43</v>
      </c>
      <c r="G180">
        <v>42.1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0.71922246220302455</v>
      </c>
      <c r="Q180">
        <f t="shared" ref="Q180" si="876">F180*P180</f>
        <v>1154839.9939308867</v>
      </c>
      <c r="R180">
        <f t="shared" ref="R180" si="877">R181+Q180</f>
        <v>-17489555.58559683</v>
      </c>
      <c r="S180">
        <f t="shared" ref="S180" si="878">R180/100000</f>
        <v>-174.8955558559683</v>
      </c>
      <c r="T180">
        <f t="shared" ref="T180" si="879">S180/1000</f>
        <v>-0.1748955558559683</v>
      </c>
    </row>
    <row r="181" spans="1:20" x14ac:dyDescent="0.25">
      <c r="A181" s="5">
        <v>44412</v>
      </c>
      <c r="B181">
        <v>38.549999999999997</v>
      </c>
      <c r="C181">
        <v>40.46</v>
      </c>
      <c r="D181">
        <v>37.78</v>
      </c>
      <c r="E181">
        <v>39.32</v>
      </c>
      <c r="F181">
        <v>1373394.84</v>
      </c>
      <c r="G181">
        <v>39.32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0.14925373134328307</v>
      </c>
      <c r="Q181">
        <f t="shared" ref="Q181" si="881">F181*P181</f>
        <v>204984.30447761124</v>
      </c>
      <c r="R181">
        <f t="shared" ref="R181" si="882">R182+Q181</f>
        <v>-18644395.579527717</v>
      </c>
      <c r="S181">
        <f t="shared" ref="S181" si="883">R181/100000</f>
        <v>-186.44395579527716</v>
      </c>
      <c r="T181">
        <f t="shared" ref="T181" si="884">S181/1000</f>
        <v>-0.18644395579527717</v>
      </c>
    </row>
    <row r="182" spans="1:20" x14ac:dyDescent="0.25">
      <c r="A182" s="5">
        <v>44411</v>
      </c>
      <c r="B182">
        <v>40.200000000000003</v>
      </c>
      <c r="C182">
        <v>40.659999999999997</v>
      </c>
      <c r="D182">
        <v>37.51</v>
      </c>
      <c r="E182">
        <v>38.53</v>
      </c>
      <c r="F182">
        <v>1391723.45</v>
      </c>
      <c r="G182">
        <v>38.53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-0.35238095238095013</v>
      </c>
      <c r="Q182">
        <f t="shared" ref="Q182" si="886">F182*P182</f>
        <v>-490416.83476190158</v>
      </c>
      <c r="R182">
        <f t="shared" ref="R182" si="887">R183+Q182</f>
        <v>-18849379.884005327</v>
      </c>
      <c r="S182">
        <f t="shared" ref="S182" si="888">R182/100000</f>
        <v>-188.49379884005327</v>
      </c>
      <c r="T182">
        <f t="shared" ref="T182" si="889">S182/1000</f>
        <v>-0.18849379884005327</v>
      </c>
    </row>
    <row r="183" spans="1:20" x14ac:dyDescent="0.25">
      <c r="A183" s="5">
        <v>44410</v>
      </c>
      <c r="B183">
        <v>40.86</v>
      </c>
      <c r="C183">
        <v>41.51</v>
      </c>
      <c r="D183">
        <v>39.71</v>
      </c>
      <c r="E183">
        <v>40.18</v>
      </c>
      <c r="F183">
        <v>1304588.71</v>
      </c>
      <c r="G183">
        <v>40.18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-0.47777777777777819</v>
      </c>
      <c r="Q183">
        <f t="shared" ref="Q183" si="891">F183*P183</f>
        <v>-623303.49477777828</v>
      </c>
      <c r="R183">
        <f t="shared" ref="R183" si="892">R184+Q183</f>
        <v>-18358963.049243424</v>
      </c>
      <c r="S183">
        <f t="shared" ref="S183" si="893">R183/100000</f>
        <v>-183.58963049243425</v>
      </c>
      <c r="T183">
        <f t="shared" ref="T183" si="894">S183/1000</f>
        <v>-0.18358963049243426</v>
      </c>
    </row>
    <row r="184" spans="1:20" x14ac:dyDescent="0.25">
      <c r="A184" s="5">
        <v>44409</v>
      </c>
      <c r="B184">
        <v>41.95</v>
      </c>
      <c r="C184">
        <v>44.66</v>
      </c>
      <c r="D184">
        <v>40.61</v>
      </c>
      <c r="E184">
        <v>40.869999999999997</v>
      </c>
      <c r="F184">
        <v>1879639.57</v>
      </c>
      <c r="G184">
        <v>40.869999999999997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-0.87160493827160579</v>
      </c>
      <c r="Q184">
        <f t="shared" ref="Q184" si="896">F184*P184</f>
        <v>-1638303.1313827178</v>
      </c>
      <c r="R184">
        <f t="shared" ref="R184" si="897">R185+Q184</f>
        <v>-17735659.554465644</v>
      </c>
      <c r="S184">
        <f t="shared" ref="S184" si="898">R184/100000</f>
        <v>-177.35659554465644</v>
      </c>
      <c r="T184">
        <f t="shared" ref="T184" si="899">S184/1000</f>
        <v>-0.17735659554465644</v>
      </c>
    </row>
    <row r="185" spans="1:20" x14ac:dyDescent="0.25">
      <c r="A185" s="5">
        <v>44408</v>
      </c>
      <c r="B185">
        <v>42.21</v>
      </c>
      <c r="C185">
        <v>43.97</v>
      </c>
      <c r="D185">
        <v>40.36</v>
      </c>
      <c r="E185">
        <v>41.97</v>
      </c>
      <c r="F185">
        <v>1840642.86</v>
      </c>
      <c r="G185">
        <v>41.97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-0.10803324099723009</v>
      </c>
      <c r="Q185">
        <f t="shared" ref="Q185" si="901">F185*P185</f>
        <v>-198850.61368421087</v>
      </c>
      <c r="R185">
        <f t="shared" ref="R185" si="902">R186+Q185</f>
        <v>-16097356.423082925</v>
      </c>
      <c r="S185">
        <f t="shared" ref="S185" si="903">R185/100000</f>
        <v>-160.97356423082925</v>
      </c>
      <c r="T185">
        <f t="shared" ref="T185" si="904">S185/1000</f>
        <v>-0.16097356423082926</v>
      </c>
    </row>
    <row r="186" spans="1:20" x14ac:dyDescent="0.25">
      <c r="A186" s="5">
        <v>44407</v>
      </c>
      <c r="B186">
        <v>41.25</v>
      </c>
      <c r="C186">
        <v>42.76</v>
      </c>
      <c r="D186">
        <v>38.19</v>
      </c>
      <c r="E186">
        <v>42.19</v>
      </c>
      <c r="F186">
        <v>1766069.8</v>
      </c>
      <c r="G186">
        <v>42.19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0.75054704595185984</v>
      </c>
      <c r="Q186">
        <f t="shared" ref="Q186" si="906">F186*P186</f>
        <v>1325518.471334792</v>
      </c>
      <c r="R186">
        <f t="shared" ref="R186" si="907">R187+Q186</f>
        <v>-15898505.809398714</v>
      </c>
      <c r="S186">
        <f t="shared" ref="S186" si="908">R186/100000</f>
        <v>-158.98505809398713</v>
      </c>
      <c r="T186">
        <f t="shared" ref="T186" si="909">S186/1000</f>
        <v>-0.15898505809398714</v>
      </c>
    </row>
    <row r="187" spans="1:20" x14ac:dyDescent="0.25">
      <c r="A187" s="5">
        <v>44406</v>
      </c>
      <c r="B187">
        <v>40.770000000000003</v>
      </c>
      <c r="C187">
        <v>41.92</v>
      </c>
      <c r="D187">
        <v>39.03</v>
      </c>
      <c r="E187">
        <v>41.25</v>
      </c>
      <c r="F187">
        <v>1347700.76</v>
      </c>
      <c r="G187">
        <v>41.25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0.53633217993079474</v>
      </c>
      <c r="Q187">
        <f t="shared" ref="Q187" si="911">F187*P187</f>
        <v>722815.28650518879</v>
      </c>
      <c r="R187">
        <f t="shared" ref="R187" si="912">R188+Q187</f>
        <v>-17224024.280733507</v>
      </c>
      <c r="S187">
        <f t="shared" ref="S187" si="913">R187/100000</f>
        <v>-172.24024280733508</v>
      </c>
      <c r="T187">
        <f t="shared" ref="T187" si="914">S187/1000</f>
        <v>-0.17224024280733508</v>
      </c>
    </row>
    <row r="188" spans="1:20" x14ac:dyDescent="0.25">
      <c r="A188" s="5">
        <v>44405</v>
      </c>
      <c r="B188">
        <v>41.03</v>
      </c>
      <c r="C188">
        <v>43.85</v>
      </c>
      <c r="D188">
        <v>39.270000000000003</v>
      </c>
      <c r="E188">
        <v>40.75</v>
      </c>
      <c r="F188">
        <v>2427977.48</v>
      </c>
      <c r="G188">
        <v>40.75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-0.3537117903930142</v>
      </c>
      <c r="Q188">
        <f t="shared" ref="Q188" si="916">F188*P188</f>
        <v>-858804.26148471888</v>
      </c>
      <c r="R188">
        <f t="shared" ref="R188" si="917">R189+Q188</f>
        <v>-17946839.567238696</v>
      </c>
      <c r="S188">
        <f t="shared" ref="S188" si="918">R188/100000</f>
        <v>-179.46839567238695</v>
      </c>
      <c r="T188">
        <f t="shared" ref="T188" si="919">S188/1000</f>
        <v>-0.17946839567238695</v>
      </c>
    </row>
    <row r="189" spans="1:20" x14ac:dyDescent="0.25">
      <c r="A189" s="5">
        <v>44404</v>
      </c>
      <c r="B189">
        <v>40.590000000000003</v>
      </c>
      <c r="C189">
        <v>41.79</v>
      </c>
      <c r="D189">
        <v>37.46</v>
      </c>
      <c r="E189">
        <v>41.01</v>
      </c>
      <c r="F189">
        <v>3223737.65</v>
      </c>
      <c r="G189">
        <v>41.01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0.6397228637413388</v>
      </c>
      <c r="Q189">
        <f t="shared" ref="Q189" si="921">F189*P189</f>
        <v>2062298.6814087736</v>
      </c>
      <c r="R189">
        <f t="shared" ref="R189" si="922">R190+Q189</f>
        <v>-17088035.305753976</v>
      </c>
      <c r="S189">
        <f t="shared" ref="S189" si="923">R189/100000</f>
        <v>-170.88035305753976</v>
      </c>
      <c r="T189">
        <f t="shared" ref="T189" si="924">S189/1000</f>
        <v>-0.17088035305753976</v>
      </c>
    </row>
    <row r="190" spans="1:20" x14ac:dyDescent="0.25">
      <c r="A190" s="5">
        <v>44403</v>
      </c>
      <c r="B190">
        <v>42.59</v>
      </c>
      <c r="C190">
        <v>48.2</v>
      </c>
      <c r="D190">
        <v>40.479999999999997</v>
      </c>
      <c r="E190">
        <v>40.6</v>
      </c>
      <c r="F190">
        <v>3939219.13</v>
      </c>
      <c r="G190">
        <v>40.6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-0.96891191709844449</v>
      </c>
      <c r="Q190">
        <f t="shared" ref="Q190" si="926">F190*P190</f>
        <v>-3816756.3591191666</v>
      </c>
      <c r="R190">
        <f t="shared" ref="R190" si="927">R191+Q190</f>
        <v>-19150333.98716275</v>
      </c>
      <c r="S190">
        <f t="shared" ref="S190" si="928">R190/100000</f>
        <v>-191.5033398716275</v>
      </c>
      <c r="T190">
        <f t="shared" ref="T190" si="929">S190/1000</f>
        <v>-0.19150333987162751</v>
      </c>
    </row>
    <row r="191" spans="1:20" x14ac:dyDescent="0.25">
      <c r="A191" s="5">
        <v>44402</v>
      </c>
      <c r="B191">
        <v>43.49</v>
      </c>
      <c r="C191">
        <v>46.04</v>
      </c>
      <c r="D191">
        <v>40.380000000000003</v>
      </c>
      <c r="E191">
        <v>42.6</v>
      </c>
      <c r="F191">
        <v>4365420.01</v>
      </c>
      <c r="G191">
        <v>42.6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-0.21554770318021194</v>
      </c>
      <c r="Q191">
        <f t="shared" ref="Q191" si="931">F191*P191</f>
        <v>-940956.25657243782</v>
      </c>
      <c r="R191">
        <f t="shared" ref="R191" si="932">R192+Q191</f>
        <v>-15333577.628043585</v>
      </c>
      <c r="S191">
        <f t="shared" ref="S191" si="933">R191/100000</f>
        <v>-153.33577628043585</v>
      </c>
      <c r="T191">
        <f t="shared" ref="T191:T197" si="934">S191/1000</f>
        <v>-0.15333577628043585</v>
      </c>
    </row>
    <row r="192" spans="1:20" x14ac:dyDescent="0.25">
      <c r="A192" s="5">
        <v>44401</v>
      </c>
      <c r="B192">
        <v>34.65</v>
      </c>
      <c r="C192">
        <v>45.74</v>
      </c>
      <c r="D192">
        <v>33.83</v>
      </c>
      <c r="E192">
        <v>43.48</v>
      </c>
      <c r="F192">
        <v>4780213.0199999996</v>
      </c>
      <c r="G192">
        <v>43.48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0.62048698572627969</v>
      </c>
      <c r="Q192">
        <f t="shared" ref="Q192" si="936">F192*P192</f>
        <v>2966059.9679093161</v>
      </c>
      <c r="R192">
        <f t="shared" ref="R192" si="937">R193+Q192</f>
        <v>-14392621.371471146</v>
      </c>
      <c r="S192">
        <f t="shared" ref="S192" si="938">R192/100000</f>
        <v>-143.92621371471145</v>
      </c>
      <c r="T192">
        <f t="shared" si="934"/>
        <v>-0.14392621371471145</v>
      </c>
    </row>
    <row r="193" spans="1:20" x14ac:dyDescent="0.25">
      <c r="A193" s="5">
        <v>44400</v>
      </c>
      <c r="B193">
        <v>33.75</v>
      </c>
      <c r="C193">
        <v>35.090000000000003</v>
      </c>
      <c r="D193">
        <v>31.68</v>
      </c>
      <c r="E193">
        <v>34.65</v>
      </c>
      <c r="F193">
        <v>1721674.64</v>
      </c>
      <c r="G193">
        <v>34.65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0.7419354838709652</v>
      </c>
      <c r="Q193">
        <f t="shared" ref="Q193" si="940">F193*P193</f>
        <v>1277371.5070967698</v>
      </c>
      <c r="R193">
        <f t="shared" ref="R193" si="941">R194+Q193</f>
        <v>-17358681.339380462</v>
      </c>
      <c r="S193">
        <f t="shared" ref="S193" si="942">R193/100000</f>
        <v>-173.58681339380462</v>
      </c>
      <c r="T193">
        <f t="shared" si="934"/>
        <v>-0.17358681339380461</v>
      </c>
    </row>
    <row r="194" spans="1:20" x14ac:dyDescent="0.25">
      <c r="A194" s="5">
        <v>44399</v>
      </c>
      <c r="B194">
        <v>33.49</v>
      </c>
      <c r="C194">
        <v>35.5</v>
      </c>
      <c r="D194">
        <v>32.15</v>
      </c>
      <c r="E194">
        <v>33.75</v>
      </c>
      <c r="F194">
        <v>2705596.56</v>
      </c>
      <c r="G194">
        <v>33.75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-4.4776119402984635E-2</v>
      </c>
      <c r="Q194">
        <f t="shared" ref="Q194" si="944">F194*P194</f>
        <v>-121146.11462686448</v>
      </c>
      <c r="R194">
        <f t="shared" ref="R194" si="945">R195+Q194</f>
        <v>-18636052.846477233</v>
      </c>
      <c r="S194">
        <f t="shared" ref="S194" si="946">R194/100000</f>
        <v>-186.36052846477233</v>
      </c>
      <c r="T194">
        <f t="shared" si="934"/>
        <v>-0.18636052846477233</v>
      </c>
    </row>
    <row r="195" spans="1:20" x14ac:dyDescent="0.25">
      <c r="A195" s="5">
        <v>44398</v>
      </c>
      <c r="B195">
        <v>28.54</v>
      </c>
      <c r="C195">
        <v>35.159999999999997</v>
      </c>
      <c r="D195">
        <v>27.74</v>
      </c>
      <c r="E195">
        <v>33.51</v>
      </c>
      <c r="F195">
        <v>2226540.52</v>
      </c>
      <c r="G195">
        <v>33.51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0.5552560646900272</v>
      </c>
      <c r="Q195">
        <f t="shared" ref="Q195" si="948">F195*P195</f>
        <v>1236300.1270080868</v>
      </c>
      <c r="R195">
        <f t="shared" ref="R195" si="949">R196+Q195</f>
        <v>-18514906.731850367</v>
      </c>
      <c r="S195">
        <f t="shared" ref="S195" si="950">R195/100000</f>
        <v>-185.14906731850368</v>
      </c>
      <c r="T195">
        <f t="shared" si="934"/>
        <v>-0.1851490673185037</v>
      </c>
    </row>
    <row r="196" spans="1:20" x14ac:dyDescent="0.25">
      <c r="A196" s="5">
        <v>44397</v>
      </c>
      <c r="B196">
        <v>30.92</v>
      </c>
      <c r="C196">
        <v>31.55</v>
      </c>
      <c r="D196">
        <v>26.9</v>
      </c>
      <c r="E196">
        <v>28.53</v>
      </c>
      <c r="F196">
        <v>1376424.88</v>
      </c>
      <c r="G196">
        <v>28.53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-0.29892473118279494</v>
      </c>
      <c r="Q196">
        <f t="shared" ref="Q196" si="952">F196*P196</f>
        <v>-411447.43724731077</v>
      </c>
      <c r="R196">
        <f t="shared" ref="R196" si="953">R197+Q196</f>
        <v>-19751206.858858455</v>
      </c>
      <c r="S196">
        <f t="shared" ref="S196" si="954">R196/100000</f>
        <v>-197.51206858858455</v>
      </c>
      <c r="T196">
        <f t="shared" si="934"/>
        <v>-0.19751206858858456</v>
      </c>
    </row>
    <row r="197" spans="1:20" x14ac:dyDescent="0.25">
      <c r="A197" s="5">
        <v>44396</v>
      </c>
      <c r="B197">
        <v>32.36</v>
      </c>
      <c r="C197">
        <v>32.590000000000003</v>
      </c>
      <c r="D197">
        <v>29.81</v>
      </c>
      <c r="E197">
        <v>30.92</v>
      </c>
      <c r="F197">
        <v>876692.94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-0.2014388489208625</v>
      </c>
      <c r="Q197">
        <f t="shared" ref="Q197" si="956">F197*P197</f>
        <v>-176600.01669064676</v>
      </c>
      <c r="R197">
        <f t="shared" ref="R197" si="957">R198+Q197</f>
        <v>-19339759.421611145</v>
      </c>
      <c r="S197">
        <f t="shared" ref="S197" si="958">R197/100000</f>
        <v>-193.39759421611146</v>
      </c>
      <c r="T197">
        <f t="shared" si="934"/>
        <v>-0.19339759421611147</v>
      </c>
    </row>
    <row r="198" spans="1:20" x14ac:dyDescent="0.25">
      <c r="A198" s="5">
        <v>44395</v>
      </c>
      <c r="B198">
        <v>32.28</v>
      </c>
      <c r="C198">
        <v>34.799999999999997</v>
      </c>
      <c r="D198">
        <v>31.86</v>
      </c>
      <c r="E198">
        <v>32.36</v>
      </c>
      <c r="F198">
        <v>899628.77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-0.65986394557823103</v>
      </c>
      <c r="Q198">
        <f t="shared" ref="Q198:Q261" si="960">F198*P198</f>
        <v>-593632.58972789091</v>
      </c>
      <c r="R198">
        <f t="shared" ref="R198:R261" si="961">R199+Q198</f>
        <v>-19163159.4049205</v>
      </c>
      <c r="S198">
        <f t="shared" ref="S198:S261" si="962">R198/100000</f>
        <v>-191.63159404920501</v>
      </c>
      <c r="T198">
        <f t="shared" ref="T198:T261" si="963">S198/1000</f>
        <v>-0.19163159404920502</v>
      </c>
    </row>
    <row r="199" spans="1:20" x14ac:dyDescent="0.25">
      <c r="A199" s="5">
        <v>44394</v>
      </c>
      <c r="B199">
        <v>32.36</v>
      </c>
      <c r="C199">
        <v>33.51</v>
      </c>
      <c r="D199">
        <v>31.13</v>
      </c>
      <c r="E199">
        <v>32.270000000000003</v>
      </c>
      <c r="F199">
        <v>998923.24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-4.2016806722685214E-2</v>
      </c>
      <c r="Q199">
        <f t="shared" si="960"/>
        <v>-41971.564705878496</v>
      </c>
      <c r="R199">
        <f t="shared" si="961"/>
        <v>-18569526.81519261</v>
      </c>
      <c r="S199">
        <f t="shared" si="962"/>
        <v>-185.69526815192609</v>
      </c>
      <c r="T199">
        <f t="shared" si="963"/>
        <v>-0.18569526815192608</v>
      </c>
    </row>
    <row r="200" spans="1:20" x14ac:dyDescent="0.25">
      <c r="A200" s="5">
        <v>44393</v>
      </c>
      <c r="B200">
        <v>35.99</v>
      </c>
      <c r="C200">
        <v>36.119999999999997</v>
      </c>
      <c r="D200">
        <v>32.14</v>
      </c>
      <c r="E200">
        <v>32.369999999999997</v>
      </c>
      <c r="F200">
        <v>1117974.43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-0.88442211055276532</v>
      </c>
      <c r="Q200">
        <f t="shared" si="960"/>
        <v>-988761.30492462474</v>
      </c>
      <c r="R200">
        <f t="shared" si="961"/>
        <v>-18527555.250486732</v>
      </c>
      <c r="S200">
        <f t="shared" si="962"/>
        <v>-185.27555250486731</v>
      </c>
      <c r="T200">
        <f t="shared" si="963"/>
        <v>-0.1852755525048673</v>
      </c>
    </row>
    <row r="201" spans="1:20" x14ac:dyDescent="0.25">
      <c r="A201" s="5">
        <v>44392</v>
      </c>
      <c r="B201">
        <v>36.86</v>
      </c>
      <c r="C201">
        <v>38.39</v>
      </c>
      <c r="D201">
        <v>35.299999999999997</v>
      </c>
      <c r="E201">
        <v>35.96</v>
      </c>
      <c r="F201">
        <v>1358762.63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-0.5728155339805806</v>
      </c>
      <c r="Q201">
        <f t="shared" si="960"/>
        <v>-778320.34145630803</v>
      </c>
      <c r="R201">
        <f t="shared" si="961"/>
        <v>-17538793.945562106</v>
      </c>
      <c r="S201">
        <f t="shared" si="962"/>
        <v>-175.38793945562105</v>
      </c>
      <c r="T201">
        <f t="shared" si="963"/>
        <v>-0.17538793945562106</v>
      </c>
    </row>
    <row r="202" spans="1:20" x14ac:dyDescent="0.25">
      <c r="A202" s="5">
        <v>44391</v>
      </c>
      <c r="B202">
        <v>38.979999999999997</v>
      </c>
      <c r="C202">
        <v>39.86</v>
      </c>
      <c r="D202">
        <v>35.270000000000003</v>
      </c>
      <c r="E202">
        <v>36.89</v>
      </c>
      <c r="F202">
        <v>2086244.42</v>
      </c>
      <c r="G202">
        <v>0</v>
      </c>
      <c r="L202" t="s">
        <v>8</v>
      </c>
      <c r="M202" t="s">
        <v>7</v>
      </c>
      <c r="N202" t="s">
        <v>7</v>
      </c>
      <c r="P202">
        <f t="shared" si="959"/>
        <v>-0.29411764705882409</v>
      </c>
      <c r="Q202">
        <f t="shared" si="960"/>
        <v>-613601.30000000121</v>
      </c>
      <c r="R202">
        <f t="shared" si="961"/>
        <v>-16760473.604105799</v>
      </c>
      <c r="S202">
        <f t="shared" si="962"/>
        <v>-167.60473604105798</v>
      </c>
      <c r="T202">
        <f t="shared" si="963"/>
        <v>-0.16760473604105797</v>
      </c>
    </row>
    <row r="203" spans="1:20" x14ac:dyDescent="0.25">
      <c r="A203" s="5">
        <v>44390</v>
      </c>
      <c r="B203">
        <v>37.21</v>
      </c>
      <c r="C203">
        <v>39.950000000000003</v>
      </c>
      <c r="D203">
        <v>35.21</v>
      </c>
      <c r="E203">
        <v>38.92</v>
      </c>
      <c r="F203">
        <v>1471520.55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0.5654008438818563</v>
      </c>
      <c r="Q203">
        <f t="shared" si="960"/>
        <v>831998.96075949329</v>
      </c>
      <c r="R203">
        <f t="shared" si="961"/>
        <v>-16146872.304105798</v>
      </c>
      <c r="S203">
        <f t="shared" si="962"/>
        <v>-161.46872304105798</v>
      </c>
      <c r="T203">
        <f t="shared" si="963"/>
        <v>-0.16146872304105797</v>
      </c>
    </row>
    <row r="204" spans="1:20" x14ac:dyDescent="0.25">
      <c r="A204" s="5">
        <v>44389</v>
      </c>
      <c r="B204">
        <v>39.74</v>
      </c>
      <c r="C204">
        <v>40.99</v>
      </c>
      <c r="D204">
        <v>35.909999999999997</v>
      </c>
      <c r="E204">
        <v>37.22</v>
      </c>
      <c r="F204">
        <v>1035412.03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-0.48425196850393665</v>
      </c>
      <c r="Q204">
        <f t="shared" si="960"/>
        <v>-501400.31374015711</v>
      </c>
      <c r="R204">
        <f t="shared" si="961"/>
        <v>-16978871.26486529</v>
      </c>
      <c r="S204">
        <f t="shared" si="962"/>
        <v>-169.7887126486529</v>
      </c>
      <c r="T204">
        <f t="shared" si="963"/>
        <v>-0.16978871264865292</v>
      </c>
    </row>
    <row r="205" spans="1:20" x14ac:dyDescent="0.25">
      <c r="A205" s="5">
        <v>44388</v>
      </c>
      <c r="B205">
        <v>38.619999999999997</v>
      </c>
      <c r="C205">
        <v>41.46</v>
      </c>
      <c r="D205">
        <v>37.729999999999997</v>
      </c>
      <c r="E205">
        <v>39.71</v>
      </c>
      <c r="F205">
        <v>1073749.97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6.166219839142191E-2</v>
      </c>
      <c r="Q205">
        <f t="shared" si="960"/>
        <v>66209.783672923324</v>
      </c>
      <c r="R205">
        <f t="shared" si="961"/>
        <v>-16477470.951125132</v>
      </c>
      <c r="S205">
        <f t="shared" si="962"/>
        <v>-164.77470951125133</v>
      </c>
      <c r="T205">
        <f t="shared" si="963"/>
        <v>-0.16477470951125134</v>
      </c>
    </row>
    <row r="206" spans="1:20" x14ac:dyDescent="0.25">
      <c r="A206" s="5">
        <v>44387</v>
      </c>
      <c r="B206">
        <v>40.57</v>
      </c>
      <c r="C206">
        <v>42.11</v>
      </c>
      <c r="D206">
        <v>37.61</v>
      </c>
      <c r="E206">
        <v>38.64</v>
      </c>
      <c r="F206">
        <v>1190654.8500000001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-0.54222222222222172</v>
      </c>
      <c r="Q206">
        <f t="shared" si="960"/>
        <v>-645599.51866666612</v>
      </c>
      <c r="R206">
        <f t="shared" si="961"/>
        <v>-16543680.734798055</v>
      </c>
      <c r="S206">
        <f t="shared" si="962"/>
        <v>-165.43680734798056</v>
      </c>
      <c r="T206">
        <f t="shared" si="963"/>
        <v>-0.16543680734798055</v>
      </c>
    </row>
    <row r="207" spans="1:20" x14ac:dyDescent="0.25">
      <c r="A207" s="5">
        <v>44386</v>
      </c>
      <c r="B207">
        <v>40.270000000000003</v>
      </c>
      <c r="C207">
        <v>42.52</v>
      </c>
      <c r="D207">
        <v>37.28</v>
      </c>
      <c r="E207">
        <v>40.6</v>
      </c>
      <c r="F207">
        <v>1377879.2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0.26717557251908358</v>
      </c>
      <c r="Q207">
        <f t="shared" si="960"/>
        <v>368135.66412213683</v>
      </c>
      <c r="R207">
        <f t="shared" si="961"/>
        <v>-15898081.216131389</v>
      </c>
      <c r="S207">
        <f t="shared" si="962"/>
        <v>-158.98081216131388</v>
      </c>
      <c r="T207">
        <f t="shared" si="963"/>
        <v>-0.15898081216131388</v>
      </c>
    </row>
    <row r="208" spans="1:20" x14ac:dyDescent="0.25">
      <c r="A208" s="5">
        <v>44385</v>
      </c>
      <c r="B208">
        <v>45.37</v>
      </c>
      <c r="C208">
        <v>45.5</v>
      </c>
      <c r="D208">
        <v>39.159999999999997</v>
      </c>
      <c r="E208">
        <v>40.28</v>
      </c>
      <c r="F208">
        <v>1723697.25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-0.64668769716088204</v>
      </c>
      <c r="Q208">
        <f t="shared" si="960"/>
        <v>-1114693.8052050453</v>
      </c>
      <c r="R208">
        <f t="shared" si="961"/>
        <v>-16266216.880253525</v>
      </c>
      <c r="S208">
        <f t="shared" si="962"/>
        <v>-162.66216880253526</v>
      </c>
      <c r="T208">
        <f t="shared" si="963"/>
        <v>-0.16266216880253526</v>
      </c>
    </row>
    <row r="209" spans="1:20" x14ac:dyDescent="0.25">
      <c r="A209" s="5">
        <v>44384</v>
      </c>
      <c r="B209">
        <v>46.2</v>
      </c>
      <c r="C209">
        <v>47.95</v>
      </c>
      <c r="D209">
        <v>45</v>
      </c>
      <c r="E209">
        <v>45.37</v>
      </c>
      <c r="F209">
        <v>1486321.71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-0.74915254237288331</v>
      </c>
      <c r="Q209">
        <f t="shared" si="960"/>
        <v>-1113481.6878305112</v>
      </c>
      <c r="R209">
        <f t="shared" si="961"/>
        <v>-15151523.07504848</v>
      </c>
      <c r="S209">
        <f t="shared" si="962"/>
        <v>-151.51523075048479</v>
      </c>
      <c r="T209">
        <f t="shared" si="963"/>
        <v>-0.15151523075048479</v>
      </c>
    </row>
    <row r="210" spans="1:20" x14ac:dyDescent="0.25">
      <c r="A210" s="5">
        <v>44383</v>
      </c>
      <c r="B210">
        <v>46.24</v>
      </c>
      <c r="C210">
        <v>48.45</v>
      </c>
      <c r="D210">
        <v>45</v>
      </c>
      <c r="E210">
        <v>46.2</v>
      </c>
      <c r="F210">
        <v>1682990.23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-0.30434782608695543</v>
      </c>
      <c r="Q210">
        <f t="shared" si="960"/>
        <v>-512214.41782608512</v>
      </c>
      <c r="R210">
        <f t="shared" si="961"/>
        <v>-14038041.387217969</v>
      </c>
      <c r="S210">
        <f t="shared" si="962"/>
        <v>-140.38041387217967</v>
      </c>
      <c r="T210">
        <f t="shared" si="963"/>
        <v>-0.14038041387217967</v>
      </c>
    </row>
    <row r="211" spans="1:20" x14ac:dyDescent="0.25">
      <c r="A211" s="5">
        <v>44382</v>
      </c>
      <c r="B211">
        <v>46.72</v>
      </c>
      <c r="C211">
        <v>48</v>
      </c>
      <c r="D211">
        <v>44</v>
      </c>
      <c r="E211">
        <v>46.22</v>
      </c>
      <c r="F211">
        <v>2131768.0499999998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0.10999999999999943</v>
      </c>
      <c r="Q211">
        <f t="shared" si="960"/>
        <v>234494.48549999876</v>
      </c>
      <c r="R211">
        <f t="shared" si="961"/>
        <v>-13525826.969391884</v>
      </c>
      <c r="S211">
        <f t="shared" si="962"/>
        <v>-135.25826969391883</v>
      </c>
      <c r="T211">
        <f t="shared" si="963"/>
        <v>-0.13525826969391883</v>
      </c>
    </row>
    <row r="212" spans="1:20" x14ac:dyDescent="0.25">
      <c r="A212" s="5">
        <v>44381</v>
      </c>
      <c r="B212">
        <v>48.77</v>
      </c>
      <c r="C212">
        <v>50.98</v>
      </c>
      <c r="D212">
        <v>46.43</v>
      </c>
      <c r="E212">
        <v>46.71</v>
      </c>
      <c r="F212">
        <v>2116096.87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-0.87692307692307636</v>
      </c>
      <c r="Q212">
        <f t="shared" si="960"/>
        <v>-1855654.1783076911</v>
      </c>
      <c r="R212">
        <f t="shared" si="961"/>
        <v>-13760321.454891883</v>
      </c>
      <c r="S212">
        <f t="shared" si="962"/>
        <v>-137.60321454891883</v>
      </c>
      <c r="T212">
        <f t="shared" si="963"/>
        <v>-0.13760321454891883</v>
      </c>
    </row>
    <row r="213" spans="1:20" x14ac:dyDescent="0.25">
      <c r="A213" s="5">
        <v>44380</v>
      </c>
      <c r="B213">
        <v>43.86</v>
      </c>
      <c r="C213">
        <v>50</v>
      </c>
      <c r="D213">
        <v>42.72</v>
      </c>
      <c r="E213">
        <v>48.74</v>
      </c>
      <c r="F213">
        <v>2483121.27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0.65384615384615441</v>
      </c>
      <c r="Q213">
        <f t="shared" si="960"/>
        <v>1623579.2919230782</v>
      </c>
      <c r="R213">
        <f t="shared" si="961"/>
        <v>-11904667.276584191</v>
      </c>
      <c r="S213">
        <f t="shared" si="962"/>
        <v>-119.04667276584192</v>
      </c>
      <c r="T213">
        <f t="shared" si="963"/>
        <v>-0.11904667276584192</v>
      </c>
    </row>
    <row r="214" spans="1:20" x14ac:dyDescent="0.25">
      <c r="A214" s="5">
        <v>44379</v>
      </c>
      <c r="B214">
        <v>45.69</v>
      </c>
      <c r="C214">
        <v>47.43</v>
      </c>
      <c r="D214">
        <v>41.42</v>
      </c>
      <c r="E214">
        <v>43.87</v>
      </c>
      <c r="F214">
        <v>2459456.31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-0.18469217970050031</v>
      </c>
      <c r="Q214">
        <f t="shared" si="960"/>
        <v>-454242.34677204938</v>
      </c>
      <c r="R214">
        <f t="shared" si="961"/>
        <v>-13528246.568507269</v>
      </c>
      <c r="S214">
        <f t="shared" si="962"/>
        <v>-135.28246568507268</v>
      </c>
      <c r="T214">
        <f t="shared" si="963"/>
        <v>-0.13528246568507268</v>
      </c>
    </row>
    <row r="215" spans="1:20" x14ac:dyDescent="0.25">
      <c r="A215" s="5">
        <v>44378</v>
      </c>
      <c r="B215">
        <v>49.92</v>
      </c>
      <c r="C215">
        <v>50.79</v>
      </c>
      <c r="D215">
        <v>44.2</v>
      </c>
      <c r="E215">
        <v>45.69</v>
      </c>
      <c r="F215">
        <v>3381335.99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-0.54779969650986471</v>
      </c>
      <c r="Q215">
        <f t="shared" si="960"/>
        <v>-1852294.829119883</v>
      </c>
      <c r="R215">
        <f t="shared" si="961"/>
        <v>-13074004.22173522</v>
      </c>
      <c r="S215">
        <f t="shared" si="962"/>
        <v>-130.7400422173522</v>
      </c>
      <c r="T215">
        <f t="shared" si="963"/>
        <v>-0.13074004221735219</v>
      </c>
    </row>
    <row r="216" spans="1:20" x14ac:dyDescent="0.25">
      <c r="A216" s="5">
        <v>44377</v>
      </c>
      <c r="B216">
        <v>54.16</v>
      </c>
      <c r="C216">
        <v>54.69</v>
      </c>
      <c r="D216">
        <v>43.2</v>
      </c>
      <c r="E216">
        <v>49.94</v>
      </c>
      <c r="F216">
        <v>6250390.7800000003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0.17319408181026943</v>
      </c>
      <c r="Q216">
        <f t="shared" si="960"/>
        <v>1082530.6920974739</v>
      </c>
      <c r="R216">
        <f t="shared" si="961"/>
        <v>-11221709.392615337</v>
      </c>
      <c r="S216">
        <f t="shared" si="962"/>
        <v>-112.21709392615337</v>
      </c>
      <c r="T216">
        <f t="shared" si="963"/>
        <v>-0.11221709392615337</v>
      </c>
    </row>
    <row r="217" spans="1:20" x14ac:dyDescent="0.25">
      <c r="A217" s="5">
        <v>44376</v>
      </c>
      <c r="B217">
        <v>51.21</v>
      </c>
      <c r="C217">
        <v>59.45</v>
      </c>
      <c r="D217">
        <v>46.79</v>
      </c>
      <c r="E217">
        <v>54.22</v>
      </c>
      <c r="F217">
        <v>5280307.53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0.17377567140600278</v>
      </c>
      <c r="Q217">
        <f t="shared" si="960"/>
        <v>917588.98625592224</v>
      </c>
      <c r="R217">
        <f t="shared" si="961"/>
        <v>-12304240.084712811</v>
      </c>
      <c r="S217">
        <f t="shared" si="962"/>
        <v>-123.04240084712811</v>
      </c>
      <c r="T217">
        <f t="shared" si="963"/>
        <v>-0.12304240084712811</v>
      </c>
    </row>
    <row r="218" spans="1:20" x14ac:dyDescent="0.25">
      <c r="A218" s="5">
        <v>44375</v>
      </c>
      <c r="B218">
        <v>42.99</v>
      </c>
      <c r="C218">
        <v>51.5</v>
      </c>
      <c r="D218">
        <v>40.479999999999997</v>
      </c>
      <c r="E218">
        <v>51.26</v>
      </c>
      <c r="F218">
        <v>5785634.8899999997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0.95644283121597062</v>
      </c>
      <c r="Q218">
        <f t="shared" si="960"/>
        <v>5533629.0145735005</v>
      </c>
      <c r="R218">
        <f t="shared" si="961"/>
        <v>-13221829.070968732</v>
      </c>
      <c r="S218">
        <f t="shared" si="962"/>
        <v>-132.21829070968732</v>
      </c>
      <c r="T218">
        <f t="shared" si="963"/>
        <v>-0.13221829070968733</v>
      </c>
    </row>
    <row r="219" spans="1:20" x14ac:dyDescent="0.25">
      <c r="A219" s="5">
        <v>44374</v>
      </c>
      <c r="B219">
        <v>30.32</v>
      </c>
      <c r="C219">
        <v>46</v>
      </c>
      <c r="D219">
        <v>29.45</v>
      </c>
      <c r="E219">
        <v>43</v>
      </c>
      <c r="F219">
        <v>4776729.13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0.63746223564954685</v>
      </c>
      <c r="Q219">
        <f t="shared" si="960"/>
        <v>3044984.4303021147</v>
      </c>
      <c r="R219">
        <f t="shared" si="961"/>
        <v>-18755458.085542232</v>
      </c>
      <c r="S219">
        <f t="shared" si="962"/>
        <v>-187.55458085542233</v>
      </c>
      <c r="T219">
        <f t="shared" si="963"/>
        <v>-0.18755458085542234</v>
      </c>
    </row>
    <row r="220" spans="1:20" x14ac:dyDescent="0.25">
      <c r="A220" s="5">
        <v>44373</v>
      </c>
      <c r="B220">
        <v>31.11</v>
      </c>
      <c r="C220">
        <v>33.75</v>
      </c>
      <c r="D220">
        <v>28.26</v>
      </c>
      <c r="E220">
        <v>30.34</v>
      </c>
      <c r="F220">
        <v>2335156.08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-0.24225865209471809</v>
      </c>
      <c r="Q220">
        <f t="shared" si="960"/>
        <v>-565711.76437158568</v>
      </c>
      <c r="R220">
        <f t="shared" si="961"/>
        <v>-21800442.515844345</v>
      </c>
      <c r="S220">
        <f t="shared" si="962"/>
        <v>-218.00442515844344</v>
      </c>
      <c r="T220">
        <f t="shared" si="963"/>
        <v>-0.21800442515844343</v>
      </c>
    </row>
    <row r="221" spans="1:20" x14ac:dyDescent="0.25">
      <c r="A221" s="5">
        <v>44372</v>
      </c>
      <c r="B221">
        <v>34.61</v>
      </c>
      <c r="C221">
        <v>36.700000000000003</v>
      </c>
      <c r="D221">
        <v>30.7</v>
      </c>
      <c r="E221">
        <v>31.13</v>
      </c>
      <c r="F221">
        <v>2238122.0699999998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-0.8566666666666668</v>
      </c>
      <c r="Q221">
        <f t="shared" si="960"/>
        <v>-1917324.5733</v>
      </c>
      <c r="R221">
        <f t="shared" si="961"/>
        <v>-21234730.75147276</v>
      </c>
      <c r="S221">
        <f t="shared" si="962"/>
        <v>-212.34730751472759</v>
      </c>
      <c r="T221">
        <f t="shared" si="963"/>
        <v>-0.21234730751472758</v>
      </c>
    </row>
    <row r="222" spans="1:20" x14ac:dyDescent="0.25">
      <c r="A222" s="5">
        <v>44371</v>
      </c>
      <c r="B222">
        <v>37.74</v>
      </c>
      <c r="C222">
        <v>38.89</v>
      </c>
      <c r="D222">
        <v>33.119999999999997</v>
      </c>
      <c r="E222">
        <v>34.6</v>
      </c>
      <c r="F222">
        <v>2212299.09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-0.48700173310225192</v>
      </c>
      <c r="Q222">
        <f t="shared" si="960"/>
        <v>-1077393.4909705347</v>
      </c>
      <c r="R222">
        <f t="shared" si="961"/>
        <v>-19317406.17817276</v>
      </c>
      <c r="S222">
        <f t="shared" si="962"/>
        <v>-193.1740617817276</v>
      </c>
      <c r="T222">
        <f t="shared" si="963"/>
        <v>-0.19317406178172761</v>
      </c>
    </row>
    <row r="223" spans="1:20" x14ac:dyDescent="0.25">
      <c r="A223" s="5">
        <v>44370</v>
      </c>
      <c r="B223">
        <v>34.520000000000003</v>
      </c>
      <c r="C223">
        <v>41.5</v>
      </c>
      <c r="D223">
        <v>32.86</v>
      </c>
      <c r="E223">
        <v>37.75</v>
      </c>
      <c r="F223">
        <v>2192089.96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0.1319444444444445</v>
      </c>
      <c r="Q223">
        <f t="shared" si="960"/>
        <v>289234.09194444458</v>
      </c>
      <c r="R223">
        <f t="shared" si="961"/>
        <v>-18240012.687202226</v>
      </c>
      <c r="S223">
        <f t="shared" si="962"/>
        <v>-182.40012687202227</v>
      </c>
      <c r="T223">
        <f t="shared" si="963"/>
        <v>-0.18240012687202228</v>
      </c>
    </row>
    <row r="224" spans="1:20" x14ac:dyDescent="0.25">
      <c r="A224" s="5">
        <v>44369</v>
      </c>
      <c r="B224">
        <v>36.659999999999997</v>
      </c>
      <c r="C224">
        <v>40.130000000000003</v>
      </c>
      <c r="D224">
        <v>31.82</v>
      </c>
      <c r="E224">
        <v>34.54</v>
      </c>
      <c r="F224">
        <v>2316371.81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-0.34536702767749744</v>
      </c>
      <c r="Q224">
        <f t="shared" si="960"/>
        <v>-799998.44701564487</v>
      </c>
      <c r="R224">
        <f t="shared" si="961"/>
        <v>-18529246.779146671</v>
      </c>
      <c r="S224">
        <f t="shared" si="962"/>
        <v>-185.29246779146672</v>
      </c>
      <c r="T224">
        <f t="shared" si="963"/>
        <v>-0.18529246779146671</v>
      </c>
    </row>
    <row r="225" spans="1:20" x14ac:dyDescent="0.25">
      <c r="A225" s="5">
        <v>44368</v>
      </c>
      <c r="B225">
        <v>47.12</v>
      </c>
      <c r="C225">
        <v>47.64</v>
      </c>
      <c r="D225">
        <v>36.200000000000003</v>
      </c>
      <c r="E225">
        <v>36.61</v>
      </c>
      <c r="F225">
        <v>2441109.2200000002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-0.92832167832167889</v>
      </c>
      <c r="Q225">
        <f t="shared" si="960"/>
        <v>-2266134.6080769245</v>
      </c>
      <c r="R225">
        <f t="shared" si="961"/>
        <v>-17729248.332131028</v>
      </c>
      <c r="S225">
        <f t="shared" si="962"/>
        <v>-177.29248332131027</v>
      </c>
      <c r="T225">
        <f t="shared" si="963"/>
        <v>-0.17729248332131028</v>
      </c>
    </row>
    <row r="226" spans="1:20" x14ac:dyDescent="0.25">
      <c r="A226" s="5">
        <v>44367</v>
      </c>
      <c r="B226">
        <v>48.64</v>
      </c>
      <c r="C226">
        <v>50.7</v>
      </c>
      <c r="D226">
        <v>44</v>
      </c>
      <c r="E226">
        <v>47.1</v>
      </c>
      <c r="F226">
        <v>1463587.92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-7.4626865671641757E-2</v>
      </c>
      <c r="Q226">
        <f t="shared" si="960"/>
        <v>-109222.97910447756</v>
      </c>
      <c r="R226">
        <f t="shared" si="961"/>
        <v>-15463113.724054104</v>
      </c>
      <c r="S226">
        <f t="shared" si="962"/>
        <v>-154.63113724054105</v>
      </c>
      <c r="T226">
        <f t="shared" si="963"/>
        <v>-0.15463113724054106</v>
      </c>
    </row>
    <row r="227" spans="1:20" x14ac:dyDescent="0.25">
      <c r="A227" s="5">
        <v>44366</v>
      </c>
      <c r="B227">
        <v>48.44</v>
      </c>
      <c r="C227">
        <v>54.9</v>
      </c>
      <c r="D227">
        <v>46.33</v>
      </c>
      <c r="E227">
        <v>48.62</v>
      </c>
      <c r="F227">
        <v>1737401.79</v>
      </c>
      <c r="G227">
        <v>0</v>
      </c>
      <c r="L227" t="s">
        <v>7</v>
      </c>
      <c r="M227" t="s">
        <v>8</v>
      </c>
      <c r="N227" t="s">
        <v>7</v>
      </c>
      <c r="P227">
        <f t="shared" si="959"/>
        <v>-0.46557759626604456</v>
      </c>
      <c r="Q227">
        <f t="shared" si="960"/>
        <v>-808895.3491365232</v>
      </c>
      <c r="R227">
        <f t="shared" si="961"/>
        <v>-15353890.744949626</v>
      </c>
      <c r="S227">
        <f t="shared" si="962"/>
        <v>-153.53890744949626</v>
      </c>
      <c r="T227">
        <f t="shared" si="963"/>
        <v>-0.15353890744949628</v>
      </c>
    </row>
    <row r="228" spans="1:20" x14ac:dyDescent="0.25">
      <c r="A228" s="5">
        <v>44365</v>
      </c>
      <c r="B228">
        <v>54.12</v>
      </c>
      <c r="C228">
        <v>55.54</v>
      </c>
      <c r="D228">
        <v>46.89</v>
      </c>
      <c r="E228">
        <v>48.44</v>
      </c>
      <c r="F228">
        <v>1305078.1000000001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-0.64161849710982721</v>
      </c>
      <c r="Q228">
        <f t="shared" si="960"/>
        <v>-837362.24913294881</v>
      </c>
      <c r="R228">
        <f t="shared" si="961"/>
        <v>-14544995.395813102</v>
      </c>
      <c r="S228">
        <f t="shared" si="962"/>
        <v>-145.44995395813103</v>
      </c>
      <c r="T228">
        <f t="shared" si="963"/>
        <v>-0.14544995395813104</v>
      </c>
    </row>
    <row r="229" spans="1:20" x14ac:dyDescent="0.25">
      <c r="A229" s="5">
        <v>44364</v>
      </c>
      <c r="B229">
        <v>55.34</v>
      </c>
      <c r="C229">
        <v>60.18</v>
      </c>
      <c r="D229">
        <v>51.02</v>
      </c>
      <c r="E229">
        <v>54.09</v>
      </c>
      <c r="F229">
        <v>1388646.51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-0.32969432314410452</v>
      </c>
      <c r="Q229">
        <f t="shared" si="960"/>
        <v>-457828.87120087299</v>
      </c>
      <c r="R229">
        <f t="shared" si="961"/>
        <v>-13707633.146680154</v>
      </c>
      <c r="S229">
        <f t="shared" si="962"/>
        <v>-137.07633146680155</v>
      </c>
      <c r="T229">
        <f t="shared" si="963"/>
        <v>-0.13707633146680154</v>
      </c>
    </row>
    <row r="230" spans="1:20" x14ac:dyDescent="0.25">
      <c r="A230" s="5">
        <v>44363</v>
      </c>
      <c r="B230">
        <v>60.32</v>
      </c>
      <c r="C230">
        <v>60.41</v>
      </c>
      <c r="D230">
        <v>54.72</v>
      </c>
      <c r="E230">
        <v>55.34</v>
      </c>
      <c r="F230">
        <v>1323822.44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-0.78207381370825846</v>
      </c>
      <c r="Q230">
        <f t="shared" si="960"/>
        <v>-1035326.8643233721</v>
      </c>
      <c r="R230">
        <f t="shared" si="961"/>
        <v>-13249804.275479281</v>
      </c>
      <c r="S230">
        <f t="shared" si="962"/>
        <v>-132.49804275479281</v>
      </c>
      <c r="T230">
        <f t="shared" si="963"/>
        <v>-0.13249804275479279</v>
      </c>
    </row>
    <row r="231" spans="1:20" x14ac:dyDescent="0.25">
      <c r="A231" s="5">
        <v>44362</v>
      </c>
      <c r="B231">
        <v>66.69</v>
      </c>
      <c r="C231">
        <v>68.88</v>
      </c>
      <c r="D231">
        <v>58.58</v>
      </c>
      <c r="E231">
        <v>60.39</v>
      </c>
      <c r="F231">
        <v>1801762.13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-0.64854368932038786</v>
      </c>
      <c r="Q231">
        <f t="shared" si="960"/>
        <v>-1168521.4590679603</v>
      </c>
      <c r="R231">
        <f t="shared" si="961"/>
        <v>-12214477.411155909</v>
      </c>
      <c r="S231">
        <f t="shared" si="962"/>
        <v>-122.14477411155909</v>
      </c>
      <c r="T231">
        <f t="shared" si="963"/>
        <v>-0.12214477411155909</v>
      </c>
    </row>
    <row r="232" spans="1:20" x14ac:dyDescent="0.25">
      <c r="A232" s="5">
        <v>44361</v>
      </c>
      <c r="B232">
        <v>64.44</v>
      </c>
      <c r="C232">
        <v>70.81</v>
      </c>
      <c r="D232">
        <v>61.88</v>
      </c>
      <c r="E232">
        <v>66.69</v>
      </c>
      <c r="F232">
        <v>1588608.47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7.7267637178050463E-2</v>
      </c>
      <c r="Q232">
        <f t="shared" si="960"/>
        <v>122748.02287793787</v>
      </c>
      <c r="R232">
        <f t="shared" si="961"/>
        <v>-11045955.95208795</v>
      </c>
      <c r="S232">
        <f t="shared" si="962"/>
        <v>-110.45955952087949</v>
      </c>
      <c r="T232">
        <f t="shared" si="963"/>
        <v>-0.11045955952087949</v>
      </c>
    </row>
    <row r="233" spans="1:20" x14ac:dyDescent="0.25">
      <c r="A233" s="5">
        <v>44360</v>
      </c>
      <c r="B233">
        <v>61.07</v>
      </c>
      <c r="C233">
        <v>67</v>
      </c>
      <c r="D233">
        <v>57.18</v>
      </c>
      <c r="E233">
        <v>64.45</v>
      </c>
      <c r="F233">
        <v>2035143.16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0.48065173116089671</v>
      </c>
      <c r="Q233">
        <f t="shared" si="960"/>
        <v>978195.08301425772</v>
      </c>
      <c r="R233">
        <f t="shared" si="961"/>
        <v>-11168703.974965887</v>
      </c>
      <c r="S233">
        <f t="shared" si="962"/>
        <v>-111.68703974965887</v>
      </c>
      <c r="T233">
        <f t="shared" si="963"/>
        <v>-0.11168703974965886</v>
      </c>
    </row>
    <row r="234" spans="1:20" x14ac:dyDescent="0.25">
      <c r="A234" s="5">
        <v>44359</v>
      </c>
      <c r="B234">
        <v>58.4</v>
      </c>
      <c r="C234">
        <v>67.66</v>
      </c>
      <c r="D234">
        <v>52.92</v>
      </c>
      <c r="E234">
        <v>61.08</v>
      </c>
      <c r="F234">
        <v>2179939.38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0.10719131614653996</v>
      </c>
      <c r="Q234">
        <f t="shared" si="960"/>
        <v>233670.57126187228</v>
      </c>
      <c r="R234">
        <f t="shared" si="961"/>
        <v>-12146899.057980144</v>
      </c>
      <c r="S234">
        <f t="shared" si="962"/>
        <v>-121.46899057980144</v>
      </c>
      <c r="T234">
        <f t="shared" si="963"/>
        <v>-0.12146899057980144</v>
      </c>
    </row>
    <row r="235" spans="1:20" x14ac:dyDescent="0.25">
      <c r="A235" s="5">
        <v>44358</v>
      </c>
      <c r="B235">
        <v>66.540000000000006</v>
      </c>
      <c r="C235">
        <v>72.39</v>
      </c>
      <c r="D235">
        <v>56.14</v>
      </c>
      <c r="E235">
        <v>58.49</v>
      </c>
      <c r="F235">
        <v>2119023.27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-0.7107692307692306</v>
      </c>
      <c r="Q235">
        <f t="shared" si="960"/>
        <v>-1506136.5395999996</v>
      </c>
      <c r="R235">
        <f t="shared" si="961"/>
        <v>-12380569.629242016</v>
      </c>
      <c r="S235">
        <f t="shared" si="962"/>
        <v>-123.80569629242017</v>
      </c>
      <c r="T235">
        <f t="shared" si="963"/>
        <v>-0.12380569629242016</v>
      </c>
    </row>
    <row r="236" spans="1:20" x14ac:dyDescent="0.25">
      <c r="A236" s="5">
        <v>44357</v>
      </c>
      <c r="B236">
        <v>81.55</v>
      </c>
      <c r="C236">
        <v>83.69</v>
      </c>
      <c r="D236">
        <v>65.349999999999994</v>
      </c>
      <c r="E236">
        <v>66.569999999999993</v>
      </c>
      <c r="F236">
        <v>2095644.84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-0.86695747001090528</v>
      </c>
      <c r="Q236">
        <f t="shared" si="960"/>
        <v>-1816834.9485278085</v>
      </c>
      <c r="R236">
        <f t="shared" si="961"/>
        <v>-10874433.089642016</v>
      </c>
      <c r="S236">
        <f t="shared" si="962"/>
        <v>-108.74433089642017</v>
      </c>
      <c r="T236">
        <f t="shared" si="963"/>
        <v>-0.10874433089642016</v>
      </c>
    </row>
    <row r="237" spans="1:20" x14ac:dyDescent="0.25">
      <c r="A237" s="5">
        <v>44356</v>
      </c>
      <c r="B237">
        <v>81.31</v>
      </c>
      <c r="C237">
        <v>88.99</v>
      </c>
      <c r="D237">
        <v>77.099999999999994</v>
      </c>
      <c r="E237">
        <v>81.55</v>
      </c>
      <c r="F237">
        <v>1226553.49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-0.25147182506307775</v>
      </c>
      <c r="Q237">
        <f t="shared" si="960"/>
        <v>-308443.64466778748</v>
      </c>
      <c r="R237">
        <f t="shared" si="961"/>
        <v>-9057598.141114207</v>
      </c>
      <c r="S237">
        <f t="shared" si="962"/>
        <v>-90.575981411142067</v>
      </c>
      <c r="T237">
        <f t="shared" si="963"/>
        <v>-9.0575981411142065E-2</v>
      </c>
    </row>
    <row r="238" spans="1:20" x14ac:dyDescent="0.25">
      <c r="A238" s="5">
        <v>44355</v>
      </c>
      <c r="B238">
        <v>91.14</v>
      </c>
      <c r="C238">
        <v>94.37</v>
      </c>
      <c r="D238">
        <v>76.72</v>
      </c>
      <c r="E238">
        <v>81.31</v>
      </c>
      <c r="F238">
        <v>1081773.46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-0.47988668555240771</v>
      </c>
      <c r="Q238">
        <f t="shared" si="960"/>
        <v>-519128.68023796007</v>
      </c>
      <c r="R238">
        <f t="shared" si="961"/>
        <v>-8749154.4964464195</v>
      </c>
      <c r="S238">
        <f t="shared" si="962"/>
        <v>-87.491544964464197</v>
      </c>
      <c r="T238">
        <f t="shared" si="963"/>
        <v>-8.7491544964464193E-2</v>
      </c>
    </row>
    <row r="239" spans="1:20" x14ac:dyDescent="0.25">
      <c r="A239" s="5">
        <v>44354</v>
      </c>
      <c r="B239">
        <v>104.42</v>
      </c>
      <c r="C239">
        <v>106.73</v>
      </c>
      <c r="D239">
        <v>88.88</v>
      </c>
      <c r="E239">
        <v>91.13</v>
      </c>
      <c r="F239">
        <v>819469.64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-0.74789915966386566</v>
      </c>
      <c r="Q239">
        <f t="shared" si="960"/>
        <v>-612880.65512605058</v>
      </c>
      <c r="R239">
        <f t="shared" si="961"/>
        <v>-8230025.8162084594</v>
      </c>
      <c r="S239">
        <f t="shared" si="962"/>
        <v>-82.300258162084589</v>
      </c>
      <c r="T239">
        <f t="shared" si="963"/>
        <v>-8.2300258162084583E-2</v>
      </c>
    </row>
    <row r="240" spans="1:20" x14ac:dyDescent="0.25">
      <c r="A240" s="5">
        <v>44353</v>
      </c>
      <c r="B240">
        <v>104.5</v>
      </c>
      <c r="C240">
        <v>110</v>
      </c>
      <c r="D240">
        <v>102.39</v>
      </c>
      <c r="E240">
        <v>104.49</v>
      </c>
      <c r="F240">
        <v>512306.77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-0.44809461235216963</v>
      </c>
      <c r="Q240">
        <f t="shared" si="960"/>
        <v>-229561.90350854213</v>
      </c>
      <c r="R240">
        <f t="shared" si="961"/>
        <v>-7617145.1610824093</v>
      </c>
      <c r="S240">
        <f t="shared" si="962"/>
        <v>-76.171451610824093</v>
      </c>
      <c r="T240">
        <f t="shared" si="963"/>
        <v>-7.6171451610824087E-2</v>
      </c>
    </row>
    <row r="241" spans="1:20" x14ac:dyDescent="0.25">
      <c r="A241" s="5">
        <v>44352</v>
      </c>
      <c r="B241">
        <v>108.71</v>
      </c>
      <c r="C241">
        <v>116.26</v>
      </c>
      <c r="D241">
        <v>100</v>
      </c>
      <c r="E241">
        <v>104.55</v>
      </c>
      <c r="F241">
        <v>755203.97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-0.44034440344403497</v>
      </c>
      <c r="Q241">
        <f t="shared" si="960"/>
        <v>-332549.84164821688</v>
      </c>
      <c r="R241">
        <f t="shared" si="961"/>
        <v>-7387583.2575738672</v>
      </c>
      <c r="S241">
        <f t="shared" si="962"/>
        <v>-73.87583257573867</v>
      </c>
      <c r="T241">
        <f t="shared" si="963"/>
        <v>-7.3875832575738667E-2</v>
      </c>
    </row>
    <row r="242" spans="1:20" x14ac:dyDescent="0.25">
      <c r="A242" s="5">
        <v>44351</v>
      </c>
      <c r="B242">
        <v>124.5</v>
      </c>
      <c r="C242">
        <v>124.54</v>
      </c>
      <c r="D242">
        <v>105.24</v>
      </c>
      <c r="E242">
        <v>108.78</v>
      </c>
      <c r="F242">
        <v>1329668.01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-0.63316062176165755</v>
      </c>
      <c r="Q242">
        <f t="shared" si="960"/>
        <v>-841893.42394818587</v>
      </c>
      <c r="R242">
        <f t="shared" si="961"/>
        <v>-7055033.4159256499</v>
      </c>
      <c r="S242">
        <f t="shared" si="962"/>
        <v>-70.550334159256494</v>
      </c>
      <c r="T242">
        <f t="shared" si="963"/>
        <v>-7.0550334159256489E-2</v>
      </c>
    </row>
    <row r="243" spans="1:20" x14ac:dyDescent="0.25">
      <c r="A243" s="5">
        <v>44350</v>
      </c>
      <c r="B243">
        <v>107.89</v>
      </c>
      <c r="C243">
        <v>136.62</v>
      </c>
      <c r="D243">
        <v>105.2</v>
      </c>
      <c r="E243">
        <v>124.54</v>
      </c>
      <c r="F243">
        <v>1666717.82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0.23106301718650557</v>
      </c>
      <c r="Q243">
        <f t="shared" si="960"/>
        <v>385116.84828771511</v>
      </c>
      <c r="R243">
        <f t="shared" si="961"/>
        <v>-6213139.9919774644</v>
      </c>
      <c r="S243">
        <f t="shared" si="962"/>
        <v>-62.131399919774644</v>
      </c>
      <c r="T243">
        <f t="shared" si="963"/>
        <v>-6.2131399919774642E-2</v>
      </c>
    </row>
    <row r="244" spans="1:20" x14ac:dyDescent="0.25">
      <c r="A244" s="5">
        <v>44349</v>
      </c>
      <c r="B244">
        <v>107.58</v>
      </c>
      <c r="C244">
        <v>113.06</v>
      </c>
      <c r="D244">
        <v>101.97</v>
      </c>
      <c r="E244">
        <v>108.01</v>
      </c>
      <c r="F244">
        <v>806345.16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8.926961226330106E-2</v>
      </c>
      <c r="Q244">
        <f t="shared" si="960"/>
        <v>71982.119783589456</v>
      </c>
      <c r="R244">
        <f t="shared" si="961"/>
        <v>-6598256.84026518</v>
      </c>
      <c r="S244">
        <f t="shared" si="962"/>
        <v>-65.982568402651793</v>
      </c>
      <c r="T244">
        <f t="shared" si="963"/>
        <v>-6.5982568402651792E-2</v>
      </c>
    </row>
    <row r="245" spans="1:20" x14ac:dyDescent="0.25">
      <c r="A245" s="5">
        <v>44348</v>
      </c>
      <c r="B245">
        <v>114.65</v>
      </c>
      <c r="C245">
        <v>117.11</v>
      </c>
      <c r="D245">
        <v>106.47</v>
      </c>
      <c r="E245">
        <v>107.58</v>
      </c>
      <c r="F245">
        <v>418636.87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-0.7913533834586467</v>
      </c>
      <c r="Q245">
        <f t="shared" si="960"/>
        <v>-331289.7035150376</v>
      </c>
      <c r="R245">
        <f t="shared" si="961"/>
        <v>-6670238.9600487696</v>
      </c>
      <c r="S245">
        <f t="shared" si="962"/>
        <v>-66.702389600487692</v>
      </c>
      <c r="T245">
        <f t="shared" si="963"/>
        <v>-6.6702389600487688E-2</v>
      </c>
    </row>
    <row r="246" spans="1:20" x14ac:dyDescent="0.25">
      <c r="A246" s="5">
        <v>44347</v>
      </c>
      <c r="B246">
        <v>111.87</v>
      </c>
      <c r="C246">
        <v>115.36</v>
      </c>
      <c r="D246">
        <v>105.15</v>
      </c>
      <c r="E246">
        <v>114.65</v>
      </c>
      <c r="F246">
        <v>496847.77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0.8609206660137132</v>
      </c>
      <c r="Q246">
        <f t="shared" si="960"/>
        <v>427746.51305582823</v>
      </c>
      <c r="R246">
        <f t="shared" si="961"/>
        <v>-6338949.2565337317</v>
      </c>
      <c r="S246">
        <f t="shared" si="962"/>
        <v>-63.389492565337314</v>
      </c>
      <c r="T246">
        <f t="shared" si="963"/>
        <v>-6.338949256533731E-2</v>
      </c>
    </row>
    <row r="247" spans="1:20" x14ac:dyDescent="0.25">
      <c r="A247" s="5">
        <v>44346</v>
      </c>
      <c r="B247">
        <v>110.77</v>
      </c>
      <c r="C247">
        <v>118.97</v>
      </c>
      <c r="D247">
        <v>104.4</v>
      </c>
      <c r="E247">
        <v>111.9</v>
      </c>
      <c r="F247">
        <v>456137.64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2.9512697323267469E-2</v>
      </c>
      <c r="Q247">
        <f t="shared" si="960"/>
        <v>13461.852107069541</v>
      </c>
      <c r="R247">
        <f t="shared" si="961"/>
        <v>-6766695.7695895601</v>
      </c>
      <c r="S247">
        <f t="shared" si="962"/>
        <v>-67.666957695895604</v>
      </c>
      <c r="T247">
        <f t="shared" si="963"/>
        <v>-6.7666957695895605E-2</v>
      </c>
    </row>
    <row r="248" spans="1:20" x14ac:dyDescent="0.25">
      <c r="A248" s="5">
        <v>44345</v>
      </c>
      <c r="B248">
        <v>115.65</v>
      </c>
      <c r="C248">
        <v>119.76</v>
      </c>
      <c r="D248">
        <v>105.6</v>
      </c>
      <c r="E248">
        <v>110.75</v>
      </c>
      <c r="F248">
        <v>500541.51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-0.27259887005649691</v>
      </c>
      <c r="Q248">
        <f t="shared" si="960"/>
        <v>-136447.05004237275</v>
      </c>
      <c r="R248">
        <f t="shared" si="961"/>
        <v>-6780157.6216966296</v>
      </c>
      <c r="S248">
        <f t="shared" si="962"/>
        <v>-67.801576216966296</v>
      </c>
      <c r="T248">
        <f t="shared" si="963"/>
        <v>-6.7801576216966294E-2</v>
      </c>
    </row>
    <row r="249" spans="1:20" x14ac:dyDescent="0.25">
      <c r="A249" s="5">
        <v>44344</v>
      </c>
      <c r="B249">
        <v>132.13</v>
      </c>
      <c r="C249">
        <v>132.94</v>
      </c>
      <c r="D249">
        <v>110.08</v>
      </c>
      <c r="E249">
        <v>115.65</v>
      </c>
      <c r="F249">
        <v>832199.55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-0.51268591426071675</v>
      </c>
      <c r="Q249">
        <f t="shared" si="960"/>
        <v>-426656.98713910708</v>
      </c>
      <c r="R249">
        <f t="shared" si="961"/>
        <v>-6643710.5716542564</v>
      </c>
      <c r="S249">
        <f t="shared" si="962"/>
        <v>-66.437105716542561</v>
      </c>
      <c r="T249">
        <f t="shared" si="963"/>
        <v>-6.6437105716542558E-2</v>
      </c>
    </row>
    <row r="250" spans="1:20" x14ac:dyDescent="0.25">
      <c r="A250" s="5">
        <v>44343</v>
      </c>
      <c r="B250">
        <v>142.53</v>
      </c>
      <c r="C250">
        <v>145.79</v>
      </c>
      <c r="D250">
        <v>129.65</v>
      </c>
      <c r="E250">
        <v>132.12</v>
      </c>
      <c r="F250">
        <v>684980.11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-0.69392812887236666</v>
      </c>
      <c r="Q250">
        <f t="shared" si="960"/>
        <v>-475326.96604708786</v>
      </c>
      <c r="R250">
        <f t="shared" si="961"/>
        <v>-6217053.5845151497</v>
      </c>
      <c r="S250">
        <f t="shared" si="962"/>
        <v>-62.170535845151498</v>
      </c>
      <c r="T250">
        <f t="shared" si="963"/>
        <v>-6.2170535845151496E-2</v>
      </c>
    </row>
    <row r="251" spans="1:20" x14ac:dyDescent="0.25">
      <c r="A251" s="5">
        <v>44342</v>
      </c>
      <c r="B251">
        <v>134.01</v>
      </c>
      <c r="C251">
        <v>152.35</v>
      </c>
      <c r="D251">
        <v>131.88999999999999</v>
      </c>
      <c r="E251">
        <v>142.66999999999999</v>
      </c>
      <c r="F251">
        <v>1080307.24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5.3763440860214756E-2</v>
      </c>
      <c r="Q251">
        <f t="shared" si="960"/>
        <v>58081.03440860183</v>
      </c>
      <c r="R251">
        <f t="shared" si="961"/>
        <v>-5741726.618468062</v>
      </c>
      <c r="S251">
        <f t="shared" si="962"/>
        <v>-57.417266184680621</v>
      </c>
      <c r="T251">
        <f t="shared" si="963"/>
        <v>-5.741726618468062E-2</v>
      </c>
    </row>
    <row r="252" spans="1:20" x14ac:dyDescent="0.25">
      <c r="A252" s="5">
        <v>44341</v>
      </c>
      <c r="B252">
        <v>147.62</v>
      </c>
      <c r="C252">
        <v>157</v>
      </c>
      <c r="D252">
        <v>122.6</v>
      </c>
      <c r="E252">
        <v>134.04</v>
      </c>
      <c r="F252">
        <v>1029887.3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-0.33488372093023278</v>
      </c>
      <c r="Q252">
        <f t="shared" si="960"/>
        <v>-344892.49116279092</v>
      </c>
      <c r="R252">
        <f t="shared" si="961"/>
        <v>-5799807.652876664</v>
      </c>
      <c r="S252">
        <f t="shared" si="962"/>
        <v>-57.998076528766639</v>
      </c>
      <c r="T252">
        <f t="shared" si="963"/>
        <v>-5.7998076528766637E-2</v>
      </c>
    </row>
    <row r="253" spans="1:20" x14ac:dyDescent="0.25">
      <c r="A253" s="5">
        <v>44340</v>
      </c>
      <c r="B253">
        <v>143.97</v>
      </c>
      <c r="C253">
        <v>163.6</v>
      </c>
      <c r="D253">
        <v>135.5</v>
      </c>
      <c r="E253">
        <v>147.66999999999999</v>
      </c>
      <c r="F253">
        <v>1260806.93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-0.13380782918149536</v>
      </c>
      <c r="Q253">
        <f t="shared" si="960"/>
        <v>-168705.83832028558</v>
      </c>
      <c r="R253">
        <f t="shared" si="961"/>
        <v>-5454915.161713873</v>
      </c>
      <c r="S253">
        <f t="shared" si="962"/>
        <v>-54.549151617138733</v>
      </c>
      <c r="T253">
        <f t="shared" si="963"/>
        <v>-5.4549151617138733E-2</v>
      </c>
    </row>
    <row r="254" spans="1:20" x14ac:dyDescent="0.25">
      <c r="A254" s="5">
        <v>44339</v>
      </c>
      <c r="B254">
        <v>145.91999999999999</v>
      </c>
      <c r="C254">
        <v>165.59</v>
      </c>
      <c r="D254">
        <v>120.62</v>
      </c>
      <c r="E254">
        <v>143.94</v>
      </c>
      <c r="F254">
        <v>1455176.26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3.7135868356681957E-2</v>
      </c>
      <c r="Q254">
        <f t="shared" si="960"/>
        <v>54039.234027128798</v>
      </c>
      <c r="R254">
        <f t="shared" si="961"/>
        <v>-5286209.323393587</v>
      </c>
      <c r="S254">
        <f t="shared" si="962"/>
        <v>-52.862093233935873</v>
      </c>
      <c r="T254">
        <f t="shared" si="963"/>
        <v>-5.2862093233935877E-2</v>
      </c>
    </row>
    <row r="255" spans="1:20" x14ac:dyDescent="0.25">
      <c r="A255" s="5">
        <v>44338</v>
      </c>
      <c r="B255">
        <v>145.87</v>
      </c>
      <c r="C255">
        <v>169.53</v>
      </c>
      <c r="D255">
        <v>124.76</v>
      </c>
      <c r="E255">
        <v>146.22999999999999</v>
      </c>
      <c r="F255">
        <v>1206414.6100000001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-4.0875586330132385E-2</v>
      </c>
      <c r="Q255">
        <f t="shared" si="960"/>
        <v>-49312.904540987998</v>
      </c>
      <c r="R255">
        <f t="shared" si="961"/>
        <v>-5340248.5574207157</v>
      </c>
      <c r="S255">
        <f t="shared" si="962"/>
        <v>-53.402485574207155</v>
      </c>
      <c r="T255">
        <f t="shared" si="963"/>
        <v>-5.3402485574207154E-2</v>
      </c>
    </row>
    <row r="256" spans="1:20" x14ac:dyDescent="0.25">
      <c r="A256" s="5">
        <v>44337</v>
      </c>
      <c r="B256">
        <v>163.92</v>
      </c>
      <c r="C256">
        <v>186.91</v>
      </c>
      <c r="D256">
        <v>120</v>
      </c>
      <c r="E256">
        <v>145.88</v>
      </c>
      <c r="F256">
        <v>2026467.63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-0.22642355402779862</v>
      </c>
      <c r="Q256">
        <f t="shared" si="960"/>
        <v>-458840.00290689</v>
      </c>
      <c r="R256">
        <f t="shared" si="961"/>
        <v>-5290935.652879728</v>
      </c>
      <c r="S256">
        <f t="shared" si="962"/>
        <v>-52.909356528797282</v>
      </c>
      <c r="T256">
        <f t="shared" si="963"/>
        <v>-5.2909356528797281E-2</v>
      </c>
    </row>
    <row r="257" spans="1:20" x14ac:dyDescent="0.25">
      <c r="A257" s="5">
        <v>44336</v>
      </c>
      <c r="B257">
        <v>122.83</v>
      </c>
      <c r="C257">
        <v>224.11</v>
      </c>
      <c r="D257">
        <v>103.63</v>
      </c>
      <c r="E257">
        <v>164.15</v>
      </c>
      <c r="F257">
        <v>3769557.35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4.6480743691899255E-3</v>
      </c>
      <c r="Q257">
        <f t="shared" si="960"/>
        <v>17521.182901726497</v>
      </c>
      <c r="R257">
        <f t="shared" si="961"/>
        <v>-4832095.6499728383</v>
      </c>
      <c r="S257">
        <f t="shared" si="962"/>
        <v>-48.320956499728382</v>
      </c>
      <c r="T257">
        <f t="shared" si="963"/>
        <v>-4.8320956499728382E-2</v>
      </c>
    </row>
    <row r="258" spans="1:20" x14ac:dyDescent="0.25">
      <c r="A258" s="5">
        <v>44335</v>
      </c>
      <c r="B258">
        <v>163.66</v>
      </c>
      <c r="C258">
        <v>179.12</v>
      </c>
      <c r="D258">
        <v>92</v>
      </c>
      <c r="E258">
        <v>122.79</v>
      </c>
      <c r="F258">
        <v>1274193.75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-0.29315886134067942</v>
      </c>
      <c r="Q258">
        <f t="shared" si="960"/>
        <v>-373541.18887741031</v>
      </c>
      <c r="R258">
        <f t="shared" si="961"/>
        <v>-4849616.8328745645</v>
      </c>
      <c r="S258">
        <f t="shared" si="962"/>
        <v>-48.496168328745647</v>
      </c>
      <c r="T258">
        <f t="shared" si="963"/>
        <v>-4.8496168328745648E-2</v>
      </c>
    </row>
    <row r="259" spans="1:20" x14ac:dyDescent="0.25">
      <c r="A259" s="5">
        <v>44334</v>
      </c>
      <c r="B259">
        <v>195.58</v>
      </c>
      <c r="C259">
        <v>205.82</v>
      </c>
      <c r="D259">
        <v>160.34</v>
      </c>
      <c r="E259">
        <v>163.47</v>
      </c>
      <c r="F259">
        <v>690553.08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-0.86235708003518052</v>
      </c>
      <c r="Q259">
        <f t="shared" si="960"/>
        <v>-595503.33767810033</v>
      </c>
      <c r="R259">
        <f t="shared" si="961"/>
        <v>-4476075.6439971542</v>
      </c>
      <c r="S259">
        <f t="shared" si="962"/>
        <v>-44.760756439971544</v>
      </c>
      <c r="T259">
        <f t="shared" si="963"/>
        <v>-4.4760756439971544E-2</v>
      </c>
    </row>
    <row r="260" spans="1:20" x14ac:dyDescent="0.25">
      <c r="A260" s="5">
        <v>44333</v>
      </c>
      <c r="B260">
        <v>225.16</v>
      </c>
      <c r="C260">
        <v>226.35</v>
      </c>
      <c r="D260">
        <v>184.39</v>
      </c>
      <c r="E260">
        <v>195.59</v>
      </c>
      <c r="F260">
        <v>520889.77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-0.46615824594852168</v>
      </c>
      <c r="Q260">
        <f t="shared" si="960"/>
        <v>-242817.06151572888</v>
      </c>
      <c r="R260">
        <f t="shared" si="961"/>
        <v>-3880572.3063190538</v>
      </c>
      <c r="S260">
        <f t="shared" si="962"/>
        <v>-38.805723063190534</v>
      </c>
      <c r="T260">
        <f t="shared" si="963"/>
        <v>-3.8805723063190536E-2</v>
      </c>
    </row>
    <row r="261" spans="1:20" x14ac:dyDescent="0.25">
      <c r="A261" s="5">
        <v>44332</v>
      </c>
      <c r="B261">
        <v>246.06</v>
      </c>
      <c r="C261">
        <v>263.68</v>
      </c>
      <c r="D261">
        <v>205.07</v>
      </c>
      <c r="E261">
        <v>225.19</v>
      </c>
      <c r="F261">
        <v>507341.61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-0.31342774270602286</v>
      </c>
      <c r="Q261">
        <f t="shared" si="960"/>
        <v>-159014.9356031394</v>
      </c>
      <c r="R261">
        <f t="shared" si="961"/>
        <v>-3637755.2448033248</v>
      </c>
      <c r="S261">
        <f t="shared" si="962"/>
        <v>-36.377552448033249</v>
      </c>
      <c r="T261">
        <f t="shared" si="963"/>
        <v>-3.637755244803325E-2</v>
      </c>
    </row>
    <row r="262" spans="1:20" x14ac:dyDescent="0.25">
      <c r="A262" s="5">
        <v>44331</v>
      </c>
      <c r="B262">
        <v>304.10000000000002</v>
      </c>
      <c r="C262">
        <v>305.02999999999997</v>
      </c>
      <c r="D262">
        <v>240</v>
      </c>
      <c r="E262">
        <v>246.06</v>
      </c>
      <c r="F262">
        <v>540015.89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-0.81362448100876505</v>
      </c>
      <c r="Q262">
        <f t="shared" ref="Q262:Q325" si="965">F262*P262</f>
        <v>-439370.14823773637</v>
      </c>
      <c r="R262">
        <f t="shared" ref="R262:R325" si="966">R263+Q262</f>
        <v>-3478740.3092001854</v>
      </c>
      <c r="S262">
        <f t="shared" ref="S262:S325" si="967">R262/100000</f>
        <v>-34.787403092001853</v>
      </c>
      <c r="T262">
        <f t="shared" ref="T262:T325" si="968">S262/1000</f>
        <v>-3.4787403092001852E-2</v>
      </c>
    </row>
    <row r="263" spans="1:20" x14ac:dyDescent="0.25">
      <c r="A263" s="5">
        <v>44330</v>
      </c>
      <c r="B263">
        <v>301.48</v>
      </c>
      <c r="C263">
        <v>341</v>
      </c>
      <c r="D263">
        <v>291.39</v>
      </c>
      <c r="E263">
        <v>304.13</v>
      </c>
      <c r="F263">
        <v>462179.09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-0.48639387220318464</v>
      </c>
      <c r="Q263">
        <f t="shared" si="965"/>
        <v>-224801.07723644419</v>
      </c>
      <c r="R263">
        <f t="shared" si="966"/>
        <v>-3039370.1609624489</v>
      </c>
      <c r="S263">
        <f t="shared" si="967"/>
        <v>-30.39370160962449</v>
      </c>
      <c r="T263">
        <f t="shared" si="968"/>
        <v>-3.0393701609624488E-2</v>
      </c>
    </row>
    <row r="264" spans="1:20" x14ac:dyDescent="0.25">
      <c r="A264" s="5">
        <v>44329</v>
      </c>
      <c r="B264">
        <v>258</v>
      </c>
      <c r="C264">
        <v>346.81</v>
      </c>
      <c r="D264">
        <v>252</v>
      </c>
      <c r="E264">
        <v>301.44</v>
      </c>
      <c r="F264">
        <v>815229.63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4.2927961185528878E-2</v>
      </c>
      <c r="Q264">
        <f t="shared" si="965"/>
        <v>34996.145913933069</v>
      </c>
      <c r="R264">
        <f t="shared" si="966"/>
        <v>-2814569.0837260047</v>
      </c>
      <c r="S264">
        <f t="shared" si="967"/>
        <v>-28.145690837260048</v>
      </c>
      <c r="T264">
        <f t="shared" si="968"/>
        <v>-2.8145690837260047E-2</v>
      </c>
    </row>
    <row r="265" spans="1:20" x14ac:dyDescent="0.25">
      <c r="A265" s="5">
        <v>44328</v>
      </c>
      <c r="B265">
        <v>364.06</v>
      </c>
      <c r="C265">
        <v>390</v>
      </c>
      <c r="D265">
        <v>255</v>
      </c>
      <c r="E265">
        <v>258.02</v>
      </c>
      <c r="F265">
        <v>1291354.53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-0.95525925925925947</v>
      </c>
      <c r="Q265">
        <f t="shared" si="965"/>
        <v>-1233578.3717688893</v>
      </c>
      <c r="R265">
        <f t="shared" si="966"/>
        <v>-2849565.2296399376</v>
      </c>
      <c r="S265">
        <f t="shared" si="967"/>
        <v>-28.495652296399378</v>
      </c>
      <c r="T265">
        <f t="shared" si="968"/>
        <v>-2.8495652296399377E-2</v>
      </c>
    </row>
    <row r="266" spans="1:20" x14ac:dyDescent="0.25">
      <c r="A266" s="5">
        <v>44327</v>
      </c>
      <c r="B266">
        <v>249.28</v>
      </c>
      <c r="C266">
        <v>2831.02</v>
      </c>
      <c r="D266">
        <v>249.28</v>
      </c>
      <c r="E266">
        <v>364.01</v>
      </c>
      <c r="F266">
        <v>1773623</v>
      </c>
      <c r="G266">
        <v>0</v>
      </c>
      <c r="P266">
        <f t="shared" si="964"/>
        <v>-0.91112195650995076</v>
      </c>
      <c r="Q266">
        <f t="shared" si="965"/>
        <v>-1615986.8578710484</v>
      </c>
      <c r="R266">
        <f t="shared" si="966"/>
        <v>-1615986.8578710484</v>
      </c>
      <c r="S266">
        <f t="shared" si="967"/>
        <v>-16.159868578710483</v>
      </c>
      <c r="T266">
        <f t="shared" si="968"/>
        <v>-1.6159868578710483E-2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EP437" sqref="EP43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$A$436</v>
      </c>
      <c r="D111" s="1" t="str">
        <f>ADDRESS(C121-1,D121,1,1)</f>
        <v>$EP$436</v>
      </c>
      <c r="E111"/>
    </row>
    <row r="112" spans="1:5" x14ac:dyDescent="0.25">
      <c r="A112" s="7">
        <v>12164.144957890772</v>
      </c>
      <c r="C112" s="1" t="str">
        <f>ADDRESS(C121,1,1,1)</f>
        <v>$A$437</v>
      </c>
      <c r="D112" s="1" t="str">
        <f>ADDRESS(C121,D121-1,1,1)</f>
        <v>$EO$437</v>
      </c>
      <c r="E112"/>
    </row>
    <row r="113" spans="1:5" x14ac:dyDescent="0.25">
      <c r="A113" s="7">
        <v>11925.63231165762</v>
      </c>
      <c r="C113" s="1" t="str">
        <f>ADDRESS(C121+1,1,1,1)</f>
        <v>$A$438</v>
      </c>
      <c r="D113" s="1" t="str">
        <f>ADDRESS(C121-1,D121+1,1,1)</f>
        <v>$EQ$436</v>
      </c>
    </row>
    <row r="114" spans="1:5" x14ac:dyDescent="0.25">
      <c r="A114" s="7">
        <v>11691.796383978059</v>
      </c>
      <c r="C114" s="1" t="str">
        <f>ADDRESS(C121,D121,1,1)</f>
        <v>$EP$437</v>
      </c>
      <c r="D114" s="1" t="str">
        <f>ADDRESS(C121+1,D121+1,1,1)</f>
        <v>$EQ$438</v>
      </c>
    </row>
    <row r="115" spans="1:5" x14ac:dyDescent="0.25">
      <c r="A115" s="7">
        <v>11462.545474488292</v>
      </c>
      <c r="C115" s="1" t="str">
        <f>ADDRESS(C121+1,D121,1,1)</f>
        <v>$EP$438</v>
      </c>
    </row>
    <row r="116" spans="1:5" x14ac:dyDescent="0.25">
      <c r="A116" s="7">
        <v>11237.789680870874</v>
      </c>
      <c r="C116" s="1">
        <f>C117-1</f>
        <v>436</v>
      </c>
    </row>
    <row r="117" spans="1:5" x14ac:dyDescent="0.25">
      <c r="A117" s="7">
        <v>11017.440863598895</v>
      </c>
      <c r="C117" s="1">
        <f>C121</f>
        <v>437</v>
      </c>
      <c r="D117" s="1">
        <f>D121</f>
        <v>146</v>
      </c>
    </row>
    <row r="118" spans="1:5" x14ac:dyDescent="0.25">
      <c r="A118" s="7">
        <v>10801.412611371465</v>
      </c>
      <c r="C118" s="1">
        <f>C117+1</f>
        <v>438</v>
      </c>
      <c r="D118" s="1">
        <f>D117+1</f>
        <v>147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437</v>
      </c>
      <c r="D121" s="19">
        <v>146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R437</v>
      </c>
      <c r="D123" s="1" t="str">
        <f>"C"&amp;D121</f>
        <v>C146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19.499602766762585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6" x14ac:dyDescent="0.25">
      <c r="A273" s="7">
        <v>501.71135837085484</v>
      </c>
      <c r="B273"/>
      <c r="C273"/>
      <c r="D273"/>
      <c r="E273"/>
    </row>
    <row r="274" spans="1:6" x14ac:dyDescent="0.25">
      <c r="A274" s="7">
        <v>491.87388075574</v>
      </c>
      <c r="B274"/>
      <c r="C274"/>
      <c r="D274"/>
      <c r="E274"/>
    </row>
    <row r="275" spans="1:6" x14ac:dyDescent="0.25">
      <c r="A275" s="7">
        <v>482.22929485856861</v>
      </c>
      <c r="B275"/>
      <c r="C275"/>
      <c r="D275"/>
      <c r="E275"/>
    </row>
    <row r="276" spans="1:6" x14ac:dyDescent="0.25">
      <c r="A276" s="7">
        <v>472.77381848879276</v>
      </c>
      <c r="B276"/>
      <c r="C276"/>
      <c r="D276"/>
      <c r="E276"/>
    </row>
    <row r="277" spans="1:6" x14ac:dyDescent="0.25">
      <c r="A277" s="7">
        <v>463.50374361646345</v>
      </c>
      <c r="B277"/>
      <c r="C277"/>
      <c r="D277"/>
      <c r="E277"/>
    </row>
    <row r="278" spans="1:6" x14ac:dyDescent="0.25">
      <c r="A278" s="7">
        <v>454.41543491810143</v>
      </c>
      <c r="B278"/>
      <c r="C278"/>
      <c r="D278"/>
      <c r="E278"/>
    </row>
    <row r="279" spans="1:6" x14ac:dyDescent="0.25">
      <c r="A279" s="7">
        <v>445.50532835107981</v>
      </c>
      <c r="B279"/>
      <c r="C279"/>
      <c r="D279"/>
      <c r="E279"/>
    </row>
    <row r="280" spans="1:6" x14ac:dyDescent="0.25">
      <c r="A280" s="7">
        <v>436.76992975596062</v>
      </c>
      <c r="B280"/>
      <c r="C280"/>
      <c r="D280"/>
      <c r="E280"/>
    </row>
    <row r="281" spans="1:6" x14ac:dyDescent="0.25">
      <c r="A281" s="7">
        <v>428.20581348623591</v>
      </c>
      <c r="B281"/>
      <c r="C281"/>
      <c r="D281"/>
      <c r="E281"/>
    </row>
    <row r="282" spans="1:6" x14ac:dyDescent="0.25">
      <c r="A282" s="7">
        <v>419.80962106493718</v>
      </c>
      <c r="B282"/>
      <c r="C282"/>
      <c r="D282"/>
      <c r="E282"/>
    </row>
    <row r="283" spans="1:6" x14ac:dyDescent="0.25">
      <c r="A283" s="7">
        <v>411.57805986758547</v>
      </c>
      <c r="B283"/>
      <c r="C283"/>
      <c r="D283"/>
      <c r="E283"/>
    </row>
    <row r="284" spans="1:6" x14ac:dyDescent="0.25">
      <c r="A284" s="7">
        <v>403.50790183096615</v>
      </c>
      <c r="B284"/>
      <c r="C284"/>
      <c r="D284"/>
      <c r="E284"/>
    </row>
    <row r="285" spans="1:6" x14ac:dyDescent="0.25">
      <c r="A285" s="7">
        <v>395.59598218722169</v>
      </c>
      <c r="B285"/>
      <c r="C285"/>
      <c r="D285"/>
      <c r="E285"/>
    </row>
    <row r="286" spans="1:6" x14ac:dyDescent="0.25">
      <c r="A286" s="7">
        <v>387.83919822276636</v>
      </c>
      <c r="B286"/>
      <c r="C286"/>
      <c r="D286"/>
      <c r="E286" t="s">
        <v>8</v>
      </c>
    </row>
    <row r="287" spans="1:6" x14ac:dyDescent="0.25">
      <c r="A287" s="7">
        <v>380.23450806153562</v>
      </c>
      <c r="B287"/>
      <c r="C287"/>
      <c r="D287"/>
      <c r="E287" t="s">
        <v>8</v>
      </c>
      <c r="F287" s="27" t="s">
        <v>7</v>
      </c>
    </row>
    <row r="288" spans="1:6" x14ac:dyDescent="0.25">
      <c r="A288" s="7">
        <v>372.77892947209375</v>
      </c>
      <c r="B288"/>
      <c r="C288"/>
      <c r="D288"/>
      <c r="E288" t="s">
        <v>8</v>
      </c>
      <c r="F288" s="27" t="s">
        <v>7</v>
      </c>
    </row>
    <row r="289" spans="1:8" x14ac:dyDescent="0.25">
      <c r="A289" s="7">
        <v>365.46953869813115</v>
      </c>
      <c r="B289"/>
      <c r="C289"/>
      <c r="D289"/>
      <c r="E289" t="s">
        <v>8</v>
      </c>
      <c r="F289" s="27" t="s">
        <v>7</v>
      </c>
    </row>
    <row r="290" spans="1:8" x14ac:dyDescent="0.25">
      <c r="A290" s="7">
        <v>358.30346931189325</v>
      </c>
      <c r="B290"/>
      <c r="C290"/>
      <c r="D290"/>
      <c r="E290" t="s">
        <v>8</v>
      </c>
      <c r="F290" s="27" t="s">
        <v>7</v>
      </c>
    </row>
    <row r="291" spans="1:8" x14ac:dyDescent="0.25">
      <c r="A291" s="7">
        <v>351.27791109009144</v>
      </c>
      <c r="B291"/>
      <c r="C291"/>
      <c r="D291"/>
      <c r="E291" t="s">
        <v>8</v>
      </c>
      <c r="F291" s="27" t="s">
        <v>7</v>
      </c>
    </row>
    <row r="292" spans="1:8" x14ac:dyDescent="0.25">
      <c r="A292" s="7">
        <v>344.39010891185433</v>
      </c>
      <c r="B292"/>
      <c r="C292"/>
      <c r="D292"/>
      <c r="E292" t="s">
        <v>8</v>
      </c>
      <c r="F292" s="27" t="s">
        <v>7</v>
      </c>
    </row>
    <row r="293" spans="1:8" x14ac:dyDescent="0.25">
      <c r="A293" s="7">
        <v>337.63736167828853</v>
      </c>
      <c r="B293"/>
      <c r="C293"/>
      <c r="D293"/>
      <c r="E293" t="s">
        <v>8</v>
      </c>
      <c r="F293" s="27" t="s">
        <v>7</v>
      </c>
      <c r="G293" s="27" t="s">
        <v>8</v>
      </c>
    </row>
    <row r="294" spans="1:8" x14ac:dyDescent="0.25">
      <c r="A294" s="7">
        <v>331.01702125322402</v>
      </c>
      <c r="B294"/>
      <c r="C294"/>
      <c r="D294"/>
      <c r="E294" t="s">
        <v>8</v>
      </c>
      <c r="F294" s="27" t="s">
        <v>7</v>
      </c>
      <c r="G294" s="27" t="s">
        <v>8</v>
      </c>
      <c r="H294" s="27" t="s">
        <v>7</v>
      </c>
    </row>
    <row r="295" spans="1:8" x14ac:dyDescent="0.25">
      <c r="A295" s="7">
        <v>324.52649142472944</v>
      </c>
      <c r="B295"/>
      <c r="C295"/>
      <c r="D295"/>
      <c r="E295" t="s">
        <v>8</v>
      </c>
      <c r="F295" s="27" t="s">
        <v>7</v>
      </c>
      <c r="G295" s="27" t="s">
        <v>8</v>
      </c>
      <c r="H295" s="27" t="s">
        <v>7</v>
      </c>
    </row>
    <row r="296" spans="1:8" x14ac:dyDescent="0.25">
      <c r="A296" s="7">
        <v>318.16322688698966</v>
      </c>
      <c r="B296"/>
      <c r="C296"/>
      <c r="D296"/>
      <c r="E296" t="s">
        <v>8</v>
      </c>
      <c r="F296" s="27" t="s">
        <v>7</v>
      </c>
      <c r="G296" s="27" t="s">
        <v>8</v>
      </c>
      <c r="H296" s="27" t="s">
        <v>7</v>
      </c>
    </row>
    <row r="297" spans="1:8" x14ac:dyDescent="0.25">
      <c r="A297" s="7">
        <v>311.92473224214672</v>
      </c>
      <c r="B297"/>
      <c r="C297"/>
      <c r="D297"/>
      <c r="E297" t="s">
        <v>8</v>
      </c>
      <c r="F297" s="27" t="s">
        <v>7</v>
      </c>
      <c r="G297" s="27" t="s">
        <v>8</v>
      </c>
      <c r="H297" s="27" t="s">
        <v>7</v>
      </c>
    </row>
    <row r="298" spans="1:8" x14ac:dyDescent="0.25">
      <c r="A298" s="7">
        <v>305.80856102171248</v>
      </c>
      <c r="B298"/>
      <c r="C298"/>
      <c r="D298"/>
      <c r="E298" t="s">
        <v>8</v>
      </c>
      <c r="F298" s="27" t="s">
        <v>7</v>
      </c>
      <c r="G298" s="27" t="s">
        <v>8</v>
      </c>
      <c r="H298" s="27" t="s">
        <v>7</v>
      </c>
    </row>
    <row r="299" spans="1:8" x14ac:dyDescent="0.25">
      <c r="A299" s="7">
        <v>299.81231472716911</v>
      </c>
      <c r="B299"/>
      <c r="C299"/>
      <c r="D299"/>
      <c r="E299" t="s">
        <v>8</v>
      </c>
      <c r="F299" s="27" t="s">
        <v>7</v>
      </c>
      <c r="G299" s="27" t="s">
        <v>8</v>
      </c>
      <c r="H299" s="27" t="s">
        <v>7</v>
      </c>
    </row>
    <row r="300" spans="1:8" x14ac:dyDescent="0.25">
      <c r="A300" s="7">
        <v>293.93364188938148</v>
      </c>
      <c r="B300"/>
      <c r="C300"/>
      <c r="D300"/>
      <c r="E300" t="s">
        <v>8</v>
      </c>
      <c r="F300" s="27" t="s">
        <v>7</v>
      </c>
      <c r="G300" s="27" t="s">
        <v>8</v>
      </c>
      <c r="H300" s="27" t="s">
        <v>7</v>
      </c>
    </row>
    <row r="301" spans="1:8" x14ac:dyDescent="0.25">
      <c r="A301" s="7">
        <v>288.17023714645245</v>
      </c>
      <c r="B301"/>
      <c r="C301"/>
      <c r="D301"/>
      <c r="E301" t="s">
        <v>8</v>
      </c>
      <c r="F301" s="27" t="s">
        <v>7</v>
      </c>
      <c r="G301" s="27" t="s">
        <v>8</v>
      </c>
      <c r="H301" s="27" t="s">
        <v>7</v>
      </c>
    </row>
    <row r="302" spans="1:8" x14ac:dyDescent="0.25">
      <c r="A302" s="7">
        <v>282.51984033965925</v>
      </c>
      <c r="B302"/>
      <c r="C302"/>
      <c r="D302"/>
      <c r="E302" t="s">
        <v>8</v>
      </c>
      <c r="F302" s="27" t="s">
        <v>7</v>
      </c>
      <c r="G302" s="27" t="s">
        <v>8</v>
      </c>
      <c r="H302" s="27" t="s">
        <v>7</v>
      </c>
    </row>
    <row r="303" spans="1:8" x14ac:dyDescent="0.25">
      <c r="A303" s="7">
        <v>276.98023562711688</v>
      </c>
      <c r="B303"/>
      <c r="C303"/>
      <c r="D303"/>
      <c r="E303" t="s">
        <v>8</v>
      </c>
      <c r="F303" s="27" t="s">
        <v>7</v>
      </c>
      <c r="G303" s="27" t="s">
        <v>8</v>
      </c>
      <c r="H303" s="27" t="s">
        <v>7</v>
      </c>
    </row>
    <row r="304" spans="1:8" x14ac:dyDescent="0.25">
      <c r="A304" s="7">
        <v>271.54925061482049</v>
      </c>
      <c r="B304"/>
      <c r="C304"/>
      <c r="D304"/>
      <c r="E304" t="s">
        <v>8</v>
      </c>
      <c r="F304" s="27" t="s">
        <v>7</v>
      </c>
      <c r="G304" s="27" t="s">
        <v>8</v>
      </c>
      <c r="H304" s="27" t="s">
        <v>7</v>
      </c>
    </row>
    <row r="305" spans="1:10" x14ac:dyDescent="0.25">
      <c r="A305" s="7">
        <v>266.22475550472598</v>
      </c>
      <c r="B305"/>
      <c r="C305"/>
      <c r="D305"/>
      <c r="E305" t="s">
        <v>8</v>
      </c>
      <c r="F305" s="27" t="s">
        <v>7</v>
      </c>
      <c r="G305" s="27" t="s">
        <v>8</v>
      </c>
      <c r="H305" s="27" t="s">
        <v>7</v>
      </c>
    </row>
    <row r="306" spans="1:10" x14ac:dyDescent="0.25">
      <c r="A306" s="7">
        <v>261.00466225953528</v>
      </c>
      <c r="B306"/>
      <c r="C306"/>
      <c r="D306"/>
      <c r="E306" t="s">
        <v>8</v>
      </c>
      <c r="F306" s="27" t="s">
        <v>7</v>
      </c>
      <c r="G306" s="27" t="s">
        <v>8</v>
      </c>
      <c r="H306" s="27" t="s">
        <v>7</v>
      </c>
    </row>
    <row r="307" spans="1:10" x14ac:dyDescent="0.25">
      <c r="A307" s="7">
        <v>255.88692378385809</v>
      </c>
      <c r="B307"/>
      <c r="C307"/>
      <c r="D307"/>
      <c r="E307" t="s">
        <v>8</v>
      </c>
      <c r="F307" s="27" t="s">
        <v>7</v>
      </c>
      <c r="H307" s="27" t="s">
        <v>7</v>
      </c>
    </row>
    <row r="308" spans="1:10" x14ac:dyDescent="0.25">
      <c r="A308" s="7">
        <v>250.8695331214295</v>
      </c>
      <c r="B308"/>
      <c r="C308"/>
      <c r="D308"/>
      <c r="E308" t="s">
        <v>8</v>
      </c>
      <c r="H308" s="27" t="s">
        <v>7</v>
      </c>
    </row>
    <row r="309" spans="1:10" x14ac:dyDescent="0.25">
      <c r="A309" s="7">
        <v>245.95052266806812</v>
      </c>
      <c r="B309"/>
      <c r="C309"/>
      <c r="D309"/>
      <c r="E309" t="s">
        <v>8</v>
      </c>
      <c r="H309" s="27" t="s">
        <v>7</v>
      </c>
    </row>
    <row r="310" spans="1:10" x14ac:dyDescent="0.25">
      <c r="A310" s="7">
        <v>241.12796340006679</v>
      </c>
      <c r="B310"/>
      <c r="C310"/>
      <c r="D310"/>
      <c r="E310" t="s">
        <v>8</v>
      </c>
      <c r="H310" s="27" t="s">
        <v>7</v>
      </c>
    </row>
    <row r="311" spans="1:10" x14ac:dyDescent="0.25">
      <c r="A311" s="7">
        <v>236.39996411771253</v>
      </c>
      <c r="B311"/>
      <c r="C311"/>
      <c r="D311"/>
      <c r="E311" t="s">
        <v>8</v>
      </c>
      <c r="H311" s="27" t="s">
        <v>7</v>
      </c>
    </row>
    <row r="312" spans="1:10" x14ac:dyDescent="0.25">
      <c r="A312" s="7">
        <v>231.76467070363972</v>
      </c>
      <c r="B312"/>
      <c r="C312"/>
      <c r="D312"/>
      <c r="E312" t="s">
        <v>8</v>
      </c>
      <c r="H312" s="27" t="s">
        <v>7</v>
      </c>
    </row>
    <row r="313" spans="1:10" x14ac:dyDescent="0.25">
      <c r="A313" s="7">
        <v>227.22026539572522</v>
      </c>
      <c r="B313"/>
      <c r="C313"/>
      <c r="D313"/>
      <c r="E313" t="s">
        <v>8</v>
      </c>
      <c r="H313" s="27" t="s">
        <v>7</v>
      </c>
    </row>
    <row r="314" spans="1:10" x14ac:dyDescent="0.25">
      <c r="A314" s="7">
        <v>222.76496607424042</v>
      </c>
      <c r="B314"/>
      <c r="C314"/>
      <c r="D314"/>
      <c r="E314" t="s">
        <v>8</v>
      </c>
      <c r="H314" s="27" t="s">
        <v>7</v>
      </c>
      <c r="I314" s="27" t="s">
        <v>8</v>
      </c>
    </row>
    <row r="315" spans="1:10" x14ac:dyDescent="0.25">
      <c r="A315" s="7">
        <v>218.39702556298079</v>
      </c>
      <c r="B315"/>
      <c r="C315"/>
      <c r="D315"/>
      <c r="E315" t="s">
        <v>8</v>
      </c>
      <c r="H315" s="27" t="s">
        <v>7</v>
      </c>
      <c r="I315" s="27" t="s">
        <v>8</v>
      </c>
      <c r="J315" s="27" t="s">
        <v>7</v>
      </c>
    </row>
    <row r="316" spans="1:10" x14ac:dyDescent="0.25">
      <c r="A316" s="7">
        <v>214.1147309440988</v>
      </c>
      <c r="B316"/>
      <c r="C316"/>
      <c r="D316"/>
      <c r="E316" t="s">
        <v>8</v>
      </c>
      <c r="H316" s="27" t="s">
        <v>7</v>
      </c>
      <c r="I316" s="27" t="s">
        <v>8</v>
      </c>
      <c r="J316" s="27" t="s">
        <v>7</v>
      </c>
    </row>
    <row r="317" spans="1:10" x14ac:dyDescent="0.25">
      <c r="A317" s="7">
        <v>209.91640288637137</v>
      </c>
      <c r="B317"/>
      <c r="C317"/>
      <c r="D317"/>
      <c r="E317" t="s">
        <v>8</v>
      </c>
      <c r="H317" s="27" t="s">
        <v>7</v>
      </c>
      <c r="I317" s="27" t="s">
        <v>8</v>
      </c>
      <c r="J317" s="27" t="s">
        <v>7</v>
      </c>
    </row>
    <row r="318" spans="1:10" x14ac:dyDescent="0.25">
      <c r="A318" s="7">
        <v>205.80039498663859</v>
      </c>
      <c r="B318"/>
      <c r="C318"/>
      <c r="D318"/>
      <c r="E318" t="s">
        <v>8</v>
      </c>
      <c r="H318" s="27" t="s">
        <v>7</v>
      </c>
      <c r="I318" s="27" t="s">
        <v>8</v>
      </c>
      <c r="J318" s="27" t="s">
        <v>7</v>
      </c>
    </row>
    <row r="319" spans="1:10" x14ac:dyDescent="0.25">
      <c r="A319" s="7">
        <v>201.76509312415547</v>
      </c>
      <c r="B319"/>
      <c r="C319"/>
      <c r="D319"/>
      <c r="E319" t="s">
        <v>8</v>
      </c>
      <c r="H319" s="27" t="s">
        <v>7</v>
      </c>
      <c r="I319" s="27" t="s">
        <v>8</v>
      </c>
      <c r="J319" s="27" t="s">
        <v>7</v>
      </c>
    </row>
    <row r="320" spans="1:10" x14ac:dyDescent="0.25">
      <c r="A320" s="7">
        <v>197.80891482760339</v>
      </c>
      <c r="B320"/>
      <c r="C320"/>
      <c r="D320"/>
      <c r="E320" t="s">
        <v>8</v>
      </c>
      <c r="H320" s="27" t="s">
        <v>7</v>
      </c>
      <c r="I320" s="27" t="s">
        <v>8</v>
      </c>
      <c r="J320" s="27" t="s">
        <v>7</v>
      </c>
    </row>
    <row r="321" spans="1:16" x14ac:dyDescent="0.25">
      <c r="A321" s="7">
        <v>193.93030865451311</v>
      </c>
      <c r="B321"/>
      <c r="C321"/>
      <c r="D321"/>
      <c r="E321" t="s">
        <v>8</v>
      </c>
      <c r="H321" s="27" t="s">
        <v>7</v>
      </c>
      <c r="I321" s="27" t="s">
        <v>8</v>
      </c>
      <c r="J321" s="27" t="s">
        <v>7</v>
      </c>
    </row>
    <row r="322" spans="1:16" x14ac:dyDescent="0.25">
      <c r="A322" s="7">
        <v>190.127753582856</v>
      </c>
      <c r="B322"/>
      <c r="C322"/>
      <c r="D322"/>
      <c r="E322" t="s">
        <v>8</v>
      </c>
      <c r="H322" s="27" t="s">
        <v>7</v>
      </c>
      <c r="I322" s="27" t="s">
        <v>8</v>
      </c>
      <c r="J322" s="27" t="s">
        <v>7</v>
      </c>
    </row>
    <row r="323" spans="1:16" x14ac:dyDescent="0.25">
      <c r="A323" s="7">
        <v>186.3997584145647</v>
      </c>
      <c r="B323"/>
      <c r="C323"/>
      <c r="D323"/>
      <c r="E323" t="s">
        <v>8</v>
      </c>
      <c r="H323" s="27" t="s">
        <v>7</v>
      </c>
      <c r="I323" s="27" t="s">
        <v>8</v>
      </c>
      <c r="J323" s="27" t="s">
        <v>7</v>
      </c>
    </row>
    <row r="324" spans="1:16" x14ac:dyDescent="0.25">
      <c r="A324" s="7">
        <v>182.7448611907497</v>
      </c>
      <c r="B324"/>
      <c r="C324"/>
      <c r="D324"/>
      <c r="E324" t="s">
        <v>8</v>
      </c>
      <c r="H324" s="27" t="s">
        <v>7</v>
      </c>
      <c r="I324" s="27" t="s">
        <v>8</v>
      </c>
      <c r="J324" s="27" t="s">
        <v>7</v>
      </c>
    </row>
    <row r="325" spans="1:16" x14ac:dyDescent="0.25">
      <c r="A325" s="7">
        <v>179.16162861838205</v>
      </c>
      <c r="B325"/>
      <c r="C325"/>
      <c r="D325"/>
      <c r="E325" t="s">
        <v>8</v>
      </c>
      <c r="H325" s="27" t="s">
        <v>7</v>
      </c>
      <c r="I325" s="27" t="s">
        <v>8</v>
      </c>
      <c r="J325" s="27" t="s">
        <v>7</v>
      </c>
    </row>
    <row r="326" spans="1:16" x14ac:dyDescent="0.25">
      <c r="A326" s="7">
        <v>175.6486555082177</v>
      </c>
      <c r="B326"/>
      <c r="C326"/>
      <c r="D326"/>
      <c r="E326" t="s">
        <v>8</v>
      </c>
      <c r="H326" s="27" t="s">
        <v>7</v>
      </c>
      <c r="I326" s="27" t="s">
        <v>8</v>
      </c>
      <c r="J326" s="27" t="s">
        <v>7</v>
      </c>
    </row>
    <row r="327" spans="1:16" x14ac:dyDescent="0.25">
      <c r="A327" s="7">
        <v>172.20456422374284</v>
      </c>
      <c r="B327"/>
      <c r="C327"/>
      <c r="D327"/>
      <c r="E327" t="s">
        <v>8</v>
      </c>
      <c r="H327" s="27" t="s">
        <v>7</v>
      </c>
      <c r="I327" s="27" t="s">
        <v>8</v>
      </c>
      <c r="J327" s="27" t="s">
        <v>7</v>
      </c>
    </row>
    <row r="328" spans="1:16" x14ac:dyDescent="0.25">
      <c r="A328" s="7">
        <v>168.82800414092435</v>
      </c>
      <c r="B328"/>
      <c r="C328"/>
      <c r="D328"/>
      <c r="E328" t="s">
        <v>8</v>
      </c>
      <c r="H328" s="27" t="s">
        <v>7</v>
      </c>
      <c r="I328" s="27" t="s">
        <v>8</v>
      </c>
      <c r="J328" s="27" t="s">
        <v>7</v>
      </c>
      <c r="K328" s="27" t="s">
        <v>8</v>
      </c>
    </row>
    <row r="329" spans="1:16" x14ac:dyDescent="0.25">
      <c r="A329" s="7">
        <v>165.51765111855329</v>
      </c>
      <c r="B329"/>
      <c r="C329"/>
      <c r="D329"/>
      <c r="E329" t="s">
        <v>8</v>
      </c>
      <c r="H329" s="27" t="s">
        <v>7</v>
      </c>
      <c r="I329" s="27" t="s">
        <v>8</v>
      </c>
      <c r="J329" s="27" t="s">
        <v>7</v>
      </c>
      <c r="K329" s="27" t="s">
        <v>8</v>
      </c>
      <c r="L329" s="27" t="s">
        <v>7</v>
      </c>
    </row>
    <row r="330" spans="1:16" x14ac:dyDescent="0.25">
      <c r="A330" s="7">
        <v>162.2722069789738</v>
      </c>
      <c r="B330"/>
      <c r="C330"/>
      <c r="D330"/>
      <c r="E330" t="s">
        <v>8</v>
      </c>
      <c r="H330" s="27" t="s">
        <v>7</v>
      </c>
      <c r="I330" s="27" t="s">
        <v>8</v>
      </c>
      <c r="J330" s="27" t="s">
        <v>7</v>
      </c>
      <c r="K330" s="27" t="s">
        <v>8</v>
      </c>
      <c r="L330" s="27" t="s">
        <v>7</v>
      </c>
      <c r="M330" s="27" t="s">
        <v>8</v>
      </c>
    </row>
    <row r="331" spans="1:16" x14ac:dyDescent="0.25">
      <c r="A331" s="7">
        <v>159.09039899899392</v>
      </c>
      <c r="B331"/>
      <c r="C331"/>
      <c r="D331"/>
      <c r="E331" t="s">
        <v>8</v>
      </c>
      <c r="H331" s="27" t="s">
        <v>7</v>
      </c>
      <c r="I331" s="27" t="s">
        <v>8</v>
      </c>
      <c r="J331" s="27" t="s">
        <v>7</v>
      </c>
      <c r="K331" s="27" t="s">
        <v>8</v>
      </c>
      <c r="L331" s="27" t="s">
        <v>7</v>
      </c>
      <c r="M331" s="27" t="s">
        <v>8</v>
      </c>
      <c r="N331" s="27" t="s">
        <v>7</v>
      </c>
    </row>
    <row r="332" spans="1:16" x14ac:dyDescent="0.25">
      <c r="A332" s="7">
        <v>155.97097941077834</v>
      </c>
      <c r="B332"/>
      <c r="C332"/>
      <c r="D332"/>
      <c r="E332" t="s">
        <v>8</v>
      </c>
      <c r="H332" s="27" t="s">
        <v>7</v>
      </c>
      <c r="I332" s="27" t="s">
        <v>8</v>
      </c>
      <c r="J332" s="27" t="s">
        <v>7</v>
      </c>
      <c r="K332" s="27" t="s">
        <v>8</v>
      </c>
      <c r="L332" s="27" t="s">
        <v>7</v>
      </c>
      <c r="M332" s="27" t="s">
        <v>8</v>
      </c>
      <c r="N332" s="27" t="s">
        <v>7</v>
      </c>
    </row>
    <row r="333" spans="1:16" x14ac:dyDescent="0.25">
      <c r="A333" s="7">
        <v>152.91272491252778</v>
      </c>
      <c r="B333"/>
      <c r="C333"/>
      <c r="D333"/>
      <c r="E333" t="s">
        <v>8</v>
      </c>
      <c r="H333" s="27" t="s">
        <v>7</v>
      </c>
      <c r="I333" s="27" t="s">
        <v>8</v>
      </c>
      <c r="J333" s="27" t="s">
        <v>7</v>
      </c>
      <c r="K333" s="27" t="s">
        <v>8</v>
      </c>
      <c r="L333" s="27" t="s">
        <v>7</v>
      </c>
      <c r="M333" s="27" t="s">
        <v>8</v>
      </c>
      <c r="N333" s="27" t="s">
        <v>7</v>
      </c>
    </row>
    <row r="334" spans="1:16" x14ac:dyDescent="0.25">
      <c r="A334" s="7">
        <v>149.91443618875272</v>
      </c>
      <c r="B334"/>
      <c r="C334"/>
      <c r="D334"/>
      <c r="E334" t="s">
        <v>8</v>
      </c>
      <c r="H334" s="27" t="s">
        <v>7</v>
      </c>
      <c r="I334" s="27" t="s">
        <v>8</v>
      </c>
      <c r="J334" s="27" t="s">
        <v>7</v>
      </c>
      <c r="K334" s="27" t="s">
        <v>8</v>
      </c>
      <c r="L334" s="27" t="s">
        <v>7</v>
      </c>
      <c r="M334" s="27" t="s">
        <v>8</v>
      </c>
      <c r="N334" s="27" t="s">
        <v>7</v>
      </c>
      <c r="O334" s="27" t="s">
        <v>8</v>
      </c>
    </row>
    <row r="335" spans="1:16" x14ac:dyDescent="0.25">
      <c r="A335" s="7">
        <v>146.97493743995364</v>
      </c>
      <c r="B335"/>
      <c r="C335"/>
      <c r="D335"/>
      <c r="E335" t="s">
        <v>8</v>
      </c>
      <c r="H335" s="27" t="s">
        <v>7</v>
      </c>
      <c r="I335" s="27" t="s">
        <v>8</v>
      </c>
      <c r="J335" s="27" t="s">
        <v>7</v>
      </c>
      <c r="K335" s="27" t="s">
        <v>8</v>
      </c>
      <c r="L335" s="27" t="s">
        <v>7</v>
      </c>
      <c r="M335" s="27" t="s">
        <v>8</v>
      </c>
      <c r="N335" s="27" t="s">
        <v>7</v>
      </c>
      <c r="O335" s="27" t="s">
        <v>8</v>
      </c>
      <c r="P335" s="27" t="s">
        <v>7</v>
      </c>
    </row>
    <row r="336" spans="1:16" x14ac:dyDescent="0.25">
      <c r="A336" s="7">
        <v>144.09307592152317</v>
      </c>
      <c r="B336"/>
      <c r="C336"/>
      <c r="D336"/>
      <c r="E336" t="s">
        <v>8</v>
      </c>
      <c r="H336" s="27" t="s">
        <v>7</v>
      </c>
      <c r="I336" s="27" t="s">
        <v>8</v>
      </c>
      <c r="J336" s="27" t="s">
        <v>7</v>
      </c>
      <c r="K336" s="27" t="s">
        <v>8</v>
      </c>
      <c r="L336" s="27" t="s">
        <v>7</v>
      </c>
      <c r="M336" s="27" t="s">
        <v>8</v>
      </c>
      <c r="N336" s="27" t="s">
        <v>7</v>
      </c>
      <c r="O336" s="27" t="s">
        <v>8</v>
      </c>
      <c r="P336" s="27" t="s">
        <v>7</v>
      </c>
    </row>
    <row r="337" spans="1:22" x14ac:dyDescent="0.25">
      <c r="A337" s="7">
        <v>141.26772149168937</v>
      </c>
      <c r="B337"/>
      <c r="C337"/>
      <c r="D337"/>
      <c r="E337" t="s">
        <v>8</v>
      </c>
      <c r="H337" s="27" t="s">
        <v>7</v>
      </c>
      <c r="I337" s="27" t="s">
        <v>8</v>
      </c>
      <c r="J337" s="27" t="s">
        <v>7</v>
      </c>
      <c r="K337" s="27" t="s">
        <v>8</v>
      </c>
      <c r="L337" s="27" t="s">
        <v>7</v>
      </c>
      <c r="M337" s="27" t="s">
        <v>8</v>
      </c>
      <c r="N337" s="27" t="s">
        <v>7</v>
      </c>
      <c r="O337" s="27" t="s">
        <v>8</v>
      </c>
      <c r="P337" s="27" t="s">
        <v>7</v>
      </c>
    </row>
    <row r="338" spans="1:22" x14ac:dyDescent="0.25">
      <c r="A338" s="7">
        <v>138.4977661683229</v>
      </c>
      <c r="B338"/>
      <c r="C338"/>
      <c r="D338"/>
      <c r="E338" t="s">
        <v>8</v>
      </c>
      <c r="H338" s="27" t="s">
        <v>7</v>
      </c>
      <c r="I338" s="27" t="s">
        <v>8</v>
      </c>
      <c r="J338" s="27" t="s">
        <v>7</v>
      </c>
      <c r="K338" s="27" t="s">
        <v>8</v>
      </c>
      <c r="L338" s="27" t="s">
        <v>7</v>
      </c>
      <c r="M338" s="27" t="s">
        <v>8</v>
      </c>
      <c r="N338" s="27" t="s">
        <v>7</v>
      </c>
      <c r="O338" s="27" t="s">
        <v>8</v>
      </c>
      <c r="P338" s="27" t="s">
        <v>7</v>
      </c>
    </row>
    <row r="339" spans="1:22" x14ac:dyDescent="0.25">
      <c r="A339" s="7">
        <v>135.7821236944342</v>
      </c>
      <c r="B339"/>
      <c r="C339"/>
      <c r="D339"/>
      <c r="E339" t="s">
        <v>8</v>
      </c>
      <c r="H339" s="27" t="s">
        <v>7</v>
      </c>
      <c r="I339" s="27" t="s">
        <v>8</v>
      </c>
      <c r="J339" s="27" t="s">
        <v>7</v>
      </c>
      <c r="K339" s="27" t="s">
        <v>8</v>
      </c>
      <c r="L339" s="27" t="s">
        <v>7</v>
      </c>
      <c r="M339" s="27" t="s">
        <v>8</v>
      </c>
      <c r="N339" s="27" t="s">
        <v>7</v>
      </c>
      <c r="O339" s="27" t="s">
        <v>8</v>
      </c>
      <c r="P339" s="27" t="s">
        <v>7</v>
      </c>
      <c r="S339" s="27" t="s">
        <v>8</v>
      </c>
    </row>
    <row r="340" spans="1:22" x14ac:dyDescent="0.25">
      <c r="A340" s="7">
        <v>133.11972911219038</v>
      </c>
      <c r="B340"/>
      <c r="C340"/>
      <c r="D340"/>
      <c r="E340" t="s">
        <v>8</v>
      </c>
      <c r="H340" s="27" t="s">
        <v>7</v>
      </c>
      <c r="I340" s="27" t="s">
        <v>8</v>
      </c>
      <c r="J340" s="27" t="s">
        <v>7</v>
      </c>
      <c r="K340" s="27" t="s">
        <v>8</v>
      </c>
      <c r="L340" s="27" t="s">
        <v>7</v>
      </c>
      <c r="M340" s="27" t="s">
        <v>8</v>
      </c>
      <c r="N340" s="27" t="s">
        <v>7</v>
      </c>
      <c r="O340" s="27" t="s">
        <v>8</v>
      </c>
      <c r="P340" s="27" t="s">
        <v>7</v>
      </c>
      <c r="S340" s="27" t="s">
        <v>8</v>
      </c>
      <c r="T340" s="27" t="s">
        <v>7</v>
      </c>
    </row>
    <row r="341" spans="1:22" x14ac:dyDescent="0.25">
      <c r="A341" s="7">
        <v>130.50953834528468</v>
      </c>
      <c r="B341"/>
      <c r="C341"/>
      <c r="D341"/>
      <c r="E341" t="s">
        <v>8</v>
      </c>
      <c r="H341" s="27" t="s">
        <v>7</v>
      </c>
      <c r="I341" s="27" t="s">
        <v>8</v>
      </c>
      <c r="J341" s="27" t="s">
        <v>7</v>
      </c>
      <c r="K341" s="27" t="s">
        <v>8</v>
      </c>
      <c r="L341" s="27" t="s">
        <v>7</v>
      </c>
      <c r="M341" s="27" t="s">
        <v>8</v>
      </c>
      <c r="N341" s="27" t="s">
        <v>7</v>
      </c>
      <c r="O341" s="27" t="s">
        <v>8</v>
      </c>
      <c r="P341" s="27" t="s">
        <v>7</v>
      </c>
      <c r="S341" s="27" t="s">
        <v>8</v>
      </c>
      <c r="T341" s="27" t="s">
        <v>7</v>
      </c>
    </row>
    <row r="342" spans="1:22" x14ac:dyDescent="0.25">
      <c r="A342" s="7">
        <v>127.95052778949477</v>
      </c>
      <c r="B342"/>
      <c r="C342"/>
      <c r="D342"/>
      <c r="E342" t="s">
        <v>8</v>
      </c>
      <c r="H342" s="27" t="s">
        <v>7</v>
      </c>
      <c r="I342" s="27" t="s">
        <v>8</v>
      </c>
      <c r="J342" s="27" t="s">
        <v>7</v>
      </c>
      <c r="K342" s="27" t="s">
        <v>8</v>
      </c>
      <c r="L342" s="27" t="s">
        <v>7</v>
      </c>
      <c r="M342" s="27" t="s">
        <v>8</v>
      </c>
      <c r="N342" s="27" t="s">
        <v>7</v>
      </c>
      <c r="O342" s="27" t="s">
        <v>8</v>
      </c>
      <c r="P342" s="27" t="s">
        <v>7</v>
      </c>
      <c r="S342" s="27" t="s">
        <v>8</v>
      </c>
      <c r="T342" s="27" t="s">
        <v>7</v>
      </c>
    </row>
    <row r="343" spans="1:22" x14ac:dyDescent="0.25">
      <c r="A343" s="7">
        <v>125.44169391126938</v>
      </c>
      <c r="B343"/>
      <c r="C343"/>
      <c r="D343"/>
      <c r="E343" t="s">
        <v>8</v>
      </c>
      <c r="H343" s="27" t="s">
        <v>7</v>
      </c>
      <c r="I343" s="27" t="s">
        <v>8</v>
      </c>
      <c r="J343" s="27" t="s">
        <v>7</v>
      </c>
      <c r="K343" s="27" t="s">
        <v>8</v>
      </c>
      <c r="L343" s="27" t="s">
        <v>7</v>
      </c>
      <c r="M343" s="27" t="s">
        <v>8</v>
      </c>
      <c r="N343" s="27" t="s">
        <v>7</v>
      </c>
      <c r="O343" s="27" t="s">
        <v>8</v>
      </c>
      <c r="P343" s="27" t="s">
        <v>7</v>
      </c>
      <c r="S343" s="27" t="s">
        <v>8</v>
      </c>
      <c r="T343" s="27" t="s">
        <v>7</v>
      </c>
    </row>
    <row r="344" spans="1:22" x14ac:dyDescent="0.25">
      <c r="A344" s="7">
        <v>122.98205285418567</v>
      </c>
      <c r="B344"/>
      <c r="C344"/>
      <c r="D344"/>
      <c r="E344" t="s">
        <v>8</v>
      </c>
      <c r="H344" s="27" t="s">
        <v>7</v>
      </c>
      <c r="I344" s="27" t="s">
        <v>8</v>
      </c>
      <c r="J344" s="27" t="s">
        <v>7</v>
      </c>
      <c r="K344" s="27" t="s">
        <v>8</v>
      </c>
      <c r="L344" s="27" t="s">
        <v>7</v>
      </c>
      <c r="N344" s="27" t="s">
        <v>7</v>
      </c>
      <c r="P344" s="27" t="s">
        <v>7</v>
      </c>
      <c r="S344" s="27" t="s">
        <v>8</v>
      </c>
      <c r="T344" s="27" t="s">
        <v>7</v>
      </c>
    </row>
    <row r="345" spans="1:22" x14ac:dyDescent="0.25">
      <c r="A345" s="7">
        <v>120.5706400531232</v>
      </c>
      <c r="B345"/>
      <c r="C345"/>
      <c r="D345"/>
      <c r="E345" t="s">
        <v>8</v>
      </c>
      <c r="H345" s="27" t="s">
        <v>7</v>
      </c>
      <c r="I345" s="27" t="s">
        <v>8</v>
      </c>
      <c r="J345" s="27" t="s">
        <v>7</v>
      </c>
      <c r="P345" s="27" t="s">
        <v>7</v>
      </c>
      <c r="S345" s="27" t="s">
        <v>8</v>
      </c>
      <c r="T345" s="27" t="s">
        <v>7</v>
      </c>
    </row>
    <row r="346" spans="1:22" x14ac:dyDescent="0.25">
      <c r="A346" s="7">
        <v>118.20650985600314</v>
      </c>
      <c r="B346"/>
      <c r="C346"/>
      <c r="D346"/>
      <c r="E346" t="s">
        <v>8</v>
      </c>
      <c r="H346" s="27" t="s">
        <v>7</v>
      </c>
      <c r="I346" s="27" t="s">
        <v>8</v>
      </c>
      <c r="P346" s="27" t="s">
        <v>7</v>
      </c>
      <c r="S346" s="27" t="s">
        <v>8</v>
      </c>
      <c r="T346" s="27" t="s">
        <v>7</v>
      </c>
    </row>
    <row r="347" spans="1:22" x14ac:dyDescent="0.25">
      <c r="A347" s="7">
        <v>115.88873515294425</v>
      </c>
      <c r="B347"/>
      <c r="C347"/>
      <c r="D347"/>
      <c r="E347" t="s">
        <v>8</v>
      </c>
      <c r="H347" s="27" t="s">
        <v>7</v>
      </c>
      <c r="I347" s="27" t="s">
        <v>8</v>
      </c>
      <c r="P347" s="27" t="s">
        <v>7</v>
      </c>
      <c r="Q347" s="27" t="s">
        <v>8</v>
      </c>
      <c r="S347" s="27" t="s">
        <v>8</v>
      </c>
      <c r="T347" s="27" t="s">
        <v>7</v>
      </c>
    </row>
    <row r="348" spans="1:22" x14ac:dyDescent="0.25">
      <c r="A348" s="7">
        <v>113.61640701269044</v>
      </c>
      <c r="B348"/>
      <c r="C348"/>
      <c r="D348"/>
      <c r="E348" t="s">
        <v>8</v>
      </c>
      <c r="H348" s="27" t="s">
        <v>7</v>
      </c>
      <c r="I348" s="27" t="s">
        <v>8</v>
      </c>
      <c r="P348" s="27" t="s">
        <v>7</v>
      </c>
      <c r="Q348" s="27" t="s">
        <v>8</v>
      </c>
      <c r="R348" s="27" t="s">
        <v>7</v>
      </c>
      <c r="S348" s="27" t="s">
        <v>8</v>
      </c>
      <c r="T348" s="27" t="s">
        <v>7</v>
      </c>
    </row>
    <row r="349" spans="1:22" x14ac:dyDescent="0.25">
      <c r="A349" s="7">
        <v>111.38863432616711</v>
      </c>
      <c r="B349"/>
      <c r="C349"/>
      <c r="D349"/>
      <c r="E349" t="s">
        <v>8</v>
      </c>
      <c r="H349" s="27" t="s">
        <v>7</v>
      </c>
      <c r="I349" s="27" t="s">
        <v>8</v>
      </c>
      <c r="P349" s="27" t="s">
        <v>7</v>
      </c>
      <c r="Q349" s="27" t="s">
        <v>8</v>
      </c>
      <c r="R349" s="27" t="s">
        <v>7</v>
      </c>
      <c r="S349" s="27" t="s">
        <v>8</v>
      </c>
      <c r="T349" s="27" t="s">
        <v>7</v>
      </c>
    </row>
    <row r="350" spans="1:22" x14ac:dyDescent="0.25">
      <c r="A350" s="7">
        <v>109.20454345702657</v>
      </c>
      <c r="B350"/>
      <c r="C350"/>
      <c r="D350"/>
      <c r="E350" t="s">
        <v>8</v>
      </c>
      <c r="H350" s="27" t="s">
        <v>7</v>
      </c>
      <c r="I350" s="27" t="s">
        <v>8</v>
      </c>
      <c r="P350" s="27" t="s">
        <v>7</v>
      </c>
      <c r="Q350" s="27" t="s">
        <v>8</v>
      </c>
      <c r="R350" s="27" t="s">
        <v>7</v>
      </c>
      <c r="S350" s="27" t="s">
        <v>8</v>
      </c>
      <c r="T350" s="27" t="s">
        <v>7</v>
      </c>
      <c r="U350" s="27" t="s">
        <v>8</v>
      </c>
    </row>
    <row r="351" spans="1:22" x14ac:dyDescent="0.25">
      <c r="A351" s="7">
        <v>107.06327789904566</v>
      </c>
      <c r="B351"/>
      <c r="C351"/>
      <c r="D351"/>
      <c r="E351" t="s">
        <v>8</v>
      </c>
      <c r="H351" s="27" t="s">
        <v>7</v>
      </c>
      <c r="I351" s="27" t="s">
        <v>8</v>
      </c>
      <c r="P351" s="27" t="s">
        <v>7</v>
      </c>
      <c r="Q351" s="27" t="s">
        <v>8</v>
      </c>
      <c r="R351" s="27" t="s">
        <v>7</v>
      </c>
      <c r="S351" s="27" t="s">
        <v>8</v>
      </c>
      <c r="T351" s="27" t="s">
        <v>7</v>
      </c>
      <c r="U351" s="27" t="s">
        <v>8</v>
      </c>
      <c r="V351" s="27" t="s">
        <v>7</v>
      </c>
    </row>
    <row r="352" spans="1:22" x14ac:dyDescent="0.25">
      <c r="A352" s="7">
        <v>104.96399794024084</v>
      </c>
      <c r="B352"/>
      <c r="C352"/>
      <c r="D352"/>
      <c r="E352" t="s">
        <v>8</v>
      </c>
      <c r="H352" s="27" t="s">
        <v>7</v>
      </c>
      <c r="I352" s="27" t="s">
        <v>8</v>
      </c>
      <c r="P352" s="27" t="s">
        <v>7</v>
      </c>
      <c r="R352" s="27" t="s">
        <v>7</v>
      </c>
      <c r="S352" s="27" t="s">
        <v>8</v>
      </c>
      <c r="T352" s="27" t="s">
        <v>7</v>
      </c>
      <c r="U352" s="27" t="s">
        <v>8</v>
      </c>
      <c r="V352" s="27" t="s">
        <v>7</v>
      </c>
    </row>
    <row r="353" spans="1:70" x14ac:dyDescent="0.25">
      <c r="A353" s="7">
        <v>102.90588033356946</v>
      </c>
      <c r="B353"/>
      <c r="C353"/>
      <c r="D353"/>
      <c r="E353" t="s">
        <v>8</v>
      </c>
      <c r="H353" s="27" t="s">
        <v>7</v>
      </c>
      <c r="I353" s="27" t="s">
        <v>8</v>
      </c>
      <c r="R353" s="27" t="s">
        <v>7</v>
      </c>
      <c r="T353" s="27" t="s">
        <v>7</v>
      </c>
      <c r="U353" s="27" t="s">
        <v>8</v>
      </c>
      <c r="V353" s="27" t="s">
        <v>7</v>
      </c>
    </row>
    <row r="354" spans="1:70" x14ac:dyDescent="0.25">
      <c r="A354" s="7">
        <v>100.88811797408771</v>
      </c>
      <c r="B354"/>
      <c r="C354"/>
      <c r="D354"/>
      <c r="E354" t="s">
        <v>8</v>
      </c>
      <c r="H354" s="27" t="s">
        <v>7</v>
      </c>
      <c r="I354" s="27" t="s">
        <v>8</v>
      </c>
      <c r="T354" s="27" t="s">
        <v>7</v>
      </c>
      <c r="V354" s="27" t="s">
        <v>7</v>
      </c>
    </row>
    <row r="355" spans="1:70" x14ac:dyDescent="0.25">
      <c r="A355" s="7">
        <v>98.909919582438931</v>
      </c>
      <c r="B355"/>
      <c r="C355"/>
      <c r="D355"/>
      <c r="E355" t="s">
        <v>8</v>
      </c>
      <c r="H355" s="27" t="s">
        <v>7</v>
      </c>
      <c r="I355" s="27" t="s">
        <v>8</v>
      </c>
      <c r="V355" s="27" t="s">
        <v>7</v>
      </c>
    </row>
    <row r="356" spans="1:70" x14ac:dyDescent="0.25">
      <c r="A356" s="7">
        <v>96.970509394547975</v>
      </c>
      <c r="B356"/>
      <c r="C356"/>
      <c r="D356"/>
      <c r="E356" t="s">
        <v>8</v>
      </c>
      <c r="H356" s="27" t="s">
        <v>7</v>
      </c>
      <c r="I356" s="27" t="s">
        <v>8</v>
      </c>
      <c r="V356" s="27" t="s">
        <v>7</v>
      </c>
    </row>
    <row r="357" spans="1:70" x14ac:dyDescent="0.25">
      <c r="A357" s="7">
        <v>95.069126857399979</v>
      </c>
      <c r="B357"/>
      <c r="C357"/>
      <c r="D357"/>
      <c r="E357" t="s">
        <v>8</v>
      </c>
      <c r="H357" s="27" t="s">
        <v>7</v>
      </c>
      <c r="I357" s="27" t="s">
        <v>8</v>
      </c>
      <c r="V357" s="27" t="s">
        <v>7</v>
      </c>
    </row>
    <row r="358" spans="1:70" x14ac:dyDescent="0.25">
      <c r="A358" s="7">
        <v>93.205026330784293</v>
      </c>
      <c r="B358"/>
      <c r="C358"/>
      <c r="D358"/>
      <c r="E358" t="s">
        <v>8</v>
      </c>
      <c r="H358" s="27" t="s">
        <v>7</v>
      </c>
      <c r="V358" s="27" t="s">
        <v>7</v>
      </c>
    </row>
    <row r="359" spans="1:70" x14ac:dyDescent="0.25">
      <c r="A359" s="7">
        <v>91.377476794886562</v>
      </c>
      <c r="B359"/>
      <c r="C359"/>
      <c r="D359"/>
      <c r="E359" t="s">
        <v>8</v>
      </c>
      <c r="V359" s="27" t="s">
        <v>7</v>
      </c>
    </row>
    <row r="360" spans="1:70" x14ac:dyDescent="0.25">
      <c r="A360" s="7">
        <v>89.58576156361427</v>
      </c>
      <c r="B360"/>
      <c r="C360"/>
      <c r="D360"/>
      <c r="E360" t="s">
        <v>8</v>
      </c>
      <c r="V360" s="27" t="s">
        <v>7</v>
      </c>
    </row>
    <row r="361" spans="1:70" x14ac:dyDescent="0.25">
      <c r="A361" s="7">
        <v>87.829178003543404</v>
      </c>
      <c r="B361"/>
      <c r="C361"/>
      <c r="D361"/>
      <c r="E361" t="s">
        <v>8</v>
      </c>
      <c r="V361" s="27" t="s">
        <v>7</v>
      </c>
      <c r="W361" s="27" t="s">
        <v>8</v>
      </c>
    </row>
    <row r="362" spans="1:70" x14ac:dyDescent="0.25">
      <c r="A362" s="7">
        <v>86.107037258375883</v>
      </c>
      <c r="B362"/>
      <c r="C362"/>
      <c r="D362"/>
      <c r="E362" t="s">
        <v>8</v>
      </c>
      <c r="V362" s="27" t="s">
        <v>7</v>
      </c>
      <c r="W362" s="27" t="s">
        <v>8</v>
      </c>
      <c r="X362" s="27" t="s">
        <v>7</v>
      </c>
      <c r="BQ362" s="27" t="s">
        <v>8</v>
      </c>
    </row>
    <row r="363" spans="1:70" x14ac:dyDescent="0.25">
      <c r="A363" s="7">
        <v>84.418663978799884</v>
      </c>
      <c r="B363"/>
      <c r="C363"/>
      <c r="D363"/>
      <c r="E363" t="s">
        <v>8</v>
      </c>
      <c r="V363" s="27" t="s">
        <v>7</v>
      </c>
      <c r="W363" s="27" t="s">
        <v>8</v>
      </c>
      <c r="X363" s="27" t="s">
        <v>7</v>
      </c>
      <c r="BQ363" s="27" t="s">
        <v>8</v>
      </c>
      <c r="BR363" s="27" t="s">
        <v>7</v>
      </c>
    </row>
    <row r="364" spans="1:70" x14ac:dyDescent="0.25">
      <c r="A364" s="7">
        <v>82.763396057646943</v>
      </c>
      <c r="B364"/>
      <c r="C364"/>
      <c r="D364"/>
      <c r="E364" t="s">
        <v>8</v>
      </c>
      <c r="V364" s="27" t="s">
        <v>7</v>
      </c>
      <c r="W364" s="27" t="s">
        <v>8</v>
      </c>
      <c r="X364" s="27" t="s">
        <v>7</v>
      </c>
      <c r="BQ364" s="27" t="s">
        <v>8</v>
      </c>
      <c r="BR364" s="27" t="s">
        <v>7</v>
      </c>
    </row>
    <row r="365" spans="1:70" x14ac:dyDescent="0.25">
      <c r="A365" s="7">
        <v>81.140584370242095</v>
      </c>
      <c r="B365"/>
      <c r="C365"/>
      <c r="D365"/>
      <c r="E365" t="s">
        <v>8</v>
      </c>
      <c r="V365" s="27" t="s">
        <v>7</v>
      </c>
      <c r="W365" s="27" t="s">
        <v>8</v>
      </c>
      <c r="X365" s="27" t="s">
        <v>7</v>
      </c>
      <c r="BQ365" s="27" t="s">
        <v>8</v>
      </c>
      <c r="BR365" s="27" t="s">
        <v>7</v>
      </c>
    </row>
    <row r="366" spans="1:70" x14ac:dyDescent="0.25">
      <c r="A366" s="7">
        <v>79.549592519845191</v>
      </c>
      <c r="B366"/>
      <c r="C366"/>
      <c r="D366"/>
      <c r="E366" t="s">
        <v>8</v>
      </c>
      <c r="V366" s="27" t="s">
        <v>7</v>
      </c>
      <c r="W366" s="27" t="s">
        <v>8</v>
      </c>
      <c r="X366" s="27" t="s">
        <v>7</v>
      </c>
      <c r="BQ366" s="27" t="s">
        <v>8</v>
      </c>
      <c r="BR366" s="27" t="s">
        <v>7</v>
      </c>
    </row>
    <row r="367" spans="1:70" x14ac:dyDescent="0.25">
      <c r="A367" s="7">
        <v>77.989796588083522</v>
      </c>
      <c r="B367"/>
      <c r="C367"/>
      <c r="D367"/>
      <c r="E367" t="s">
        <v>8</v>
      </c>
      <c r="V367" s="27" t="s">
        <v>7</v>
      </c>
      <c r="X367" s="27" t="s">
        <v>7</v>
      </c>
      <c r="BQ367" s="27" t="s">
        <v>8</v>
      </c>
      <c r="BR367" s="27" t="s">
        <v>7</v>
      </c>
    </row>
    <row r="368" spans="1:70" x14ac:dyDescent="0.25">
      <c r="A368" s="7">
        <v>76.460584890277957</v>
      </c>
      <c r="B368"/>
      <c r="C368"/>
      <c r="D368"/>
      <c r="E368" t="s">
        <v>8</v>
      </c>
      <c r="X368" s="27" t="s">
        <v>7</v>
      </c>
      <c r="BC368" s="27" t="s">
        <v>8</v>
      </c>
      <c r="BQ368" s="27" t="s">
        <v>8</v>
      </c>
      <c r="BR368" s="27" t="s">
        <v>7</v>
      </c>
    </row>
    <row r="369" spans="1:110" x14ac:dyDescent="0.25">
      <c r="A369" s="7">
        <v>74.961357735566622</v>
      </c>
      <c r="B369"/>
      <c r="C369"/>
      <c r="D369"/>
      <c r="E369" t="s">
        <v>8</v>
      </c>
      <c r="X369" s="27" t="s">
        <v>7</v>
      </c>
      <c r="BC369" s="27" t="s">
        <v>8</v>
      </c>
      <c r="BD369" s="27" t="s">
        <v>7</v>
      </c>
      <c r="BQ369" s="27" t="s">
        <v>8</v>
      </c>
      <c r="BR369" s="27" t="s">
        <v>7</v>
      </c>
    </row>
    <row r="370" spans="1:110" x14ac:dyDescent="0.25">
      <c r="A370" s="7">
        <v>73.491527191731976</v>
      </c>
      <c r="B370"/>
      <c r="C370"/>
      <c r="D370"/>
      <c r="E370" t="s">
        <v>8</v>
      </c>
      <c r="X370" s="27" t="s">
        <v>7</v>
      </c>
      <c r="BC370" s="27" t="s">
        <v>8</v>
      </c>
      <c r="BD370" s="27" t="s">
        <v>7</v>
      </c>
      <c r="BM370" s="27" t="s">
        <v>8</v>
      </c>
      <c r="BQ370" s="27" t="s">
        <v>8</v>
      </c>
      <c r="BR370" s="27" t="s">
        <v>7</v>
      </c>
    </row>
    <row r="371" spans="1:110" x14ac:dyDescent="0.25">
      <c r="A371" s="7">
        <v>72.050516854639184</v>
      </c>
      <c r="B371"/>
      <c r="C371"/>
      <c r="D371"/>
      <c r="E371" t="s">
        <v>8</v>
      </c>
      <c r="X371" s="27" t="s">
        <v>7</v>
      </c>
      <c r="BC371" s="27" t="s">
        <v>8</v>
      </c>
      <c r="BD371" s="27" t="s">
        <v>7</v>
      </c>
      <c r="BM371" s="27" t="s">
        <v>8</v>
      </c>
      <c r="BN371" s="27" t="s">
        <v>7</v>
      </c>
      <c r="BQ371" s="27" t="s">
        <v>8</v>
      </c>
      <c r="BR371" s="27" t="s">
        <v>7</v>
      </c>
    </row>
    <row r="372" spans="1:110" x14ac:dyDescent="0.25">
      <c r="A372" s="7">
        <v>70.637761622195271</v>
      </c>
      <c r="B372"/>
      <c r="C372"/>
      <c r="D372"/>
      <c r="E372" t="s">
        <v>8</v>
      </c>
      <c r="X372" s="27" t="s">
        <v>7</v>
      </c>
      <c r="Y372" s="27" t="s">
        <v>8</v>
      </c>
      <c r="BC372" s="27" t="s">
        <v>8</v>
      </c>
      <c r="BD372" s="27" t="s">
        <v>7</v>
      </c>
      <c r="BI372" s="27" t="s">
        <v>8</v>
      </c>
      <c r="BM372" s="27" t="s">
        <v>8</v>
      </c>
      <c r="BN372" s="27" t="s">
        <v>7</v>
      </c>
      <c r="BQ372" s="27" t="s">
        <v>8</v>
      </c>
      <c r="BR372" s="27" t="s">
        <v>7</v>
      </c>
    </row>
    <row r="373" spans="1:110" x14ac:dyDescent="0.25">
      <c r="A373" s="7">
        <v>69.252707472740454</v>
      </c>
      <c r="B373"/>
      <c r="C373"/>
      <c r="D373"/>
      <c r="E373" t="s">
        <v>8</v>
      </c>
      <c r="X373" s="27" t="s">
        <v>7</v>
      </c>
      <c r="Y373" s="27" t="s">
        <v>8</v>
      </c>
      <c r="Z373" s="27" t="s">
        <v>7</v>
      </c>
      <c r="BC373" s="27" t="s">
        <v>8</v>
      </c>
      <c r="BD373" s="27" t="s">
        <v>7</v>
      </c>
      <c r="BI373" s="27" t="s">
        <v>8</v>
      </c>
      <c r="BJ373" s="27" t="s">
        <v>7</v>
      </c>
      <c r="BM373" s="27" t="s">
        <v>8</v>
      </c>
      <c r="BN373" s="27" t="s">
        <v>7</v>
      </c>
      <c r="BQ373" s="27" t="s">
        <v>8</v>
      </c>
      <c r="BR373" s="27" t="s">
        <v>7</v>
      </c>
    </row>
    <row r="374" spans="1:110" x14ac:dyDescent="0.25">
      <c r="A374" s="7">
        <v>67.894811247784759</v>
      </c>
      <c r="B374"/>
      <c r="C374"/>
      <c r="D374"/>
      <c r="E374" t="s">
        <v>8</v>
      </c>
      <c r="X374" s="27" t="s">
        <v>7</v>
      </c>
      <c r="Y374" s="27" t="s">
        <v>8</v>
      </c>
      <c r="Z374" s="27" t="s">
        <v>7</v>
      </c>
      <c r="BC374" s="27" t="s">
        <v>8</v>
      </c>
      <c r="BD374" s="27" t="s">
        <v>7</v>
      </c>
      <c r="BE374" s="27" t="s">
        <v>8</v>
      </c>
      <c r="BG374" s="27" t="s">
        <v>8</v>
      </c>
      <c r="BI374" s="27" t="s">
        <v>8</v>
      </c>
      <c r="BJ374" s="27" t="s">
        <v>7</v>
      </c>
      <c r="BM374" s="27" t="s">
        <v>8</v>
      </c>
      <c r="BN374" s="27" t="s">
        <v>7</v>
      </c>
      <c r="BO374" s="27" t="s">
        <v>8</v>
      </c>
      <c r="BQ374" s="27" t="s">
        <v>8</v>
      </c>
      <c r="BR374" s="27" t="s">
        <v>7</v>
      </c>
    </row>
    <row r="375" spans="1:110" x14ac:dyDescent="0.25">
      <c r="A375" s="7">
        <v>66.563540439004669</v>
      </c>
      <c r="B375"/>
      <c r="C375"/>
      <c r="D375"/>
      <c r="E375" t="s">
        <v>8</v>
      </c>
      <c r="X375" s="27" t="s">
        <v>7</v>
      </c>
      <c r="Y375" s="27" t="s">
        <v>8</v>
      </c>
      <c r="Z375" s="27" t="s">
        <v>7</v>
      </c>
      <c r="BC375" s="27" t="s">
        <v>8</v>
      </c>
      <c r="BD375" s="27" t="s">
        <v>7</v>
      </c>
      <c r="BE375" s="27" t="s">
        <v>8</v>
      </c>
      <c r="BF375" s="27" t="s">
        <v>7</v>
      </c>
      <c r="BG375" s="27" t="s">
        <v>8</v>
      </c>
      <c r="BH375" s="27" t="s">
        <v>7</v>
      </c>
      <c r="BI375" s="27" t="s">
        <v>8</v>
      </c>
      <c r="BJ375" s="27" t="s">
        <v>7</v>
      </c>
      <c r="BM375" s="27" t="s">
        <v>8</v>
      </c>
      <c r="BN375" s="27" t="s">
        <v>7</v>
      </c>
      <c r="BO375" s="27" t="s">
        <v>8</v>
      </c>
      <c r="BP375" s="27" t="s">
        <v>7</v>
      </c>
      <c r="BQ375" s="27" t="s">
        <v>8</v>
      </c>
      <c r="BR375" s="27" t="s">
        <v>7</v>
      </c>
    </row>
    <row r="376" spans="1:110" x14ac:dyDescent="0.25">
      <c r="A376" s="7">
        <v>65.258372979416336</v>
      </c>
      <c r="B376"/>
      <c r="C376"/>
      <c r="D376"/>
      <c r="E376" t="s">
        <v>8</v>
      </c>
      <c r="X376" s="27" t="s">
        <v>7</v>
      </c>
      <c r="Y376" s="27" t="s">
        <v>8</v>
      </c>
      <c r="Z376" s="27" t="s">
        <v>7</v>
      </c>
      <c r="BA376" s="27" t="s">
        <v>8</v>
      </c>
      <c r="BC376" s="27" t="s">
        <v>8</v>
      </c>
      <c r="BD376" s="27" t="s">
        <v>7</v>
      </c>
      <c r="BE376" s="27" t="s">
        <v>8</v>
      </c>
      <c r="BF376" s="27" t="s">
        <v>7</v>
      </c>
      <c r="BG376" s="27" t="s">
        <v>8</v>
      </c>
      <c r="BH376" s="27" t="s">
        <v>7</v>
      </c>
      <c r="BI376" s="27" t="s">
        <v>8</v>
      </c>
      <c r="BJ376" s="27" t="s">
        <v>7</v>
      </c>
      <c r="BM376" s="27" t="s">
        <v>8</v>
      </c>
      <c r="BN376" s="27" t="s">
        <v>7</v>
      </c>
      <c r="BO376" s="27" t="s">
        <v>8</v>
      </c>
      <c r="BP376" s="27" t="s">
        <v>7</v>
      </c>
      <c r="BQ376" s="27" t="s">
        <v>8</v>
      </c>
      <c r="BR376" s="27" t="s">
        <v>7</v>
      </c>
    </row>
    <row r="377" spans="1:110" x14ac:dyDescent="0.25">
      <c r="A377" s="7">
        <v>63.978797038643471</v>
      </c>
      <c r="B377"/>
      <c r="C377"/>
      <c r="D377"/>
      <c r="E377" t="s">
        <v>8</v>
      </c>
      <c r="X377" s="27" t="s">
        <v>7</v>
      </c>
      <c r="Y377" s="27" t="s">
        <v>8</v>
      </c>
      <c r="Z377" s="27" t="s">
        <v>7</v>
      </c>
      <c r="BA377" s="27" t="s">
        <v>8</v>
      </c>
      <c r="BB377" s="27" t="s">
        <v>7</v>
      </c>
      <c r="BC377" s="27" t="s">
        <v>8</v>
      </c>
      <c r="BD377" s="27" t="s">
        <v>7</v>
      </c>
      <c r="BE377" s="27" t="s">
        <v>8</v>
      </c>
      <c r="BF377" s="27" t="s">
        <v>7</v>
      </c>
      <c r="BG377" s="27" t="s">
        <v>8</v>
      </c>
      <c r="BH377" s="27" t="s">
        <v>7</v>
      </c>
      <c r="BI377" s="27" t="s">
        <v>8</v>
      </c>
      <c r="BJ377" s="27" t="s">
        <v>7</v>
      </c>
      <c r="BM377" s="27" t="s">
        <v>8</v>
      </c>
      <c r="BN377" s="27" t="s">
        <v>7</v>
      </c>
      <c r="BO377" s="27" t="s">
        <v>8</v>
      </c>
      <c r="BP377" s="27" t="s">
        <v>7</v>
      </c>
      <c r="BR377" s="27" t="s">
        <v>7</v>
      </c>
      <c r="BS377" s="27" t="s">
        <v>8</v>
      </c>
    </row>
    <row r="378" spans="1:110" x14ac:dyDescent="0.25">
      <c r="A378" s="7">
        <v>62.724310822199477</v>
      </c>
      <c r="B378"/>
      <c r="C378"/>
      <c r="D378"/>
      <c r="E378" t="s">
        <v>8</v>
      </c>
      <c r="X378" s="27" t="s">
        <v>7</v>
      </c>
      <c r="Y378" s="27" t="s">
        <v>8</v>
      </c>
      <c r="Z378" s="27" t="s">
        <v>7</v>
      </c>
      <c r="BA378" s="27" t="s">
        <v>8</v>
      </c>
      <c r="BB378" s="27" t="s">
        <v>7</v>
      </c>
      <c r="BC378" s="27" t="s">
        <v>8</v>
      </c>
      <c r="BD378" s="27" t="s">
        <v>7</v>
      </c>
      <c r="BE378" s="27" t="s">
        <v>8</v>
      </c>
      <c r="BF378" s="27" t="s">
        <v>7</v>
      </c>
      <c r="BG378" s="27" t="s">
        <v>8</v>
      </c>
      <c r="BH378" s="27" t="s">
        <v>7</v>
      </c>
      <c r="BI378" s="27" t="s">
        <v>8</v>
      </c>
      <c r="BJ378" s="27" t="s">
        <v>7</v>
      </c>
      <c r="BK378" s="27" t="s">
        <v>8</v>
      </c>
      <c r="BM378" s="27" t="s">
        <v>8</v>
      </c>
      <c r="BN378" s="27" t="s">
        <v>7</v>
      </c>
      <c r="BO378" s="27" t="s">
        <v>8</v>
      </c>
      <c r="BR378" s="27" t="s">
        <v>7</v>
      </c>
      <c r="BS378" s="27" t="s">
        <v>8</v>
      </c>
      <c r="BT378" s="27" t="s">
        <v>7</v>
      </c>
    </row>
    <row r="379" spans="1:110" x14ac:dyDescent="0.25">
      <c r="A379" s="7">
        <v>61.494422374705366</v>
      </c>
      <c r="B379"/>
      <c r="C379"/>
      <c r="D379"/>
      <c r="E379" t="s">
        <v>8</v>
      </c>
      <c r="X379" s="27" t="s">
        <v>7</v>
      </c>
      <c r="Y379" s="27" t="s">
        <v>8</v>
      </c>
      <c r="Z379" s="27" t="s">
        <v>7</v>
      </c>
      <c r="BA379" s="27" t="s">
        <v>8</v>
      </c>
      <c r="BB379" s="27" t="s">
        <v>7</v>
      </c>
      <c r="BC379" s="27" t="s">
        <v>8</v>
      </c>
      <c r="BD379" s="27" t="s">
        <v>7</v>
      </c>
      <c r="BE379" s="27" t="s">
        <v>8</v>
      </c>
      <c r="BF379" s="27" t="s">
        <v>7</v>
      </c>
      <c r="BG379" s="27" t="s">
        <v>8</v>
      </c>
      <c r="BH379" s="27" t="s">
        <v>7</v>
      </c>
      <c r="BI379" s="27" t="s">
        <v>8</v>
      </c>
      <c r="BJ379" s="27" t="s">
        <v>7</v>
      </c>
      <c r="BK379" s="27" t="s">
        <v>8</v>
      </c>
      <c r="BL379" s="27" t="s">
        <v>7</v>
      </c>
      <c r="BM379" s="27" t="s">
        <v>8</v>
      </c>
      <c r="BN379" s="27" t="s">
        <v>7</v>
      </c>
      <c r="BR379" s="27" t="s">
        <v>7</v>
      </c>
      <c r="BS379" s="27" t="s">
        <v>8</v>
      </c>
      <c r="BT379" s="27" t="s">
        <v>7</v>
      </c>
      <c r="BU379" s="27" t="s">
        <v>8</v>
      </c>
      <c r="BW379" s="27" t="s">
        <v>8</v>
      </c>
    </row>
    <row r="380" spans="1:110" x14ac:dyDescent="0.25">
      <c r="A380" s="7">
        <v>60.288649386966043</v>
      </c>
      <c r="B380"/>
      <c r="C380"/>
      <c r="D380"/>
      <c r="E380" t="s">
        <v>8</v>
      </c>
      <c r="X380" s="27" t="s">
        <v>7</v>
      </c>
      <c r="Y380" s="27" t="s">
        <v>8</v>
      </c>
      <c r="Z380" s="27" t="s">
        <v>7</v>
      </c>
      <c r="BA380" s="27" t="s">
        <v>8</v>
      </c>
      <c r="BB380" s="27" t="s">
        <v>7</v>
      </c>
      <c r="BC380" s="27" t="s">
        <v>8</v>
      </c>
      <c r="BD380" s="27" t="s">
        <v>7</v>
      </c>
      <c r="BF380" s="27" t="s">
        <v>7</v>
      </c>
      <c r="BG380" s="27" t="s">
        <v>8</v>
      </c>
      <c r="BH380" s="27" t="s">
        <v>7</v>
      </c>
      <c r="BI380" s="27" t="s">
        <v>8</v>
      </c>
      <c r="BJ380" s="27" t="s">
        <v>7</v>
      </c>
      <c r="BK380" s="27" t="s">
        <v>8</v>
      </c>
      <c r="BL380" s="27" t="s">
        <v>7</v>
      </c>
      <c r="BM380" s="27" t="s">
        <v>8</v>
      </c>
      <c r="BR380" s="27" t="s">
        <v>7</v>
      </c>
      <c r="BS380" s="27" t="s">
        <v>8</v>
      </c>
      <c r="BT380" s="27" t="s">
        <v>7</v>
      </c>
      <c r="BU380" s="27" t="s">
        <v>8</v>
      </c>
      <c r="BV380" s="27" t="s">
        <v>7</v>
      </c>
      <c r="BW380" s="27" t="s">
        <v>8</v>
      </c>
      <c r="BX380" s="27" t="s">
        <v>7</v>
      </c>
      <c r="BY380" s="27" t="s">
        <v>8</v>
      </c>
    </row>
    <row r="381" spans="1:110" x14ac:dyDescent="0.25">
      <c r="A381" s="7">
        <v>59.106519006829451</v>
      </c>
      <c r="B381"/>
      <c r="C381"/>
      <c r="D381"/>
      <c r="E381" t="s">
        <v>8</v>
      </c>
      <c r="X381" s="27" t="s">
        <v>7</v>
      </c>
      <c r="Y381" s="27" t="s">
        <v>8</v>
      </c>
      <c r="Z381" s="27" t="s">
        <v>7</v>
      </c>
      <c r="AC381" s="27" t="s">
        <v>8</v>
      </c>
      <c r="BA381" s="27" t="s">
        <v>8</v>
      </c>
      <c r="BB381" s="27" t="s">
        <v>7</v>
      </c>
      <c r="BC381" s="27" t="s">
        <v>8</v>
      </c>
      <c r="BF381" s="27" t="s">
        <v>7</v>
      </c>
      <c r="BH381" s="27" t="s">
        <v>7</v>
      </c>
      <c r="BI381" s="27" t="s">
        <v>8</v>
      </c>
      <c r="BJ381" s="27" t="s">
        <v>7</v>
      </c>
      <c r="BK381" s="27" t="s">
        <v>8</v>
      </c>
      <c r="BL381" s="27" t="s">
        <v>7</v>
      </c>
      <c r="BM381" s="27" t="s">
        <v>8</v>
      </c>
      <c r="BR381" s="27" t="s">
        <v>7</v>
      </c>
      <c r="BS381" s="27" t="s">
        <v>8</v>
      </c>
      <c r="BT381" s="27" t="s">
        <v>7</v>
      </c>
      <c r="BU381" s="27" t="s">
        <v>8</v>
      </c>
      <c r="BV381" s="27" t="s">
        <v>7</v>
      </c>
      <c r="BW381" s="27" t="s">
        <v>8</v>
      </c>
      <c r="BX381" s="27" t="s">
        <v>7</v>
      </c>
      <c r="BY381" s="27" t="s">
        <v>8</v>
      </c>
      <c r="BZ381" s="27" t="s">
        <v>7</v>
      </c>
    </row>
    <row r="382" spans="1:110" x14ac:dyDescent="0.25">
      <c r="A382" s="7">
        <v>57.947567653754362</v>
      </c>
      <c r="B382"/>
      <c r="C382"/>
      <c r="D382"/>
      <c r="E382" t="s">
        <v>8</v>
      </c>
      <c r="X382" s="27" t="s">
        <v>7</v>
      </c>
      <c r="Y382" s="27" t="s">
        <v>8</v>
      </c>
      <c r="Z382" s="27" t="s">
        <v>7</v>
      </c>
      <c r="AC382" s="27" t="s">
        <v>8</v>
      </c>
      <c r="AD382" s="27" t="s">
        <v>7</v>
      </c>
      <c r="BA382" s="27" t="s">
        <v>8</v>
      </c>
      <c r="BB382" s="27" t="s">
        <v>7</v>
      </c>
      <c r="BC382" s="27" t="s">
        <v>8</v>
      </c>
      <c r="BH382" s="27" t="s">
        <v>7</v>
      </c>
      <c r="BI382" s="27" t="s">
        <v>8</v>
      </c>
      <c r="BJ382" s="27" t="s">
        <v>7</v>
      </c>
      <c r="BK382" s="27" t="s">
        <v>8</v>
      </c>
      <c r="BL382" s="27" t="s">
        <v>7</v>
      </c>
      <c r="BM382" s="27" t="s">
        <v>8</v>
      </c>
      <c r="BR382" s="27" t="s">
        <v>7</v>
      </c>
      <c r="BS382" s="27" t="s">
        <v>8</v>
      </c>
      <c r="BT382" s="27" t="s">
        <v>7</v>
      </c>
      <c r="BU382" s="27" t="s">
        <v>8</v>
      </c>
      <c r="BV382" s="27" t="s">
        <v>7</v>
      </c>
      <c r="BW382" s="27" t="s">
        <v>8</v>
      </c>
      <c r="BX382" s="27" t="s">
        <v>7</v>
      </c>
      <c r="BY382" s="27" t="s">
        <v>8</v>
      </c>
      <c r="BZ382" s="27" t="s">
        <v>7</v>
      </c>
      <c r="DE382" s="27" t="s">
        <v>8</v>
      </c>
    </row>
    <row r="383" spans="1:110" x14ac:dyDescent="0.25">
      <c r="A383" s="7">
        <v>56.811340837014079</v>
      </c>
      <c r="B383"/>
      <c r="C383"/>
      <c r="D383"/>
      <c r="E383" t="s">
        <v>8</v>
      </c>
      <c r="X383" s="27" t="s">
        <v>7</v>
      </c>
      <c r="Y383" s="27" t="s">
        <v>8</v>
      </c>
      <c r="Z383" s="27" t="s">
        <v>7</v>
      </c>
      <c r="AC383" s="27" t="s">
        <v>8</v>
      </c>
      <c r="AD383" s="27" t="s">
        <v>7</v>
      </c>
      <c r="BA383" s="27" t="s">
        <v>8</v>
      </c>
      <c r="BB383" s="27" t="s">
        <v>7</v>
      </c>
      <c r="BC383" s="27" t="s">
        <v>8</v>
      </c>
      <c r="BH383" s="27" t="s">
        <v>7</v>
      </c>
      <c r="BI383" s="27" t="s">
        <v>8</v>
      </c>
      <c r="BJ383" s="27" t="s">
        <v>7</v>
      </c>
      <c r="BL383" s="27" t="s">
        <v>7</v>
      </c>
      <c r="BM383" s="27" t="s">
        <v>8</v>
      </c>
      <c r="BR383" s="27" t="s">
        <v>7</v>
      </c>
      <c r="BS383" s="27" t="s">
        <v>8</v>
      </c>
      <c r="BT383" s="27" t="s">
        <v>7</v>
      </c>
      <c r="BU383" s="27" t="s">
        <v>8</v>
      </c>
      <c r="BV383" s="27" t="s">
        <v>7</v>
      </c>
      <c r="BW383" s="27" t="s">
        <v>8</v>
      </c>
      <c r="BX383" s="27" t="s">
        <v>7</v>
      </c>
      <c r="BY383" s="27" t="s">
        <v>8</v>
      </c>
      <c r="BZ383" s="27" t="s">
        <v>7</v>
      </c>
      <c r="CI383" s="27" t="s">
        <v>8</v>
      </c>
      <c r="DE383" s="27" t="s">
        <v>8</v>
      </c>
      <c r="DF383" s="27" t="s">
        <v>7</v>
      </c>
    </row>
    <row r="384" spans="1:110" x14ac:dyDescent="0.25">
      <c r="A384" s="7">
        <v>55.69739297746478</v>
      </c>
      <c r="B384"/>
      <c r="C384"/>
      <c r="D384"/>
      <c r="E384" t="s">
        <v>8</v>
      </c>
      <c r="X384" s="27" t="s">
        <v>7</v>
      </c>
      <c r="Y384" s="27" t="s">
        <v>8</v>
      </c>
      <c r="Z384" s="27" t="s">
        <v>7</v>
      </c>
      <c r="AC384" s="27" t="s">
        <v>8</v>
      </c>
      <c r="AD384" s="27" t="s">
        <v>7</v>
      </c>
      <c r="BA384" s="27" t="s">
        <v>8</v>
      </c>
      <c r="BB384" s="27" t="s">
        <v>7</v>
      </c>
      <c r="BC384" s="27" t="s">
        <v>8</v>
      </c>
      <c r="BH384" s="27" t="s">
        <v>7</v>
      </c>
      <c r="BI384" s="27" t="s">
        <v>8</v>
      </c>
      <c r="BL384" s="27" t="s">
        <v>7</v>
      </c>
      <c r="BM384" s="27" t="s">
        <v>8</v>
      </c>
      <c r="BR384" s="27" t="s">
        <v>7</v>
      </c>
      <c r="BT384" s="27" t="s">
        <v>7</v>
      </c>
      <c r="BU384" s="27" t="s">
        <v>8</v>
      </c>
      <c r="BV384" s="27" t="s">
        <v>7</v>
      </c>
      <c r="BW384" s="27" t="s">
        <v>8</v>
      </c>
      <c r="BX384" s="27" t="s">
        <v>7</v>
      </c>
      <c r="BZ384" s="27" t="s">
        <v>7</v>
      </c>
      <c r="CI384" s="27" t="s">
        <v>8</v>
      </c>
      <c r="CJ384" s="27" t="s">
        <v>7</v>
      </c>
      <c r="DE384" s="27" t="s">
        <v>8</v>
      </c>
      <c r="DF384" s="27" t="s">
        <v>7</v>
      </c>
    </row>
    <row r="385" spans="1:122" x14ac:dyDescent="0.25">
      <c r="A385" s="7">
        <v>54.605287232808607</v>
      </c>
      <c r="B385"/>
      <c r="C385"/>
      <c r="D385"/>
      <c r="E385" t="s">
        <v>8</v>
      </c>
      <c r="X385" s="27" t="s">
        <v>7</v>
      </c>
      <c r="Y385" s="27" t="s">
        <v>8</v>
      </c>
      <c r="Z385" s="27" t="s">
        <v>7</v>
      </c>
      <c r="AC385" s="27" t="s">
        <v>8</v>
      </c>
      <c r="AD385" s="27" t="s">
        <v>7</v>
      </c>
      <c r="BA385" s="27" t="s">
        <v>8</v>
      </c>
      <c r="BB385" s="27" t="s">
        <v>7</v>
      </c>
      <c r="BC385" s="27" t="s">
        <v>8</v>
      </c>
      <c r="BH385" s="27" t="s">
        <v>7</v>
      </c>
      <c r="BL385" s="27" t="s">
        <v>7</v>
      </c>
      <c r="BT385" s="27" t="s">
        <v>7</v>
      </c>
      <c r="BV385" s="27" t="s">
        <v>7</v>
      </c>
      <c r="BW385" s="27" t="s">
        <v>8</v>
      </c>
      <c r="BZ385" s="27" t="s">
        <v>7</v>
      </c>
      <c r="CI385" s="27" t="s">
        <v>8</v>
      </c>
      <c r="CJ385" s="27" t="s">
        <v>7</v>
      </c>
      <c r="DC385" s="27" t="s">
        <v>8</v>
      </c>
      <c r="DE385" s="27" t="s">
        <v>8</v>
      </c>
      <c r="DF385" s="27" t="s">
        <v>7</v>
      </c>
    </row>
    <row r="386" spans="1:122" x14ac:dyDescent="0.25">
      <c r="A386" s="7">
        <v>53.534595326282947</v>
      </c>
      <c r="B386"/>
      <c r="C386"/>
      <c r="D386"/>
      <c r="E386" t="s">
        <v>8</v>
      </c>
      <c r="X386" s="27" t="s">
        <v>7</v>
      </c>
      <c r="Z386" s="27" t="s">
        <v>7</v>
      </c>
      <c r="AC386" s="27" t="s">
        <v>8</v>
      </c>
      <c r="AD386" s="27" t="s">
        <v>7</v>
      </c>
      <c r="BA386" s="27" t="s">
        <v>8</v>
      </c>
      <c r="BB386" s="27" t="s">
        <v>7</v>
      </c>
      <c r="BV386" s="27" t="s">
        <v>7</v>
      </c>
      <c r="BW386" s="27" t="s">
        <v>8</v>
      </c>
      <c r="BZ386" s="27" t="s">
        <v>7</v>
      </c>
      <c r="CI386" s="27" t="s">
        <v>8</v>
      </c>
      <c r="CJ386" s="27" t="s">
        <v>7</v>
      </c>
      <c r="CK386" s="27" t="s">
        <v>8</v>
      </c>
      <c r="DC386" s="27" t="s">
        <v>8</v>
      </c>
      <c r="DD386" s="27" t="s">
        <v>7</v>
      </c>
      <c r="DE386" s="27" t="s">
        <v>8</v>
      </c>
      <c r="DF386" s="27" t="s">
        <v>7</v>
      </c>
    </row>
    <row r="387" spans="1:122" x14ac:dyDescent="0.25">
      <c r="A387" s="7">
        <v>52.484897378708773</v>
      </c>
      <c r="B387"/>
      <c r="C387"/>
      <c r="D387"/>
      <c r="E387" t="s">
        <v>8</v>
      </c>
      <c r="Z387" s="27" t="s">
        <v>7</v>
      </c>
      <c r="AC387" s="27" t="s">
        <v>8</v>
      </c>
      <c r="AD387" s="27" t="s">
        <v>7</v>
      </c>
      <c r="BA387" s="27" t="s">
        <v>8</v>
      </c>
      <c r="BV387" s="27" t="s">
        <v>7</v>
      </c>
      <c r="BW387" s="27" t="s">
        <v>8</v>
      </c>
      <c r="BZ387" s="27" t="s">
        <v>7</v>
      </c>
      <c r="CG387" s="27" t="s">
        <v>8</v>
      </c>
      <c r="CI387" s="27" t="s">
        <v>8</v>
      </c>
      <c r="CJ387" s="27" t="s">
        <v>7</v>
      </c>
      <c r="CK387" s="27" t="s">
        <v>8</v>
      </c>
      <c r="CL387" s="27" t="s">
        <v>7</v>
      </c>
      <c r="DC387" s="27" t="s">
        <v>8</v>
      </c>
      <c r="DD387" s="27" t="s">
        <v>7</v>
      </c>
      <c r="DE387" s="27" t="s">
        <v>8</v>
      </c>
      <c r="DF387" s="27" t="s">
        <v>7</v>
      </c>
    </row>
    <row r="388" spans="1:122" x14ac:dyDescent="0.25">
      <c r="A388" s="7">
        <v>51.455781743832127</v>
      </c>
      <c r="B388"/>
      <c r="C388"/>
      <c r="D388"/>
      <c r="E388" t="s">
        <v>8</v>
      </c>
      <c r="Z388" s="27" t="s">
        <v>7</v>
      </c>
      <c r="AC388" s="27" t="s">
        <v>8</v>
      </c>
      <c r="AD388" s="27" t="s">
        <v>7</v>
      </c>
      <c r="BA388" s="27" t="s">
        <v>8</v>
      </c>
      <c r="BV388" s="27" t="s">
        <v>7</v>
      </c>
      <c r="BW388" s="27" t="s">
        <v>8</v>
      </c>
      <c r="BZ388" s="27" t="s">
        <v>7</v>
      </c>
      <c r="CA388" s="27" t="s">
        <v>8</v>
      </c>
      <c r="CG388" s="27" t="s">
        <v>8</v>
      </c>
      <c r="CH388" s="27" t="s">
        <v>7</v>
      </c>
      <c r="CI388" s="27" t="s">
        <v>8</v>
      </c>
      <c r="CJ388" s="27" t="s">
        <v>7</v>
      </c>
      <c r="CK388" s="27" t="s">
        <v>8</v>
      </c>
      <c r="CL388" s="27" t="s">
        <v>7</v>
      </c>
      <c r="CU388" s="27" t="s">
        <v>8</v>
      </c>
      <c r="DC388" s="27" t="s">
        <v>8</v>
      </c>
      <c r="DD388" s="27" t="s">
        <v>7</v>
      </c>
      <c r="DE388" s="27" t="s">
        <v>8</v>
      </c>
      <c r="DF388" s="27" t="s">
        <v>7</v>
      </c>
    </row>
    <row r="389" spans="1:122" x14ac:dyDescent="0.25">
      <c r="A389" s="7">
        <v>50.446844846894244</v>
      </c>
      <c r="B389"/>
      <c r="C389"/>
      <c r="D389"/>
      <c r="E389" t="s">
        <v>8</v>
      </c>
      <c r="Z389" s="27" t="s">
        <v>7</v>
      </c>
      <c r="AC389" s="27" t="s">
        <v>8</v>
      </c>
      <c r="AD389" s="27" t="s">
        <v>7</v>
      </c>
      <c r="AE389" s="27" t="s">
        <v>8</v>
      </c>
      <c r="AG389" s="27" t="s">
        <v>8</v>
      </c>
      <c r="BA389" s="27" t="s">
        <v>8</v>
      </c>
      <c r="BV389" s="27" t="s">
        <v>7</v>
      </c>
      <c r="BZ389" s="27" t="s">
        <v>7</v>
      </c>
      <c r="CA389" s="27" t="s">
        <v>8</v>
      </c>
      <c r="CB389" s="27" t="s">
        <v>7</v>
      </c>
      <c r="CG389" s="27" t="s">
        <v>8</v>
      </c>
      <c r="CH389" s="27" t="s">
        <v>7</v>
      </c>
      <c r="CI389" s="27" t="s">
        <v>8</v>
      </c>
      <c r="CJ389" s="27" t="s">
        <v>7</v>
      </c>
      <c r="CL389" s="27" t="s">
        <v>7</v>
      </c>
      <c r="CU389" s="27" t="s">
        <v>8</v>
      </c>
      <c r="CV389" s="27" t="s">
        <v>7</v>
      </c>
      <c r="DC389" s="27" t="s">
        <v>8</v>
      </c>
      <c r="DD389" s="27" t="s">
        <v>7</v>
      </c>
      <c r="DE389" s="27" t="s">
        <v>8</v>
      </c>
      <c r="DF389" s="27" t="s">
        <v>7</v>
      </c>
    </row>
    <row r="390" spans="1:122" x14ac:dyDescent="0.25">
      <c r="A390" s="7">
        <v>49.457691026366902</v>
      </c>
      <c r="B390"/>
      <c r="C390"/>
      <c r="D390"/>
      <c r="E390" t="s">
        <v>8</v>
      </c>
      <c r="Z390" s="27" t="s">
        <v>7</v>
      </c>
      <c r="AC390" s="27" t="s">
        <v>8</v>
      </c>
      <c r="AD390" s="27" t="s">
        <v>7</v>
      </c>
      <c r="AE390" s="27" t="s">
        <v>8</v>
      </c>
      <c r="AF390" s="27" t="s">
        <v>7</v>
      </c>
      <c r="AG390" s="27" t="s">
        <v>8</v>
      </c>
      <c r="AH390" s="27" t="s">
        <v>7</v>
      </c>
      <c r="BA390" s="27" t="s">
        <v>8</v>
      </c>
      <c r="BZ390" s="27" t="s">
        <v>7</v>
      </c>
      <c r="CA390" s="27" t="s">
        <v>8</v>
      </c>
      <c r="CB390" s="27" t="s">
        <v>7</v>
      </c>
      <c r="CG390" s="27" t="s">
        <v>8</v>
      </c>
      <c r="CH390" s="27" t="s">
        <v>7</v>
      </c>
      <c r="CI390" s="27" t="s">
        <v>8</v>
      </c>
      <c r="CL390" s="27" t="s">
        <v>7</v>
      </c>
      <c r="CU390" s="27" t="s">
        <v>8</v>
      </c>
      <c r="CV390" s="27" t="s">
        <v>7</v>
      </c>
      <c r="DC390" s="27" t="s">
        <v>8</v>
      </c>
      <c r="DD390" s="27" t="s">
        <v>7</v>
      </c>
      <c r="DE390" s="27" t="s">
        <v>8</v>
      </c>
      <c r="DF390" s="27" t="s">
        <v>7</v>
      </c>
      <c r="DI390" s="27" t="s">
        <v>8</v>
      </c>
    </row>
    <row r="391" spans="1:122" x14ac:dyDescent="0.25">
      <c r="A391" s="7">
        <v>48.487932378791079</v>
      </c>
      <c r="B391"/>
      <c r="C391"/>
      <c r="D391"/>
      <c r="E391" t="s">
        <v>8</v>
      </c>
      <c r="Z391" s="27" t="s">
        <v>7</v>
      </c>
      <c r="AC391" s="27" t="s">
        <v>8</v>
      </c>
      <c r="AD391" s="27" t="s">
        <v>7</v>
      </c>
      <c r="AE391" s="27" t="s">
        <v>8</v>
      </c>
      <c r="AF391" s="27" t="s">
        <v>7</v>
      </c>
      <c r="AG391" s="27" t="s">
        <v>8</v>
      </c>
      <c r="AH391" s="27" t="s">
        <v>7</v>
      </c>
      <c r="BA391" s="27" t="s">
        <v>8</v>
      </c>
      <c r="BZ391" s="27" t="s">
        <v>7</v>
      </c>
      <c r="CA391" s="27" t="s">
        <v>8</v>
      </c>
      <c r="CB391" s="27" t="s">
        <v>7</v>
      </c>
      <c r="CG391" s="27" t="s">
        <v>8</v>
      </c>
      <c r="CH391" s="27" t="s">
        <v>7</v>
      </c>
      <c r="CI391" s="27" t="s">
        <v>8</v>
      </c>
      <c r="CL391" s="27" t="s">
        <v>7</v>
      </c>
      <c r="CU391" s="27" t="s">
        <v>8</v>
      </c>
      <c r="CV391" s="27" t="s">
        <v>7</v>
      </c>
      <c r="DA391" s="27" t="s">
        <v>8</v>
      </c>
      <c r="DC391" s="27" t="s">
        <v>8</v>
      </c>
      <c r="DD391" s="27" t="s">
        <v>7</v>
      </c>
      <c r="DE391" s="27" t="s">
        <v>8</v>
      </c>
      <c r="DF391" s="27" t="s">
        <v>7</v>
      </c>
      <c r="DG391" s="27" t="s">
        <v>8</v>
      </c>
      <c r="DI391" s="27" t="s">
        <v>8</v>
      </c>
      <c r="DJ391" s="27" t="s">
        <v>7</v>
      </c>
    </row>
    <row r="392" spans="1:122" x14ac:dyDescent="0.25">
      <c r="A392" s="7">
        <v>47.537188606657921</v>
      </c>
      <c r="B392"/>
      <c r="C392"/>
      <c r="D392"/>
      <c r="E392" t="s">
        <v>8</v>
      </c>
      <c r="Z392" s="27" t="s">
        <v>7</v>
      </c>
      <c r="AC392" s="27" t="s">
        <v>8</v>
      </c>
      <c r="AD392" s="27" t="s">
        <v>7</v>
      </c>
      <c r="AE392" s="27" t="s">
        <v>8</v>
      </c>
      <c r="AF392" s="27" t="s">
        <v>7</v>
      </c>
      <c r="AG392" s="27" t="s">
        <v>8</v>
      </c>
      <c r="AH392" s="27" t="s">
        <v>7</v>
      </c>
      <c r="AI392" s="27" t="s">
        <v>8</v>
      </c>
      <c r="AU392" s="27" t="s">
        <v>8</v>
      </c>
      <c r="BA392" s="27" t="s">
        <v>8</v>
      </c>
      <c r="BZ392" s="27" t="s">
        <v>7</v>
      </c>
      <c r="CA392" s="27" t="s">
        <v>8</v>
      </c>
      <c r="CB392" s="27" t="s">
        <v>7</v>
      </c>
      <c r="CG392" s="27" t="s">
        <v>8</v>
      </c>
      <c r="CH392" s="27" t="s">
        <v>7</v>
      </c>
      <c r="CL392" s="27" t="s">
        <v>7</v>
      </c>
      <c r="CS392" s="27" t="s">
        <v>8</v>
      </c>
      <c r="CU392" s="27" t="s">
        <v>8</v>
      </c>
      <c r="CV392" s="27" t="s">
        <v>7</v>
      </c>
      <c r="DA392" s="27" t="s">
        <v>8</v>
      </c>
      <c r="DB392" s="27" t="s">
        <v>7</v>
      </c>
      <c r="DC392" s="27" t="s">
        <v>8</v>
      </c>
      <c r="DD392" s="27" t="s">
        <v>7</v>
      </c>
      <c r="DE392" s="27" t="s">
        <v>8</v>
      </c>
      <c r="DF392" s="27" t="s">
        <v>7</v>
      </c>
      <c r="DG392" s="27" t="s">
        <v>8</v>
      </c>
      <c r="DH392" s="27" t="s">
        <v>7</v>
      </c>
      <c r="DI392" s="27" t="s">
        <v>8</v>
      </c>
      <c r="DJ392" s="27" t="s">
        <v>7</v>
      </c>
    </row>
    <row r="393" spans="1:122" x14ac:dyDescent="0.25">
      <c r="A393" s="7">
        <v>46.605086869272469</v>
      </c>
      <c r="B393"/>
      <c r="C393"/>
      <c r="D393"/>
      <c r="E393" t="s">
        <v>8</v>
      </c>
      <c r="Z393" s="27" t="s">
        <v>7</v>
      </c>
      <c r="AC393" s="27" t="s">
        <v>8</v>
      </c>
      <c r="AD393" s="27" t="s">
        <v>7</v>
      </c>
      <c r="AE393" s="27" t="s">
        <v>8</v>
      </c>
      <c r="AF393" s="27" t="s">
        <v>7</v>
      </c>
      <c r="AG393" s="27" t="s">
        <v>8</v>
      </c>
      <c r="AH393" s="27" t="s">
        <v>7</v>
      </c>
      <c r="AI393" s="27" t="s">
        <v>8</v>
      </c>
      <c r="AJ393" s="27" t="s">
        <v>7</v>
      </c>
      <c r="AU393" s="27" t="s">
        <v>8</v>
      </c>
      <c r="AV393" s="27" t="s">
        <v>7</v>
      </c>
      <c r="BA393" s="27" t="s">
        <v>8</v>
      </c>
      <c r="BZ393" s="27" t="s">
        <v>7</v>
      </c>
      <c r="CA393" s="27" t="s">
        <v>8</v>
      </c>
      <c r="CB393" s="27" t="s">
        <v>7</v>
      </c>
      <c r="CC393" s="27" t="s">
        <v>8</v>
      </c>
      <c r="CE393" s="27" t="s">
        <v>8</v>
      </c>
      <c r="CG393" s="27" t="s">
        <v>8</v>
      </c>
      <c r="CL393" s="27" t="s">
        <v>7</v>
      </c>
      <c r="CM393" s="27" t="s">
        <v>8</v>
      </c>
      <c r="CQ393" s="27" t="s">
        <v>8</v>
      </c>
      <c r="CS393" s="27" t="s">
        <v>8</v>
      </c>
      <c r="CT393" s="27" t="s">
        <v>7</v>
      </c>
      <c r="CU393" s="27" t="s">
        <v>8</v>
      </c>
      <c r="CV393" s="27" t="s">
        <v>7</v>
      </c>
      <c r="CY393" s="27" t="s">
        <v>8</v>
      </c>
      <c r="DA393" s="27" t="s">
        <v>8</v>
      </c>
      <c r="DB393" s="27" t="s">
        <v>7</v>
      </c>
      <c r="DC393" s="27" t="s">
        <v>8</v>
      </c>
      <c r="DD393" s="27" t="s">
        <v>7</v>
      </c>
      <c r="DF393" s="27" t="s">
        <v>7</v>
      </c>
      <c r="DG393" s="27" t="s">
        <v>8</v>
      </c>
      <c r="DH393" s="27" t="s">
        <v>7</v>
      </c>
      <c r="DI393" s="27" t="s">
        <v>8</v>
      </c>
      <c r="DJ393" s="27" t="s">
        <v>7</v>
      </c>
    </row>
    <row r="394" spans="1:122" x14ac:dyDescent="0.25">
      <c r="A394" s="7">
        <v>45.691261636541633</v>
      </c>
      <c r="B394"/>
      <c r="C394"/>
      <c r="D394"/>
      <c r="E394" t="s">
        <v>8</v>
      </c>
      <c r="Z394" s="27" t="s">
        <v>7</v>
      </c>
      <c r="AC394" s="27" t="s">
        <v>8</v>
      </c>
      <c r="AD394" s="27" t="s">
        <v>7</v>
      </c>
      <c r="AE394" s="27" t="s">
        <v>8</v>
      </c>
      <c r="AF394" s="27" t="s">
        <v>7</v>
      </c>
      <c r="AG394" s="27" t="s">
        <v>8</v>
      </c>
      <c r="AH394" s="27" t="s">
        <v>7</v>
      </c>
      <c r="AI394" s="27" t="s">
        <v>8</v>
      </c>
      <c r="AJ394" s="27" t="s">
        <v>7</v>
      </c>
      <c r="AS394" s="27" t="s">
        <v>8</v>
      </c>
      <c r="AU394" s="27" t="s">
        <v>8</v>
      </c>
      <c r="AV394" s="27" t="s">
        <v>7</v>
      </c>
      <c r="BA394" s="27" t="s">
        <v>8</v>
      </c>
      <c r="BZ394" s="27" t="s">
        <v>7</v>
      </c>
      <c r="CA394" s="27" t="s">
        <v>8</v>
      </c>
      <c r="CB394" s="27" t="s">
        <v>7</v>
      </c>
      <c r="CC394" s="27" t="s">
        <v>8</v>
      </c>
      <c r="CD394" s="27" t="s">
        <v>7</v>
      </c>
      <c r="CE394" s="27" t="s">
        <v>8</v>
      </c>
      <c r="CF394" s="27" t="s">
        <v>7</v>
      </c>
      <c r="CG394" s="27" t="s">
        <v>8</v>
      </c>
      <c r="CL394" s="27" t="s">
        <v>7</v>
      </c>
      <c r="CM394" s="27" t="s">
        <v>8</v>
      </c>
      <c r="CN394" s="27" t="s">
        <v>7</v>
      </c>
      <c r="CQ394" s="27" t="s">
        <v>8</v>
      </c>
      <c r="CR394" s="27" t="s">
        <v>7</v>
      </c>
      <c r="CS394" s="27" t="s">
        <v>8</v>
      </c>
      <c r="CT394" s="27" t="s">
        <v>7</v>
      </c>
      <c r="CU394" s="27" t="s">
        <v>8</v>
      </c>
      <c r="CV394" s="27" t="s">
        <v>7</v>
      </c>
      <c r="CW394" s="27" t="s">
        <v>8</v>
      </c>
      <c r="CY394" s="27" t="s">
        <v>8</v>
      </c>
      <c r="CZ394" s="27" t="s">
        <v>7</v>
      </c>
      <c r="DA394" s="27" t="s">
        <v>8</v>
      </c>
      <c r="DB394" s="27" t="s">
        <v>7</v>
      </c>
      <c r="DC394" s="27" t="s">
        <v>8</v>
      </c>
      <c r="DF394" s="27" t="s">
        <v>7</v>
      </c>
      <c r="DG394" s="27" t="s">
        <v>8</v>
      </c>
      <c r="DH394" s="27" t="s">
        <v>7</v>
      </c>
      <c r="DI394" s="27" t="s">
        <v>8</v>
      </c>
      <c r="DJ394" s="27" t="s">
        <v>7</v>
      </c>
      <c r="DM394" s="27" t="s">
        <v>8</v>
      </c>
      <c r="DO394" s="27" t="s">
        <v>8</v>
      </c>
    </row>
    <row r="395" spans="1:122" x14ac:dyDescent="0.25">
      <c r="A395" s="7">
        <v>44.795354545629053</v>
      </c>
      <c r="B395"/>
      <c r="C395"/>
      <c r="D395"/>
      <c r="E395" t="s">
        <v>8</v>
      </c>
      <c r="Z395" s="27" t="s">
        <v>7</v>
      </c>
      <c r="AC395" s="27" t="s">
        <v>8</v>
      </c>
      <c r="AD395" s="27" t="s">
        <v>7</v>
      </c>
      <c r="AE395" s="27" t="s">
        <v>8</v>
      </c>
      <c r="AF395" s="27" t="s">
        <v>7</v>
      </c>
      <c r="AG395" s="27" t="s">
        <v>8</v>
      </c>
      <c r="AH395" s="27" t="s">
        <v>7</v>
      </c>
      <c r="AJ395" s="27" t="s">
        <v>7</v>
      </c>
      <c r="AS395" s="27" t="s">
        <v>8</v>
      </c>
      <c r="AT395" s="27" t="s">
        <v>7</v>
      </c>
      <c r="AU395" s="27" t="s">
        <v>8</v>
      </c>
      <c r="AV395" s="27" t="s">
        <v>7</v>
      </c>
      <c r="BA395" s="27" t="s">
        <v>8</v>
      </c>
      <c r="BZ395" s="27" t="s">
        <v>7</v>
      </c>
      <c r="CA395" s="27" t="s">
        <v>8</v>
      </c>
      <c r="CB395" s="27" t="s">
        <v>7</v>
      </c>
      <c r="CC395" s="27" t="s">
        <v>8</v>
      </c>
      <c r="CD395" s="27" t="s">
        <v>7</v>
      </c>
      <c r="CE395" s="27" t="s">
        <v>8</v>
      </c>
      <c r="CF395" s="27" t="s">
        <v>7</v>
      </c>
      <c r="CG395" s="27" t="s">
        <v>8</v>
      </c>
      <c r="CL395" s="27" t="s">
        <v>7</v>
      </c>
      <c r="CM395" s="27" t="s">
        <v>8</v>
      </c>
      <c r="CN395" s="27" t="s">
        <v>7</v>
      </c>
      <c r="CO395" s="27" t="s">
        <v>8</v>
      </c>
      <c r="CQ395" s="27" t="s">
        <v>8</v>
      </c>
      <c r="CR395" s="27" t="s">
        <v>7</v>
      </c>
      <c r="CS395" s="27" t="s">
        <v>8</v>
      </c>
      <c r="CT395" s="27" t="s">
        <v>7</v>
      </c>
      <c r="CU395" s="27" t="s">
        <v>8</v>
      </c>
      <c r="CV395" s="27" t="s">
        <v>7</v>
      </c>
      <c r="CW395" s="27" t="s">
        <v>8</v>
      </c>
      <c r="CX395" s="27" t="s">
        <v>7</v>
      </c>
      <c r="CY395" s="27" t="s">
        <v>8</v>
      </c>
      <c r="CZ395" s="27" t="s">
        <v>7</v>
      </c>
      <c r="DA395" s="27" t="s">
        <v>8</v>
      </c>
      <c r="DB395" s="27" t="s">
        <v>7</v>
      </c>
      <c r="DF395" s="27" t="s">
        <v>7</v>
      </c>
      <c r="DG395" s="27" t="s">
        <v>8</v>
      </c>
      <c r="DH395" s="27" t="s">
        <v>7</v>
      </c>
      <c r="DJ395" s="27" t="s">
        <v>7</v>
      </c>
      <c r="DM395" s="27" t="s">
        <v>8</v>
      </c>
      <c r="DN395" s="27" t="s">
        <v>7</v>
      </c>
      <c r="DO395" s="27" t="s">
        <v>8</v>
      </c>
      <c r="DP395" s="27" t="s">
        <v>7</v>
      </c>
    </row>
    <row r="396" spans="1:122" x14ac:dyDescent="0.25">
      <c r="A396" s="7">
        <v>43.917014260420636</v>
      </c>
      <c r="B396"/>
      <c r="C396"/>
      <c r="D396"/>
      <c r="E396" t="s">
        <v>8</v>
      </c>
      <c r="Z396" s="27" t="s">
        <v>7</v>
      </c>
      <c r="AC396" s="27" t="s">
        <v>8</v>
      </c>
      <c r="AD396" s="27" t="s">
        <v>7</v>
      </c>
      <c r="AF396" s="27" t="s">
        <v>7</v>
      </c>
      <c r="AG396" s="27" t="s">
        <v>8</v>
      </c>
      <c r="AJ396" s="27" t="s">
        <v>7</v>
      </c>
      <c r="AS396" s="27" t="s">
        <v>8</v>
      </c>
      <c r="AT396" s="27" t="s">
        <v>7</v>
      </c>
      <c r="AU396" s="27" t="s">
        <v>8</v>
      </c>
      <c r="AV396" s="27" t="s">
        <v>7</v>
      </c>
      <c r="AY396" s="27" t="s">
        <v>8</v>
      </c>
      <c r="BA396" s="27" t="s">
        <v>8</v>
      </c>
      <c r="BZ396" s="27" t="s">
        <v>7</v>
      </c>
      <c r="CA396" s="27" t="s">
        <v>8</v>
      </c>
      <c r="CB396" s="27" t="s">
        <v>7</v>
      </c>
      <c r="CC396" s="27" t="s">
        <v>8</v>
      </c>
      <c r="CD396" s="27" t="s">
        <v>7</v>
      </c>
      <c r="CE396" s="27" t="s">
        <v>8</v>
      </c>
      <c r="CF396" s="27" t="s">
        <v>7</v>
      </c>
      <c r="CG396" s="27" t="s">
        <v>8</v>
      </c>
      <c r="CL396" s="27" t="s">
        <v>7</v>
      </c>
      <c r="CN396" s="27" t="s">
        <v>7</v>
      </c>
      <c r="CO396" s="27" t="s">
        <v>8</v>
      </c>
      <c r="CP396" s="27" t="s">
        <v>7</v>
      </c>
      <c r="CQ396" s="27" t="s">
        <v>8</v>
      </c>
      <c r="CR396" s="27" t="s">
        <v>7</v>
      </c>
      <c r="CS396" s="27" t="s">
        <v>8</v>
      </c>
      <c r="CT396" s="27" t="s">
        <v>7</v>
      </c>
      <c r="CU396" s="27" t="s">
        <v>8</v>
      </c>
      <c r="CV396" s="27" t="s">
        <v>7</v>
      </c>
      <c r="CW396" s="27" t="s">
        <v>8</v>
      </c>
      <c r="CX396" s="27" t="s">
        <v>7</v>
      </c>
      <c r="CY396" s="27" t="s">
        <v>8</v>
      </c>
      <c r="CZ396" s="27" t="s">
        <v>7</v>
      </c>
      <c r="DF396" s="27" t="s">
        <v>7</v>
      </c>
      <c r="DJ396" s="27" t="s">
        <v>7</v>
      </c>
      <c r="DM396" s="27" t="s">
        <v>8</v>
      </c>
      <c r="DN396" s="27" t="s">
        <v>7</v>
      </c>
      <c r="DO396" s="27" t="s">
        <v>8</v>
      </c>
      <c r="DP396" s="27" t="s">
        <v>7</v>
      </c>
    </row>
    <row r="397" spans="1:122" x14ac:dyDescent="0.25">
      <c r="A397" s="7">
        <v>43.055896333745721</v>
      </c>
      <c r="B397"/>
      <c r="C397"/>
      <c r="D397"/>
      <c r="E397" t="s">
        <v>8</v>
      </c>
      <c r="Z397" s="27" t="s">
        <v>7</v>
      </c>
      <c r="AC397" s="27" t="s">
        <v>8</v>
      </c>
      <c r="AF397" s="27" t="s">
        <v>7</v>
      </c>
      <c r="AG397" s="27" t="s">
        <v>8</v>
      </c>
      <c r="AJ397" s="27" t="s">
        <v>7</v>
      </c>
      <c r="AS397" s="27" t="s">
        <v>8</v>
      </c>
      <c r="AT397" s="27" t="s">
        <v>7</v>
      </c>
      <c r="AU397" s="27" t="s">
        <v>8</v>
      </c>
      <c r="AV397" s="27" t="s">
        <v>7</v>
      </c>
      <c r="AW397" s="27" t="s">
        <v>8</v>
      </c>
      <c r="AY397" s="27" t="s">
        <v>8</v>
      </c>
      <c r="AZ397" s="27" t="s">
        <v>7</v>
      </c>
      <c r="BA397" s="27" t="s">
        <v>8</v>
      </c>
      <c r="BZ397" s="27" t="s">
        <v>7</v>
      </c>
      <c r="CA397" s="27" t="s">
        <v>8</v>
      </c>
      <c r="CB397" s="27" t="s">
        <v>7</v>
      </c>
      <c r="CC397" s="27" t="s">
        <v>8</v>
      </c>
      <c r="CD397" s="27" t="s">
        <v>7</v>
      </c>
      <c r="CE397" s="27" t="s">
        <v>8</v>
      </c>
      <c r="CF397" s="27" t="s">
        <v>7</v>
      </c>
      <c r="CG397" s="27" t="s">
        <v>8</v>
      </c>
      <c r="CN397" s="27" t="s">
        <v>7</v>
      </c>
      <c r="CO397" s="27" t="s">
        <v>8</v>
      </c>
      <c r="CP397" s="27" t="s">
        <v>7</v>
      </c>
      <c r="CQ397" s="27" t="s">
        <v>8</v>
      </c>
      <c r="CR397" s="27" t="s">
        <v>7</v>
      </c>
      <c r="CS397" s="27" t="s">
        <v>8</v>
      </c>
      <c r="CT397" s="27" t="s">
        <v>7</v>
      </c>
      <c r="CU397" s="27" t="s">
        <v>8</v>
      </c>
      <c r="CV397" s="27" t="s">
        <v>7</v>
      </c>
      <c r="CW397" s="27" t="s">
        <v>8</v>
      </c>
      <c r="CX397" s="27" t="s">
        <v>7</v>
      </c>
      <c r="CY397" s="27" t="s">
        <v>8</v>
      </c>
      <c r="DJ397" s="27" t="s">
        <v>7</v>
      </c>
      <c r="DK397" s="27" t="s">
        <v>8</v>
      </c>
      <c r="DM397" s="27" t="s">
        <v>8</v>
      </c>
      <c r="DN397" s="27" t="s">
        <v>7</v>
      </c>
      <c r="DO397" s="27" t="s">
        <v>8</v>
      </c>
      <c r="DP397" s="27" t="s">
        <v>7</v>
      </c>
    </row>
    <row r="398" spans="1:122" x14ac:dyDescent="0.25">
      <c r="A398" s="7">
        <v>42.211663072299729</v>
      </c>
      <c r="B398"/>
      <c r="C398"/>
      <c r="D398"/>
      <c r="E398" t="s">
        <v>8</v>
      </c>
      <c r="Z398" s="27" t="s">
        <v>7</v>
      </c>
      <c r="AC398" s="27" t="s">
        <v>8</v>
      </c>
      <c r="AF398" s="27" t="s">
        <v>7</v>
      </c>
      <c r="AJ398" s="27" t="s">
        <v>7</v>
      </c>
      <c r="AS398" s="27" t="s">
        <v>8</v>
      </c>
      <c r="AT398" s="27" t="s">
        <v>7</v>
      </c>
      <c r="AU398" s="27" t="s">
        <v>8</v>
      </c>
      <c r="AV398" s="27" t="s">
        <v>7</v>
      </c>
      <c r="AW398" s="27" t="s">
        <v>8</v>
      </c>
      <c r="AX398" s="27" t="s">
        <v>7</v>
      </c>
      <c r="AY398" s="27" t="s">
        <v>8</v>
      </c>
      <c r="AZ398" s="27" t="s">
        <v>7</v>
      </c>
      <c r="BA398" s="27" t="s">
        <v>8</v>
      </c>
      <c r="BZ398" s="27" t="s">
        <v>7</v>
      </c>
      <c r="CB398" s="27" t="s">
        <v>7</v>
      </c>
      <c r="CD398" s="27" t="s">
        <v>7</v>
      </c>
      <c r="CE398" s="27" t="s">
        <v>8</v>
      </c>
      <c r="CF398" s="27" t="s">
        <v>7</v>
      </c>
      <c r="CG398" s="27" t="s">
        <v>8</v>
      </c>
      <c r="CN398" s="27" t="s">
        <v>7</v>
      </c>
      <c r="CO398" s="27" t="s">
        <v>8</v>
      </c>
      <c r="CP398" s="27" t="s">
        <v>7</v>
      </c>
      <c r="CQ398" s="27" t="s">
        <v>8</v>
      </c>
      <c r="CR398" s="27" t="s">
        <v>7</v>
      </c>
      <c r="CT398" s="27" t="s">
        <v>7</v>
      </c>
      <c r="CV398" s="27" t="s">
        <v>7</v>
      </c>
      <c r="CW398" s="27" t="s">
        <v>8</v>
      </c>
      <c r="CX398" s="27" t="s">
        <v>7</v>
      </c>
      <c r="DJ398" s="27" t="s">
        <v>7</v>
      </c>
      <c r="DK398" s="27" t="s">
        <v>8</v>
      </c>
      <c r="DL398" s="27" t="s">
        <v>7</v>
      </c>
      <c r="DM398" s="27" t="s">
        <v>8</v>
      </c>
      <c r="DN398" s="27" t="s">
        <v>7</v>
      </c>
      <c r="DO398" s="27" t="s">
        <v>8</v>
      </c>
      <c r="DP398" s="27" t="s">
        <v>7</v>
      </c>
      <c r="DQ398" s="27" t="s">
        <v>8</v>
      </c>
    </row>
    <row r="399" spans="1:122" x14ac:dyDescent="0.25">
      <c r="A399" s="7">
        <v>41.383983404215421</v>
      </c>
      <c r="B399"/>
      <c r="C399"/>
      <c r="D399"/>
      <c r="E399" t="s">
        <v>8</v>
      </c>
      <c r="Z399" s="27" t="s">
        <v>7</v>
      </c>
      <c r="AA399" s="27" t="s">
        <v>8</v>
      </c>
      <c r="AC399" s="27" t="s">
        <v>8</v>
      </c>
      <c r="AJ399" s="27" t="s">
        <v>7</v>
      </c>
      <c r="AK399" s="27" t="s">
        <v>8</v>
      </c>
      <c r="AS399" s="27" t="s">
        <v>8</v>
      </c>
      <c r="AT399" s="27" t="s">
        <v>7</v>
      </c>
      <c r="AU399" s="27" t="s">
        <v>8</v>
      </c>
      <c r="AV399" s="27" t="s">
        <v>7</v>
      </c>
      <c r="AW399" s="27" t="s">
        <v>8</v>
      </c>
      <c r="AX399" s="27" t="s">
        <v>7</v>
      </c>
      <c r="AY399" s="27" t="s">
        <v>8</v>
      </c>
      <c r="AZ399" s="27" t="s">
        <v>7</v>
      </c>
      <c r="BA399" s="27" t="s">
        <v>8</v>
      </c>
      <c r="CD399" s="27" t="s">
        <v>7</v>
      </c>
      <c r="CE399" s="27" t="s">
        <v>8</v>
      </c>
      <c r="CF399" s="27" t="s">
        <v>7</v>
      </c>
      <c r="CN399" s="27" t="s">
        <v>7</v>
      </c>
      <c r="CO399" s="27" t="s">
        <v>8</v>
      </c>
      <c r="CP399" s="27" t="s">
        <v>7</v>
      </c>
      <c r="CV399" s="27" t="s">
        <v>7</v>
      </c>
      <c r="CW399" s="27" t="s">
        <v>8</v>
      </c>
      <c r="DJ399" s="27" t="s">
        <v>7</v>
      </c>
      <c r="DK399" s="27" t="s">
        <v>8</v>
      </c>
      <c r="DL399" s="27" t="s">
        <v>7</v>
      </c>
      <c r="DM399" s="27" t="s">
        <v>8</v>
      </c>
      <c r="DN399" s="27" t="s">
        <v>7</v>
      </c>
      <c r="DO399" s="27" t="s">
        <v>8</v>
      </c>
      <c r="DP399" s="27" t="s">
        <v>7</v>
      </c>
      <c r="DQ399" s="27" t="s">
        <v>8</v>
      </c>
      <c r="DR399" s="27" t="s">
        <v>7</v>
      </c>
    </row>
    <row r="400" spans="1:122" x14ac:dyDescent="0.25">
      <c r="A400" s="7">
        <v>40.572532749230803</v>
      </c>
      <c r="B400"/>
      <c r="C400"/>
      <c r="D400"/>
      <c r="E400" t="s">
        <v>8</v>
      </c>
      <c r="Z400" s="27" t="s">
        <v>7</v>
      </c>
      <c r="AA400" s="27" t="s">
        <v>8</v>
      </c>
      <c r="AB400" s="27" t="s">
        <v>7</v>
      </c>
      <c r="AC400" s="27" t="s">
        <v>8</v>
      </c>
      <c r="AJ400" s="27" t="s">
        <v>7</v>
      </c>
      <c r="AK400" s="27" t="s">
        <v>8</v>
      </c>
      <c r="AL400" s="27" t="s">
        <v>7</v>
      </c>
      <c r="AS400" s="27" t="s">
        <v>8</v>
      </c>
      <c r="AT400" s="27" t="s">
        <v>7</v>
      </c>
      <c r="AV400" s="27" t="s">
        <v>7</v>
      </c>
      <c r="AW400" s="27" t="s">
        <v>8</v>
      </c>
      <c r="AX400" s="27" t="s">
        <v>7</v>
      </c>
      <c r="AY400" s="27" t="s">
        <v>8</v>
      </c>
      <c r="AZ400" s="27" t="s">
        <v>7</v>
      </c>
      <c r="BA400" s="27" t="s">
        <v>8</v>
      </c>
      <c r="CD400" s="27" t="s">
        <v>7</v>
      </c>
      <c r="CE400" s="27" t="s">
        <v>8</v>
      </c>
      <c r="CN400" s="27" t="s">
        <v>7</v>
      </c>
      <c r="CV400" s="27" t="s">
        <v>7</v>
      </c>
      <c r="CW400" s="27" t="s">
        <v>8</v>
      </c>
      <c r="DJ400" s="27" t="s">
        <v>7</v>
      </c>
      <c r="DL400" s="27" t="s">
        <v>7</v>
      </c>
      <c r="DM400" s="27" t="s">
        <v>8</v>
      </c>
      <c r="DN400" s="27" t="s">
        <v>7</v>
      </c>
      <c r="DP400" s="27" t="s">
        <v>7</v>
      </c>
      <c r="DQ400" s="27" t="s">
        <v>8</v>
      </c>
      <c r="DR400" s="27" t="s">
        <v>7</v>
      </c>
    </row>
    <row r="401" spans="1:142" x14ac:dyDescent="0.25">
      <c r="A401" s="7">
        <v>39.776992891402749</v>
      </c>
      <c r="B401"/>
      <c r="C401"/>
      <c r="D401"/>
      <c r="E401" t="s">
        <v>8</v>
      </c>
      <c r="Z401" s="27" t="s">
        <v>7</v>
      </c>
      <c r="AA401" s="27" t="s">
        <v>8</v>
      </c>
      <c r="AB401" s="27" t="s">
        <v>7</v>
      </c>
      <c r="AC401" s="27" t="s">
        <v>8</v>
      </c>
      <c r="AJ401" s="27" t="s">
        <v>7</v>
      </c>
      <c r="AK401" s="27" t="s">
        <v>8</v>
      </c>
      <c r="AL401" s="27" t="s">
        <v>7</v>
      </c>
      <c r="AM401" s="27" t="s">
        <v>8</v>
      </c>
      <c r="AS401" s="27" t="s">
        <v>8</v>
      </c>
      <c r="AV401" s="27" t="s">
        <v>7</v>
      </c>
      <c r="AW401" s="27" t="s">
        <v>8</v>
      </c>
      <c r="AX401" s="27" t="s">
        <v>7</v>
      </c>
      <c r="AY401" s="27" t="s">
        <v>8</v>
      </c>
      <c r="AZ401" s="27" t="s">
        <v>7</v>
      </c>
      <c r="BA401" s="27" t="s">
        <v>8</v>
      </c>
      <c r="CD401" s="27" t="s">
        <v>7</v>
      </c>
      <c r="CV401" s="27" t="s">
        <v>7</v>
      </c>
      <c r="CW401" s="27" t="s">
        <v>8</v>
      </c>
      <c r="DL401" s="27" t="s">
        <v>7</v>
      </c>
      <c r="DM401" s="27" t="s">
        <v>8</v>
      </c>
      <c r="DP401" s="27" t="s">
        <v>7</v>
      </c>
      <c r="DR401" s="27" t="s">
        <v>7</v>
      </c>
    </row>
    <row r="402" spans="1:142" x14ac:dyDescent="0.25">
      <c r="A402" s="7">
        <v>38.997051854316418</v>
      </c>
      <c r="B402"/>
      <c r="C402"/>
      <c r="D402"/>
      <c r="E402" t="s">
        <v>8</v>
      </c>
      <c r="Z402" s="27" t="s">
        <v>7</v>
      </c>
      <c r="AA402" s="27" t="s">
        <v>8</v>
      </c>
      <c r="AB402" s="27" t="s">
        <v>7</v>
      </c>
      <c r="AC402" s="27" t="s">
        <v>8</v>
      </c>
      <c r="AJ402" s="27" t="s">
        <v>7</v>
      </c>
      <c r="AK402" s="27" t="s">
        <v>8</v>
      </c>
      <c r="AL402" s="27" t="s">
        <v>7</v>
      </c>
      <c r="AM402" s="27" t="s">
        <v>8</v>
      </c>
      <c r="AN402" s="27" t="s">
        <v>7</v>
      </c>
      <c r="AS402" s="27" t="s">
        <v>8</v>
      </c>
      <c r="AV402" s="27" t="s">
        <v>7</v>
      </c>
      <c r="AW402" s="27" t="s">
        <v>8</v>
      </c>
      <c r="AX402" s="27" t="s">
        <v>7</v>
      </c>
      <c r="AY402" s="27" t="s">
        <v>8</v>
      </c>
      <c r="AZ402" s="27" t="s">
        <v>7</v>
      </c>
      <c r="BA402" s="27" t="s">
        <v>8</v>
      </c>
      <c r="CV402" s="27" t="s">
        <v>7</v>
      </c>
      <c r="CW402" s="27" t="s">
        <v>8</v>
      </c>
      <c r="DL402" s="27" t="s">
        <v>7</v>
      </c>
      <c r="DM402" s="27" t="s">
        <v>8</v>
      </c>
      <c r="DR402" s="27" t="s">
        <v>7</v>
      </c>
    </row>
    <row r="403" spans="1:142" x14ac:dyDescent="0.25">
      <c r="A403" s="7">
        <v>38.232403778741585</v>
      </c>
      <c r="B403"/>
      <c r="C403"/>
      <c r="D403"/>
      <c r="E403" t="s">
        <v>8</v>
      </c>
      <c r="Z403" s="27" t="s">
        <v>7</v>
      </c>
      <c r="AA403" s="27" t="s">
        <v>8</v>
      </c>
      <c r="AB403" s="27" t="s">
        <v>7</v>
      </c>
      <c r="AC403" s="27" t="s">
        <v>8</v>
      </c>
      <c r="AJ403" s="27" t="s">
        <v>7</v>
      </c>
      <c r="AK403" s="27" t="s">
        <v>8</v>
      </c>
      <c r="AL403" s="27" t="s">
        <v>7</v>
      </c>
      <c r="AM403" s="27" t="s">
        <v>8</v>
      </c>
      <c r="AN403" s="27" t="s">
        <v>7</v>
      </c>
      <c r="AS403" s="27" t="s">
        <v>8</v>
      </c>
      <c r="AV403" s="27" t="s">
        <v>7</v>
      </c>
      <c r="AW403" s="27" t="s">
        <v>8</v>
      </c>
      <c r="AX403" s="27" t="s">
        <v>7</v>
      </c>
      <c r="AZ403" s="27" t="s">
        <v>7</v>
      </c>
      <c r="CV403" s="27" t="s">
        <v>7</v>
      </c>
      <c r="CW403" s="27" t="s">
        <v>8</v>
      </c>
      <c r="DL403" s="27" t="s">
        <v>7</v>
      </c>
      <c r="DR403" s="27" t="s">
        <v>7</v>
      </c>
    </row>
    <row r="404" spans="1:142" x14ac:dyDescent="0.25">
      <c r="A404" s="7">
        <v>37.48274880268783</v>
      </c>
      <c r="B404"/>
      <c r="C404"/>
      <c r="D404"/>
      <c r="E404" t="s">
        <v>8</v>
      </c>
      <c r="Z404" s="27" t="s">
        <v>7</v>
      </c>
      <c r="AA404" s="27" t="s">
        <v>8</v>
      </c>
      <c r="AB404" s="27" t="s">
        <v>7</v>
      </c>
      <c r="AC404" s="27" t="s">
        <v>8</v>
      </c>
      <c r="AJ404" s="27" t="s">
        <v>7</v>
      </c>
      <c r="AL404" s="27" t="s">
        <v>7</v>
      </c>
      <c r="AM404" s="27" t="s">
        <v>8</v>
      </c>
      <c r="AN404" s="27" t="s">
        <v>7</v>
      </c>
      <c r="AS404" s="27" t="s">
        <v>8</v>
      </c>
      <c r="AV404" s="27" t="s">
        <v>7</v>
      </c>
      <c r="CV404" s="27" t="s">
        <v>7</v>
      </c>
      <c r="DR404" s="27" t="s">
        <v>7</v>
      </c>
      <c r="EG404" s="27" t="s">
        <v>8</v>
      </c>
      <c r="EI404" s="27" t="s">
        <v>8</v>
      </c>
    </row>
    <row r="405" spans="1:142" x14ac:dyDescent="0.25">
      <c r="A405" s="7">
        <v>36.747792943811596</v>
      </c>
      <c r="B405"/>
      <c r="C405"/>
      <c r="D405"/>
      <c r="E405" t="s">
        <v>8</v>
      </c>
      <c r="Z405" s="27" t="s">
        <v>7</v>
      </c>
      <c r="AA405" s="27" t="s">
        <v>8</v>
      </c>
      <c r="AB405" s="27" t="s">
        <v>7</v>
      </c>
      <c r="AC405" s="27" t="s">
        <v>8</v>
      </c>
      <c r="AL405" s="27" t="s">
        <v>7</v>
      </c>
      <c r="AM405" s="27" t="s">
        <v>8</v>
      </c>
      <c r="AN405" s="27" t="s">
        <v>7</v>
      </c>
      <c r="AS405" s="27" t="s">
        <v>8</v>
      </c>
      <c r="DR405" s="27" t="s">
        <v>7</v>
      </c>
      <c r="EG405" s="27" t="s">
        <v>8</v>
      </c>
      <c r="EH405" s="27" t="s">
        <v>7</v>
      </c>
      <c r="EI405" s="27" t="s">
        <v>8</v>
      </c>
      <c r="EJ405" s="27" t="s">
        <v>7</v>
      </c>
    </row>
    <row r="406" spans="1:142" x14ac:dyDescent="0.25">
      <c r="A406" s="7">
        <v>36.027247984129012</v>
      </c>
      <c r="B406"/>
      <c r="C406"/>
      <c r="D406"/>
      <c r="E406" t="s">
        <v>8</v>
      </c>
      <c r="Z406" s="27" t="s">
        <v>7</v>
      </c>
      <c r="AA406" s="27" t="s">
        <v>8</v>
      </c>
      <c r="AB406" s="27" t="s">
        <v>7</v>
      </c>
      <c r="AC406" s="27" t="s">
        <v>8</v>
      </c>
      <c r="AL406" s="27" t="s">
        <v>7</v>
      </c>
      <c r="AM406" s="27" t="s">
        <v>8</v>
      </c>
      <c r="AN406" s="27" t="s">
        <v>7</v>
      </c>
      <c r="AS406" s="27" t="s">
        <v>8</v>
      </c>
      <c r="DR406" s="27" t="s">
        <v>7</v>
      </c>
      <c r="EG406" s="27" t="s">
        <v>8</v>
      </c>
      <c r="EH406" s="27" t="s">
        <v>7</v>
      </c>
      <c r="EI406" s="27" t="s">
        <v>8</v>
      </c>
      <c r="EJ406" s="27" t="s">
        <v>7</v>
      </c>
    </row>
    <row r="407" spans="1:142" x14ac:dyDescent="0.25">
      <c r="A407" s="7">
        <v>35.320831356989224</v>
      </c>
      <c r="B407"/>
      <c r="C407"/>
      <c r="D407"/>
      <c r="E407" t="s">
        <v>8</v>
      </c>
      <c r="Z407" s="27" t="s">
        <v>7</v>
      </c>
      <c r="AA407" s="27" t="s">
        <v>8</v>
      </c>
      <c r="AB407" s="27" t="s">
        <v>7</v>
      </c>
      <c r="AC407" s="27" t="s">
        <v>8</v>
      </c>
      <c r="AL407" s="27" t="s">
        <v>7</v>
      </c>
      <c r="AN407" s="27" t="s">
        <v>7</v>
      </c>
      <c r="AQ407" s="27" t="s">
        <v>8</v>
      </c>
      <c r="AS407" s="27" t="s">
        <v>8</v>
      </c>
      <c r="DR407" s="27" t="s">
        <v>7</v>
      </c>
      <c r="EG407" s="27" t="s">
        <v>8</v>
      </c>
      <c r="EH407" s="27" t="s">
        <v>7</v>
      </c>
      <c r="EI407" s="27" t="s">
        <v>8</v>
      </c>
      <c r="EJ407" s="27" t="s">
        <v>7</v>
      </c>
    </row>
    <row r="408" spans="1:142" x14ac:dyDescent="0.25">
      <c r="A408" s="7">
        <v>34.628266036263945</v>
      </c>
      <c r="B408"/>
      <c r="C408"/>
      <c r="D408"/>
      <c r="E408" t="s">
        <v>8</v>
      </c>
      <c r="Z408" s="27" t="s">
        <v>7</v>
      </c>
      <c r="AA408" s="27" t="s">
        <v>8</v>
      </c>
      <c r="AB408" s="27" t="s">
        <v>7</v>
      </c>
      <c r="AC408" s="27" t="s">
        <v>8</v>
      </c>
      <c r="AN408" s="27" t="s">
        <v>7</v>
      </c>
      <c r="AO408" s="27" t="s">
        <v>8</v>
      </c>
      <c r="AQ408" s="27" t="s">
        <v>8</v>
      </c>
      <c r="AR408" s="27" t="s">
        <v>7</v>
      </c>
      <c r="AS408" s="27" t="s">
        <v>8</v>
      </c>
      <c r="DR408" s="27" t="s">
        <v>7</v>
      </c>
      <c r="EG408" s="27" t="s">
        <v>8</v>
      </c>
      <c r="EH408" s="27" t="s">
        <v>7</v>
      </c>
      <c r="EI408" s="27" t="s">
        <v>8</v>
      </c>
      <c r="EJ408" s="27" t="s">
        <v>7</v>
      </c>
    </row>
    <row r="409" spans="1:142" x14ac:dyDescent="0.25">
      <c r="A409" s="7">
        <v>33.949280427709752</v>
      </c>
      <c r="B409"/>
      <c r="C409"/>
      <c r="D409"/>
      <c r="E409" t="s">
        <v>8</v>
      </c>
      <c r="Z409" s="27" t="s">
        <v>7</v>
      </c>
      <c r="AA409" s="27" t="s">
        <v>8</v>
      </c>
      <c r="AB409" s="27" t="s">
        <v>7</v>
      </c>
      <c r="AC409" s="27" t="s">
        <v>8</v>
      </c>
      <c r="AN409" s="27" t="s">
        <v>7</v>
      </c>
      <c r="AO409" s="27" t="s">
        <v>8</v>
      </c>
      <c r="AP409" s="27" t="s">
        <v>7</v>
      </c>
      <c r="AQ409" s="27" t="s">
        <v>8</v>
      </c>
      <c r="AR409" s="27" t="s">
        <v>7</v>
      </c>
      <c r="AS409" s="27" t="s">
        <v>8</v>
      </c>
      <c r="DR409" s="27" t="s">
        <v>7</v>
      </c>
      <c r="EG409" s="27" t="s">
        <v>8</v>
      </c>
      <c r="EH409" s="27" t="s">
        <v>7</v>
      </c>
      <c r="EI409" s="27" t="s">
        <v>8</v>
      </c>
      <c r="EJ409" s="27" t="s">
        <v>7</v>
      </c>
      <c r="EK409" s="27" t="s">
        <v>8</v>
      </c>
    </row>
    <row r="410" spans="1:142" x14ac:dyDescent="0.25">
      <c r="A410" s="7">
        <v>33.28360826246054</v>
      </c>
      <c r="B410"/>
      <c r="C410"/>
      <c r="D410"/>
      <c r="E410" t="s">
        <v>8</v>
      </c>
      <c r="Z410" s="27" t="s">
        <v>7</v>
      </c>
      <c r="AA410" s="27" t="s">
        <v>8</v>
      </c>
      <c r="AB410" s="27" t="s">
        <v>7</v>
      </c>
      <c r="AC410" s="27" t="s">
        <v>8</v>
      </c>
      <c r="AN410" s="27" t="s">
        <v>7</v>
      </c>
      <c r="AO410" s="27" t="s">
        <v>8</v>
      </c>
      <c r="AP410" s="27" t="s">
        <v>7</v>
      </c>
      <c r="AQ410" s="27" t="s">
        <v>8</v>
      </c>
      <c r="AR410" s="27" t="s">
        <v>7</v>
      </c>
      <c r="AS410" s="27" t="s">
        <v>8</v>
      </c>
      <c r="DR410" s="27" t="s">
        <v>7</v>
      </c>
      <c r="DU410" s="27" t="s">
        <v>8</v>
      </c>
      <c r="EG410" s="27" t="s">
        <v>8</v>
      </c>
      <c r="EH410" s="27" t="s">
        <v>7</v>
      </c>
      <c r="EI410" s="27" t="s">
        <v>8</v>
      </c>
      <c r="EJ410" s="27" t="s">
        <v>7</v>
      </c>
      <c r="EK410" s="27" t="s">
        <v>8</v>
      </c>
      <c r="EL410" s="27" t="s">
        <v>7</v>
      </c>
    </row>
    <row r="411" spans="1:142" x14ac:dyDescent="0.25">
      <c r="A411" s="7">
        <v>32.630988492608374</v>
      </c>
      <c r="B411"/>
      <c r="C411"/>
      <c r="D411"/>
      <c r="E411" t="s">
        <v>8</v>
      </c>
      <c r="Z411" s="27" t="s">
        <v>7</v>
      </c>
      <c r="AA411" s="27" t="s">
        <v>8</v>
      </c>
      <c r="AB411" s="27" t="s">
        <v>7</v>
      </c>
      <c r="AC411" s="27" t="s">
        <v>8</v>
      </c>
      <c r="AN411" s="27" t="s">
        <v>7</v>
      </c>
      <c r="AO411" s="27" t="s">
        <v>8</v>
      </c>
      <c r="AP411" s="27" t="s">
        <v>7</v>
      </c>
      <c r="AQ411" s="27" t="s">
        <v>8</v>
      </c>
      <c r="AR411" s="27" t="s">
        <v>7</v>
      </c>
      <c r="AS411" s="27" t="s">
        <v>8</v>
      </c>
      <c r="DR411" s="27" t="s">
        <v>7</v>
      </c>
      <c r="DU411" s="27" t="s">
        <v>8</v>
      </c>
      <c r="DV411" s="27" t="s">
        <v>7</v>
      </c>
      <c r="EG411" s="27" t="s">
        <v>8</v>
      </c>
      <c r="EH411" s="27" t="s">
        <v>7</v>
      </c>
      <c r="EI411" s="27" t="s">
        <v>8</v>
      </c>
      <c r="EJ411" s="27" t="s">
        <v>7</v>
      </c>
      <c r="EK411" s="27" t="s">
        <v>8</v>
      </c>
      <c r="EL411" s="27" t="s">
        <v>7</v>
      </c>
    </row>
    <row r="412" spans="1:142" x14ac:dyDescent="0.25">
      <c r="A412" s="7">
        <v>31.99116518883174</v>
      </c>
      <c r="B412"/>
      <c r="C412"/>
      <c r="D412"/>
      <c r="E412" t="s">
        <v>8</v>
      </c>
      <c r="Z412" s="27" t="s">
        <v>7</v>
      </c>
      <c r="AB412" s="27" t="s">
        <v>7</v>
      </c>
      <c r="AC412" s="27" t="s">
        <v>8</v>
      </c>
      <c r="AN412" s="27" t="s">
        <v>7</v>
      </c>
      <c r="AO412" s="27" t="s">
        <v>8</v>
      </c>
      <c r="AP412" s="27" t="s">
        <v>7</v>
      </c>
      <c r="AQ412" s="27" t="s">
        <v>8</v>
      </c>
      <c r="AR412" s="27" t="s">
        <v>7</v>
      </c>
      <c r="DR412" s="27" t="s">
        <v>7</v>
      </c>
      <c r="DS412" s="27" t="s">
        <v>8</v>
      </c>
      <c r="DU412" s="27" t="s">
        <v>8</v>
      </c>
      <c r="DV412" s="27" t="s">
        <v>7</v>
      </c>
      <c r="EG412" s="27" t="s">
        <v>8</v>
      </c>
      <c r="EH412" s="27" t="s">
        <v>7</v>
      </c>
      <c r="EI412" s="27" t="s">
        <v>8</v>
      </c>
      <c r="EJ412" s="27" t="s">
        <v>7</v>
      </c>
      <c r="EK412" s="27" t="s">
        <v>8</v>
      </c>
      <c r="EL412" s="27" t="s">
        <v>7</v>
      </c>
    </row>
    <row r="413" spans="1:142" x14ac:dyDescent="0.25">
      <c r="A413" s="7">
        <v>31.363887440031117</v>
      </c>
      <c r="B413"/>
      <c r="C413"/>
      <c r="D413"/>
      <c r="E413" t="s">
        <v>8</v>
      </c>
      <c r="AB413" s="27" t="s">
        <v>7</v>
      </c>
      <c r="AC413" s="27" t="s">
        <v>8</v>
      </c>
      <c r="AN413" s="27" t="s">
        <v>7</v>
      </c>
      <c r="AP413" s="27" t="s">
        <v>7</v>
      </c>
      <c r="AQ413" s="27" t="s">
        <v>8</v>
      </c>
      <c r="DR413" s="27" t="s">
        <v>7</v>
      </c>
      <c r="DS413" s="27" t="s">
        <v>8</v>
      </c>
      <c r="DT413" s="27" t="s">
        <v>7</v>
      </c>
      <c r="DU413" s="27" t="s">
        <v>8</v>
      </c>
      <c r="DV413" s="27" t="s">
        <v>7</v>
      </c>
      <c r="EG413" s="27" t="s">
        <v>8</v>
      </c>
      <c r="EH413" s="27" t="s">
        <v>7</v>
      </c>
      <c r="EI413" s="27" t="s">
        <v>8</v>
      </c>
      <c r="EJ413" s="27" t="s">
        <v>7</v>
      </c>
      <c r="EL413" s="27" t="s">
        <v>7</v>
      </c>
    </row>
    <row r="414" spans="1:142" x14ac:dyDescent="0.25">
      <c r="A414" s="7">
        <v>30.748909254932467</v>
      </c>
      <c r="B414"/>
      <c r="C414"/>
      <c r="D414"/>
      <c r="E414" t="s">
        <v>8</v>
      </c>
      <c r="AB414" s="27" t="s">
        <v>7</v>
      </c>
      <c r="AC414" s="27" t="s">
        <v>8</v>
      </c>
      <c r="AP414" s="27" t="s">
        <v>7</v>
      </c>
      <c r="AQ414" s="27" t="s">
        <v>8</v>
      </c>
      <c r="DR414" s="27" t="s">
        <v>7</v>
      </c>
      <c r="DS414" s="27" t="s">
        <v>8</v>
      </c>
      <c r="DT414" s="27" t="s">
        <v>7</v>
      </c>
      <c r="DU414" s="27" t="s">
        <v>8</v>
      </c>
      <c r="DV414" s="27" t="s">
        <v>7</v>
      </c>
      <c r="EG414" s="27" t="s">
        <v>8</v>
      </c>
      <c r="EH414" s="27" t="s">
        <v>7</v>
      </c>
      <c r="EI414" s="27" t="s">
        <v>8</v>
      </c>
      <c r="EL414" s="27" t="s">
        <v>7</v>
      </c>
    </row>
    <row r="415" spans="1:142" x14ac:dyDescent="0.25">
      <c r="A415" s="7">
        <v>30.145989465620065</v>
      </c>
      <c r="B415"/>
      <c r="C415"/>
      <c r="D415"/>
      <c r="E415" t="s">
        <v>8</v>
      </c>
      <c r="AB415" s="27" t="s">
        <v>7</v>
      </c>
      <c r="AC415" s="27" t="s">
        <v>8</v>
      </c>
      <c r="AP415" s="18" t="s">
        <v>7</v>
      </c>
      <c r="AQ415" s="27" t="s">
        <v>8</v>
      </c>
      <c r="DR415" s="27" t="s">
        <v>7</v>
      </c>
      <c r="DS415" s="27" t="s">
        <v>8</v>
      </c>
      <c r="DT415" s="27" t="s">
        <v>7</v>
      </c>
      <c r="DU415" s="27" t="s">
        <v>8</v>
      </c>
      <c r="DV415" s="27" t="s">
        <v>7</v>
      </c>
      <c r="EG415" s="27" t="s">
        <v>8</v>
      </c>
      <c r="EH415" s="27" t="s">
        <v>7</v>
      </c>
      <c r="EI415" s="27" t="s">
        <v>8</v>
      </c>
      <c r="EL415" s="27" t="s">
        <v>7</v>
      </c>
    </row>
    <row r="416" spans="1:142" x14ac:dyDescent="0.25">
      <c r="A416" s="7">
        <v>29.55489163296085</v>
      </c>
      <c r="B416"/>
      <c r="C416"/>
      <c r="D416"/>
      <c r="E416" t="s">
        <v>8</v>
      </c>
      <c r="AB416" s="27" t="s">
        <v>7</v>
      </c>
      <c r="AC416" s="27" t="s">
        <v>8</v>
      </c>
      <c r="AP416" s="27" t="s">
        <v>7</v>
      </c>
      <c r="AQ416" s="27" t="s">
        <v>8</v>
      </c>
      <c r="DR416" s="27" t="s">
        <v>7</v>
      </c>
      <c r="DS416" s="27" t="s">
        <v>8</v>
      </c>
      <c r="DT416" s="27" t="s">
        <v>7</v>
      </c>
      <c r="DU416" s="27" t="s">
        <v>8</v>
      </c>
      <c r="DV416" s="27" t="s">
        <v>7</v>
      </c>
      <c r="EC416" s="27" t="s">
        <v>8</v>
      </c>
      <c r="EG416" s="27" t="s">
        <v>8</v>
      </c>
      <c r="EH416" s="27" t="s">
        <v>7</v>
      </c>
      <c r="EI416" s="27" t="s">
        <v>8</v>
      </c>
      <c r="EL416" s="27" t="s">
        <v>7</v>
      </c>
    </row>
    <row r="417" spans="1:145" x14ac:dyDescent="0.25">
      <c r="A417" s="7">
        <v>28.975383953883185</v>
      </c>
      <c r="B417"/>
      <c r="C417"/>
      <c r="D417"/>
      <c r="E417" t="s">
        <v>8</v>
      </c>
      <c r="AB417" s="27" t="s">
        <v>7</v>
      </c>
      <c r="AC417" s="27" t="s">
        <v>8</v>
      </c>
      <c r="AP417" s="27" t="s">
        <v>7</v>
      </c>
      <c r="AQ417" s="27" t="s">
        <v>8</v>
      </c>
      <c r="DR417" s="27" t="s">
        <v>7</v>
      </c>
      <c r="DS417" s="27" t="s">
        <v>8</v>
      </c>
      <c r="DT417" s="27" t="s">
        <v>7</v>
      </c>
      <c r="DU417" s="27" t="s">
        <v>8</v>
      </c>
      <c r="DV417" s="27" t="s">
        <v>7</v>
      </c>
      <c r="DW417" s="27" t="s">
        <v>8</v>
      </c>
      <c r="EC417" s="27" t="s">
        <v>8</v>
      </c>
      <c r="ED417" s="27" t="s">
        <v>7</v>
      </c>
      <c r="EG417" s="27" t="s">
        <v>8</v>
      </c>
      <c r="EH417" s="27" t="s">
        <v>7</v>
      </c>
      <c r="EI417" s="27" t="s">
        <v>8</v>
      </c>
      <c r="EL417" s="27" t="s">
        <v>7</v>
      </c>
    </row>
    <row r="418" spans="1:145" x14ac:dyDescent="0.25">
      <c r="A418" s="7">
        <v>28.407239170473709</v>
      </c>
      <c r="B418"/>
      <c r="C418"/>
      <c r="D418"/>
      <c r="E418" t="s">
        <v>8</v>
      </c>
      <c r="AB418" s="27" t="s">
        <v>7</v>
      </c>
      <c r="AP418" s="27" t="s">
        <v>7</v>
      </c>
      <c r="AQ418" s="27" t="s">
        <v>8</v>
      </c>
      <c r="DR418" s="27" t="s">
        <v>7</v>
      </c>
      <c r="DS418" s="27" t="s">
        <v>8</v>
      </c>
      <c r="DT418" s="27" t="s">
        <v>7</v>
      </c>
      <c r="DU418" s="27" t="s">
        <v>8</v>
      </c>
      <c r="DV418" s="27" t="s">
        <v>7</v>
      </c>
      <c r="DW418" s="27" t="s">
        <v>8</v>
      </c>
      <c r="DX418" s="27" t="s">
        <v>7</v>
      </c>
      <c r="EA418" s="27" t="s">
        <v>8</v>
      </c>
      <c r="EC418" s="27" t="s">
        <v>8</v>
      </c>
      <c r="ED418" s="27" t="s">
        <v>7</v>
      </c>
      <c r="EG418" s="27" t="s">
        <v>8</v>
      </c>
      <c r="EH418" s="27" t="s">
        <v>7</v>
      </c>
      <c r="EI418" s="27" t="s">
        <v>8</v>
      </c>
      <c r="EL418" s="27" t="s">
        <v>7</v>
      </c>
    </row>
    <row r="419" spans="1:145" x14ac:dyDescent="0.25">
      <c r="A419" s="7">
        <v>27.850234480856578</v>
      </c>
      <c r="B419"/>
      <c r="C419"/>
      <c r="D419"/>
      <c r="E419" t="s">
        <v>8</v>
      </c>
      <c r="AP419" s="27" t="s">
        <v>7</v>
      </c>
      <c r="AQ419" s="27" t="s">
        <v>8</v>
      </c>
      <c r="DR419" s="27" t="s">
        <v>7</v>
      </c>
      <c r="DS419" s="27" t="s">
        <v>8</v>
      </c>
      <c r="DT419" s="27" t="s">
        <v>7</v>
      </c>
      <c r="DU419" s="27" t="s">
        <v>8</v>
      </c>
      <c r="DV419" s="27" t="s">
        <v>7</v>
      </c>
      <c r="DW419" s="27" t="s">
        <v>8</v>
      </c>
      <c r="DX419" s="27" t="s">
        <v>7</v>
      </c>
      <c r="EA419" s="27" t="s">
        <v>8</v>
      </c>
      <c r="EB419" s="27" t="s">
        <v>7</v>
      </c>
      <c r="EC419" s="27" t="s">
        <v>8</v>
      </c>
      <c r="ED419" s="27" t="s">
        <v>7</v>
      </c>
      <c r="EG419" s="27" t="s">
        <v>8</v>
      </c>
      <c r="EH419" s="27" t="s">
        <v>7</v>
      </c>
      <c r="EI419" s="27" t="s">
        <v>8</v>
      </c>
      <c r="EL419" s="27" t="s">
        <v>7</v>
      </c>
    </row>
    <row r="420" spans="1:145" x14ac:dyDescent="0.25">
      <c r="A420" s="7">
        <v>27.304151451820175</v>
      </c>
      <c r="B420"/>
      <c r="C420"/>
      <c r="D420"/>
      <c r="E420" t="s">
        <v>8</v>
      </c>
      <c r="AP420" s="27" t="s">
        <v>7</v>
      </c>
      <c r="DR420" s="27" t="s">
        <v>7</v>
      </c>
      <c r="DS420" s="27" t="s">
        <v>8</v>
      </c>
      <c r="DT420" s="27" t="s">
        <v>7</v>
      </c>
      <c r="DU420" s="27" t="s">
        <v>8</v>
      </c>
      <c r="DV420" s="27" t="s">
        <v>7</v>
      </c>
      <c r="DW420" s="27" t="s">
        <v>8</v>
      </c>
      <c r="DX420" s="27" t="s">
        <v>7</v>
      </c>
      <c r="EA420" s="27" t="s">
        <v>8</v>
      </c>
      <c r="EB420" s="27" t="s">
        <v>7</v>
      </c>
      <c r="EC420" s="27" t="s">
        <v>8</v>
      </c>
      <c r="ED420" s="27" t="s">
        <v>7</v>
      </c>
      <c r="EG420" s="27" t="s">
        <v>8</v>
      </c>
      <c r="EH420" s="27" t="s">
        <v>7</v>
      </c>
      <c r="EL420" s="27" t="s">
        <v>7</v>
      </c>
    </row>
    <row r="421" spans="1:145" x14ac:dyDescent="0.25">
      <c r="A421" s="7">
        <v>26.768775933157034</v>
      </c>
      <c r="B421"/>
      <c r="C421"/>
      <c r="D421"/>
      <c r="E421" t="s">
        <v>8</v>
      </c>
      <c r="DR421" s="27" t="s">
        <v>7</v>
      </c>
      <c r="DS421" s="27" t="s">
        <v>8</v>
      </c>
      <c r="DT421" s="27" t="s">
        <v>7</v>
      </c>
      <c r="DV421" s="27" t="s">
        <v>7</v>
      </c>
      <c r="DW421" s="27" t="s">
        <v>8</v>
      </c>
      <c r="DX421" s="27" t="s">
        <v>7</v>
      </c>
      <c r="EA421" s="27" t="s">
        <v>8</v>
      </c>
      <c r="EB421" s="27" t="s">
        <v>7</v>
      </c>
      <c r="EC421" s="27" t="s">
        <v>8</v>
      </c>
      <c r="ED421" s="27" t="s">
        <v>7</v>
      </c>
      <c r="EG421" s="27" t="s">
        <v>8</v>
      </c>
      <c r="EL421" s="27" t="s">
        <v>7</v>
      </c>
    </row>
    <row r="422" spans="1:145" x14ac:dyDescent="0.25">
      <c r="A422" s="7">
        <v>26.243897973683367</v>
      </c>
      <c r="B422"/>
      <c r="C422"/>
      <c r="D422"/>
      <c r="E422" t="s">
        <v>8</v>
      </c>
      <c r="DR422" s="27" t="s">
        <v>7</v>
      </c>
      <c r="DS422" s="27" t="s">
        <v>8</v>
      </c>
      <c r="DV422" s="27" t="s">
        <v>7</v>
      </c>
      <c r="DX422" s="27" t="s">
        <v>7</v>
      </c>
      <c r="DY422" s="27" t="s">
        <v>8</v>
      </c>
      <c r="EA422" s="27" t="s">
        <v>8</v>
      </c>
      <c r="EB422" s="27" t="s">
        <v>7</v>
      </c>
      <c r="ED422" s="27" t="s">
        <v>7</v>
      </c>
      <c r="EE422" s="27" t="s">
        <v>8</v>
      </c>
      <c r="EG422" s="27" t="s">
        <v>8</v>
      </c>
      <c r="EL422" s="27" t="s">
        <v>7</v>
      </c>
    </row>
    <row r="423" spans="1:145" x14ac:dyDescent="0.25">
      <c r="A423" s="7">
        <v>25.729311738905263</v>
      </c>
      <c r="B423"/>
      <c r="C423"/>
      <c r="D423"/>
      <c r="E423" t="s">
        <v>8</v>
      </c>
      <c r="DR423" s="27" t="s">
        <v>7</v>
      </c>
      <c r="DS423" s="27" t="s">
        <v>8</v>
      </c>
      <c r="DX423" s="27" t="s">
        <v>7</v>
      </c>
      <c r="DY423" s="27" t="s">
        <v>8</v>
      </c>
      <c r="DZ423" s="27" t="s">
        <v>7</v>
      </c>
      <c r="EA423" s="27" t="s">
        <v>8</v>
      </c>
      <c r="ED423" s="27" t="s">
        <v>7</v>
      </c>
      <c r="EE423" s="27" t="s">
        <v>8</v>
      </c>
      <c r="EF423" s="27" t="s">
        <v>7</v>
      </c>
      <c r="EG423" s="27" t="s">
        <v>8</v>
      </c>
      <c r="EL423" s="27" t="s">
        <v>7</v>
      </c>
    </row>
    <row r="424" spans="1:145" x14ac:dyDescent="0.25">
      <c r="A424" s="7">
        <v>25.224815430299277</v>
      </c>
      <c r="B424"/>
      <c r="C424"/>
      <c r="D424"/>
      <c r="E424" t="s">
        <v>8</v>
      </c>
      <c r="DR424" s="27" t="s">
        <v>7</v>
      </c>
      <c r="DS424" s="27" t="s">
        <v>8</v>
      </c>
      <c r="DX424" s="27" t="s">
        <v>7</v>
      </c>
      <c r="DY424" s="27" t="s">
        <v>8</v>
      </c>
      <c r="DZ424" s="27" t="s">
        <v>7</v>
      </c>
      <c r="EA424" s="27" t="s">
        <v>8</v>
      </c>
      <c r="ED424" s="27" t="s">
        <v>7</v>
      </c>
      <c r="EE424" s="27" t="s">
        <v>8</v>
      </c>
      <c r="EF424" s="27" t="s">
        <v>7</v>
      </c>
      <c r="EG424" s="27" t="s">
        <v>8</v>
      </c>
      <c r="EL424" s="27" t="s">
        <v>7</v>
      </c>
    </row>
    <row r="425" spans="1:145" x14ac:dyDescent="0.25">
      <c r="A425" s="7">
        <v>24.73021120617576</v>
      </c>
      <c r="B425"/>
      <c r="C425"/>
      <c r="D425"/>
      <c r="E425" t="s">
        <v>8</v>
      </c>
      <c r="DR425" s="27" t="s">
        <v>7</v>
      </c>
      <c r="DS425" s="27" t="s">
        <v>8</v>
      </c>
      <c r="DX425" s="27" t="s">
        <v>7</v>
      </c>
      <c r="DY425" s="27" t="s">
        <v>8</v>
      </c>
      <c r="DZ425" s="27" t="s">
        <v>7</v>
      </c>
      <c r="EA425" s="27" t="s">
        <v>8</v>
      </c>
      <c r="ED425" s="27" t="s">
        <v>7</v>
      </c>
      <c r="EE425" s="27" t="s">
        <v>8</v>
      </c>
      <c r="EF425" s="27" t="s">
        <v>7</v>
      </c>
      <c r="EL425" s="27" t="s">
        <v>7</v>
      </c>
    </row>
    <row r="426" spans="1:145" x14ac:dyDescent="0.25">
      <c r="A426" s="7">
        <v>24.24530510409388</v>
      </c>
      <c r="B426"/>
      <c r="C426"/>
      <c r="D426"/>
      <c r="E426" t="s">
        <v>8</v>
      </c>
      <c r="DR426" s="27" t="s">
        <v>7</v>
      </c>
      <c r="DX426" s="27" t="s">
        <v>7</v>
      </c>
      <c r="DZ426" s="27" t="s">
        <v>7</v>
      </c>
      <c r="EA426" s="27" t="s">
        <v>8</v>
      </c>
      <c r="ED426" s="27" t="s">
        <v>7</v>
      </c>
      <c r="EE426" s="27" t="s">
        <v>8</v>
      </c>
      <c r="EL426" s="27" t="s">
        <v>7</v>
      </c>
    </row>
    <row r="427" spans="1:145" x14ac:dyDescent="0.25">
      <c r="A427" s="7">
        <v>23.769906964797922</v>
      </c>
      <c r="B427"/>
      <c r="C427"/>
      <c r="D427"/>
      <c r="E427" t="s">
        <v>8</v>
      </c>
      <c r="DZ427" s="27" t="s">
        <v>7</v>
      </c>
      <c r="EA427" s="27" t="s">
        <v>8</v>
      </c>
      <c r="ED427" s="27" t="s">
        <v>7</v>
      </c>
      <c r="EE427" s="27" t="s">
        <v>8</v>
      </c>
      <c r="EL427" s="27" t="s">
        <v>7</v>
      </c>
    </row>
    <row r="428" spans="1:145" x14ac:dyDescent="0.25">
      <c r="A428" s="7">
        <v>23.303830357645023</v>
      </c>
      <c r="B428"/>
      <c r="C428"/>
      <c r="D428"/>
      <c r="E428" t="s">
        <v>8</v>
      </c>
      <c r="DZ428" s="27" t="s">
        <v>7</v>
      </c>
      <c r="EA428" s="27" t="s">
        <v>8</v>
      </c>
      <c r="ED428" s="27" t="s">
        <v>7</v>
      </c>
      <c r="EL428" s="27" t="s">
        <v>7</v>
      </c>
    </row>
    <row r="429" spans="1:145" x14ac:dyDescent="0.25">
      <c r="A429" s="7">
        <v>22.84689250749512</v>
      </c>
      <c r="B429"/>
      <c r="C429"/>
      <c r="D429"/>
      <c r="E429" t="s">
        <v>8</v>
      </c>
      <c r="DZ429" s="27" t="s">
        <v>7</v>
      </c>
      <c r="EA429" s="27" t="s">
        <v>8</v>
      </c>
      <c r="EL429" s="27" t="s">
        <v>7</v>
      </c>
    </row>
    <row r="430" spans="1:145" x14ac:dyDescent="0.25">
      <c r="A430" s="7">
        <v>22.398914223034431</v>
      </c>
      <c r="B430"/>
      <c r="C430"/>
      <c r="D430"/>
      <c r="E430" t="s">
        <v>8</v>
      </c>
      <c r="DZ430" s="27" t="s">
        <v>7</v>
      </c>
      <c r="EA430" s="27" t="s">
        <v>8</v>
      </c>
      <c r="EL430" s="27" t="s">
        <v>7</v>
      </c>
    </row>
    <row r="431" spans="1:145" x14ac:dyDescent="0.25">
      <c r="A431" s="7">
        <v>21.959719826504344</v>
      </c>
      <c r="B431"/>
      <c r="C431"/>
      <c r="D431"/>
      <c r="E431" t="s">
        <v>8</v>
      </c>
      <c r="DZ431" s="27" t="s">
        <v>7</v>
      </c>
      <c r="EA431" s="27" t="s">
        <v>8</v>
      </c>
      <c r="EL431" s="27" t="s">
        <v>7</v>
      </c>
      <c r="EM431" s="27" t="s">
        <v>8</v>
      </c>
    </row>
    <row r="432" spans="1:145" x14ac:dyDescent="0.25">
      <c r="A432" s="7">
        <v>21.52913708480818</v>
      </c>
      <c r="B432"/>
      <c r="C432"/>
      <c r="D432"/>
      <c r="E432" t="s">
        <v>8</v>
      </c>
      <c r="DZ432" s="27" t="s">
        <v>7</v>
      </c>
      <c r="EA432" s="27" t="s">
        <v>8</v>
      </c>
      <c r="EL432" s="27" t="s">
        <v>7</v>
      </c>
      <c r="EM432" s="27" t="s">
        <v>8</v>
      </c>
      <c r="EN432" s="27" t="s">
        <v>7</v>
      </c>
      <c r="EO432" s="27" t="s">
        <v>8</v>
      </c>
    </row>
    <row r="433" spans="1:146" x14ac:dyDescent="0.25">
      <c r="A433" s="7">
        <v>21.106997141968804</v>
      </c>
      <c r="B433"/>
      <c r="C433"/>
      <c r="D433"/>
      <c r="E433" t="s">
        <v>8</v>
      </c>
      <c r="DZ433" s="27" t="s">
        <v>7</v>
      </c>
      <c r="EL433" s="27" t="s">
        <v>7</v>
      </c>
      <c r="EM433" s="27" t="s">
        <v>8</v>
      </c>
      <c r="EN433" s="27" t="s">
        <v>7</v>
      </c>
      <c r="EO433" s="27" t="s">
        <v>8</v>
      </c>
      <c r="EP433" s="27" t="s">
        <v>7</v>
      </c>
    </row>
    <row r="434" spans="1:146" x14ac:dyDescent="0.25">
      <c r="A434" s="7">
        <v>20.693134452910591</v>
      </c>
      <c r="B434"/>
      <c r="C434"/>
      <c r="D434"/>
      <c r="E434" t="s">
        <v>8</v>
      </c>
      <c r="EL434" s="27" t="s">
        <v>7</v>
      </c>
      <c r="EM434" s="27" t="s">
        <v>8</v>
      </c>
      <c r="EN434" s="27" t="s">
        <v>7</v>
      </c>
      <c r="EO434" s="27" t="s">
        <v>8</v>
      </c>
      <c r="EP434" s="27" t="s">
        <v>7</v>
      </c>
    </row>
    <row r="435" spans="1:146" x14ac:dyDescent="0.25">
      <c r="A435" s="7">
        <v>20.287386718539796</v>
      </c>
      <c r="B435"/>
      <c r="C435"/>
      <c r="D435"/>
      <c r="E435" t="s">
        <v>8</v>
      </c>
      <c r="EL435" s="27" t="s">
        <v>7</v>
      </c>
      <c r="EM435" s="27" t="s">
        <v>8</v>
      </c>
      <c r="EN435" s="27" t="s">
        <v>7</v>
      </c>
      <c r="EO435" s="27" t="s">
        <v>8</v>
      </c>
      <c r="EP435" s="27" t="s">
        <v>7</v>
      </c>
    </row>
    <row r="436" spans="1:146" x14ac:dyDescent="0.25">
      <c r="A436" s="7">
        <v>19.889594822097838</v>
      </c>
      <c r="B436"/>
      <c r="C436"/>
      <c r="D436"/>
      <c r="E436" t="s">
        <v>8</v>
      </c>
      <c r="EL436" s="27" t="s">
        <v>7</v>
      </c>
      <c r="EM436" s="27" t="s">
        <v>8</v>
      </c>
      <c r="EN436" s="27" t="s">
        <v>7</v>
      </c>
      <c r="EO436" s="27" t="s">
        <v>8</v>
      </c>
      <c r="EP436" s="27" t="s">
        <v>7</v>
      </c>
    </row>
    <row r="437" spans="1:146" x14ac:dyDescent="0.25">
      <c r="A437" s="7">
        <v>19.499602766762585</v>
      </c>
      <c r="B437"/>
      <c r="C437"/>
      <c r="D437"/>
      <c r="E437" t="s">
        <v>8</v>
      </c>
      <c r="EL437" s="27" t="s">
        <v>7</v>
      </c>
      <c r="EM437" s="27" t="s">
        <v>8</v>
      </c>
      <c r="EN437" s="27" t="s">
        <v>7</v>
      </c>
      <c r="EO437" s="27" t="s">
        <v>8</v>
      </c>
      <c r="EP437" s="27" t="s">
        <v>7</v>
      </c>
    </row>
    <row r="438" spans="1:146" x14ac:dyDescent="0.25">
      <c r="A438" s="7">
        <v>19.117257614473122</v>
      </c>
      <c r="B438"/>
      <c r="C438"/>
      <c r="D438"/>
      <c r="E438" t="s">
        <v>8</v>
      </c>
      <c r="EL438" s="27" t="s">
        <v>7</v>
      </c>
      <c r="EM438" s="27" t="s">
        <v>8</v>
      </c>
      <c r="EN438" s="27" t="s">
        <v>7</v>
      </c>
      <c r="EO438" s="27" t="s">
        <v>8</v>
      </c>
    </row>
    <row r="439" spans="1:146" x14ac:dyDescent="0.25">
      <c r="A439" s="7">
        <v>18.74240942595404</v>
      </c>
      <c r="B439"/>
      <c r="C439"/>
      <c r="D439"/>
      <c r="E439" t="s">
        <v>8</v>
      </c>
      <c r="EL439" s="27" t="s">
        <v>7</v>
      </c>
      <c r="EM439" s="27" t="s">
        <v>8</v>
      </c>
      <c r="EN439" s="27" t="s">
        <v>7</v>
      </c>
    </row>
    <row r="440" spans="1:146" x14ac:dyDescent="0.25">
      <c r="A440" s="7">
        <v>18.374911201915726</v>
      </c>
      <c r="B440"/>
      <c r="C440"/>
      <c r="D440"/>
      <c r="E440" t="s">
        <v>8</v>
      </c>
      <c r="EL440" s="27" t="s">
        <v>7</v>
      </c>
    </row>
    <row r="441" spans="1:146" x14ac:dyDescent="0.25">
      <c r="A441" s="7">
        <v>18.014618825407574</v>
      </c>
      <c r="B441"/>
      <c r="C441"/>
      <c r="D441"/>
      <c r="E441" t="s">
        <v>8</v>
      </c>
    </row>
    <row r="442" spans="1:146" x14ac:dyDescent="0.25">
      <c r="A442" s="7">
        <v>17.661391005301542</v>
      </c>
      <c r="B442"/>
      <c r="C442"/>
      <c r="D442"/>
      <c r="E442" t="s">
        <v>8</v>
      </c>
    </row>
    <row r="443" spans="1:146" x14ac:dyDescent="0.25">
      <c r="A443" s="7">
        <v>17.315089220883866</v>
      </c>
      <c r="B443"/>
      <c r="C443"/>
      <c r="D443"/>
      <c r="E443" t="s">
        <v>8</v>
      </c>
    </row>
    <row r="444" spans="1:146" x14ac:dyDescent="0.25">
      <c r="A444" s="7">
        <v>16.975577667533202</v>
      </c>
      <c r="B444"/>
      <c r="C444"/>
      <c r="D444"/>
      <c r="E444" t="s">
        <v>8</v>
      </c>
    </row>
    <row r="445" spans="1:146" x14ac:dyDescent="0.25">
      <c r="A445" s="7">
        <v>16.642723203463923</v>
      </c>
      <c r="B445"/>
      <c r="C445"/>
      <c r="D445"/>
      <c r="E445" t="s">
        <v>8</v>
      </c>
    </row>
    <row r="446" spans="1:146" x14ac:dyDescent="0.25">
      <c r="A446" s="7">
        <v>16.316395297513651</v>
      </c>
      <c r="B446"/>
      <c r="C446"/>
      <c r="D446"/>
      <c r="E446" t="s">
        <v>8</v>
      </c>
    </row>
    <row r="447" spans="1:146" x14ac:dyDescent="0.25">
      <c r="A447" s="7">
        <v>15.996465977954561</v>
      </c>
      <c r="B447"/>
      <c r="C447"/>
      <c r="D447"/>
      <c r="E447" t="s">
        <v>8</v>
      </c>
    </row>
    <row r="448" spans="1:146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67" operator="equal">
      <formula>$U$1</formula>
    </cfRule>
    <cfRule type="cellIs" dxfId="89" priority="668" operator="equal">
      <formula>$S$1</formula>
    </cfRule>
  </conditionalFormatting>
  <conditionalFormatting sqref="D27">
    <cfRule type="cellIs" dxfId="88" priority="665" operator="equal">
      <formula>$S$1</formula>
    </cfRule>
    <cfRule type="cellIs" dxfId="87" priority="666" operator="equal">
      <formula>$U$1</formula>
    </cfRule>
  </conditionalFormatting>
  <conditionalFormatting sqref="C164">
    <cfRule type="cellIs" dxfId="86" priority="663" operator="equal">
      <formula>$U$1</formula>
    </cfRule>
    <cfRule type="cellIs" dxfId="85" priority="664" operator="equal">
      <formula>$S$1</formula>
    </cfRule>
  </conditionalFormatting>
  <conditionalFormatting sqref="D164">
    <cfRule type="cellIs" dxfId="84" priority="661" operator="equal">
      <formula>$S$1</formula>
    </cfRule>
    <cfRule type="cellIs" dxfId="83" priority="662" operator="equal">
      <formula>$U$1</formula>
    </cfRule>
  </conditionalFormatting>
  <conditionalFormatting sqref="C55">
    <cfRule type="cellIs" dxfId="82" priority="659" operator="equal">
      <formula>$U$1</formula>
    </cfRule>
    <cfRule type="cellIs" dxfId="81" priority="660" operator="equal">
      <formula>$S$1</formula>
    </cfRule>
  </conditionalFormatting>
  <conditionalFormatting sqref="D55">
    <cfRule type="cellIs" dxfId="80" priority="657" operator="equal">
      <formula>$S$1</formula>
    </cfRule>
    <cfRule type="cellIs" dxfId="79" priority="658" operator="equal">
      <formula>$U$1</formula>
    </cfRule>
  </conditionalFormatting>
  <conditionalFormatting sqref="C89">
    <cfRule type="cellIs" dxfId="78" priority="655" operator="equal">
      <formula>$U$1</formula>
    </cfRule>
    <cfRule type="cellIs" dxfId="77" priority="656" operator="equal">
      <formula>$S$1</formula>
    </cfRule>
  </conditionalFormatting>
  <conditionalFormatting sqref="D89">
    <cfRule type="cellIs" dxfId="76" priority="653" operator="equal">
      <formula>$S$1</formula>
    </cfRule>
    <cfRule type="cellIs" dxfId="75" priority="654" operator="equal">
      <formula>$U$1</formula>
    </cfRule>
  </conditionalFormatting>
  <conditionalFormatting sqref="C136">
    <cfRule type="cellIs" dxfId="74" priority="651" operator="equal">
      <formula>$U$1</formula>
    </cfRule>
    <cfRule type="cellIs" dxfId="73" priority="652" operator="equal">
      <formula>$S$1</formula>
    </cfRule>
  </conditionalFormatting>
  <conditionalFormatting sqref="D136">
    <cfRule type="cellIs" dxfId="72" priority="649" operator="equal">
      <formula>$S$1</formula>
    </cfRule>
    <cfRule type="cellIs" dxfId="71" priority="650" operator="equal">
      <formula>$U$1</formula>
    </cfRule>
  </conditionalFormatting>
  <conditionalFormatting sqref="C1">
    <cfRule type="cellIs" dxfId="70" priority="64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39" zoomScale="90" zoomScaleNormal="90" workbookViewId="0">
      <pane xSplit="4" topLeftCell="G1" activePane="topRight" state="frozen"/>
      <selection activeCell="A109" sqref="A109"/>
      <selection pane="topRight" activeCell="BO177" sqref="BO17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$A$176</v>
      </c>
      <c r="D111" s="1" t="str">
        <f>ADDRESS(C121-1,D121,1,1)</f>
        <v>$BO$176</v>
      </c>
      <c r="E111"/>
    </row>
    <row r="112" spans="1:5" x14ac:dyDescent="0.25">
      <c r="A112" s="30">
        <v>515.50191262726139</v>
      </c>
      <c r="C112" s="1" t="str">
        <f>ADDRESS(C121,1,1,1)</f>
        <v>$A$177</v>
      </c>
      <c r="D112" s="1" t="str">
        <f>ADDRESS(C121,D121-1,1,1)</f>
        <v>$BN$177</v>
      </c>
      <c r="E112"/>
    </row>
    <row r="113" spans="1:14" x14ac:dyDescent="0.25">
      <c r="A113" s="30">
        <v>490.95420250215363</v>
      </c>
      <c r="C113" s="1" t="str">
        <f>ADDRESS(C121+1,1,1,1)</f>
        <v>$A$178</v>
      </c>
      <c r="D113" s="1" t="str">
        <f>ADDRESS(C121-1,D121+1,1,1)</f>
        <v>$BP$176</v>
      </c>
    </row>
    <row r="114" spans="1:14" x14ac:dyDescent="0.25">
      <c r="A114" s="30">
        <v>467.57543095443202</v>
      </c>
      <c r="C114" s="1" t="str">
        <f>ADDRESS(C121,D121,1,1)</f>
        <v>$BO$177</v>
      </c>
      <c r="D114" s="1" t="str">
        <f>ADDRESS(C121+1,D121+1,1,1)</f>
        <v>$BP$178</v>
      </c>
    </row>
    <row r="115" spans="1:14" x14ac:dyDescent="0.25">
      <c r="A115" s="30">
        <v>445.30993424231622</v>
      </c>
      <c r="C115" s="1" t="str">
        <f>ADDRESS(C121+1,D121,1,1)</f>
        <v>$BO$178</v>
      </c>
    </row>
    <row r="116" spans="1:14" x14ac:dyDescent="0.25">
      <c r="A116" s="30">
        <v>424.10469927839637</v>
      </c>
      <c r="C116" s="1">
        <f>C117-1</f>
        <v>176</v>
      </c>
    </row>
    <row r="117" spans="1:14" x14ac:dyDescent="0.25">
      <c r="A117" s="30">
        <v>403.9092374079965</v>
      </c>
      <c r="C117" s="1">
        <f>C121</f>
        <v>177</v>
      </c>
      <c r="D117" s="1">
        <f>D121</f>
        <v>67</v>
      </c>
    </row>
    <row r="118" spans="1:14" x14ac:dyDescent="0.25">
      <c r="A118" s="30">
        <v>384.6754641980919</v>
      </c>
      <c r="C118" s="1">
        <f>C117+1</f>
        <v>178</v>
      </c>
      <c r="D118" s="1">
        <f>D117+1</f>
        <v>68</v>
      </c>
      <c r="E118" s="1" t="s">
        <v>8</v>
      </c>
    </row>
    <row r="119" spans="1:14" x14ac:dyDescent="0.25">
      <c r="A119" s="30">
        <v>366.35758495056371</v>
      </c>
      <c r="E119" s="1" t="s">
        <v>8</v>
      </c>
      <c r="F119" s="27" t="s">
        <v>7</v>
      </c>
    </row>
    <row r="120" spans="1:14" x14ac:dyDescent="0.25">
      <c r="A120" s="30">
        <v>348.91198566720351</v>
      </c>
      <c r="C120" s="1" t="s">
        <v>9</v>
      </c>
      <c r="E120" s="1" t="s">
        <v>8</v>
      </c>
      <c r="F120" s="27" t="s">
        <v>7</v>
      </c>
    </row>
    <row r="121" spans="1:14" x14ac:dyDescent="0.25">
      <c r="A121" s="30">
        <v>332.29712920686046</v>
      </c>
      <c r="C121" s="18">
        <v>177</v>
      </c>
      <c r="D121" s="19">
        <v>67</v>
      </c>
      <c r="E121" s="19" t="s">
        <v>8</v>
      </c>
      <c r="F121" s="27" t="s">
        <v>7</v>
      </c>
      <c r="G121" s="31" t="s">
        <v>8</v>
      </c>
    </row>
    <row r="122" spans="1:14" x14ac:dyDescent="0.25">
      <c r="A122" s="30">
        <v>316.47345638748612</v>
      </c>
      <c r="C122" s="1" t="str">
        <f>INDEX(1:1048576,C117,D117)</f>
        <v>X</v>
      </c>
      <c r="E122" s="1" t="s">
        <v>8</v>
      </c>
      <c r="F122" s="27" t="s">
        <v>7</v>
      </c>
      <c r="G122" s="27" t="s">
        <v>8</v>
      </c>
      <c r="H122" s="31" t="s">
        <v>7</v>
      </c>
    </row>
    <row r="123" spans="1:14" x14ac:dyDescent="0.25">
      <c r="A123" s="30">
        <v>301.40329179760585</v>
      </c>
      <c r="C123" s="1" t="str">
        <f>"R"&amp;C121</f>
        <v>R177</v>
      </c>
      <c r="D123" s="1" t="str">
        <f>"C"&amp;D121</f>
        <v>C67</v>
      </c>
      <c r="E123" s="1" t="s">
        <v>8</v>
      </c>
      <c r="F123" s="27" t="s">
        <v>7</v>
      </c>
      <c r="G123" s="27" t="s">
        <v>8</v>
      </c>
      <c r="H123" s="27" t="s">
        <v>7</v>
      </c>
      <c r="I123" s="31"/>
    </row>
    <row r="124" spans="1:14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  <c r="F124" s="27" t="s">
        <v>7</v>
      </c>
      <c r="G124" s="27" t="s">
        <v>8</v>
      </c>
      <c r="H124" s="27" t="s">
        <v>7</v>
      </c>
      <c r="J124" s="31"/>
    </row>
    <row r="125" spans="1:14" x14ac:dyDescent="0.25">
      <c r="A125" s="30">
        <v>273.38167056472184</v>
      </c>
      <c r="E125" s="1" t="s">
        <v>8</v>
      </c>
      <c r="F125" s="27" t="s">
        <v>7</v>
      </c>
      <c r="G125" s="27" t="s">
        <v>8</v>
      </c>
      <c r="H125" s="27" t="s">
        <v>7</v>
      </c>
      <c r="K125" s="31"/>
    </row>
    <row r="126" spans="1:14" x14ac:dyDescent="0.25">
      <c r="A126" s="30">
        <v>260.36349577592557</v>
      </c>
      <c r="C126" s="1" t="s">
        <v>10</v>
      </c>
      <c r="E126" s="1" t="s">
        <v>8</v>
      </c>
      <c r="F126" s="27" t="s">
        <v>7</v>
      </c>
      <c r="H126" s="27" t="s">
        <v>7</v>
      </c>
      <c r="L126" s="31"/>
    </row>
    <row r="127" spans="1:14" x14ac:dyDescent="0.25">
      <c r="A127" s="30">
        <v>247.96523407231004</v>
      </c>
      <c r="C127" s="30">
        <v>21.623492570684135</v>
      </c>
      <c r="D127"/>
      <c r="E127" s="1" t="s">
        <v>8</v>
      </c>
      <c r="H127" s="27" t="s">
        <v>7</v>
      </c>
      <c r="M127" s="31"/>
    </row>
    <row r="128" spans="1:14" x14ac:dyDescent="0.25">
      <c r="A128" s="30">
        <v>236.15736578315241</v>
      </c>
      <c r="E128" s="1" t="s">
        <v>8</v>
      </c>
      <c r="H128" s="27" t="s">
        <v>7</v>
      </c>
      <c r="N128" s="31"/>
    </row>
    <row r="129" spans="1:30" x14ac:dyDescent="0.25">
      <c r="A129" s="30">
        <v>224.91177693633563</v>
      </c>
      <c r="C129" s="1" t="s">
        <v>11</v>
      </c>
      <c r="D129" s="1" t="s">
        <v>12</v>
      </c>
      <c r="E129" t="s">
        <v>8</v>
      </c>
      <c r="H129" s="27" t="s">
        <v>7</v>
      </c>
      <c r="O129" s="31"/>
    </row>
    <row r="130" spans="1:30" x14ac:dyDescent="0.25">
      <c r="A130" s="30">
        <v>214.20169232031964</v>
      </c>
      <c r="C130" s="6"/>
      <c r="D130" s="6"/>
      <c r="E130" t="s">
        <v>8</v>
      </c>
      <c r="H130" s="27" t="s">
        <v>7</v>
      </c>
      <c r="I130" s="27" t="s">
        <v>8</v>
      </c>
      <c r="P130" s="31"/>
    </row>
    <row r="131" spans="1:30" x14ac:dyDescent="0.25">
      <c r="A131" s="30">
        <v>204.00161173363773</v>
      </c>
      <c r="E131" t="s">
        <v>8</v>
      </c>
      <c r="H131" s="27" t="s">
        <v>7</v>
      </c>
      <c r="I131" s="27" t="s">
        <v>8</v>
      </c>
      <c r="J131" s="27" t="s">
        <v>7</v>
      </c>
      <c r="Q131" s="31"/>
    </row>
    <row r="132" spans="1:30" x14ac:dyDescent="0.25">
      <c r="A132" s="30">
        <v>194.28724927013116</v>
      </c>
      <c r="C132" s="1" t="s">
        <v>13</v>
      </c>
      <c r="E132" t="s">
        <v>8</v>
      </c>
      <c r="H132" s="27" t="s">
        <v>7</v>
      </c>
      <c r="I132" s="27" t="s">
        <v>8</v>
      </c>
      <c r="J132" s="27" t="s">
        <v>7</v>
      </c>
      <c r="R132" s="31"/>
    </row>
    <row r="133" spans="1:30" x14ac:dyDescent="0.25">
      <c r="A133" s="30">
        <v>185.03547549536299</v>
      </c>
      <c r="C133" s="1" t="str">
        <f>C122</f>
        <v>X</v>
      </c>
      <c r="E133" t="s">
        <v>8</v>
      </c>
      <c r="H133" s="27" t="s">
        <v>7</v>
      </c>
      <c r="I133" s="27" t="s">
        <v>8</v>
      </c>
      <c r="J133" s="27" t="s">
        <v>7</v>
      </c>
      <c r="S133" s="31"/>
    </row>
    <row r="134" spans="1:30" x14ac:dyDescent="0.25">
      <c r="A134" s="30">
        <v>176.22426237653616</v>
      </c>
      <c r="C134"/>
      <c r="E134" t="s">
        <v>8</v>
      </c>
      <c r="H134" s="27" t="s">
        <v>7</v>
      </c>
      <c r="I134" s="27" t="s">
        <v>8</v>
      </c>
      <c r="J134" s="27" t="s">
        <v>7</v>
      </c>
      <c r="T134" s="31"/>
    </row>
    <row r="135" spans="1:30" x14ac:dyDescent="0.25">
      <c r="A135" s="30">
        <v>167.83263083479633</v>
      </c>
      <c r="C135" s="1" t="s">
        <v>14</v>
      </c>
      <c r="E135" t="s">
        <v>8</v>
      </c>
      <c r="H135" s="27" t="s">
        <v>7</v>
      </c>
      <c r="I135" s="27" t="s">
        <v>8</v>
      </c>
      <c r="J135" s="27" t="s">
        <v>7</v>
      </c>
      <c r="K135" s="27" t="s">
        <v>8</v>
      </c>
      <c r="U135" s="31"/>
    </row>
    <row r="136" spans="1:30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H136" s="27" t="s">
        <v>7</v>
      </c>
      <c r="I136" s="27" t="s">
        <v>8</v>
      </c>
      <c r="J136" s="27" t="s">
        <v>7</v>
      </c>
      <c r="K136" s="27" t="s">
        <v>8</v>
      </c>
      <c r="L136" s="27" t="s">
        <v>7</v>
      </c>
      <c r="M136" s="27" t="s">
        <v>8</v>
      </c>
      <c r="V136" s="31"/>
    </row>
    <row r="137" spans="1:30" x14ac:dyDescent="0.25">
      <c r="A137" s="30">
        <v>152.22914361432771</v>
      </c>
      <c r="E137" t="s">
        <v>8</v>
      </c>
      <c r="H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  <c r="N137" s="27" t="s">
        <v>7</v>
      </c>
      <c r="O137" s="27" t="s">
        <v>8</v>
      </c>
      <c r="W137" s="31"/>
    </row>
    <row r="138" spans="1:30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  <c r="H138" s="27" t="s">
        <v>7</v>
      </c>
      <c r="I138" s="27" t="s">
        <v>8</v>
      </c>
      <c r="J138" s="27" t="s">
        <v>7</v>
      </c>
      <c r="K138" s="27" t="s">
        <v>8</v>
      </c>
      <c r="L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X138" s="31"/>
    </row>
    <row r="139" spans="1:30" x14ac:dyDescent="0.25">
      <c r="A139" s="30">
        <v>138.07632073861922</v>
      </c>
      <c r="E139" t="s">
        <v>8</v>
      </c>
      <c r="H139" s="27" t="s">
        <v>7</v>
      </c>
      <c r="I139" s="27" t="s">
        <v>8</v>
      </c>
      <c r="J139" s="27" t="s">
        <v>7</v>
      </c>
      <c r="K139" s="27" t="s">
        <v>8</v>
      </c>
      <c r="L139" s="27" t="s">
        <v>7</v>
      </c>
      <c r="M139" s="27" t="s">
        <v>8</v>
      </c>
      <c r="N139" s="27" t="s">
        <v>7</v>
      </c>
      <c r="O139" s="27" t="s">
        <v>8</v>
      </c>
      <c r="P139" s="27" t="s">
        <v>7</v>
      </c>
      <c r="Y139" s="31"/>
    </row>
    <row r="140" spans="1:30" x14ac:dyDescent="0.25">
      <c r="A140" s="30">
        <v>131.50125784630401</v>
      </c>
      <c r="C140" s="1">
        <v>0</v>
      </c>
      <c r="E140" t="s">
        <v>8</v>
      </c>
      <c r="H140" s="27" t="s">
        <v>7</v>
      </c>
      <c r="I140" s="27" t="s">
        <v>8</v>
      </c>
      <c r="J140" s="27" t="s">
        <v>7</v>
      </c>
      <c r="K140" s="27" t="s">
        <v>8</v>
      </c>
      <c r="L140" s="27" t="s">
        <v>7</v>
      </c>
      <c r="M140" s="27" t="s">
        <v>8</v>
      </c>
      <c r="N140" s="27" t="s">
        <v>7</v>
      </c>
      <c r="O140" s="27" t="s">
        <v>8</v>
      </c>
      <c r="P140" s="27" t="s">
        <v>7</v>
      </c>
      <c r="Q140" s="27" t="s">
        <v>8</v>
      </c>
      <c r="Z140" s="31"/>
    </row>
    <row r="141" spans="1:30" x14ac:dyDescent="0.25">
      <c r="A141" s="30">
        <v>125.23929318695619</v>
      </c>
      <c r="C141" s="1">
        <v>1</v>
      </c>
      <c r="E141" t="s">
        <v>8</v>
      </c>
      <c r="H141" s="27" t="s">
        <v>7</v>
      </c>
      <c r="I141" s="27" t="s">
        <v>8</v>
      </c>
      <c r="J141" s="27" t="s">
        <v>7</v>
      </c>
      <c r="L141" s="27" t="s">
        <v>7</v>
      </c>
      <c r="N141" s="27" t="s">
        <v>7</v>
      </c>
      <c r="P141" s="27" t="s">
        <v>7</v>
      </c>
      <c r="Q141" s="27" t="s">
        <v>8</v>
      </c>
      <c r="R141" s="27" t="s">
        <v>7</v>
      </c>
      <c r="AA141" s="31"/>
    </row>
    <row r="142" spans="1:30" x14ac:dyDescent="0.25">
      <c r="A142" s="30">
        <v>119.27551732091065</v>
      </c>
      <c r="C142" s="1">
        <v>2</v>
      </c>
      <c r="E142" t="s">
        <v>8</v>
      </c>
      <c r="H142" s="27" t="s">
        <v>7</v>
      </c>
      <c r="I142" s="27" t="s">
        <v>8</v>
      </c>
      <c r="P142" s="27" t="s">
        <v>7</v>
      </c>
      <c r="Q142" s="27" t="s">
        <v>8</v>
      </c>
      <c r="R142" s="27" t="s">
        <v>7</v>
      </c>
      <c r="AB142" s="31"/>
    </row>
    <row r="143" spans="1:30" x14ac:dyDescent="0.25">
      <c r="A143" s="30">
        <v>113.59573078181967</v>
      </c>
      <c r="C143" s="1">
        <v>3</v>
      </c>
      <c r="E143" t="s">
        <v>8</v>
      </c>
      <c r="H143" s="27" t="s">
        <v>7</v>
      </c>
      <c r="I143" s="27" t="s">
        <v>8</v>
      </c>
      <c r="P143" s="27" t="s">
        <v>7</v>
      </c>
      <c r="Q143" s="27" t="s">
        <v>8</v>
      </c>
      <c r="R143" s="27" t="s">
        <v>7</v>
      </c>
      <c r="AC143" s="31"/>
    </row>
    <row r="144" spans="1:30" x14ac:dyDescent="0.25">
      <c r="A144" s="30">
        <v>108.18641026839968</v>
      </c>
      <c r="C144" s="1">
        <v>4</v>
      </c>
      <c r="E144" t="s">
        <v>8</v>
      </c>
      <c r="H144" s="27" t="s">
        <v>7</v>
      </c>
      <c r="I144" s="27" t="s">
        <v>8</v>
      </c>
      <c r="P144" s="27" t="s">
        <v>7</v>
      </c>
      <c r="Q144" s="27" t="s">
        <v>8</v>
      </c>
      <c r="R144" s="27" t="s">
        <v>7</v>
      </c>
      <c r="AD144" s="31"/>
    </row>
    <row r="145" spans="1:52" x14ac:dyDescent="0.25">
      <c r="A145" s="30">
        <v>103.03467644609493</v>
      </c>
      <c r="E145" t="s">
        <v>8</v>
      </c>
      <c r="H145" s="27" t="s">
        <v>7</v>
      </c>
      <c r="I145" s="27" t="s">
        <v>8</v>
      </c>
      <c r="P145" s="27" t="s">
        <v>7</v>
      </c>
      <c r="R145" s="27" t="s">
        <v>7</v>
      </c>
      <c r="AE145" s="31"/>
    </row>
    <row r="146" spans="1:52" x14ac:dyDescent="0.25">
      <c r="A146" s="30">
        <v>98.128263281995174</v>
      </c>
      <c r="E146" t="s">
        <v>8</v>
      </c>
      <c r="H146" s="27" t="s">
        <v>7</v>
      </c>
      <c r="I146" s="27" t="s">
        <v>8</v>
      </c>
      <c r="R146" s="27" t="s">
        <v>7</v>
      </c>
      <c r="AF146" s="31"/>
    </row>
    <row r="147" spans="1:52" x14ac:dyDescent="0.25">
      <c r="A147" s="30">
        <v>93.455488839995397</v>
      </c>
      <c r="E147" t="s">
        <v>8</v>
      </c>
      <c r="H147" s="27" t="s">
        <v>7</v>
      </c>
      <c r="R147" s="27" t="s">
        <v>7</v>
      </c>
      <c r="AG147" s="31"/>
    </row>
    <row r="148" spans="1:52" x14ac:dyDescent="0.25">
      <c r="A148" s="30">
        <v>89.005227466662276</v>
      </c>
      <c r="E148" t="s">
        <v>8</v>
      </c>
      <c r="R148" s="27" t="s">
        <v>7</v>
      </c>
      <c r="AH148" s="31"/>
    </row>
    <row r="149" spans="1:52" x14ac:dyDescent="0.25">
      <c r="A149" s="30">
        <v>84.766883301583121</v>
      </c>
      <c r="E149" t="s">
        <v>8</v>
      </c>
      <c r="R149" s="27" t="s">
        <v>7</v>
      </c>
      <c r="AI149" s="31"/>
      <c r="AM149" s="31" t="s">
        <v>8</v>
      </c>
    </row>
    <row r="150" spans="1:52" x14ac:dyDescent="0.25">
      <c r="A150" s="30">
        <v>80.730365049126775</v>
      </c>
      <c r="E150" t="s">
        <v>8</v>
      </c>
      <c r="R150" s="27" t="s">
        <v>7</v>
      </c>
      <c r="AJ150" s="31"/>
      <c r="AM150" s="27" t="s">
        <v>8</v>
      </c>
      <c r="AN150" s="31" t="s">
        <v>7</v>
      </c>
    </row>
    <row r="151" spans="1:52" x14ac:dyDescent="0.25">
      <c r="A151" s="30">
        <v>76.886061951549308</v>
      </c>
      <c r="E151" t="s">
        <v>8</v>
      </c>
      <c r="R151" s="27" t="s">
        <v>7</v>
      </c>
      <c r="AG151" s="27" t="s">
        <v>8</v>
      </c>
      <c r="AK151" s="31"/>
      <c r="AM151" s="27" t="s">
        <v>8</v>
      </c>
      <c r="AN151" s="27" t="s">
        <v>7</v>
      </c>
      <c r="AO151" s="31"/>
    </row>
    <row r="152" spans="1:52" x14ac:dyDescent="0.25">
      <c r="A152" s="30">
        <v>73.22482090623744</v>
      </c>
      <c r="E152" t="s">
        <v>8</v>
      </c>
      <c r="R152" s="27" t="s">
        <v>7</v>
      </c>
      <c r="AG152" s="27" t="s">
        <v>8</v>
      </c>
      <c r="AH152" s="27" t="s">
        <v>7</v>
      </c>
      <c r="AK152" s="27" t="s">
        <v>8</v>
      </c>
      <c r="AL152" s="31"/>
      <c r="AM152" s="27" t="s">
        <v>8</v>
      </c>
      <c r="AN152" s="27" t="s">
        <v>7</v>
      </c>
      <c r="AP152" s="31"/>
    </row>
    <row r="153" spans="1:52" x14ac:dyDescent="0.25">
      <c r="A153" s="30">
        <v>69.737924672607079</v>
      </c>
      <c r="C153" s="7"/>
      <c r="D153"/>
      <c r="E153" t="s">
        <v>8</v>
      </c>
      <c r="R153" s="27" t="s">
        <v>7</v>
      </c>
      <c r="S153" s="27" t="s">
        <v>8</v>
      </c>
      <c r="AG153" s="27" t="s">
        <v>8</v>
      </c>
      <c r="AH153" s="27" t="s">
        <v>7</v>
      </c>
      <c r="AI153" s="27" t="s">
        <v>8</v>
      </c>
      <c r="AK153" s="27" t="s">
        <v>8</v>
      </c>
      <c r="AL153" s="27" t="s">
        <v>7</v>
      </c>
      <c r="AM153" s="31" t="s">
        <v>8</v>
      </c>
      <c r="AN153" s="27" t="s">
        <v>7</v>
      </c>
      <c r="AQ153" s="31"/>
    </row>
    <row r="154" spans="1:52" x14ac:dyDescent="0.25">
      <c r="A154" s="30">
        <v>66.417071116768639</v>
      </c>
      <c r="E154" t="s">
        <v>8</v>
      </c>
      <c r="R154" s="27" t="s">
        <v>7</v>
      </c>
      <c r="S154" s="27" t="s">
        <v>8</v>
      </c>
      <c r="T154" s="27" t="s">
        <v>7</v>
      </c>
      <c r="AG154" s="27" t="s">
        <v>8</v>
      </c>
      <c r="AH154" s="27" t="s">
        <v>7</v>
      </c>
      <c r="AI154" s="27" t="s">
        <v>8</v>
      </c>
      <c r="AJ154" s="27" t="s">
        <v>7</v>
      </c>
      <c r="AK154" s="27" t="s">
        <v>8</v>
      </c>
      <c r="AL154" s="27" t="s">
        <v>7</v>
      </c>
      <c r="AM154" s="27" t="s">
        <v>8</v>
      </c>
      <c r="AN154" s="31" t="s">
        <v>7</v>
      </c>
      <c r="AR154" s="31"/>
    </row>
    <row r="155" spans="1:52" x14ac:dyDescent="0.25">
      <c r="A155" s="30">
        <v>63.254353444541557</v>
      </c>
      <c r="E155" t="s">
        <v>8</v>
      </c>
      <c r="R155" s="27" t="s">
        <v>7</v>
      </c>
      <c r="S155" s="27" t="s">
        <v>8</v>
      </c>
      <c r="T155" s="27" t="s">
        <v>7</v>
      </c>
      <c r="AE155" s="27" t="s">
        <v>8</v>
      </c>
      <c r="AG155" s="27" t="s">
        <v>8</v>
      </c>
      <c r="AH155" s="27" t="s">
        <v>7</v>
      </c>
      <c r="AI155" s="27" t="s">
        <v>8</v>
      </c>
      <c r="AJ155" s="27" t="s">
        <v>7</v>
      </c>
      <c r="AK155" s="27" t="s">
        <v>8</v>
      </c>
      <c r="AL155" s="27" t="s">
        <v>7</v>
      </c>
      <c r="AN155" s="27" t="s">
        <v>7</v>
      </c>
      <c r="AS155" s="31"/>
    </row>
    <row r="156" spans="1:52" x14ac:dyDescent="0.25">
      <c r="A156" s="30">
        <v>60.242241375753864</v>
      </c>
      <c r="C156"/>
      <c r="D156"/>
      <c r="E156" t="s">
        <v>8</v>
      </c>
      <c r="R156" s="27" t="s">
        <v>7</v>
      </c>
      <c r="S156" s="27" t="s">
        <v>8</v>
      </c>
      <c r="T156" s="27" t="s">
        <v>7</v>
      </c>
      <c r="AE156" s="27" t="s">
        <v>8</v>
      </c>
      <c r="AF156" s="27" t="s">
        <v>7</v>
      </c>
      <c r="AG156" s="27" t="s">
        <v>8</v>
      </c>
      <c r="AH156" s="27" t="s">
        <v>7</v>
      </c>
      <c r="AI156" s="27" t="s">
        <v>8</v>
      </c>
      <c r="AJ156" s="27" t="s">
        <v>7</v>
      </c>
      <c r="AK156" s="27" t="s">
        <v>8</v>
      </c>
      <c r="AN156" s="27" t="s">
        <v>7</v>
      </c>
      <c r="AO156" s="27" t="s">
        <v>8</v>
      </c>
      <c r="AT156" s="31"/>
    </row>
    <row r="157" spans="1:52" x14ac:dyDescent="0.25">
      <c r="A157" s="30">
        <v>57.373563215003678</v>
      </c>
      <c r="E157" t="s">
        <v>8</v>
      </c>
      <c r="R157" s="27" t="s">
        <v>7</v>
      </c>
      <c r="S157" s="27" t="s">
        <v>8</v>
      </c>
      <c r="T157" s="27" t="s">
        <v>7</v>
      </c>
      <c r="Y157" s="27" t="s">
        <v>8</v>
      </c>
      <c r="AE157" s="27" t="s">
        <v>8</v>
      </c>
      <c r="AF157" s="27" t="s">
        <v>7</v>
      </c>
      <c r="AG157" s="27" t="s">
        <v>8</v>
      </c>
      <c r="AH157" s="27" t="s">
        <v>7</v>
      </c>
      <c r="AI157" s="27" t="s">
        <v>8</v>
      </c>
      <c r="AJ157" s="27" t="s">
        <v>7</v>
      </c>
      <c r="AK157" s="27" t="s">
        <v>8</v>
      </c>
      <c r="AN157" s="27" t="s">
        <v>7</v>
      </c>
      <c r="AO157" s="27" t="s">
        <v>8</v>
      </c>
      <c r="AP157" s="27" t="s">
        <v>7</v>
      </c>
      <c r="AU157" s="31"/>
      <c r="AY157" s="27" t="s">
        <v>8</v>
      </c>
    </row>
    <row r="158" spans="1:52" x14ac:dyDescent="0.25">
      <c r="A158" s="30">
        <v>54.641488776193974</v>
      </c>
      <c r="E158" t="s">
        <v>8</v>
      </c>
      <c r="R158" s="27" t="s">
        <v>7</v>
      </c>
      <c r="T158" s="27" t="s">
        <v>7</v>
      </c>
      <c r="U158" s="27" t="s">
        <v>8</v>
      </c>
      <c r="Y158" s="27" t="s">
        <v>8</v>
      </c>
      <c r="Z158" s="27" t="s">
        <v>7</v>
      </c>
      <c r="AE158" s="27" t="s">
        <v>8</v>
      </c>
      <c r="AF158" s="27" t="s">
        <v>7</v>
      </c>
      <c r="AH158" s="27" t="s">
        <v>7</v>
      </c>
      <c r="AJ158" s="27" t="s">
        <v>7</v>
      </c>
      <c r="AN158" s="27" t="s">
        <v>7</v>
      </c>
      <c r="AO158" s="27" t="s">
        <v>8</v>
      </c>
      <c r="AP158" s="27" t="s">
        <v>7</v>
      </c>
      <c r="AS158" s="27" t="s">
        <v>8</v>
      </c>
      <c r="AV158" s="31"/>
      <c r="AW158" s="27" t="s">
        <v>8</v>
      </c>
      <c r="AY158" s="27" t="s">
        <v>8</v>
      </c>
      <c r="AZ158" s="27" t="s">
        <v>7</v>
      </c>
    </row>
    <row r="159" spans="1:52" x14ac:dyDescent="0.25">
      <c r="A159" s="30">
        <v>52.039513120184736</v>
      </c>
      <c r="E159" t="s">
        <v>8</v>
      </c>
      <c r="T159" s="27" t="s">
        <v>7</v>
      </c>
      <c r="U159" s="27" t="s">
        <v>8</v>
      </c>
      <c r="V159" s="27" t="s">
        <v>7</v>
      </c>
      <c r="Y159" s="27" t="s">
        <v>8</v>
      </c>
      <c r="Z159" s="27" t="s">
        <v>7</v>
      </c>
      <c r="AE159" s="27" t="s">
        <v>8</v>
      </c>
      <c r="AN159" s="27" t="s">
        <v>7</v>
      </c>
      <c r="AP159" s="27" t="s">
        <v>7</v>
      </c>
      <c r="AQ159" s="27" t="s">
        <v>8</v>
      </c>
      <c r="AS159" s="27" t="s">
        <v>8</v>
      </c>
      <c r="AT159" s="27" t="s">
        <v>7</v>
      </c>
      <c r="AW159" s="31" t="s">
        <v>8</v>
      </c>
      <c r="AX159" s="27" t="s">
        <v>7</v>
      </c>
      <c r="AY159" s="27" t="s">
        <v>8</v>
      </c>
      <c r="AZ159" s="27" t="s">
        <v>7</v>
      </c>
    </row>
    <row r="160" spans="1:52" x14ac:dyDescent="0.25">
      <c r="A160" s="30">
        <v>49.561441066842605</v>
      </c>
      <c r="C160"/>
      <c r="E160" t="s">
        <v>8</v>
      </c>
      <c r="T160" s="27" t="s">
        <v>7</v>
      </c>
      <c r="U160" s="27" t="s">
        <v>8</v>
      </c>
      <c r="V160" s="27" t="s">
        <v>7</v>
      </c>
      <c r="Y160" s="27" t="s">
        <v>8</v>
      </c>
      <c r="Z160" s="27" t="s">
        <v>7</v>
      </c>
      <c r="AA160" s="27" t="s">
        <v>8</v>
      </c>
      <c r="AE160" s="32" t="s">
        <v>8</v>
      </c>
      <c r="AN160" s="31"/>
      <c r="AP160" s="27" t="s">
        <v>7</v>
      </c>
      <c r="AQ160" s="27" t="s">
        <v>8</v>
      </c>
      <c r="AR160" s="27" t="s">
        <v>7</v>
      </c>
      <c r="AS160" s="27" t="s">
        <v>8</v>
      </c>
      <c r="AT160" s="27" t="s">
        <v>7</v>
      </c>
      <c r="AU160" s="27" t="s">
        <v>8</v>
      </c>
      <c r="AW160" s="27" t="s">
        <v>8</v>
      </c>
      <c r="AX160" s="27" t="s">
        <v>7</v>
      </c>
      <c r="AY160" s="27" t="s">
        <v>8</v>
      </c>
      <c r="AZ160" s="27" t="s">
        <v>7</v>
      </c>
    </row>
    <row r="161" spans="1:64" x14ac:dyDescent="0.25">
      <c r="A161" s="30">
        <v>47.201372444612005</v>
      </c>
      <c r="E161" t="s">
        <v>8</v>
      </c>
      <c r="T161" s="27" t="s">
        <v>7</v>
      </c>
      <c r="V161" s="27" t="s">
        <v>7</v>
      </c>
      <c r="Y161" s="27" t="s">
        <v>8</v>
      </c>
      <c r="Z161" s="27" t="s">
        <v>7</v>
      </c>
      <c r="AA161" s="27" t="s">
        <v>8</v>
      </c>
      <c r="AB161" s="27" t="s">
        <v>7</v>
      </c>
      <c r="AC161" s="27" t="s">
        <v>8</v>
      </c>
      <c r="AE161" s="27" t="s">
        <v>8</v>
      </c>
      <c r="AM161" s="31"/>
      <c r="AP161" s="27" t="s">
        <v>7</v>
      </c>
      <c r="AQ161" s="27" t="s">
        <v>8</v>
      </c>
      <c r="AR161" s="27" t="s">
        <v>7</v>
      </c>
      <c r="AS161" s="27" t="s">
        <v>8</v>
      </c>
      <c r="AT161" s="27" t="s">
        <v>7</v>
      </c>
      <c r="AU161" s="27" t="s">
        <v>8</v>
      </c>
      <c r="AV161" s="27" t="s">
        <v>7</v>
      </c>
      <c r="AW161" s="27" t="s">
        <v>8</v>
      </c>
      <c r="AX161" s="27" t="s">
        <v>7</v>
      </c>
      <c r="AZ161" s="27" t="s">
        <v>7</v>
      </c>
    </row>
    <row r="162" spans="1:64" x14ac:dyDescent="0.25">
      <c r="A162" s="30">
        <v>44.95368804248762</v>
      </c>
      <c r="E162" t="s">
        <v>8</v>
      </c>
      <c r="V162" s="27" t="s">
        <v>7</v>
      </c>
      <c r="Y162" s="27" t="s">
        <v>8</v>
      </c>
      <c r="Z162" s="27" t="s">
        <v>7</v>
      </c>
      <c r="AA162" s="27" t="s">
        <v>8</v>
      </c>
      <c r="AB162" s="27" t="s">
        <v>7</v>
      </c>
      <c r="AC162" s="27" t="s">
        <v>8</v>
      </c>
      <c r="AD162" s="27" t="s">
        <v>7</v>
      </c>
      <c r="AE162" s="27" t="s">
        <v>8</v>
      </c>
      <c r="AL162" s="31"/>
      <c r="AP162" s="27" t="s">
        <v>7</v>
      </c>
      <c r="AQ162" s="27" t="s">
        <v>8</v>
      </c>
      <c r="AR162" s="27" t="s">
        <v>7</v>
      </c>
      <c r="AS162" s="27" t="s">
        <v>8</v>
      </c>
      <c r="AT162" s="27" t="s">
        <v>7</v>
      </c>
      <c r="AU162" s="27" t="s">
        <v>8</v>
      </c>
      <c r="AV162" s="27" t="s">
        <v>7</v>
      </c>
      <c r="AW162" s="27" t="s">
        <v>8</v>
      </c>
      <c r="AZ162" s="27" t="s">
        <v>7</v>
      </c>
      <c r="BA162" s="27" t="s">
        <v>8</v>
      </c>
    </row>
    <row r="163" spans="1:64" x14ac:dyDescent="0.25">
      <c r="A163" s="30">
        <v>42.81303623094059</v>
      </c>
      <c r="E163" t="s">
        <v>8</v>
      </c>
      <c r="V163" s="27" t="s">
        <v>7</v>
      </c>
      <c r="Y163" s="32" t="s">
        <v>8</v>
      </c>
      <c r="Z163" s="27" t="s">
        <v>7</v>
      </c>
      <c r="AB163" s="27" t="s">
        <v>7</v>
      </c>
      <c r="AC163" s="27" t="s">
        <v>8</v>
      </c>
      <c r="AD163" s="27" t="s">
        <v>7</v>
      </c>
      <c r="AE163" s="27" t="s">
        <v>8</v>
      </c>
      <c r="AK163" s="31"/>
      <c r="AP163" s="27" t="s">
        <v>7</v>
      </c>
      <c r="AR163" s="27" t="s">
        <v>7</v>
      </c>
      <c r="AS163" s="27" t="s">
        <v>8</v>
      </c>
      <c r="AT163" s="27" t="s">
        <v>7</v>
      </c>
      <c r="AU163" s="27" t="s">
        <v>8</v>
      </c>
      <c r="AV163" s="27" t="s">
        <v>7</v>
      </c>
      <c r="AW163" s="27" t="s">
        <v>8</v>
      </c>
      <c r="AZ163" s="27" t="s">
        <v>7</v>
      </c>
      <c r="BA163" s="27" t="s">
        <v>8</v>
      </c>
      <c r="BB163" s="27" t="s">
        <v>7</v>
      </c>
    </row>
    <row r="164" spans="1:64" x14ac:dyDescent="0.25">
      <c r="A164" s="30">
        <v>40.774320219943419</v>
      </c>
      <c r="E164" t="s">
        <v>8</v>
      </c>
      <c r="V164" s="27" t="s">
        <v>7</v>
      </c>
      <c r="W164" s="27" t="s">
        <v>8</v>
      </c>
      <c r="Y164" s="27" t="s">
        <v>8</v>
      </c>
      <c r="AB164" s="33" t="s">
        <v>7</v>
      </c>
      <c r="AC164" s="27" t="s">
        <v>8</v>
      </c>
      <c r="AD164" s="27" t="s">
        <v>7</v>
      </c>
      <c r="AE164" s="27" t="s">
        <v>8</v>
      </c>
      <c r="AJ164" s="31"/>
      <c r="AR164" s="27" t="s">
        <v>7</v>
      </c>
      <c r="AT164" s="27" t="s">
        <v>7</v>
      </c>
      <c r="AV164" s="27" t="s">
        <v>7</v>
      </c>
      <c r="AW164" s="27" t="s">
        <v>8</v>
      </c>
      <c r="AZ164" s="27" t="s">
        <v>7</v>
      </c>
      <c r="BA164" s="27" t="s">
        <v>8</v>
      </c>
      <c r="BB164" s="27" t="s">
        <v>7</v>
      </c>
    </row>
    <row r="165" spans="1:64" x14ac:dyDescent="0.25">
      <c r="A165" s="30">
        <v>38.832685923755633</v>
      </c>
      <c r="E165" t="s">
        <v>8</v>
      </c>
      <c r="V165" s="27" t="s">
        <v>7</v>
      </c>
      <c r="W165" s="27" t="s">
        <v>8</v>
      </c>
      <c r="X165" s="27" t="s">
        <v>7</v>
      </c>
      <c r="Y165" s="27" t="s">
        <v>8</v>
      </c>
      <c r="AB165" s="27" t="s">
        <v>7</v>
      </c>
      <c r="AC165" s="27" t="s">
        <v>8</v>
      </c>
      <c r="AD165" s="27" t="s">
        <v>7</v>
      </c>
      <c r="AI165" s="31"/>
      <c r="AV165" s="27" t="s">
        <v>7</v>
      </c>
      <c r="AZ165" s="27" t="s">
        <v>7</v>
      </c>
      <c r="BB165" s="27" t="s">
        <v>7</v>
      </c>
    </row>
    <row r="166" spans="1:64" x14ac:dyDescent="0.25">
      <c r="A166" s="30">
        <v>36.983510403576794</v>
      </c>
      <c r="E166" t="s">
        <v>8</v>
      </c>
      <c r="V166" s="27" t="s">
        <v>7</v>
      </c>
      <c r="W166" s="27" t="s">
        <v>8</v>
      </c>
      <c r="X166" s="27" t="s">
        <v>7</v>
      </c>
      <c r="Y166" s="27" t="s">
        <v>8</v>
      </c>
      <c r="AB166" s="27" t="s">
        <v>7</v>
      </c>
      <c r="AC166" s="27" t="s">
        <v>8</v>
      </c>
      <c r="AH166" s="31"/>
      <c r="BB166" s="27" t="s">
        <v>7</v>
      </c>
      <c r="BI166" s="27" t="s">
        <v>8</v>
      </c>
      <c r="BK166" s="27" t="s">
        <v>8</v>
      </c>
    </row>
    <row r="167" spans="1:64" x14ac:dyDescent="0.25">
      <c r="A167" s="30">
        <v>35.222390860549325</v>
      </c>
      <c r="E167" t="s">
        <v>8</v>
      </c>
      <c r="V167" s="27" t="s">
        <v>7</v>
      </c>
      <c r="W167" s="27" t="s">
        <v>8</v>
      </c>
      <c r="X167" s="27" t="s">
        <v>7</v>
      </c>
      <c r="Y167" s="27" t="s">
        <v>8</v>
      </c>
      <c r="AB167" s="27" t="s">
        <v>7</v>
      </c>
      <c r="AC167" s="27" t="s">
        <v>8</v>
      </c>
      <c r="AG167" s="31"/>
      <c r="BB167" s="27" t="s">
        <v>7</v>
      </c>
      <c r="BI167" s="27" t="s">
        <v>8</v>
      </c>
      <c r="BJ167" s="27" t="s">
        <v>7</v>
      </c>
      <c r="BK167" s="27" t="s">
        <v>8</v>
      </c>
      <c r="BL167" s="27" t="s">
        <v>7</v>
      </c>
    </row>
    <row r="168" spans="1:64" x14ac:dyDescent="0.25">
      <c r="A168" s="30">
        <v>33.545134152904119</v>
      </c>
      <c r="E168" t="s">
        <v>8</v>
      </c>
      <c r="V168" s="27" t="s">
        <v>7</v>
      </c>
      <c r="W168" s="27" t="s">
        <v>8</v>
      </c>
      <c r="X168" s="27" t="s">
        <v>7</v>
      </c>
      <c r="Y168" s="27" t="s">
        <v>8</v>
      </c>
      <c r="AB168" s="27" t="s">
        <v>7</v>
      </c>
      <c r="AC168" s="27" t="s">
        <v>8</v>
      </c>
      <c r="AF168" s="31"/>
      <c r="BB168" s="27" t="s">
        <v>7</v>
      </c>
      <c r="BI168" s="27" t="s">
        <v>8</v>
      </c>
      <c r="BJ168" s="27" t="s">
        <v>7</v>
      </c>
      <c r="BK168" s="27" t="s">
        <v>8</v>
      </c>
      <c r="BL168" s="27" t="s">
        <v>7</v>
      </c>
    </row>
    <row r="169" spans="1:64" x14ac:dyDescent="0.25">
      <c r="A169" s="30">
        <v>31.947746812289637</v>
      </c>
      <c r="E169" t="s">
        <v>8</v>
      </c>
      <c r="V169" s="27" t="s">
        <v>7</v>
      </c>
      <c r="X169" s="27" t="s">
        <v>7</v>
      </c>
      <c r="Y169" s="27" t="s">
        <v>8</v>
      </c>
      <c r="AB169" s="27" t="s">
        <v>7</v>
      </c>
      <c r="AC169" s="27" t="s">
        <v>8</v>
      </c>
      <c r="AE169" s="31"/>
      <c r="BB169" s="27" t="s">
        <v>7</v>
      </c>
      <c r="BC169" s="27" t="s">
        <v>8</v>
      </c>
      <c r="BE169" s="27" t="s">
        <v>8</v>
      </c>
      <c r="BI169" s="27" t="s">
        <v>8</v>
      </c>
      <c r="BJ169" s="27" t="s">
        <v>7</v>
      </c>
      <c r="BK169" s="27" t="s">
        <v>8</v>
      </c>
      <c r="BL169" s="27" t="s">
        <v>7</v>
      </c>
    </row>
    <row r="170" spans="1:64" x14ac:dyDescent="0.25">
      <c r="A170" s="30">
        <v>30.426425535513939</v>
      </c>
      <c r="E170" t="s">
        <v>8</v>
      </c>
      <c r="X170" s="27" t="s">
        <v>7</v>
      </c>
      <c r="Y170" s="27" t="s">
        <v>8</v>
      </c>
      <c r="AB170" s="18" t="s">
        <v>7</v>
      </c>
      <c r="AC170" s="27" t="s">
        <v>8</v>
      </c>
      <c r="AD170" s="31"/>
      <c r="BB170" s="27" t="s">
        <v>7</v>
      </c>
      <c r="BC170" s="27" t="s">
        <v>8</v>
      </c>
      <c r="BD170" s="27" t="s">
        <v>7</v>
      </c>
      <c r="BE170" s="27" t="s">
        <v>8</v>
      </c>
      <c r="BF170" s="27" t="s">
        <v>7</v>
      </c>
      <c r="BI170" s="27" t="s">
        <v>8</v>
      </c>
      <c r="BJ170" s="27" t="s">
        <v>7</v>
      </c>
      <c r="BK170" s="27" t="s">
        <v>8</v>
      </c>
      <c r="BL170" s="27" t="s">
        <v>7</v>
      </c>
    </row>
    <row r="171" spans="1:64" x14ac:dyDescent="0.25">
      <c r="A171" s="30">
        <v>28.977548129060892</v>
      </c>
      <c r="E171" t="s">
        <v>8</v>
      </c>
      <c r="X171" s="27" t="s">
        <v>7</v>
      </c>
      <c r="AB171" s="27" t="s">
        <v>7</v>
      </c>
      <c r="AC171" s="31" t="s">
        <v>8</v>
      </c>
      <c r="BB171" s="27" t="s">
        <v>7</v>
      </c>
      <c r="BC171" s="27" t="s">
        <v>8</v>
      </c>
      <c r="BD171" s="27" t="s">
        <v>7</v>
      </c>
      <c r="BE171" s="27" t="s">
        <v>8</v>
      </c>
      <c r="BF171" s="27" t="s">
        <v>7</v>
      </c>
      <c r="BG171" s="27" t="s">
        <v>8</v>
      </c>
      <c r="BI171" s="27" t="s">
        <v>8</v>
      </c>
      <c r="BJ171" s="27" t="s">
        <v>7</v>
      </c>
      <c r="BK171" s="27" t="s">
        <v>8</v>
      </c>
      <c r="BL171" s="27" t="s">
        <v>7</v>
      </c>
    </row>
    <row r="172" spans="1:64" x14ac:dyDescent="0.25">
      <c r="A172" s="30">
        <v>27.597664884819896</v>
      </c>
      <c r="E172" t="s">
        <v>8</v>
      </c>
      <c r="AB172" s="31" t="s">
        <v>7</v>
      </c>
      <c r="BB172" s="27" t="s">
        <v>7</v>
      </c>
      <c r="BC172" s="27" t="s">
        <v>8</v>
      </c>
      <c r="BD172" s="27" t="s">
        <v>7</v>
      </c>
      <c r="BF172" s="27" t="s">
        <v>7</v>
      </c>
      <c r="BG172" s="27" t="s">
        <v>8</v>
      </c>
      <c r="BH172" s="27" t="s">
        <v>7</v>
      </c>
      <c r="BI172" s="27" t="s">
        <v>8</v>
      </c>
      <c r="BJ172" s="27" t="s">
        <v>7</v>
      </c>
      <c r="BL172" s="27" t="s">
        <v>7</v>
      </c>
    </row>
    <row r="173" spans="1:64" x14ac:dyDescent="0.25">
      <c r="A173" s="30">
        <v>26.283490366495137</v>
      </c>
      <c r="E173" t="s">
        <v>8</v>
      </c>
      <c r="BB173" s="27" t="s">
        <v>7</v>
      </c>
      <c r="BC173" s="27" t="s">
        <v>8</v>
      </c>
      <c r="BF173" s="27" t="s">
        <v>7</v>
      </c>
      <c r="BG173" s="27" t="s">
        <v>8</v>
      </c>
      <c r="BH173" s="27" t="s">
        <v>7</v>
      </c>
      <c r="BI173" s="27" t="s">
        <v>8</v>
      </c>
      <c r="BL173" s="27" t="s">
        <v>7</v>
      </c>
    </row>
    <row r="174" spans="1:64" x14ac:dyDescent="0.25">
      <c r="A174" s="30">
        <v>25.031895587138223</v>
      </c>
      <c r="E174" t="s">
        <v>8</v>
      </c>
      <c r="BB174" s="27" t="s">
        <v>7</v>
      </c>
      <c r="BF174" s="27" t="s">
        <v>7</v>
      </c>
      <c r="BG174" s="27" t="s">
        <v>8</v>
      </c>
      <c r="BH174" s="27" t="s">
        <v>7</v>
      </c>
      <c r="BI174" s="27" t="s">
        <v>8</v>
      </c>
      <c r="BL174" s="27" t="s">
        <v>7</v>
      </c>
    </row>
    <row r="175" spans="1:64" x14ac:dyDescent="0.25">
      <c r="A175" s="30">
        <v>23.839900559179259</v>
      </c>
      <c r="E175" t="s">
        <v>8</v>
      </c>
      <c r="BF175" s="27" t="s">
        <v>7</v>
      </c>
      <c r="BG175" s="27" t="s">
        <v>8</v>
      </c>
      <c r="BH175" s="27" t="s">
        <v>7</v>
      </c>
      <c r="BL175" s="27" t="s">
        <v>7</v>
      </c>
    </row>
    <row r="176" spans="1:64" x14ac:dyDescent="0.25">
      <c r="A176" s="30">
        <v>22.704667199218342</v>
      </c>
      <c r="E176" t="s">
        <v>8</v>
      </c>
      <c r="BF176" s="27" t="s">
        <v>7</v>
      </c>
      <c r="BG176" s="27" t="s">
        <v>8</v>
      </c>
      <c r="BL176" s="27" t="s">
        <v>7</v>
      </c>
    </row>
    <row r="177" spans="1:67" x14ac:dyDescent="0.25">
      <c r="A177" s="30">
        <v>21.623492570684135</v>
      </c>
      <c r="E177" t="s">
        <v>8</v>
      </c>
      <c r="BF177" s="27" t="s">
        <v>7</v>
      </c>
      <c r="BL177" s="27" t="s">
        <v>7</v>
      </c>
      <c r="BM177" s="27" t="s">
        <v>8</v>
      </c>
      <c r="BO177" s="27" t="s">
        <v>8</v>
      </c>
    </row>
    <row r="178" spans="1:67" x14ac:dyDescent="0.25">
      <c r="A178" s="30">
        <v>20.593802448270605</v>
      </c>
      <c r="C178" s="7"/>
      <c r="D178"/>
      <c r="E178" t="s">
        <v>8</v>
      </c>
      <c r="BL178" s="27" t="s">
        <v>7</v>
      </c>
      <c r="BM178" s="27" t="s">
        <v>8</v>
      </c>
      <c r="BN178" s="27" t="s">
        <v>7</v>
      </c>
      <c r="BO178" s="27" t="s">
        <v>8</v>
      </c>
    </row>
    <row r="179" spans="1:67" x14ac:dyDescent="0.25">
      <c r="A179" s="30">
        <v>19.613145188829147</v>
      </c>
      <c r="E179" t="s">
        <v>8</v>
      </c>
      <c r="BL179" s="27" t="s">
        <v>7</v>
      </c>
      <c r="BM179" s="27" t="s">
        <v>8</v>
      </c>
      <c r="BN179" s="27" t="s">
        <v>7</v>
      </c>
      <c r="BO179" s="27" t="s">
        <v>8</v>
      </c>
    </row>
    <row r="180" spans="1:67" x14ac:dyDescent="0.25">
      <c r="A180" s="30">
        <v>18.679185894122998</v>
      </c>
      <c r="E180" t="s">
        <v>8</v>
      </c>
      <c r="BL180" s="27" t="s">
        <v>7</v>
      </c>
      <c r="BN180" s="27" t="s">
        <v>7</v>
      </c>
    </row>
    <row r="181" spans="1:67" x14ac:dyDescent="0.25">
      <c r="A181" s="30">
        <v>17.78970085154571</v>
      </c>
      <c r="C181"/>
      <c r="D181"/>
      <c r="E181" t="s">
        <v>8</v>
      </c>
    </row>
    <row r="182" spans="1:67" x14ac:dyDescent="0.25">
      <c r="A182" s="30">
        <v>16.942572239567344</v>
      </c>
      <c r="E182" t="s">
        <v>8</v>
      </c>
    </row>
    <row r="183" spans="1:67" x14ac:dyDescent="0.25">
      <c r="A183" s="30">
        <v>16.135783085302233</v>
      </c>
      <c r="E183" t="s">
        <v>8</v>
      </c>
    </row>
    <row r="184" spans="1:67" x14ac:dyDescent="0.25">
      <c r="A184" s="30">
        <v>15.367412462192602</v>
      </c>
      <c r="E184" t="s">
        <v>8</v>
      </c>
    </row>
    <row r="185" spans="1:67" x14ac:dyDescent="0.25">
      <c r="A185" s="30">
        <v>14.635630916373906</v>
      </c>
      <c r="C185"/>
      <c r="E185" t="s">
        <v>8</v>
      </c>
    </row>
    <row r="186" spans="1:67" x14ac:dyDescent="0.25">
      <c r="A186" s="30">
        <v>13.938696110832291</v>
      </c>
      <c r="E186" t="s">
        <v>8</v>
      </c>
    </row>
    <row r="187" spans="1:6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67" x14ac:dyDescent="0.25">
      <c r="A188" s="30">
        <v>12.64280826379346</v>
      </c>
      <c r="E188" t="s">
        <v>8</v>
      </c>
    </row>
    <row r="189" spans="1:67" x14ac:dyDescent="0.25">
      <c r="A189" s="30">
        <v>12.04076977504139</v>
      </c>
      <c r="E189" t="s">
        <v>8</v>
      </c>
    </row>
    <row r="190" spans="1:67" x14ac:dyDescent="0.25">
      <c r="A190" s="30">
        <v>11.467399785753704</v>
      </c>
      <c r="E190" t="s">
        <v>8</v>
      </c>
    </row>
    <row r="191" spans="1:67" x14ac:dyDescent="0.25">
      <c r="A191" s="30">
        <v>10.921333129289241</v>
      </c>
      <c r="E191" t="s">
        <v>8</v>
      </c>
    </row>
    <row r="192" spans="1:67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82" operator="equal">
      <formula>$U$1</formula>
    </cfRule>
    <cfRule type="cellIs" dxfId="67" priority="683" operator="equal">
      <formula>$S$1</formula>
    </cfRule>
  </conditionalFormatting>
  <conditionalFormatting sqref="D136">
    <cfRule type="cellIs" dxfId="66" priority="680" operator="equal">
      <formula>$S$1</formula>
    </cfRule>
    <cfRule type="cellIs" dxfId="65" priority="681" operator="equal">
      <formula>$U$1</formula>
    </cfRule>
  </conditionalFormatting>
  <conditionalFormatting sqref="C162">
    <cfRule type="cellIs" dxfId="64" priority="678" operator="equal">
      <formula>$U$1</formula>
    </cfRule>
    <cfRule type="cellIs" dxfId="63" priority="679" operator="equal">
      <formula>$S$1</formula>
    </cfRule>
  </conditionalFormatting>
  <conditionalFormatting sqref="D162">
    <cfRule type="cellIs" dxfId="62" priority="676" operator="equal">
      <formula>$S$1</formula>
    </cfRule>
    <cfRule type="cellIs" dxfId="61" priority="677" operator="equal">
      <formula>$U$1</formula>
    </cfRule>
  </conditionalFormatting>
  <conditionalFormatting sqref="C187">
    <cfRule type="cellIs" dxfId="60" priority="674" operator="equal">
      <formula>$U$1</formula>
    </cfRule>
    <cfRule type="cellIs" dxfId="59" priority="675" operator="equal">
      <formula>$S$1</formula>
    </cfRule>
  </conditionalFormatting>
  <conditionalFormatting sqref="D187">
    <cfRule type="cellIs" dxfId="58" priority="672" operator="equal">
      <formula>$S$1</formula>
    </cfRule>
    <cfRule type="cellIs" dxfId="57" priority="673" operator="equal">
      <formula>$U$1</formula>
    </cfRule>
  </conditionalFormatting>
  <conditionalFormatting sqref="C212">
    <cfRule type="cellIs" dxfId="56" priority="670" operator="equal">
      <formula>$U$1</formula>
    </cfRule>
    <cfRule type="cellIs" dxfId="55" priority="671" operator="equal">
      <formula>$S$1</formula>
    </cfRule>
  </conditionalFormatting>
  <conditionalFormatting sqref="D212">
    <cfRule type="cellIs" dxfId="54" priority="668" operator="equal">
      <formula>$S$1</formula>
    </cfRule>
    <cfRule type="cellIs" dxfId="53" priority="669" operator="equal">
      <formula>$U$1</formula>
    </cfRule>
  </conditionalFormatting>
  <conditionalFormatting sqref="C237">
    <cfRule type="cellIs" dxfId="52" priority="666" operator="equal">
      <formula>$U$1</formula>
    </cfRule>
    <cfRule type="cellIs" dxfId="51" priority="667" operator="equal">
      <formula>$S$1</formula>
    </cfRule>
  </conditionalFormatting>
  <conditionalFormatting sqref="D237">
    <cfRule type="cellIs" dxfId="50" priority="664" operator="equal">
      <formula>$S$1</formula>
    </cfRule>
    <cfRule type="cellIs" dxfId="49" priority="665" operator="equal">
      <formula>$U$1</formula>
    </cfRule>
  </conditionalFormatting>
  <conditionalFormatting sqref="C106">
    <cfRule type="cellIs" dxfId="48" priority="662" operator="equal">
      <formula>$U$1</formula>
    </cfRule>
    <cfRule type="cellIs" dxfId="47" priority="663" operator="equal">
      <formula>$S$1</formula>
    </cfRule>
  </conditionalFormatting>
  <conditionalFormatting sqref="D106">
    <cfRule type="cellIs" dxfId="46" priority="660" operator="equal">
      <formula>$S$1</formula>
    </cfRule>
    <cfRule type="cellIs" dxfId="45" priority="661" operator="equal">
      <formula>$U$1</formula>
    </cfRule>
  </conditionalFormatting>
  <conditionalFormatting sqref="C81">
    <cfRule type="cellIs" dxfId="44" priority="658" operator="equal">
      <formula>$U$1</formula>
    </cfRule>
    <cfRule type="cellIs" dxfId="43" priority="659" operator="equal">
      <formula>$S$1</formula>
    </cfRule>
  </conditionalFormatting>
  <conditionalFormatting sqref="D81">
    <cfRule type="cellIs" dxfId="42" priority="656" operator="equal">
      <formula>$S$1</formula>
    </cfRule>
    <cfRule type="cellIs" dxfId="41" priority="657" operator="equal">
      <formula>$U$1</formula>
    </cfRule>
  </conditionalFormatting>
  <conditionalFormatting sqref="C56">
    <cfRule type="cellIs" dxfId="40" priority="654" operator="equal">
      <formula>$U$1</formula>
    </cfRule>
    <cfRule type="cellIs" dxfId="39" priority="655" operator="equal">
      <formula>$S$1</formula>
    </cfRule>
  </conditionalFormatting>
  <conditionalFormatting sqref="D56">
    <cfRule type="cellIs" dxfId="38" priority="652" operator="equal">
      <formula>$S$1</formula>
    </cfRule>
    <cfRule type="cellIs" dxfId="37" priority="653" operator="equal">
      <formula>$U$1</formula>
    </cfRule>
  </conditionalFormatting>
  <conditionalFormatting sqref="C31">
    <cfRule type="cellIs" dxfId="36" priority="650" operator="equal">
      <formula>$U$1</formula>
    </cfRule>
    <cfRule type="cellIs" dxfId="35" priority="651" operator="equal">
      <formula>$S$1</formula>
    </cfRule>
  </conditionalFormatting>
  <conditionalFormatting sqref="D31">
    <cfRule type="cellIs" dxfId="34" priority="648" operator="equal">
      <formula>$S$1</formula>
    </cfRule>
    <cfRule type="cellIs" dxfId="33" priority="64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1" zoomScale="90" zoomScaleNormal="90" workbookViewId="0">
      <pane xSplit="4" topLeftCell="G1" activePane="topRight" state="frozen"/>
      <selection activeCell="A109" sqref="A109"/>
      <selection pane="topRight" activeCell="V90" sqref="V9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6" x14ac:dyDescent="0.25">
      <c r="A49" s="30">
        <v>955.59381772732638</v>
      </c>
      <c r="C49" s="1">
        <f>C38</f>
        <v>0</v>
      </c>
      <c r="E49"/>
    </row>
    <row r="50" spans="1:6" x14ac:dyDescent="0.25">
      <c r="A50" s="30">
        <v>868.72165247938756</v>
      </c>
      <c r="C50"/>
      <c r="D50"/>
      <c r="E50"/>
    </row>
    <row r="51" spans="1:6" x14ac:dyDescent="0.25">
      <c r="A51" s="30">
        <v>789.74695679944318</v>
      </c>
      <c r="C51" s="1" t="s">
        <v>14</v>
      </c>
      <c r="E51"/>
    </row>
    <row r="52" spans="1:6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6" x14ac:dyDescent="0.25">
      <c r="A53" s="30">
        <v>652.68343537144051</v>
      </c>
      <c r="E53"/>
    </row>
    <row r="54" spans="1:6" x14ac:dyDescent="0.25">
      <c r="A54" s="30">
        <v>593.34857761040041</v>
      </c>
      <c r="E54"/>
    </row>
    <row r="55" spans="1:6" x14ac:dyDescent="0.25">
      <c r="A55" s="30">
        <v>539.40779782763673</v>
      </c>
      <c r="E55"/>
    </row>
    <row r="56" spans="1:6" x14ac:dyDescent="0.25">
      <c r="A56" s="30">
        <v>490.37072529785149</v>
      </c>
      <c r="E56"/>
    </row>
    <row r="57" spans="1:6" x14ac:dyDescent="0.25">
      <c r="A57" s="30">
        <v>445.79156845259223</v>
      </c>
      <c r="E57"/>
    </row>
    <row r="58" spans="1:6" x14ac:dyDescent="0.25">
      <c r="A58" s="30">
        <v>405.26506222962928</v>
      </c>
      <c r="E58"/>
    </row>
    <row r="59" spans="1:6" x14ac:dyDescent="0.25">
      <c r="A59" s="30">
        <v>368.42278384511752</v>
      </c>
      <c r="E59" t="s">
        <v>8</v>
      </c>
    </row>
    <row r="60" spans="1:6" x14ac:dyDescent="0.25">
      <c r="A60" s="30">
        <v>334.92980349556137</v>
      </c>
      <c r="E60" t="s">
        <v>8</v>
      </c>
      <c r="F60" s="27" t="s">
        <v>7</v>
      </c>
    </row>
    <row r="61" spans="1:6" x14ac:dyDescent="0.25">
      <c r="A61" s="30">
        <v>304.48163954141938</v>
      </c>
      <c r="E61" t="s">
        <v>8</v>
      </c>
      <c r="F61" s="27" t="s">
        <v>7</v>
      </c>
    </row>
    <row r="62" spans="1:6" x14ac:dyDescent="0.25">
      <c r="A62" s="30">
        <v>276.80149049219943</v>
      </c>
      <c r="E62" t="s">
        <v>8</v>
      </c>
      <c r="F62" s="27" t="s">
        <v>7</v>
      </c>
    </row>
    <row r="63" spans="1:6" x14ac:dyDescent="0.25">
      <c r="A63" s="30">
        <v>251.63771862927217</v>
      </c>
      <c r="E63" t="s">
        <v>8</v>
      </c>
      <c r="F63" s="27" t="s">
        <v>7</v>
      </c>
    </row>
    <row r="64" spans="1:6" x14ac:dyDescent="0.25">
      <c r="A64" s="30">
        <v>228.76156239024741</v>
      </c>
      <c r="E64" t="s">
        <v>8</v>
      </c>
      <c r="F64" s="27" t="s">
        <v>7</v>
      </c>
    </row>
    <row r="65" spans="1:18" x14ac:dyDescent="0.25">
      <c r="A65" s="30">
        <v>207.96505671840671</v>
      </c>
      <c r="E65" t="s">
        <v>8</v>
      </c>
      <c r="F65" s="27" t="s">
        <v>7</v>
      </c>
      <c r="G65" s="27" t="s">
        <v>8</v>
      </c>
    </row>
    <row r="66" spans="1:18" x14ac:dyDescent="0.25">
      <c r="A66" s="30">
        <v>189.05914247127882</v>
      </c>
      <c r="E66" t="s">
        <v>8</v>
      </c>
      <c r="F66" s="27" t="s">
        <v>7</v>
      </c>
      <c r="G66" s="27" t="s">
        <v>8</v>
      </c>
      <c r="H66" s="27" t="s">
        <v>7</v>
      </c>
    </row>
    <row r="67" spans="1:18" x14ac:dyDescent="0.25">
      <c r="A67" s="30">
        <v>171.87194770116255</v>
      </c>
      <c r="C67" s="1" t="s">
        <v>15</v>
      </c>
      <c r="E67" t="s">
        <v>8</v>
      </c>
      <c r="F67" s="27" t="s">
        <v>7</v>
      </c>
      <c r="G67" s="27" t="s">
        <v>8</v>
      </c>
      <c r="H67" s="27" t="s">
        <v>7</v>
      </c>
    </row>
    <row r="68" spans="1:18" x14ac:dyDescent="0.25">
      <c r="A68" s="30">
        <v>156.24722518287504</v>
      </c>
      <c r="C68" s="7">
        <v>0.11167815779424731</v>
      </c>
      <c r="D68"/>
      <c r="E68" t="s">
        <v>8</v>
      </c>
      <c r="F68" s="27" t="s">
        <v>7</v>
      </c>
      <c r="G68" s="27" t="s">
        <v>8</v>
      </c>
      <c r="H68" s="27" t="s">
        <v>7</v>
      </c>
    </row>
    <row r="69" spans="1:18" x14ac:dyDescent="0.25">
      <c r="A69" s="30">
        <v>142.04293198443185</v>
      </c>
      <c r="E69" t="s">
        <v>8</v>
      </c>
      <c r="F69" s="27" t="s">
        <v>7</v>
      </c>
      <c r="G69" s="27" t="s">
        <v>8</v>
      </c>
      <c r="H69" s="27" t="s">
        <v>7</v>
      </c>
    </row>
    <row r="70" spans="1:18" x14ac:dyDescent="0.25">
      <c r="A70" s="30">
        <v>129.1299381676653</v>
      </c>
      <c r="C70" s="1" t="s">
        <v>11</v>
      </c>
      <c r="D70" s="1" t="s">
        <v>12</v>
      </c>
      <c r="E70" t="s">
        <v>8</v>
      </c>
      <c r="F70" s="27" t="s">
        <v>7</v>
      </c>
      <c r="G70" s="27" t="s">
        <v>8</v>
      </c>
      <c r="H70" s="27" t="s">
        <v>7</v>
      </c>
    </row>
    <row r="71" spans="1:18" x14ac:dyDescent="0.25">
      <c r="A71" s="30">
        <v>117.39085287969573</v>
      </c>
      <c r="C71"/>
      <c r="D71"/>
      <c r="E71" t="s">
        <v>8</v>
      </c>
      <c r="F71" s="27" t="s">
        <v>7</v>
      </c>
      <c r="G71" s="27" t="s">
        <v>8</v>
      </c>
      <c r="H71" s="27" t="s">
        <v>7</v>
      </c>
    </row>
    <row r="72" spans="1:18" x14ac:dyDescent="0.25">
      <c r="A72" s="30">
        <v>106.71895716335975</v>
      </c>
      <c r="E72" t="s">
        <v>8</v>
      </c>
      <c r="F72" s="27" t="s">
        <v>7</v>
      </c>
      <c r="G72" s="27" t="s">
        <v>8</v>
      </c>
      <c r="H72" s="27" t="s">
        <v>7</v>
      </c>
    </row>
    <row r="73" spans="1:18" x14ac:dyDescent="0.25">
      <c r="A73" s="30">
        <v>97.017233784872488</v>
      </c>
      <c r="C73" s="1" t="s">
        <v>13</v>
      </c>
      <c r="E73" t="s">
        <v>8</v>
      </c>
      <c r="F73" s="27" t="s">
        <v>7</v>
      </c>
      <c r="H73" s="27" t="s">
        <v>7</v>
      </c>
    </row>
    <row r="74" spans="1:18" x14ac:dyDescent="0.25">
      <c r="A74" s="30">
        <v>88.197485258974979</v>
      </c>
      <c r="C74" s="1">
        <f>C63</f>
        <v>0</v>
      </c>
      <c r="E74" t="s">
        <v>8</v>
      </c>
      <c r="H74" s="27" t="s">
        <v>7</v>
      </c>
    </row>
    <row r="75" spans="1:18" x14ac:dyDescent="0.25">
      <c r="A75" s="30">
        <v>80.179532053613613</v>
      </c>
      <c r="C75"/>
      <c r="D75"/>
      <c r="E75" t="s">
        <v>8</v>
      </c>
      <c r="H75" s="27" t="s">
        <v>7</v>
      </c>
      <c r="M75" s="27" t="s">
        <v>8</v>
      </c>
    </row>
    <row r="76" spans="1:18" x14ac:dyDescent="0.25">
      <c r="A76" s="30">
        <v>72.890483685103277</v>
      </c>
      <c r="C76" s="1" t="s">
        <v>14</v>
      </c>
      <c r="E76" t="s">
        <v>8</v>
      </c>
      <c r="H76" s="27" t="s">
        <v>7</v>
      </c>
      <c r="K76" s="27" t="s">
        <v>8</v>
      </c>
      <c r="M76" s="27" t="s">
        <v>8</v>
      </c>
      <c r="N76" s="27" t="s">
        <v>7</v>
      </c>
    </row>
    <row r="77" spans="1:18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H77" s="27" t="s">
        <v>7</v>
      </c>
      <c r="K77" s="27" t="s">
        <v>8</v>
      </c>
      <c r="L77" s="27" t="s">
        <v>7</v>
      </c>
      <c r="M77" s="27" t="s">
        <v>8</v>
      </c>
      <c r="N77" s="27" t="s">
        <v>7</v>
      </c>
    </row>
    <row r="78" spans="1:18" x14ac:dyDescent="0.25">
      <c r="A78" s="30">
        <v>60.240069161242367</v>
      </c>
      <c r="E78" t="s">
        <v>8</v>
      </c>
      <c r="H78" s="27" t="s">
        <v>7</v>
      </c>
      <c r="K78" s="27" t="s">
        <v>8</v>
      </c>
      <c r="L78" s="27" t="s">
        <v>7</v>
      </c>
      <c r="M78" s="27" t="s">
        <v>8</v>
      </c>
      <c r="N78" s="27" t="s">
        <v>7</v>
      </c>
    </row>
    <row r="79" spans="1:18" x14ac:dyDescent="0.25">
      <c r="A79" s="30">
        <v>54.763699237493057</v>
      </c>
      <c r="E79" t="s">
        <v>8</v>
      </c>
      <c r="H79" s="27" t="s">
        <v>7</v>
      </c>
      <c r="I79" s="27" t="s">
        <v>8</v>
      </c>
      <c r="K79" s="27" t="s">
        <v>8</v>
      </c>
      <c r="L79" s="27" t="s">
        <v>7</v>
      </c>
      <c r="N79" s="27" t="s">
        <v>7</v>
      </c>
      <c r="O79" s="27" t="s">
        <v>8</v>
      </c>
      <c r="Q79" s="27" t="s">
        <v>8</v>
      </c>
    </row>
    <row r="80" spans="1:18" x14ac:dyDescent="0.25">
      <c r="A80" s="30">
        <v>49.785181124993684</v>
      </c>
      <c r="E80" t="s">
        <v>8</v>
      </c>
      <c r="H80" s="27" t="s">
        <v>7</v>
      </c>
      <c r="I80" s="27" t="s">
        <v>8</v>
      </c>
      <c r="J80" s="27" t="s">
        <v>7</v>
      </c>
      <c r="K80" s="27" t="s">
        <v>8</v>
      </c>
      <c r="N80" s="27" t="s">
        <v>7</v>
      </c>
      <c r="O80" s="27" t="s">
        <v>8</v>
      </c>
      <c r="P80" s="27" t="s">
        <v>7</v>
      </c>
      <c r="Q80" s="27" t="s">
        <v>8</v>
      </c>
      <c r="R80" s="27" t="s">
        <v>7</v>
      </c>
    </row>
    <row r="81" spans="1:22" x14ac:dyDescent="0.25">
      <c r="A81" s="30">
        <v>45.259255568176073</v>
      </c>
      <c r="E81" t="s">
        <v>8</v>
      </c>
      <c r="H81" s="27" t="s">
        <v>7</v>
      </c>
      <c r="I81" s="27" t="s">
        <v>8</v>
      </c>
      <c r="J81" s="27" t="s">
        <v>7</v>
      </c>
      <c r="K81" s="27" t="s">
        <v>8</v>
      </c>
      <c r="N81" s="27" t="s">
        <v>7</v>
      </c>
      <c r="O81" s="31" t="s">
        <v>8</v>
      </c>
      <c r="P81" s="27" t="s">
        <v>7</v>
      </c>
      <c r="Q81" s="27" t="s">
        <v>8</v>
      </c>
      <c r="R81" s="27" t="s">
        <v>7</v>
      </c>
    </row>
    <row r="82" spans="1:22" x14ac:dyDescent="0.25">
      <c r="A82" s="30">
        <v>41.144777789250973</v>
      </c>
      <c r="E82" t="s">
        <v>8</v>
      </c>
      <c r="H82" s="27" t="s">
        <v>7</v>
      </c>
      <c r="I82" s="27" t="s">
        <v>8</v>
      </c>
      <c r="J82" s="27" t="s">
        <v>7</v>
      </c>
      <c r="K82" s="27" t="s">
        <v>8</v>
      </c>
      <c r="N82" s="31" t="s">
        <v>7</v>
      </c>
      <c r="P82" s="27" t="s">
        <v>7</v>
      </c>
      <c r="R82" s="27" t="s">
        <v>7</v>
      </c>
    </row>
    <row r="83" spans="1:22" x14ac:dyDescent="0.25">
      <c r="A83" s="30">
        <v>37.404343444773609</v>
      </c>
      <c r="E83" t="s">
        <v>8</v>
      </c>
      <c r="H83" s="27" t="s">
        <v>7</v>
      </c>
      <c r="I83" s="27" t="s">
        <v>8</v>
      </c>
      <c r="J83" s="27" t="s">
        <v>7</v>
      </c>
      <c r="K83" s="27" t="s">
        <v>8</v>
      </c>
      <c r="M83" s="31"/>
      <c r="R83" s="27" t="s">
        <v>7</v>
      </c>
      <c r="S83" s="27" t="s">
        <v>8</v>
      </c>
      <c r="U83" s="27" t="s">
        <v>8</v>
      </c>
    </row>
    <row r="84" spans="1:22" x14ac:dyDescent="0.25">
      <c r="A84" s="30">
        <v>34.003948586157826</v>
      </c>
      <c r="E84" t="s">
        <v>8</v>
      </c>
      <c r="H84" s="27" t="s">
        <v>7</v>
      </c>
      <c r="I84" s="27" t="s">
        <v>8</v>
      </c>
      <c r="J84" s="27" t="s">
        <v>7</v>
      </c>
      <c r="K84" s="27" t="s">
        <v>8</v>
      </c>
      <c r="L84" s="31"/>
      <c r="R84" s="27" t="s">
        <v>7</v>
      </c>
      <c r="S84" s="27" t="s">
        <v>8</v>
      </c>
      <c r="T84" s="27" t="s">
        <v>7</v>
      </c>
      <c r="U84" s="27" t="s">
        <v>8</v>
      </c>
      <c r="V84" s="27" t="s">
        <v>7</v>
      </c>
    </row>
    <row r="85" spans="1:22" x14ac:dyDescent="0.25">
      <c r="A85" s="30">
        <v>30.912680532870748</v>
      </c>
      <c r="E85" t="s">
        <v>8</v>
      </c>
      <c r="H85" s="27" t="s">
        <v>7</v>
      </c>
      <c r="J85" s="18" t="s">
        <v>7</v>
      </c>
      <c r="K85" s="31" t="s">
        <v>8</v>
      </c>
      <c r="R85" s="27" t="s">
        <v>7</v>
      </c>
      <c r="S85" s="27" t="s">
        <v>8</v>
      </c>
      <c r="T85" s="27" t="s">
        <v>7</v>
      </c>
      <c r="U85" s="27" t="s">
        <v>8</v>
      </c>
      <c r="V85" s="27" t="s">
        <v>7</v>
      </c>
    </row>
    <row r="86" spans="1:22" x14ac:dyDescent="0.25">
      <c r="A86" s="30">
        <v>28.102436848064315</v>
      </c>
      <c r="E86" t="s">
        <v>8</v>
      </c>
      <c r="J86" s="31" t="s">
        <v>7</v>
      </c>
      <c r="R86" s="27" t="s">
        <v>7</v>
      </c>
      <c r="S86" s="27" t="s">
        <v>8</v>
      </c>
      <c r="T86" s="27" t="s">
        <v>7</v>
      </c>
      <c r="V86" s="27" t="s">
        <v>7</v>
      </c>
    </row>
    <row r="87" spans="1:22" x14ac:dyDescent="0.25">
      <c r="A87" s="30">
        <v>25.547669861876649</v>
      </c>
      <c r="E87" t="s">
        <v>8</v>
      </c>
      <c r="R87" s="27" t="s">
        <v>7</v>
      </c>
      <c r="S87" s="27" t="s">
        <v>8</v>
      </c>
      <c r="V87" s="27" t="s">
        <v>7</v>
      </c>
    </row>
    <row r="88" spans="1:22" x14ac:dyDescent="0.25">
      <c r="A88" s="30">
        <v>23.225154419887861</v>
      </c>
      <c r="E88" t="s">
        <v>8</v>
      </c>
      <c r="R88" s="27" t="s">
        <v>7</v>
      </c>
      <c r="S88" s="27" t="s">
        <v>8</v>
      </c>
      <c r="V88" s="27" t="s">
        <v>7</v>
      </c>
    </row>
    <row r="89" spans="1:22" x14ac:dyDescent="0.25">
      <c r="A89" s="30">
        <v>21.113776745352599</v>
      </c>
      <c r="E89" t="s">
        <v>8</v>
      </c>
      <c r="R89" s="27" t="s">
        <v>7</v>
      </c>
      <c r="V89" s="27" t="s">
        <v>7</v>
      </c>
    </row>
    <row r="90" spans="1:22" x14ac:dyDescent="0.25">
      <c r="A90" s="30">
        <v>19.194342495775089</v>
      </c>
      <c r="E90" t="s">
        <v>8</v>
      </c>
      <c r="V90" s="27" t="s">
        <v>7</v>
      </c>
    </row>
    <row r="91" spans="1:22" x14ac:dyDescent="0.25">
      <c r="A91" s="30">
        <v>17.449402268886445</v>
      </c>
      <c r="E91" t="s">
        <v>8</v>
      </c>
    </row>
    <row r="92" spans="1:22" x14ac:dyDescent="0.25">
      <c r="A92" s="30">
        <v>15.863092971714948</v>
      </c>
      <c r="C92" s="1" t="s">
        <v>15</v>
      </c>
      <c r="E92" t="s">
        <v>8</v>
      </c>
    </row>
    <row r="93" spans="1:22" x14ac:dyDescent="0.25">
      <c r="A93" s="30">
        <v>14.420993610649951</v>
      </c>
      <c r="C93" s="7">
        <v>0.11167815779424731</v>
      </c>
      <c r="D93"/>
      <c r="E93" t="s">
        <v>8</v>
      </c>
    </row>
    <row r="94" spans="1:22" x14ac:dyDescent="0.25">
      <c r="A94" s="30">
        <v>13.109994191499954</v>
      </c>
      <c r="E94" t="s">
        <v>8</v>
      </c>
    </row>
    <row r="95" spans="1:22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22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$A$89</v>
      </c>
      <c r="D111" s="1" t="str">
        <f>ADDRESS(C121-1,D121,1,1)</f>
        <v>$V$89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$A$90</v>
      </c>
      <c r="D112" s="1" t="str">
        <f>ADDRESS(C121,D121-1,1,1)</f>
        <v>$U$90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$A$91</v>
      </c>
      <c r="D113" s="1" t="str">
        <f>ADDRESS(C121-1,D121+1,1,1)</f>
        <v>$W$89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$V$90</v>
      </c>
      <c r="D114" s="1" t="str">
        <f>ADDRESS(C121+1,D121+1,1,1)</f>
        <v>$W$91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$V$91</v>
      </c>
      <c r="E115" s="1" t="s">
        <v>8</v>
      </c>
    </row>
    <row r="116" spans="1:5" x14ac:dyDescent="0.25">
      <c r="A116" s="30">
        <v>1.6105100000000008</v>
      </c>
      <c r="C116" s="1">
        <f>C117-1</f>
        <v>89</v>
      </c>
      <c r="E116" s="1" t="s">
        <v>8</v>
      </c>
    </row>
    <row r="117" spans="1:5" x14ac:dyDescent="0.25">
      <c r="A117" s="30">
        <v>1.4641000000000006</v>
      </c>
      <c r="C117" s="1">
        <f>C121</f>
        <v>90</v>
      </c>
      <c r="D117" s="1">
        <f>D121</f>
        <v>22</v>
      </c>
      <c r="E117" s="1" t="s">
        <v>8</v>
      </c>
    </row>
    <row r="118" spans="1:5" x14ac:dyDescent="0.25">
      <c r="A118" s="30">
        <v>1.3310000000000004</v>
      </c>
      <c r="C118" s="1">
        <f>C117+1</f>
        <v>91</v>
      </c>
      <c r="D118" s="1">
        <f>D117+1</f>
        <v>23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90</v>
      </c>
      <c r="D121" s="19">
        <v>22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R90</v>
      </c>
      <c r="D123" s="1" t="str">
        <f>"C"&amp;D121</f>
        <v>C22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19.194342495775089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66" operator="equal">
      <formula>$U$1</formula>
    </cfRule>
    <cfRule type="cellIs" dxfId="30" priority="667" operator="equal">
      <formula>$S$1</formula>
    </cfRule>
  </conditionalFormatting>
  <conditionalFormatting sqref="D136">
    <cfRule type="cellIs" dxfId="29" priority="664" operator="equal">
      <formula>$S$1</formula>
    </cfRule>
    <cfRule type="cellIs" dxfId="28" priority="665" operator="equal">
      <formula>$U$1</formula>
    </cfRule>
  </conditionalFormatting>
  <conditionalFormatting sqref="C102">
    <cfRule type="cellIs" dxfId="27" priority="662" operator="equal">
      <formula>$U$1</formula>
    </cfRule>
    <cfRule type="cellIs" dxfId="26" priority="663" operator="equal">
      <formula>$S$1</formula>
    </cfRule>
  </conditionalFormatting>
  <conditionalFormatting sqref="D102">
    <cfRule type="cellIs" dxfId="25" priority="660" operator="equal">
      <formula>$S$1</formula>
    </cfRule>
    <cfRule type="cellIs" dxfId="24" priority="661" operator="equal">
      <formula>$U$1</formula>
    </cfRule>
  </conditionalFormatting>
  <conditionalFormatting sqref="C77">
    <cfRule type="cellIs" dxfId="23" priority="658" operator="equal">
      <formula>$U$1</formula>
    </cfRule>
    <cfRule type="cellIs" dxfId="22" priority="659" operator="equal">
      <formula>$S$1</formula>
    </cfRule>
  </conditionalFormatting>
  <conditionalFormatting sqref="D77">
    <cfRule type="cellIs" dxfId="21" priority="656" operator="equal">
      <formula>$S$1</formula>
    </cfRule>
    <cfRule type="cellIs" dxfId="20" priority="657" operator="equal">
      <formula>$U$1</formula>
    </cfRule>
  </conditionalFormatting>
  <conditionalFormatting sqref="C52">
    <cfRule type="cellIs" dxfId="19" priority="654" operator="equal">
      <formula>$U$1</formula>
    </cfRule>
    <cfRule type="cellIs" dxfId="18" priority="655" operator="equal">
      <formula>$S$1</formula>
    </cfRule>
  </conditionalFormatting>
  <conditionalFormatting sqref="D52">
    <cfRule type="cellIs" dxfId="17" priority="652" operator="equal">
      <formula>$S$1</formula>
    </cfRule>
    <cfRule type="cellIs" dxfId="16" priority="653" operator="equal">
      <formula>$U$1</formula>
    </cfRule>
  </conditionalFormatting>
  <conditionalFormatting sqref="C26">
    <cfRule type="cellIs" dxfId="15" priority="650" operator="equal">
      <formula>$U$1</formula>
    </cfRule>
    <cfRule type="cellIs" dxfId="14" priority="651" operator="equal">
      <formula>$S$1</formula>
    </cfRule>
  </conditionalFormatting>
  <conditionalFormatting sqref="D26">
    <cfRule type="cellIs" dxfId="13" priority="648" operator="equal">
      <formula>$S$1</formula>
    </cfRule>
    <cfRule type="cellIs" dxfId="12" priority="64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27.597664884819896</v>
      </c>
      <c r="F3" s="30">
        <v>40.774320219943419</v>
      </c>
      <c r="G3" s="30">
        <v>63.254353444541557</v>
      </c>
      <c r="H3" s="25">
        <f>IF(G3="","",(3*(G3-F3))+E3)</f>
        <v>95.037764558614299</v>
      </c>
      <c r="I3" s="7"/>
      <c r="J3" s="7">
        <f>(E3+G3)/2</f>
        <v>45.426009164680728</v>
      </c>
      <c r="K3" s="7">
        <f>H3/2</f>
        <v>47.518882279307149</v>
      </c>
      <c r="M3" s="26">
        <f>IF(OR(J3="",H3=""),"",H3/J3)</f>
        <v>2.0921442650636215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2022-01-28T01:17:32Z</dcterms:modified>
</cp:coreProperties>
</file>