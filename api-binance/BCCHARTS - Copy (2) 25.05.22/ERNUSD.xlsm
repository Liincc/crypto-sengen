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C9CDF466-19B7-4518-9E20-884F7C4EB86E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4"/>
  <c r="C133" i="4" s="1"/>
  <c r="D136" i="4" s="1"/>
  <c r="C116" i="4"/>
  <c r="C118" i="4"/>
  <c r="R765" i="1"/>
  <c r="S765" i="1" s="1"/>
  <c r="T765" i="1" s="1"/>
  <c r="C118" i="3"/>
  <c r="C122" i="3"/>
  <c r="C133" i="3" s="1"/>
  <c r="C136" i="3" s="1"/>
  <c r="D136" i="5" l="1"/>
  <c r="C138" i="5" s="1"/>
  <c r="R764" i="1"/>
  <c r="C136" i="4"/>
  <c r="C138" i="4" s="1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S371" i="1" l="1"/>
  <c r="T371" i="1" s="1"/>
  <c r="R370" i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S323" i="1" l="1"/>
  <c r="T323" i="1" s="1"/>
  <c r="R322" i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S275" i="1" l="1"/>
  <c r="T275" i="1" s="1"/>
  <c r="R274" i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<sst xmlns="http://schemas.openxmlformats.org/spreadsheetml/2006/main" count="2676" uniqueCount="34">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</sst>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4.5949999999999998</c:v>
                </c:pt>
                <c:pt idx="1">
                  <c:v>4.7080000000000002</c:v>
                </c:pt>
                <c:pt idx="2">
                  <c:v>4.5659999999999998</c:v>
                </c:pt>
                <c:pt idx="3">
                  <c:v>4.6680000000000001</c:v>
                </c:pt>
                <c:pt idx="4">
                  <c:v>5.2220000000000004</c:v>
                </c:pt>
                <c:pt idx="5">
                  <c:v>4.9800000000000004</c:v>
                </c:pt>
                <c:pt idx="6">
                  <c:v>5.8</c:v>
                </c:pt>
                <c:pt idx="7">
                  <c:v>6.6840000000000002</c:v>
                </c:pt>
                <c:pt idx="8">
                  <c:v>7.008</c:v>
                </c:pt>
                <c:pt idx="9">
                  <c:v>7.3140000000000001</c:v>
                </c:pt>
                <c:pt idx="10">
                  <c:v>7.8369999999999997</c:v>
                </c:pt>
                <c:pt idx="11">
                  <c:v>8.1020000000000003</c:v>
                </c:pt>
                <c:pt idx="12">
                  <c:v>8.3330000000000002</c:v>
                </c:pt>
                <c:pt idx="13">
                  <c:v>8.4600000000000009</c:v>
                </c:pt>
                <c:pt idx="14">
                  <c:v>7.9569999999999999</c:v>
                </c:pt>
                <c:pt idx="15">
                  <c:v>8.6020000000000003</c:v>
                </c:pt>
                <c:pt idx="16">
                  <c:v>8.1289999999999996</c:v>
                </c:pt>
                <c:pt idx="17">
                  <c:v>7.6790000000000003</c:v>
                </c:pt>
                <c:pt idx="18">
                  <c:v>8.2710000000000008</c:v>
                </c:pt>
                <c:pt idx="19">
                  <c:v>8.1720000000000006</c:v>
                </c:pt>
                <c:pt idx="20">
                  <c:v>8.6519999999999992</c:v>
                </c:pt>
                <c:pt idx="21">
                  <c:v>9.25</c:v>
                </c:pt>
                <c:pt idx="22">
                  <c:v>10.196999999999999</c:v>
                </c:pt>
                <c:pt idx="23">
                  <c:v>10.298999999999999</c:v>
                </c:pt>
                <c:pt idx="24">
                  <c:v>9.5129999999999999</c:v>
                </c:pt>
                <c:pt idx="25">
                  <c:v>9.1760000000000002</c:v>
                </c:pt>
                <c:pt idx="26">
                  <c:v>9.1760000000000002</c:v>
                </c:pt>
                <c:pt idx="27">
                  <c:v>8.94</c:v>
                </c:pt>
                <c:pt idx="28">
                  <c:v>9.0350000000000001</c:v>
                </c:pt>
                <c:pt idx="29">
                  <c:v>9.1229999999999993</c:v>
                </c:pt>
                <c:pt idx="30">
                  <c:v>9.1329999999999991</c:v>
                </c:pt>
                <c:pt idx="31">
                  <c:v>10.157999999999999</c:v>
                </c:pt>
                <c:pt idx="32">
                  <c:v>9.8179999999999996</c:v>
                </c:pt>
                <c:pt idx="33">
                  <c:v>9.9749999999999996</c:v>
                </c:pt>
                <c:pt idx="34">
                  <c:v>9.8889999999999993</c:v>
                </c:pt>
                <c:pt idx="35">
                  <c:v>9.9960000000000004</c:v>
                </c:pt>
                <c:pt idx="36">
                  <c:v>9.4649999999999999</c:v>
                </c:pt>
                <c:pt idx="37">
                  <c:v>9.6210000000000004</c:v>
                </c:pt>
                <c:pt idx="38">
                  <c:v>9.3699999999999992</c:v>
                </c:pt>
                <c:pt idx="39">
                  <c:v>9.1549999999999994</c:v>
                </c:pt>
                <c:pt idx="40">
                  <c:v>9.4280000000000008</c:v>
                </c:pt>
                <c:pt idx="41">
                  <c:v>9.3030000000000008</c:v>
                </c:pt>
                <c:pt idx="42">
                  <c:v>9.6820000000000004</c:v>
                </c:pt>
                <c:pt idx="43">
                  <c:v>9.6999999999999993</c:v>
                </c:pt>
                <c:pt idx="44">
                  <c:v>9.3800000000000008</c:v>
                </c:pt>
                <c:pt idx="45">
                  <c:v>9.3170000000000002</c:v>
                </c:pt>
                <c:pt idx="46">
                  <c:v>10.454000000000001</c:v>
                </c:pt>
                <c:pt idx="47">
                  <c:v>9.1489999999999991</c:v>
                </c:pt>
                <c:pt idx="48">
                  <c:v>8.9760000000000009</c:v>
                </c:pt>
                <c:pt idx="49">
                  <c:v>9.5399999999999991</c:v>
                </c:pt>
                <c:pt idx="50">
                  <c:v>10.436999999999999</c:v>
                </c:pt>
                <c:pt idx="51">
                  <c:v>11.141</c:v>
                </c:pt>
                <c:pt idx="52">
                  <c:v>9.7289999999999992</c:v>
                </c:pt>
                <c:pt idx="53">
                  <c:v>9.6950000000000003</c:v>
                </c:pt>
                <c:pt idx="54">
                  <c:v>10.404999999999999</c:v>
                </c:pt>
                <c:pt idx="55">
                  <c:v>11.901999999999999</c:v>
                </c:pt>
                <c:pt idx="56">
                  <c:v>12.211</c:v>
                </c:pt>
                <c:pt idx="57">
                  <c:v>12.772</c:v>
                </c:pt>
                <c:pt idx="58">
                  <c:v>13.05</c:v>
                </c:pt>
                <c:pt idx="59">
                  <c:v>14.066000000000001</c:v>
                </c:pt>
                <c:pt idx="60">
                  <c:v>14.548</c:v>
                </c:pt>
                <c:pt idx="61">
                  <c:v>13.739000000000001</c:v>
                </c:pt>
                <c:pt idx="62">
                  <c:v>13.58</c:v>
                </c:pt>
                <c:pt idx="63">
                  <c:v>15.486000000000001</c:v>
                </c:pt>
                <c:pt idx="64">
                  <c:v>14.5</c:v>
                </c:pt>
                <c:pt idx="65">
                  <c:v>14.871</c:v>
                </c:pt>
                <c:pt idx="66">
                  <c:v>15.178000000000001</c:v>
                </c:pt>
                <c:pt idx="67">
                  <c:v>16.001000000000001</c:v>
                </c:pt>
                <c:pt idx="68">
                  <c:v>15.239000000000001</c:v>
                </c:pt>
                <c:pt idx="69">
                  <c:v>15.824999999999999</c:v>
                </c:pt>
                <c:pt idx="70">
                  <c:v>13.314</c:v>
                </c:pt>
                <c:pt idx="71">
                  <c:v>14.45</c:v>
                </c:pt>
                <c:pt idx="72">
                  <c:v>13.651</c:v>
                </c:pt>
                <c:pt idx="73">
                  <c:v>15.05</c:v>
                </c:pt>
                <c:pt idx="74">
                  <c:v>15.388</c:v>
                </c:pt>
                <c:pt idx="75">
                  <c:v>16.062000000000001</c:v>
                </c:pt>
                <c:pt idx="76">
                  <c:v>15.422000000000001</c:v>
                </c:pt>
                <c:pt idx="77">
                  <c:v>16.210999999999999</c:v>
                </c:pt>
                <c:pt idx="78">
                  <c:v>15.096</c:v>
                </c:pt>
                <c:pt idx="79">
                  <c:v>16.347999999999999</c:v>
                </c:pt>
                <c:pt idx="80">
                  <c:v>17.093</c:v>
                </c:pt>
                <c:pt idx="81">
                  <c:v>15.013</c:v>
                </c:pt>
                <c:pt idx="82">
                  <c:v>14.108000000000001</c:v>
                </c:pt>
                <c:pt idx="83">
                  <c:v>13.856</c:v>
                </c:pt>
                <c:pt idx="84">
                  <c:v>14.491</c:v>
                </c:pt>
                <c:pt idx="85">
                  <c:v>16.288</c:v>
                </c:pt>
                <c:pt idx="86">
                  <c:v>13.731999999999999</c:v>
                </c:pt>
                <c:pt idx="87">
                  <c:v>12.167999999999999</c:v>
                </c:pt>
                <c:pt idx="88">
                  <c:v>11.9</c:v>
                </c:pt>
                <c:pt idx="89">
                  <c:v>12.324</c:v>
                </c:pt>
                <c:pt idx="90">
                  <c:v>11.66</c:v>
                </c:pt>
                <c:pt idx="91">
                  <c:v>11.211</c:v>
                </c:pt>
                <c:pt idx="92">
                  <c:v>10.436</c:v>
                </c:pt>
                <c:pt idx="93">
                  <c:v>11.105</c:v>
                </c:pt>
                <c:pt idx="94">
                  <c:v>11.04</c:v>
                </c:pt>
                <c:pt idx="95">
                  <c:v>11.054</c:v>
                </c:pt>
                <c:pt idx="96">
                  <c:v>11.445</c:v>
                </c:pt>
                <c:pt idx="97">
                  <c:v>11.785</c:v>
                </c:pt>
                <c:pt idx="98">
                  <c:v>11.914999999999999</c:v>
                </c:pt>
                <c:pt idx="99">
                  <c:v>12.382999999999999</c:v>
                </c:pt>
                <c:pt idx="100">
                  <c:v>11.879</c:v>
                </c:pt>
                <c:pt idx="101">
                  <c:v>11.788</c:v>
                </c:pt>
                <c:pt idx="102">
                  <c:v>12.125999999999999</c:v>
                </c:pt>
                <c:pt idx="103">
                  <c:v>11.939</c:v>
                </c:pt>
                <c:pt idx="104">
                  <c:v>12.935</c:v>
                </c:pt>
                <c:pt idx="105">
                  <c:v>14.84</c:v>
                </c:pt>
                <c:pt idx="106">
                  <c:v>10.308999999999999</c:v>
                </c:pt>
                <c:pt idx="107">
                  <c:v>10.529</c:v>
                </c:pt>
                <c:pt idx="108">
                  <c:v>10.933999999999999</c:v>
                </c:pt>
                <c:pt idx="109">
                  <c:v>10.773999999999999</c:v>
                </c:pt>
                <c:pt idx="110">
                  <c:v>11.175000000000001</c:v>
                </c:pt>
                <c:pt idx="111">
                  <c:v>11.541</c:v>
                </c:pt>
                <c:pt idx="112">
                  <c:v>12.092000000000001</c:v>
                </c:pt>
                <c:pt idx="113">
                  <c:v>11.582000000000001</c:v>
                </c:pt>
                <c:pt idx="114">
                  <c:v>11.999000000000001</c:v>
                </c:pt>
                <c:pt idx="115">
                  <c:v>12.502000000000001</c:v>
                </c:pt>
                <c:pt idx="116">
                  <c:v>11.222</c:v>
                </c:pt>
                <c:pt idx="117">
                  <c:v>11.39</c:v>
                </c:pt>
                <c:pt idx="118">
                  <c:v>11.602</c:v>
                </c:pt>
                <c:pt idx="119">
                  <c:v>9.7159999999999993</c:v>
                </c:pt>
                <c:pt idx="120">
                  <c:v>8.9670000000000005</c:v>
                </c:pt>
                <c:pt idx="121">
                  <c:v>9.016</c:v>
                </c:pt>
                <c:pt idx="122">
                  <c:v>9.7119999999999997</c:v>
                </c:pt>
                <c:pt idx="123">
                  <c:v>10.327</c:v>
                </c:pt>
                <c:pt idx="124">
                  <c:v>9.9079999999999995</c:v>
                </c:pt>
                <c:pt idx="125">
                  <c:v>10.231</c:v>
                </c:pt>
                <c:pt idx="126">
                  <c:v>11.053000000000001</c:v>
                </c:pt>
                <c:pt idx="127">
                  <c:v>11.177</c:v>
                </c:pt>
                <c:pt idx="128">
                  <c:v>9.7270000000000003</c:v>
                </c:pt>
                <c:pt idx="129">
                  <c:v>11.819000000000001</c:v>
                </c:pt>
                <c:pt idx="130">
                  <c:v>12.898</c:v>
                </c:pt>
                <c:pt idx="131">
                  <c:v>13.926</c:v>
                </c:pt>
                <c:pt idx="132">
                  <c:v>13.978</c:v>
                </c:pt>
                <c:pt idx="133">
                  <c:v>14.125999999999999</c:v>
                </c:pt>
                <c:pt idx="134">
                  <c:v>13.885999999999999</c:v>
                </c:pt>
                <c:pt idx="135">
                  <c:v>14.422000000000001</c:v>
                </c:pt>
                <c:pt idx="136">
                  <c:v>13.898999999999999</c:v>
                </c:pt>
                <c:pt idx="137">
                  <c:v>15.766</c:v>
                </c:pt>
                <c:pt idx="138">
                  <c:v>13.071999999999999</c:v>
                </c:pt>
                <c:pt idx="139">
                  <c:v>12.43</c:v>
                </c:pt>
                <c:pt idx="140">
                  <c:v>14.105</c:v>
                </c:pt>
                <c:pt idx="141">
                  <c:v>13.173</c:v>
                </c:pt>
                <c:pt idx="142">
                  <c:v>13.359</c:v>
                </c:pt>
                <c:pt idx="143">
                  <c:v>16.812000000000001</c:v>
                </c:pt>
                <c:pt idx="144">
                  <c:v>17.369</c:v>
                </c:pt>
                <c:pt idx="145">
                  <c:v>17.518000000000001</c:v>
                </c:pt>
                <c:pt idx="146">
                  <c:v>17.844999999999999</c:v>
                </c:pt>
                <c:pt idx="147">
                  <c:v>17.446999999999999</c:v>
                </c:pt>
                <c:pt idx="148">
                  <c:v>16.404</c:v>
                </c:pt>
                <c:pt idx="149">
                  <c:v>16.027000000000001</c:v>
                </c:pt>
                <c:pt idx="150">
                  <c:v>15.894</c:v>
                </c:pt>
                <c:pt idx="151">
                  <c:v>16.805</c:v>
                </c:pt>
                <c:pt idx="152">
                  <c:v>17.920000000000002</c:v>
                </c:pt>
                <c:pt idx="153">
                  <c:v>18.347000000000001</c:v>
                </c:pt>
                <c:pt idx="154">
                  <c:v>16.024000000000001</c:v>
                </c:pt>
                <c:pt idx="155">
                  <c:v>17.728000000000002</c:v>
                </c:pt>
                <c:pt idx="156">
                  <c:v>16.829999999999998</c:v>
                </c:pt>
                <c:pt idx="157">
                  <c:v>19.648</c:v>
                </c:pt>
                <c:pt idx="158">
                  <c:v>20.395</c:v>
                </c:pt>
                <c:pt idx="159">
                  <c:v>19.361999999999998</c:v>
                </c:pt>
                <c:pt idx="160">
                  <c:v>22.091000000000001</c:v>
                </c:pt>
                <c:pt idx="161">
                  <c:v>18.908000000000001</c:v>
                </c:pt>
                <c:pt idx="162">
                  <c:v>15.486000000000001</c:v>
                </c:pt>
                <c:pt idx="163">
                  <c:v>15.215</c:v>
                </c:pt>
                <c:pt idx="164">
                  <c:v>16.157</c:v>
                </c:pt>
                <c:pt idx="165">
                  <c:v>14.397</c:v>
                </c:pt>
                <c:pt idx="166">
                  <c:v>13.833</c:v>
                </c:pt>
                <c:pt idx="167">
                  <c:v>13.526999999999999</c:v>
                </c:pt>
                <c:pt idx="168">
                  <c:v>11.920999999999999</c:v>
                </c:pt>
                <c:pt idx="169">
                  <c:v>12.393000000000001</c:v>
                </c:pt>
                <c:pt idx="170">
                  <c:v>11.962999999999999</c:v>
                </c:pt>
                <c:pt idx="171">
                  <c:v>12.276</c:v>
                </c:pt>
                <c:pt idx="172">
                  <c:v>12.03</c:v>
                </c:pt>
                <c:pt idx="173">
                  <c:v>13.435</c:v>
                </c:pt>
                <c:pt idx="174">
                  <c:v>12.127000000000001</c:v>
                </c:pt>
                <c:pt idx="175">
                  <c:v>10.930999999999999</c:v>
                </c:pt>
                <c:pt idx="176">
                  <c:v>11.615</c:v>
                </c:pt>
                <c:pt idx="177">
                  <c:v>8.1210000000000004</c:v>
                </c:pt>
                <c:pt idx="178">
                  <c:v>7.9749999999999996</c:v>
                </c:pt>
                <c:pt idx="179">
                  <c:v>7.9740000000000002</c:v>
                </c:pt>
                <c:pt idx="180">
                  <c:v>8.0500000000000007</c:v>
                </c:pt>
                <c:pt idx="181">
                  <c:v>8.1310000000000002</c:v>
                </c:pt>
                <c:pt idx="182">
                  <c:v>7.7759999999999998</c:v>
                </c:pt>
                <c:pt idx="183">
                  <c:v>7.82</c:v>
                </c:pt>
                <c:pt idx="184">
                  <c:v>8.2690000000000001</c:v>
                </c:pt>
                <c:pt idx="185">
                  <c:v>7.8869999999999996</c:v>
                </c:pt>
                <c:pt idx="186">
                  <c:v>8.6579999999999995</c:v>
                </c:pt>
                <c:pt idx="187">
                  <c:v>7.66</c:v>
                </c:pt>
                <c:pt idx="188">
                  <c:v>8.0269999999999992</c:v>
                </c:pt>
                <c:pt idx="189">
                  <c:v>6.8209999999999997</c:v>
                </c:pt>
                <c:pt idx="190">
                  <c:v>6.7619999999999996</c:v>
                </c:pt>
                <c:pt idx="191">
                  <c:v>5.8310000000000004</c:v>
                </c:pt>
                <c:pt idx="192">
                  <c:v>6.1360000000000001</c:v>
                </c:pt>
                <c:pt idx="193">
                  <c:v>7.2709999999999999</c:v>
                </c:pt>
                <c:pt idx="194">
                  <c:v>7.0620000000000003</c:v>
                </c:pt>
                <c:pt idx="195">
                  <c:v>7.2140000000000004</c:v>
                </c:pt>
                <c:pt idx="196">
                  <c:v>9.65</c:v>
                </c:pt>
                <c:pt idx="197">
                  <c:v>6.9509999999999996</c:v>
                </c:pt>
                <c:pt idx="198">
                  <c:v>5.9850000000000003</c:v>
                </c:pt>
                <c:pt idx="199">
                  <c:v>6.3840000000000003</c:v>
                </c:pt>
                <c:pt idx="200">
                  <c:v>6.79</c:v>
                </c:pt>
                <c:pt idx="201">
                  <c:v>6.43</c:v>
                </c:pt>
                <c:pt idx="202">
                  <c:v>6.0209999999999999</c:v>
                </c:pt>
                <c:pt idx="203">
                  <c:v>6.0460000000000003</c:v>
                </c:pt>
                <c:pt idx="204">
                  <c:v>6.35</c:v>
                </c:pt>
                <c:pt idx="205">
                  <c:v>5.8520000000000003</c:v>
                </c:pt>
                <c:pt idx="206">
                  <c:v>5.48</c:v>
                </c:pt>
                <c:pt idx="207">
                  <c:v>5.9059999999999997</c:v>
                </c:pt>
                <c:pt idx="208">
                  <c:v>5.74</c:v>
                </c:pt>
                <c:pt idx="209">
                  <c:v>5.6150000000000002</c:v>
                </c:pt>
                <c:pt idx="210">
                  <c:v>5.68</c:v>
                </c:pt>
                <c:pt idx="211">
                  <c:v>6.2359999999999998</c:v>
                </c:pt>
                <c:pt idx="212">
                  <c:v>6.3120000000000003</c:v>
                </c:pt>
                <c:pt idx="213">
                  <c:v>6.3049999999999997</c:v>
                </c:pt>
                <c:pt idx="214">
                  <c:v>6.6040000000000001</c:v>
                </c:pt>
                <c:pt idx="215">
                  <c:v>5.8890000000000002</c:v>
                </c:pt>
                <c:pt idx="216">
                  <c:v>6.0019999999999998</c:v>
                </c:pt>
                <c:pt idx="217">
                  <c:v>6.7649999999999997</c:v>
                </c:pt>
                <c:pt idx="218">
                  <c:v>6.9989999999999997</c:v>
                </c:pt>
                <c:pt idx="219">
                  <c:v>6.351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B9-43A5-8E9C-DB1CE31BB8C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-0.11659305629764333</c:v>
                </c:pt>
                <c:pt idx="1">
                  <c:v>-0.11630611129764334</c:v>
                </c:pt>
                <c:pt idx="2">
                  <c:v>-0.11369845447960292</c:v>
                </c:pt>
                <c:pt idx="3">
                  <c:v>-0.11014152451497267</c:v>
                </c:pt>
                <c:pt idx="4">
                  <c:v>-0.1100772662840602</c:v>
                </c:pt>
                <c:pt idx="5">
                  <c:v>-0.1083754978965602</c:v>
                </c:pt>
                <c:pt idx="6">
                  <c:v>-0.10681606383671767</c:v>
                </c:pt>
                <c:pt idx="7">
                  <c:v>-0.10444992361063808</c:v>
                </c:pt>
                <c:pt idx="8">
                  <c:v>-0.1027878655998854</c:v>
                </c:pt>
                <c:pt idx="9">
                  <c:v>-0.10127808070244948</c:v>
                </c:pt>
                <c:pt idx="10">
                  <c:v>-9.9717580787773721E-2</c:v>
                </c:pt>
                <c:pt idx="11">
                  <c:v>-9.8508407409995946E-2</c:v>
                </c:pt>
                <c:pt idx="12">
                  <c:v>-9.7733731409995944E-2</c:v>
                </c:pt>
                <c:pt idx="13">
                  <c:v>-9.768280080130029E-2</c:v>
                </c:pt>
                <c:pt idx="14">
                  <c:v>-9.9230840662891992E-2</c:v>
                </c:pt>
                <c:pt idx="15">
                  <c:v>-9.4210839662891996E-2</c:v>
                </c:pt>
                <c:pt idx="16">
                  <c:v>-9.5850311476262481E-2</c:v>
                </c:pt>
                <c:pt idx="17">
                  <c:v>-9.5733582992099553E-2</c:v>
                </c:pt>
                <c:pt idx="18">
                  <c:v>-9.453538262246261E-2</c:v>
                </c:pt>
                <c:pt idx="19">
                  <c:v>-9.4384911425741291E-2</c:v>
                </c:pt>
                <c:pt idx="20">
                  <c:v>-9.3426900015622899E-2</c:v>
                </c:pt>
                <c:pt idx="21">
                  <c:v>-9.2013052435408985E-2</c:v>
                </c:pt>
                <c:pt idx="22">
                  <c:v>-8.9677819220262675E-2</c:v>
                </c:pt>
                <c:pt idx="23">
                  <c:v>-8.4263385999322107E-2</c:v>
                </c:pt>
                <c:pt idx="24">
                  <c:v>-8.6936942584008872E-2</c:v>
                </c:pt>
                <c:pt idx="25">
                  <c:v>-8.766923629804084E-2</c:v>
                </c:pt>
                <c:pt idx="26">
                  <c:v>-8.4978658608524715E-2</c:v>
                </c:pt>
                <c:pt idx="27">
                  <c:v>-8.5284604864862723E-2</c:v>
                </c:pt>
                <c:pt idx="28">
                  <c:v>-8.4684664691415196E-2</c:v>
                </c:pt>
                <c:pt idx="29">
                  <c:v>-8.4478179765661132E-2</c:v>
                </c:pt>
                <c:pt idx="30">
                  <c:v>-8.3575324405455301E-2</c:v>
                </c:pt>
                <c:pt idx="31">
                  <c:v>-8.1648463469361693E-2</c:v>
                </c:pt>
                <c:pt idx="32">
                  <c:v>-8.156452823877916E-2</c:v>
                </c:pt>
                <c:pt idx="33">
                  <c:v>-8.1531389737708515E-2</c:v>
                </c:pt>
                <c:pt idx="34">
                  <c:v>-8.1456148448756663E-2</c:v>
                </c:pt>
                <c:pt idx="35">
                  <c:v>-8.1076980265423315E-2</c:v>
                </c:pt>
                <c:pt idx="36">
                  <c:v>-8.1215425278685929E-2</c:v>
                </c:pt>
                <c:pt idx="37">
                  <c:v>-7.9927930992971644E-2</c:v>
                </c:pt>
                <c:pt idx="38">
                  <c:v>-7.5859865387825673E-2</c:v>
                </c:pt>
                <c:pt idx="39">
                  <c:v>-7.7465772616741327E-2</c:v>
                </c:pt>
                <c:pt idx="40">
                  <c:v>-7.5704218497457038E-2</c:v>
                </c:pt>
                <c:pt idx="41">
                  <c:v>-7.6376780892075877E-2</c:v>
                </c:pt>
                <c:pt idx="42">
                  <c:v>-7.5725848572249538E-2</c:v>
                </c:pt>
                <c:pt idx="43">
                  <c:v>-7.4950305238916201E-2</c:v>
                </c:pt>
                <c:pt idx="44">
                  <c:v>-7.5965461151512606E-2</c:v>
                </c:pt>
                <c:pt idx="45">
                  <c:v>-7.6396265878785341E-2</c:v>
                </c:pt>
                <c:pt idx="46">
                  <c:v>-7.3552591716325791E-2</c:v>
                </c:pt>
                <c:pt idx="47">
                  <c:v>-7.5250343816455831E-2</c:v>
                </c:pt>
                <c:pt idx="48">
                  <c:v>-7.5291568816455823E-2</c:v>
                </c:pt>
                <c:pt idx="49">
                  <c:v>-7.3570216114462128E-2</c:v>
                </c:pt>
                <c:pt idx="50">
                  <c:v>-6.9867317383230904E-2</c:v>
                </c:pt>
                <c:pt idx="51">
                  <c:v>-6.7351729542226721E-2</c:v>
                </c:pt>
                <c:pt idx="52">
                  <c:v>-6.8304863497160667E-2</c:v>
                </c:pt>
                <c:pt idx="53">
                  <c:v>-6.8915292107752574E-2</c:v>
                </c:pt>
                <c:pt idx="54">
                  <c:v>-6.7982817873886756E-2</c:v>
                </c:pt>
                <c:pt idx="55">
                  <c:v>-6.6360561968361667E-2</c:v>
                </c:pt>
                <c:pt idx="56">
                  <c:v>-6.4641490074108784E-2</c:v>
                </c:pt>
                <c:pt idx="57">
                  <c:v>-6.2912750220705652E-2</c:v>
                </c:pt>
                <c:pt idx="58">
                  <c:v>-6.1412013790066319E-2</c:v>
                </c:pt>
                <c:pt idx="59">
                  <c:v>-5.7890594930825198E-2</c:v>
                </c:pt>
                <c:pt idx="60">
                  <c:v>-5.5683670434422322E-2</c:v>
                </c:pt>
                <c:pt idx="61">
                  <c:v>-5.8143703883889057E-2</c:v>
                </c:pt>
                <c:pt idx="62">
                  <c:v>-5.6318832272200754E-2</c:v>
                </c:pt>
                <c:pt idx="63">
                  <c:v>-5.413903532108616E-2</c:v>
                </c:pt>
                <c:pt idx="64">
                  <c:v>-5.4564955672523868E-2</c:v>
                </c:pt>
                <c:pt idx="65">
                  <c:v>-5.3968981773875213E-2</c:v>
                </c:pt>
                <c:pt idx="66">
                  <c:v>-5.3952983287924812E-2</c:v>
                </c:pt>
                <c:pt idx="67">
                  <c:v>-5.2965576427569779E-2</c:v>
                </c:pt>
                <c:pt idx="68">
                  <c:v>-5.3698611096999839E-2</c:v>
                </c:pt>
                <c:pt idx="69">
                  <c:v>-5.2501715230514827E-2</c:v>
                </c:pt>
                <c:pt idx="70">
                  <c:v>-5.5988469404591207E-2</c:v>
                </c:pt>
                <c:pt idx="71">
                  <c:v>-5.3686367361559434E-2</c:v>
                </c:pt>
                <c:pt idx="72">
                  <c:v>-5.5937603011401701E-2</c:v>
                </c:pt>
                <c:pt idx="73">
                  <c:v>-5.384904633250262E-2</c:v>
                </c:pt>
                <c:pt idx="74">
                  <c:v>-5.2257221926128111E-2</c:v>
                </c:pt>
                <c:pt idx="75">
                  <c:v>-5.0742953473016078E-2</c:v>
                </c:pt>
                <c:pt idx="76">
                  <c:v>-5.1812005607985406E-2</c:v>
                </c:pt>
                <c:pt idx="77">
                  <c:v>-5.093443020740486E-2</c:v>
                </c:pt>
                <c:pt idx="78">
                  <c:v>-5.0428670896422612E-2</c:v>
                </c:pt>
                <c:pt idx="79">
                  <c:v>-4.7988439445069281E-2</c:v>
                </c:pt>
                <c:pt idx="80">
                  <c:v>-3.2293241849771635E-2</c:v>
                </c:pt>
                <c:pt idx="81">
                  <c:v>-4.0988290658532323E-2</c:v>
                </c:pt>
                <c:pt idx="82">
                  <c:v>-3.5316146965794888E-2</c:v>
                </c:pt>
                <c:pt idx="83">
                  <c:v>-3.7556525763128221E-2</c:v>
                </c:pt>
                <c:pt idx="84">
                  <c:v>-3.6975085881849681E-2</c:v>
                </c:pt>
                <c:pt idx="85">
                  <c:v>-3.332644399020597E-2</c:v>
                </c:pt>
                <c:pt idx="86">
                  <c:v>-4.4190712156406013E-2</c:v>
                </c:pt>
                <c:pt idx="87">
                  <c:v>-5.1743459421276929E-2</c:v>
                </c:pt>
                <c:pt idx="88">
                  <c:v>-5.0064567576463E-2</c:v>
                </c:pt>
                <c:pt idx="89">
                  <c:v>-4.7755127144386393E-2</c:v>
                </c:pt>
                <c:pt idx="90">
                  <c:v>-5.0489955813914286E-2</c:v>
                </c:pt>
                <c:pt idx="91">
                  <c:v>-5.0281790617948872E-2</c:v>
                </c:pt>
                <c:pt idx="92">
                  <c:v>-5.3137217129957615E-2</c:v>
                </c:pt>
                <c:pt idx="93">
                  <c:v>-5.1943053177639732E-2</c:v>
                </c:pt>
                <c:pt idx="94">
                  <c:v>-4.9191174281311451E-2</c:v>
                </c:pt>
                <c:pt idx="95">
                  <c:v>-4.8698752914819281E-2</c:v>
                </c:pt>
                <c:pt idx="96">
                  <c:v>-4.8451383238541423E-2</c:v>
                </c:pt>
                <c:pt idx="97">
                  <c:v>-4.8577773788958403E-2</c:v>
                </c:pt>
                <c:pt idx="98">
                  <c:v>-4.83403240496946E-2</c:v>
                </c:pt>
                <c:pt idx="99">
                  <c:v>-4.3200512821768504E-2</c:v>
                </c:pt>
                <c:pt idx="100">
                  <c:v>-4.3704095080592024E-2</c:v>
                </c:pt>
                <c:pt idx="101">
                  <c:v>-4.3571346527557078E-2</c:v>
                </c:pt>
                <c:pt idx="102">
                  <c:v>-4.2632696977401956E-2</c:v>
                </c:pt>
                <c:pt idx="103">
                  <c:v>-4.2272510244068612E-2</c:v>
                </c:pt>
                <c:pt idx="104">
                  <c:v>-3.9684815627196911E-2</c:v>
                </c:pt>
                <c:pt idx="105">
                  <c:v>-2.776634347233695E-2</c:v>
                </c:pt>
                <c:pt idx="106">
                  <c:v>-4.6000402929297926E-2</c:v>
                </c:pt>
                <c:pt idx="107">
                  <c:v>-4.5739151678938217E-2</c:v>
                </c:pt>
                <c:pt idx="108">
                  <c:v>-4.5333297755264214E-2</c:v>
                </c:pt>
                <c:pt idx="109">
                  <c:v>-4.456713351740494E-2</c:v>
                </c:pt>
                <c:pt idx="110">
                  <c:v>-4.2773585517404948E-2</c:v>
                </c:pt>
                <c:pt idx="111">
                  <c:v>-4.0443045933687596E-2</c:v>
                </c:pt>
                <c:pt idx="112">
                  <c:v>-3.8917567898621094E-2</c:v>
                </c:pt>
                <c:pt idx="113">
                  <c:v>-4.0658662652467252E-2</c:v>
                </c:pt>
                <c:pt idx="114">
                  <c:v>-3.6687750742910953E-2</c:v>
                </c:pt>
                <c:pt idx="115">
                  <c:v>-3.440590053356516E-2</c:v>
                </c:pt>
                <c:pt idx="116">
                  <c:v>-3.6179925789496158E-2</c:v>
                </c:pt>
                <c:pt idx="117">
                  <c:v>-3.5864976170684279E-2</c:v>
                </c:pt>
                <c:pt idx="118">
                  <c:v>-3.3660054903430235E-2</c:v>
                </c:pt>
                <c:pt idx="119">
                  <c:v>-3.5228927597226095E-2</c:v>
                </c:pt>
                <c:pt idx="120">
                  <c:v>-3.3938009325043192E-2</c:v>
                </c:pt>
                <c:pt idx="121">
                  <c:v>-3.3109225608229036E-2</c:v>
                </c:pt>
                <c:pt idx="122">
                  <c:v>-2.9563214776498266E-2</c:v>
                </c:pt>
                <c:pt idx="123">
                  <c:v>-2.5567142198056423E-2</c:v>
                </c:pt>
                <c:pt idx="124">
                  <c:v>-2.8290503143869227E-2</c:v>
                </c:pt>
                <c:pt idx="125">
                  <c:v>-2.6603684032176375E-2</c:v>
                </c:pt>
                <c:pt idx="126">
                  <c:v>-2.6212604593064192E-2</c:v>
                </c:pt>
                <c:pt idx="127">
                  <c:v>-2.3960271782253392E-2</c:v>
                </c:pt>
                <c:pt idx="128">
                  <c:v>-2.5588236490886488E-2</c:v>
                </c:pt>
                <c:pt idx="129">
                  <c:v>-2.2500375854411583E-2</c:v>
                </c:pt>
                <c:pt idx="130">
                  <c:v>-2.1403463706052096E-2</c:v>
                </c:pt>
                <c:pt idx="131">
                  <c:v>-1.8355640738819089E-2</c:v>
                </c:pt>
                <c:pt idx="132">
                  <c:v>-1.6624359767779907E-2</c:v>
                </c:pt>
                <c:pt idx="133">
                  <c:v>-1.7528940033628572E-2</c:v>
                </c:pt>
                <c:pt idx="134">
                  <c:v>-1.9712313886855799E-2</c:v>
                </c:pt>
                <c:pt idx="135">
                  <c:v>-1.9309050842325301E-2</c:v>
                </c:pt>
                <c:pt idx="136">
                  <c:v>-2.0547316225074636E-2</c:v>
                </c:pt>
                <c:pt idx="137">
                  <c:v>-1.6192858235508013E-2</c:v>
                </c:pt>
                <c:pt idx="138">
                  <c:v>-2.0380893671022037E-2</c:v>
                </c:pt>
                <c:pt idx="139">
                  <c:v>-2.1033635941040657E-2</c:v>
                </c:pt>
                <c:pt idx="140">
                  <c:v>-1.8549266528759958E-2</c:v>
                </c:pt>
                <c:pt idx="141">
                  <c:v>-1.9017181063826671E-2</c:v>
                </c:pt>
                <c:pt idx="142">
                  <c:v>-2.022431503303684E-2</c:v>
                </c:pt>
                <c:pt idx="143">
                  <c:v>-1.9540858543141807E-2</c:v>
                </c:pt>
                <c:pt idx="144">
                  <c:v>-1.6363109359041395E-2</c:v>
                </c:pt>
                <c:pt idx="145">
                  <c:v>-1.6153805830982509E-2</c:v>
                </c:pt>
                <c:pt idx="146">
                  <c:v>-1.438735683499213E-2</c:v>
                </c:pt>
                <c:pt idx="147">
                  <c:v>-7.3529350246948517E-3</c:v>
                </c:pt>
                <c:pt idx="148">
                  <c:v>-5.1521327625830438E-3</c:v>
                </c:pt>
                <c:pt idx="149">
                  <c:v>-5.6928230425830487E-3</c:v>
                </c:pt>
                <c:pt idx="150">
                  <c:v>-2.5262040612248613E-3</c:v>
                </c:pt>
                <c:pt idx="151">
                  <c:v>5.2454882105668955E-4</c:v>
                </c:pt>
                <c:pt idx="152">
                  <c:v>4.5901852617346627E-3</c:v>
                </c:pt>
                <c:pt idx="153">
                  <c:v>3.3007342555732211E-3</c:v>
                </c:pt>
                <c:pt idx="154">
                  <c:v>-1.4855379484524106E-4</c:v>
                </c:pt>
                <c:pt idx="155">
                  <c:v>1.4592363330920932E-3</c:v>
                </c:pt>
                <c:pt idx="156">
                  <c:v>-1.4076061675530761E-3</c:v>
                </c:pt>
                <c:pt idx="157">
                  <c:v>2.8652879949693576E-3</c:v>
                </c:pt>
                <c:pt idx="158">
                  <c:v>7.1027308136828093E-3</c:v>
                </c:pt>
                <c:pt idx="159">
                  <c:v>5.5398065574385948E-3</c:v>
                </c:pt>
                <c:pt idx="160">
                  <c:v>1.6128714258105269E-2</c:v>
                </c:pt>
                <c:pt idx="161">
                  <c:v>7.9236456569248132E-3</c:v>
                </c:pt>
                <c:pt idx="162">
                  <c:v>1.4842346256553991E-3</c:v>
                </c:pt>
                <c:pt idx="163">
                  <c:v>1.4737372768591555E-3</c:v>
                </c:pt>
                <c:pt idx="164">
                  <c:v>4.8160389452627577E-3</c:v>
                </c:pt>
                <c:pt idx="165">
                  <c:v>3.5775695133818987E-3</c:v>
                </c:pt>
                <c:pt idx="166">
                  <c:v>1.9407586872949424E-3</c:v>
                </c:pt>
                <c:pt idx="167">
                  <c:v>4.4624832662078521E-4</c:v>
                </c:pt>
                <c:pt idx="168">
                  <c:v>-1.6699957667754381E-3</c:v>
                </c:pt>
                <c:pt idx="169">
                  <c:v>-7.8377979616445204E-4</c:v>
                </c:pt>
                <c:pt idx="170">
                  <c:v>1.0404631638355419E-3</c:v>
                </c:pt>
                <c:pt idx="171">
                  <c:v>2.6165999052406314E-3</c:v>
                </c:pt>
                <c:pt idx="172">
                  <c:v>1.8409534730798262E-3</c:v>
                </c:pt>
                <c:pt idx="173">
                  <c:v>6.538027043961051E-3</c:v>
                </c:pt>
                <c:pt idx="174">
                  <c:v>4.9028240812397025E-3</c:v>
                </c:pt>
                <c:pt idx="175">
                  <c:v>-4.4651620487140965E-4</c:v>
                </c:pt>
                <c:pt idx="176">
                  <c:v>-3.7847849361874166E-4</c:v>
                </c:pt>
                <c:pt idx="177">
                  <c:v>-1.7911399801085803E-2</c:v>
                </c:pt>
                <c:pt idx="178">
                  <c:v>-1.9282714590148301E-2</c:v>
                </c:pt>
                <c:pt idx="179">
                  <c:v>-1.6995605271966481E-2</c:v>
                </c:pt>
                <c:pt idx="180">
                  <c:v>-1.6090988729593601E-2</c:v>
                </c:pt>
                <c:pt idx="181">
                  <c:v>-1.6364561050581258E-2</c:v>
                </c:pt>
                <c:pt idx="182">
                  <c:v>-1.743740072513747E-2</c:v>
                </c:pt>
                <c:pt idx="183">
                  <c:v>-1.6335175410988792E-2</c:v>
                </c:pt>
                <c:pt idx="184">
                  <c:v>-1.2655853316127135E-2</c:v>
                </c:pt>
                <c:pt idx="185">
                  <c:v>-1.2309414938768647E-2</c:v>
                </c:pt>
                <c:pt idx="186">
                  <c:v>-7.2920530898555993E-3</c:v>
                </c:pt>
                <c:pt idx="187">
                  <c:v>-1.1502606547482712E-2</c:v>
                </c:pt>
                <c:pt idx="188">
                  <c:v>-6.6914592370278065E-3</c:v>
                </c:pt>
                <c:pt idx="189">
                  <c:v>-1.4097766585071938E-2</c:v>
                </c:pt>
                <c:pt idx="190">
                  <c:v>-1.1896689375358911E-2</c:v>
                </c:pt>
                <c:pt idx="191">
                  <c:v>-1.4141528192986025E-2</c:v>
                </c:pt>
                <c:pt idx="192">
                  <c:v>-1.3718403753796838E-2</c:v>
                </c:pt>
                <c:pt idx="193">
                  <c:v>-1.1073445722616438E-2</c:v>
                </c:pt>
                <c:pt idx="194">
                  <c:v>-9.7401132073492592E-3</c:v>
                </c:pt>
                <c:pt idx="195">
                  <c:v>-7.4004111893041435E-3</c:v>
                </c:pt>
                <c:pt idx="196">
                  <c:v>1.2373392706727333E-2</c:v>
                </c:pt>
                <c:pt idx="197">
                  <c:v>-1.5079515922858474E-2</c:v>
                </c:pt>
                <c:pt idx="198">
                  <c:v>-2.0581942251625591E-2</c:v>
                </c:pt>
                <c:pt idx="199">
                  <c:v>-1.9678246976900318E-2</c:v>
                </c:pt>
                <c:pt idx="200">
                  <c:v>-1.9513004483942574E-2</c:v>
                </c:pt>
                <c:pt idx="201">
                  <c:v>-1.9988811675962524E-2</c:v>
                </c:pt>
                <c:pt idx="202">
                  <c:v>-2.1924252564851407E-2</c:v>
                </c:pt>
                <c:pt idx="203">
                  <c:v>-2.2565017618184739E-2</c:v>
                </c:pt>
                <c:pt idx="204">
                  <c:v>-1.935451482472263E-2</c:v>
                </c:pt>
                <c:pt idx="205">
                  <c:v>-1.7917539940744728E-2</c:v>
                </c:pt>
                <c:pt idx="206">
                  <c:v>-1.7023611905063119E-2</c:v>
                </c:pt>
                <c:pt idx="207">
                  <c:v>-1.5479058601800171E-2</c:v>
                </c:pt>
                <c:pt idx="208">
                  <c:v>-1.5206975677210008E-2</c:v>
                </c:pt>
                <c:pt idx="209">
                  <c:v>-1.5006853296257627E-2</c:v>
                </c:pt>
                <c:pt idx="210">
                  <c:v>-1.5596535199341328E-2</c:v>
                </c:pt>
                <c:pt idx="211">
                  <c:v>-1.4354995631190181E-2</c:v>
                </c:pt>
                <c:pt idx="212">
                  <c:v>-1.4837309182541532E-2</c:v>
                </c:pt>
                <c:pt idx="213">
                  <c:v>-1.444056164352157E-2</c:v>
                </c:pt>
                <c:pt idx="214">
                  <c:v>-1.3620959507157932E-2</c:v>
                </c:pt>
                <c:pt idx="215">
                  <c:v>-1.4778561140739407E-2</c:v>
                </c:pt>
                <c:pt idx="216">
                  <c:v>-1.5186170116349165E-2</c:v>
                </c:pt>
                <c:pt idx="217">
                  <c:v>-1.3565940826467667E-2</c:v>
                </c:pt>
                <c:pt idx="218">
                  <c:v>-1.3671850620000004E-2</c:v>
                </c:pt>
                <c:pt idx="219">
                  <c:v>-1.3409447100000001E-2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B9-43A5-8E9C-DB1CE31BB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9749295"/>
        <c:axId val="979756783"/>
      </c:lineChart>
      <c:dateAx>
        <c:axId val="97974929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756783"/>
        <c:crosses val="autoZero"/>
        <c:auto val="1"/>
        <c:lblOffset val="100"/>
        <c:baseTimeUnit val="days"/>
      </c:dateAx>
      <c:valAx>
        <c:axId val="97975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749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BA706DD-FEAD-4BBF-BD38-C8A7F83FBBED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BF9FCA-790C-427C-8E93-0F946DD5447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24.8</v>
      </c>
      <c r="D2" s="4">
        <f>MIN(D3:D1912)</f>
        <v>4.1360000000000001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4.7080000000000002</v>
      </c>
      <c r="C5">
        <v>4.7670000000000003</v>
      </c>
      <c r="D5">
        <v>4.5949999999999998</v>
      </c>
      <c r="E5">
        <v>4.5949999999999998</v>
      </c>
      <c r="F5">
        <v>28694.5</v>
      </c>
      <c r="G5">
        <v>4.5949999999999998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-28694.5</v>
      </c>
      <c r="R5">
        <f t="shared" ref="R5" si="2">R6+Q5</f>
        <v>-11659305.629764333</v>
      </c>
      <c r="S5">
        <f t="shared" ref="S5" si="3">R5/100000</f>
        <v>-116.59305629764333</v>
      </c>
      <c r="T5">
        <f t="shared" ref="T5" si="4">S5/1000</f>
        <v>-0.11659305629764333</v>
      </c>
    </row>
    <row r="6" spans="1:20" x14ac:dyDescent="0.25">
      <c r="A6" s="5">
        <v>44587</v>
      </c>
      <c r="B6">
        <v>4.5650000000000004</v>
      </c>
      <c r="C6">
        <v>5.1479999999999997</v>
      </c>
      <c r="D6">
        <v>4.5049999999999999</v>
      </c>
      <c r="E6">
        <v>4.7080000000000002</v>
      </c>
      <c r="F6">
        <v>707478.2</v>
      </c>
      <c r="G6">
        <v>4.7080000000000002</v>
      </c>
      <c r="L6" t="s">
        <v>7</v>
      </c>
      <c r="M6" t="s">
        <v>7</v>
      </c>
      <c r="N6" t="s">
        <v>7</v>
      </c>
      <c r="P6">
        <f t="shared" ref="P6" si="5">IF(C6=D6,0,((E6-D6)-(C6-E6))/(C6-D6))</f>
        <v>-0.36858475894245613</v>
      </c>
      <c r="Q6">
        <f t="shared" ref="Q6" si="6">F6*P6</f>
        <v>-260765.68180404275</v>
      </c>
      <c r="R6">
        <f t="shared" ref="R6" si="7">R7+Q6</f>
        <v>-11630611.129764333</v>
      </c>
      <c r="S6">
        <f t="shared" ref="S6" si="8">R6/100000</f>
        <v>-116.30611129764334</v>
      </c>
      <c r="T6">
        <f t="shared" ref="T6" si="9">S6/1000</f>
        <v>-0.11630611129764334</v>
      </c>
    </row>
    <row r="7" spans="1:20" x14ac:dyDescent="0.25">
      <c r="A7" s="5">
        <v>44586</v>
      </c>
      <c r="B7">
        <v>4.6680000000000001</v>
      </c>
      <c r="C7">
        <v>5.298</v>
      </c>
      <c r="D7">
        <v>4.3650000000000002</v>
      </c>
      <c r="E7">
        <v>4.5659999999999998</v>
      </c>
      <c r="F7">
        <v>624974.69999999995</v>
      </c>
      <c r="G7">
        <v>4.5659999999999998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-0.56913183279742841</v>
      </c>
      <c r="Q7">
        <f t="shared" ref="Q7" si="11">F7*P7</f>
        <v>-355692.99646302295</v>
      </c>
      <c r="R7">
        <f t="shared" ref="R7" si="12">R8+Q7</f>
        <v>-11369845.447960291</v>
      </c>
      <c r="S7">
        <f t="shared" ref="S7" si="13">R7/100000</f>
        <v>-113.69845447960292</v>
      </c>
      <c r="T7">
        <f t="shared" ref="T7" si="14">S7/1000</f>
        <v>-0.11369845447960292</v>
      </c>
    </row>
    <row r="8" spans="1:20" x14ac:dyDescent="0.25">
      <c r="A8" s="5">
        <v>44585</v>
      </c>
      <c r="B8">
        <v>5.21</v>
      </c>
      <c r="C8">
        <v>5.21</v>
      </c>
      <c r="D8">
        <v>4.1360000000000001</v>
      </c>
      <c r="E8">
        <v>4.6680000000000001</v>
      </c>
      <c r="F8">
        <v>690133.4</v>
      </c>
      <c r="G8">
        <v>4.6680000000000001</v>
      </c>
      <c r="L8" t="s">
        <v>7</v>
      </c>
      <c r="M8" t="s">
        <v>7</v>
      </c>
      <c r="N8" t="s">
        <v>7</v>
      </c>
      <c r="P8">
        <f t="shared" ref="P8" si="15">IF(C8=D8,0,((E8-D8)-(C8-E8))/(C8-D8))</f>
        <v>-9.3109869646180524E-3</v>
      </c>
      <c r="Q8">
        <f t="shared" ref="Q8" si="16">F8*P8</f>
        <v>-6425.8230912475365</v>
      </c>
      <c r="R8">
        <f t="shared" ref="R8" si="17">R9+Q8</f>
        <v>-11014152.451497268</v>
      </c>
      <c r="S8">
        <f t="shared" ref="S8" si="18">R8/100000</f>
        <v>-110.14152451497267</v>
      </c>
      <c r="T8">
        <f t="shared" ref="T8" si="19">S8/1000</f>
        <v>-0.11014152451497267</v>
      </c>
    </row>
    <row r="9" spans="1:20" x14ac:dyDescent="0.25">
      <c r="A9" s="5">
        <v>44584</v>
      </c>
      <c r="B9">
        <v>4.9809999999999999</v>
      </c>
      <c r="C9">
        <v>5.8609999999999998</v>
      </c>
      <c r="D9">
        <v>4.9009999999999998</v>
      </c>
      <c r="E9">
        <v>5.2220000000000004</v>
      </c>
      <c r="F9">
        <v>513741.4</v>
      </c>
      <c r="G9">
        <v>5.2220000000000004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-0.33124999999999871</v>
      </c>
      <c r="Q9">
        <f t="shared" ref="Q9" si="21">F9*P9</f>
        <v>-170176.83874999936</v>
      </c>
      <c r="R9">
        <f t="shared" ref="R9" si="22">R10+Q9</f>
        <v>-11007726.62840602</v>
      </c>
      <c r="S9">
        <f t="shared" ref="S9" si="23">R9/100000</f>
        <v>-110.0772662840602</v>
      </c>
      <c r="T9">
        <f t="shared" ref="T9" si="24">S9/1000</f>
        <v>-0.1100772662840602</v>
      </c>
    </row>
    <row r="10" spans="1:20" x14ac:dyDescent="0.25">
      <c r="A10" s="5">
        <v>44583</v>
      </c>
      <c r="B10">
        <v>5.8179999999999996</v>
      </c>
      <c r="C10">
        <v>5.8959999999999999</v>
      </c>
      <c r="D10">
        <v>4.6260000000000003</v>
      </c>
      <c r="E10">
        <v>4.9800000000000004</v>
      </c>
      <c r="F10">
        <v>352398.8</v>
      </c>
      <c r="G10">
        <v>4.9800000000000004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-0.44251968503936973</v>
      </c>
      <c r="Q10">
        <f t="shared" ref="Q10" si="26">F10*P10</f>
        <v>-155943.40598425185</v>
      </c>
      <c r="R10">
        <f t="shared" ref="R10" si="27">R11+Q10</f>
        <v>-10837549.789656021</v>
      </c>
      <c r="S10">
        <f t="shared" ref="S10" si="28">R10/100000</f>
        <v>-108.3754978965602</v>
      </c>
      <c r="T10">
        <f t="shared" ref="T10" si="29">S10/1000</f>
        <v>-0.1083754978965602</v>
      </c>
    </row>
    <row r="11" spans="1:20" x14ac:dyDescent="0.25">
      <c r="A11" s="5">
        <v>44582</v>
      </c>
      <c r="B11">
        <v>6.6840000000000002</v>
      </c>
      <c r="C11">
        <v>6.7960000000000003</v>
      </c>
      <c r="D11">
        <v>5.6150000000000002</v>
      </c>
      <c r="E11">
        <v>5.8</v>
      </c>
      <c r="F11">
        <v>344563.7</v>
      </c>
      <c r="G11">
        <v>5.8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-0.68670618120237159</v>
      </c>
      <c r="Q11">
        <f t="shared" ref="Q11" si="31">F11*P11</f>
        <v>-236614.0226079596</v>
      </c>
      <c r="R11">
        <f t="shared" ref="R11" si="32">R12+Q11</f>
        <v>-10681606.383671768</v>
      </c>
      <c r="S11">
        <f t="shared" ref="S11" si="33">R11/100000</f>
        <v>-106.81606383671767</v>
      </c>
      <c r="T11">
        <f t="shared" ref="T11" si="34">S11/1000</f>
        <v>-0.10681606383671767</v>
      </c>
    </row>
    <row r="12" spans="1:20" x14ac:dyDescent="0.25">
      <c r="A12" s="5">
        <v>44581</v>
      </c>
      <c r="B12">
        <v>7.0129999999999999</v>
      </c>
      <c r="C12">
        <v>7.3959999999999999</v>
      </c>
      <c r="D12">
        <v>6.6520000000000001</v>
      </c>
      <c r="E12">
        <v>6.6840000000000002</v>
      </c>
      <c r="F12">
        <v>181848.7</v>
      </c>
      <c r="G12">
        <v>6.6840000000000002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-0.91397849462365577</v>
      </c>
      <c r="Q12">
        <f t="shared" ref="Q12" si="36">F12*P12</f>
        <v>-166205.8010752688</v>
      </c>
      <c r="R12">
        <f t="shared" ref="R12" si="37">R13+Q12</f>
        <v>-10444992.361063808</v>
      </c>
      <c r="S12">
        <f t="shared" ref="S12" si="38">R12/100000</f>
        <v>-104.44992361063808</v>
      </c>
      <c r="T12">
        <f t="shared" ref="T12" si="39">S12/1000</f>
        <v>-0.10444992361063808</v>
      </c>
    </row>
    <row r="13" spans="1:20" x14ac:dyDescent="0.25">
      <c r="A13" s="5">
        <v>44580</v>
      </c>
      <c r="B13">
        <v>7.3049999999999997</v>
      </c>
      <c r="C13">
        <v>7.4080000000000004</v>
      </c>
      <c r="D13">
        <v>6.94</v>
      </c>
      <c r="E13">
        <v>7.008</v>
      </c>
      <c r="F13">
        <v>212825.1</v>
      </c>
      <c r="G13">
        <v>7.008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-0.70940170940171099</v>
      </c>
      <c r="Q13">
        <f t="shared" ref="Q13" si="41">F13*P13</f>
        <v>-150978.48974359009</v>
      </c>
      <c r="R13">
        <f t="shared" ref="R13" si="42">R14+Q13</f>
        <v>-10278786.55998854</v>
      </c>
      <c r="S13">
        <f t="shared" ref="S13" si="43">R13/100000</f>
        <v>-102.78786559988539</v>
      </c>
      <c r="T13">
        <f t="shared" ref="T13" si="44">S13/1000</f>
        <v>-0.1027878655998854</v>
      </c>
    </row>
    <row r="14" spans="1:20" x14ac:dyDescent="0.25">
      <c r="A14" s="5">
        <v>44579</v>
      </c>
      <c r="B14">
        <v>7.8360000000000003</v>
      </c>
      <c r="C14">
        <v>7.899</v>
      </c>
      <c r="D14">
        <v>7.02</v>
      </c>
      <c r="E14">
        <v>7.3140000000000001</v>
      </c>
      <c r="F14">
        <v>471367.5</v>
      </c>
      <c r="G14">
        <v>7.3140000000000001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-0.33105802047781496</v>
      </c>
      <c r="Q14">
        <f t="shared" ref="Q14" si="46">F14*P14</f>
        <v>-156049.99146757644</v>
      </c>
      <c r="R14">
        <f t="shared" ref="R14" si="47">R15+Q14</f>
        <v>-10127808.070244949</v>
      </c>
      <c r="S14">
        <f t="shared" ref="S14" si="48">R14/100000</f>
        <v>-101.27808070244949</v>
      </c>
      <c r="T14">
        <f t="shared" ref="T14" si="49">S14/1000</f>
        <v>-0.10127808070244948</v>
      </c>
    </row>
    <row r="15" spans="1:20" x14ac:dyDescent="0.25">
      <c r="A15" s="5">
        <v>44578</v>
      </c>
      <c r="B15">
        <v>8.1020000000000003</v>
      </c>
      <c r="C15">
        <v>8.2449999999999992</v>
      </c>
      <c r="D15">
        <v>7.7050000000000001</v>
      </c>
      <c r="E15">
        <v>7.8369999999999997</v>
      </c>
      <c r="F15">
        <v>236577.4</v>
      </c>
      <c r="G15">
        <v>7.8369999999999997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-0.51111111111111152</v>
      </c>
      <c r="Q15">
        <f t="shared" ref="Q15" si="51">F15*P15</f>
        <v>-120917.33777777787</v>
      </c>
      <c r="R15">
        <f t="shared" ref="R15" si="52">R16+Q15</f>
        <v>-9971758.0787773728</v>
      </c>
      <c r="S15">
        <f t="shared" ref="S15" si="53">R15/100000</f>
        <v>-99.717580787773727</v>
      </c>
      <c r="T15">
        <f t="shared" ref="T15" si="54">S15/1000</f>
        <v>-9.9717580787773721E-2</v>
      </c>
    </row>
    <row r="16" spans="1:20" x14ac:dyDescent="0.25">
      <c r="A16" s="5">
        <v>44577</v>
      </c>
      <c r="B16">
        <v>8.3279999999999994</v>
      </c>
      <c r="C16">
        <v>8.3409999999999993</v>
      </c>
      <c r="D16">
        <v>8.0090000000000003</v>
      </c>
      <c r="E16">
        <v>8.1020000000000003</v>
      </c>
      <c r="F16">
        <v>176159.2</v>
      </c>
      <c r="G16">
        <v>8.1020000000000003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-0.43975903614457673</v>
      </c>
      <c r="Q16">
        <f t="shared" ref="Q16" si="56">F16*P16</f>
        <v>-77467.599999999729</v>
      </c>
      <c r="R16">
        <f t="shared" ref="R16" si="57">R17+Q16</f>
        <v>-9850840.7409995943</v>
      </c>
      <c r="S16">
        <f t="shared" ref="S16" si="58">R16/100000</f>
        <v>-98.508407409995939</v>
      </c>
      <c r="T16">
        <f t="shared" ref="T16" si="59">S16/1000</f>
        <v>-9.8508407409995946E-2</v>
      </c>
    </row>
    <row r="17" spans="1:20" x14ac:dyDescent="0.25">
      <c r="A17" s="5">
        <v>44576</v>
      </c>
      <c r="B17">
        <v>8.4619999999999997</v>
      </c>
      <c r="C17">
        <v>8.4890000000000008</v>
      </c>
      <c r="D17">
        <v>8.19</v>
      </c>
      <c r="E17">
        <v>8.3330000000000002</v>
      </c>
      <c r="F17">
        <v>117140.4</v>
      </c>
      <c r="G17">
        <v>8.3330000000000002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-4.3478260869564703E-2</v>
      </c>
      <c r="Q17">
        <f t="shared" ref="Q17" si="61">F17*P17</f>
        <v>-5093.0608695651572</v>
      </c>
      <c r="R17">
        <f t="shared" ref="R17" si="62">R18+Q17</f>
        <v>-9773373.1409995947</v>
      </c>
      <c r="S17">
        <f t="shared" ref="S17" si="63">R17/100000</f>
        <v>-97.73373140999594</v>
      </c>
      <c r="T17">
        <f t="shared" ref="T17" si="64">S17/1000</f>
        <v>-9.7733731409995944E-2</v>
      </c>
    </row>
    <row r="18" spans="1:20" x14ac:dyDescent="0.25">
      <c r="A18" s="5">
        <v>44575</v>
      </c>
      <c r="B18">
        <v>7.9690000000000003</v>
      </c>
      <c r="C18">
        <v>8.4789999999999992</v>
      </c>
      <c r="D18">
        <v>7.9009999999999998</v>
      </c>
      <c r="E18">
        <v>8.4600000000000009</v>
      </c>
      <c r="F18">
        <v>165697.60000000001</v>
      </c>
      <c r="G18">
        <v>8.4600000000000009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0.93425605536332745</v>
      </c>
      <c r="Q18">
        <f t="shared" ref="Q18" si="66">F18*P18</f>
        <v>154803.98615917048</v>
      </c>
      <c r="R18">
        <f t="shared" ref="R18" si="67">R19+Q18</f>
        <v>-9768280.0801300295</v>
      </c>
      <c r="S18">
        <f t="shared" ref="S18" si="68">R18/100000</f>
        <v>-97.682800801300289</v>
      </c>
      <c r="T18">
        <f t="shared" ref="T18" si="69">S18/1000</f>
        <v>-9.768280080130029E-2</v>
      </c>
    </row>
    <row r="19" spans="1:20" x14ac:dyDescent="0.25">
      <c r="A19" s="5">
        <v>44574</v>
      </c>
      <c r="B19">
        <v>8.6020000000000003</v>
      </c>
      <c r="C19">
        <v>9.1660000000000004</v>
      </c>
      <c r="D19">
        <v>7.9569999999999999</v>
      </c>
      <c r="E19">
        <v>7.9569999999999999</v>
      </c>
      <c r="F19">
        <v>502000.1</v>
      </c>
      <c r="G19">
        <v>7.9569999999999999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-1</v>
      </c>
      <c r="Q19">
        <f t="shared" ref="Q19" si="71">F19*P19</f>
        <v>-502000.1</v>
      </c>
      <c r="R19">
        <f t="shared" ref="R19" si="72">R20+Q19</f>
        <v>-9923084.0662891995</v>
      </c>
      <c r="S19">
        <f t="shared" ref="S19" si="73">R19/100000</f>
        <v>-99.230840662891993</v>
      </c>
      <c r="T19">
        <f t="shared" ref="T19" si="74">S19/1000</f>
        <v>-9.9230840662891992E-2</v>
      </c>
    </row>
    <row r="20" spans="1:20" x14ac:dyDescent="0.25">
      <c r="A20" s="5">
        <v>44573</v>
      </c>
      <c r="B20">
        <v>8.1289999999999996</v>
      </c>
      <c r="C20">
        <v>8.7720000000000002</v>
      </c>
      <c r="D20">
        <v>8.0540000000000003</v>
      </c>
      <c r="E20">
        <v>8.6020000000000003</v>
      </c>
      <c r="F20">
        <v>311412.90000000002</v>
      </c>
      <c r="G20">
        <v>8.6020000000000003</v>
      </c>
      <c r="L20" t="s">
        <v>7</v>
      </c>
      <c r="M20" t="s">
        <v>7</v>
      </c>
      <c r="N20" t="s">
        <v>7</v>
      </c>
      <c r="P20">
        <f t="shared" ref="P20" si="75">IF(C20=D20,0,((E20-D20)-(C20-E20))/(C20-D20))</f>
        <v>0.52646239554317564</v>
      </c>
      <c r="Q20">
        <f t="shared" ref="Q20" si="76">F20*P20</f>
        <v>163947.18133704743</v>
      </c>
      <c r="R20">
        <f t="shared" ref="R20" si="77">R21+Q20</f>
        <v>-9421083.9662891999</v>
      </c>
      <c r="S20">
        <f t="shared" ref="S20" si="78">R20/100000</f>
        <v>-94.210839662891999</v>
      </c>
      <c r="T20">
        <f t="shared" ref="T20" si="79">S20/1000</f>
        <v>-9.4210839662891996E-2</v>
      </c>
    </row>
    <row r="21" spans="1:20" x14ac:dyDescent="0.25">
      <c r="A21" s="5">
        <v>44572</v>
      </c>
      <c r="B21">
        <v>7.6779999999999999</v>
      </c>
      <c r="C21">
        <v>8.6940000000000008</v>
      </c>
      <c r="D21">
        <v>7.5890000000000004</v>
      </c>
      <c r="E21">
        <v>8.1289999999999996</v>
      </c>
      <c r="F21">
        <v>515939.9</v>
      </c>
      <c r="G21">
        <v>8.1289999999999996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-2.2624434389142193E-2</v>
      </c>
      <c r="Q21">
        <f t="shared" ref="Q21" si="81">F21*P21</f>
        <v>-11672.848416290584</v>
      </c>
      <c r="R21">
        <f t="shared" ref="R21" si="82">R22+Q21</f>
        <v>-9585031.1476262473</v>
      </c>
      <c r="S21">
        <f t="shared" ref="S21" si="83">R21/100000</f>
        <v>-95.850311476262476</v>
      </c>
      <c r="T21">
        <f t="shared" ref="T21" si="84">S21/1000</f>
        <v>-9.5850311476262481E-2</v>
      </c>
    </row>
    <row r="22" spans="1:20" x14ac:dyDescent="0.25">
      <c r="A22" s="5">
        <v>44571</v>
      </c>
      <c r="B22">
        <v>8.2880000000000003</v>
      </c>
      <c r="C22">
        <v>8.3230000000000004</v>
      </c>
      <c r="D22">
        <v>7.4139999999999997</v>
      </c>
      <c r="E22">
        <v>7.6790000000000003</v>
      </c>
      <c r="F22">
        <v>287378.40000000002</v>
      </c>
      <c r="G22">
        <v>7.6790000000000003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-0.41694169416941612</v>
      </c>
      <c r="Q22">
        <f t="shared" ref="Q22" si="86">F22*P22</f>
        <v>-119820.03696369614</v>
      </c>
      <c r="R22">
        <f t="shared" ref="R22" si="87">R23+Q22</f>
        <v>-9573358.2992099561</v>
      </c>
      <c r="S22">
        <f t="shared" ref="S22" si="88">R22/100000</f>
        <v>-95.733582992099556</v>
      </c>
      <c r="T22">
        <f t="shared" ref="T22" si="89">S22/1000</f>
        <v>-9.5733582992099553E-2</v>
      </c>
    </row>
    <row r="23" spans="1:20" x14ac:dyDescent="0.25">
      <c r="A23" s="5">
        <v>44570</v>
      </c>
      <c r="B23">
        <v>8.1609999999999996</v>
      </c>
      <c r="C23">
        <v>8.6790000000000003</v>
      </c>
      <c r="D23">
        <v>7.9470000000000001</v>
      </c>
      <c r="E23">
        <v>8.2710000000000008</v>
      </c>
      <c r="F23">
        <v>131124.9</v>
      </c>
      <c r="G23">
        <v>8.2710000000000008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-0.11475409836065399</v>
      </c>
      <c r="Q23">
        <f t="shared" ref="Q23" si="91">F23*P23</f>
        <v>-15047.119672130917</v>
      </c>
      <c r="R23">
        <f t="shared" ref="R23" si="92">R24+Q23</f>
        <v>-9453538.2622462604</v>
      </c>
      <c r="S23">
        <f t="shared" ref="S23" si="93">R23/100000</f>
        <v>-94.535382622462606</v>
      </c>
      <c r="T23">
        <f t="shared" ref="T23" si="94">S23/1000</f>
        <v>-9.453538262246261E-2</v>
      </c>
    </row>
    <row r="24" spans="1:20" x14ac:dyDescent="0.25">
      <c r="A24" s="5">
        <v>44569</v>
      </c>
      <c r="B24">
        <v>8.6750000000000007</v>
      </c>
      <c r="C24">
        <v>8.9410000000000007</v>
      </c>
      <c r="D24">
        <v>8.0120000000000005</v>
      </c>
      <c r="E24">
        <v>8.1720000000000006</v>
      </c>
      <c r="F24">
        <v>146140</v>
      </c>
      <c r="G24">
        <v>8.1720000000000006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-0.65554359526372419</v>
      </c>
      <c r="Q24">
        <f t="shared" ref="Q24" si="96">F24*P24</f>
        <v>-95801.141011840649</v>
      </c>
      <c r="R24">
        <f t="shared" ref="R24" si="97">R25+Q24</f>
        <v>-9438491.1425741296</v>
      </c>
      <c r="S24">
        <f t="shared" ref="S24" si="98">R24/100000</f>
        <v>-94.384911425741294</v>
      </c>
      <c r="T24">
        <f t="shared" ref="T24" si="99">S24/1000</f>
        <v>-9.4384911425741291E-2</v>
      </c>
    </row>
    <row r="25" spans="1:20" x14ac:dyDescent="0.25">
      <c r="A25" s="5">
        <v>44568</v>
      </c>
      <c r="B25">
        <v>9.25</v>
      </c>
      <c r="C25">
        <v>9.2629999999999999</v>
      </c>
      <c r="D25">
        <v>8.5150000000000006</v>
      </c>
      <c r="E25">
        <v>8.6519999999999992</v>
      </c>
      <c r="F25">
        <v>223113.5</v>
      </c>
      <c r="G25">
        <v>8.6519999999999992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-0.63368983957219571</v>
      </c>
      <c r="Q25">
        <f t="shared" ref="Q25" si="101">F25*P25</f>
        <v>-141384.75802139108</v>
      </c>
      <c r="R25">
        <f t="shared" ref="R25" si="102">R26+Q25</f>
        <v>-9342690.0015622899</v>
      </c>
      <c r="S25">
        <f t="shared" ref="S25" si="103">R25/100000</f>
        <v>-93.426900015622905</v>
      </c>
      <c r="T25">
        <f t="shared" ref="T25" si="104">S25/1000</f>
        <v>-9.3426900015622899E-2</v>
      </c>
    </row>
    <row r="26" spans="1:20" x14ac:dyDescent="0.25">
      <c r="A26" s="5">
        <v>44567</v>
      </c>
      <c r="B26">
        <v>10.196999999999999</v>
      </c>
      <c r="C26">
        <v>10.289</v>
      </c>
      <c r="D26">
        <v>9.1270000000000007</v>
      </c>
      <c r="E26">
        <v>9.25</v>
      </c>
      <c r="F26">
        <v>296238.09999999998</v>
      </c>
      <c r="G26">
        <v>9.25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-0.7882960413080905</v>
      </c>
      <c r="Q26">
        <f t="shared" ref="Q26" si="106">F26*P26</f>
        <v>-233523.32151463022</v>
      </c>
      <c r="R26">
        <f t="shared" ref="R26" si="107">R27+Q26</f>
        <v>-9201305.243540898</v>
      </c>
      <c r="S26">
        <f t="shared" ref="S26" si="108">R26/100000</f>
        <v>-92.01305243540898</v>
      </c>
      <c r="T26">
        <f t="shared" ref="T26" si="109">S26/1000</f>
        <v>-9.2013052435408985E-2</v>
      </c>
    </row>
    <row r="27" spans="1:20" x14ac:dyDescent="0.25">
      <c r="A27" s="5">
        <v>44566</v>
      </c>
      <c r="B27">
        <v>10.308999999999999</v>
      </c>
      <c r="C27">
        <v>11.9</v>
      </c>
      <c r="D27">
        <v>9.6460000000000008</v>
      </c>
      <c r="E27">
        <v>10.196999999999999</v>
      </c>
      <c r="F27">
        <v>1059386.5</v>
      </c>
      <c r="G27">
        <v>10.196999999999999</v>
      </c>
      <c r="L27" t="s">
        <v>8</v>
      </c>
      <c r="M27" t="s">
        <v>8</v>
      </c>
      <c r="N27" t="s">
        <v>7</v>
      </c>
      <c r="P27">
        <f t="shared" ref="P27" si="110">IF(C27=D27,0,((E27-D27)-(C27-E27))/(C27-D27))</f>
        <v>-0.51109139307897211</v>
      </c>
      <c r="Q27">
        <f t="shared" ref="Q27" si="111">F27*P27</f>
        <v>-541443.32209405652</v>
      </c>
      <c r="R27">
        <f t="shared" ref="R27" si="112">R28+Q27</f>
        <v>-8967781.9220262673</v>
      </c>
      <c r="S27">
        <f t="shared" ref="S27" si="113">R27/100000</f>
        <v>-89.677819220262677</v>
      </c>
      <c r="T27">
        <f t="shared" ref="T27" si="114">S27/1000</f>
        <v>-8.9677819220262675E-2</v>
      </c>
    </row>
    <row r="28" spans="1:20" x14ac:dyDescent="0.25">
      <c r="A28" s="5">
        <v>44565</v>
      </c>
      <c r="B28">
        <v>9.5410000000000004</v>
      </c>
      <c r="C28">
        <v>10.683999999999999</v>
      </c>
      <c r="D28">
        <v>9.391</v>
      </c>
      <c r="E28">
        <v>10.298999999999999</v>
      </c>
      <c r="F28">
        <v>660976.80000000005</v>
      </c>
      <c r="G28">
        <v>10.298999999999999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0.40448569218870845</v>
      </c>
      <c r="Q28">
        <f t="shared" ref="Q28" si="116">F28*P28</f>
        <v>267355.65846867755</v>
      </c>
      <c r="R28">
        <f t="shared" ref="R28" si="117">R29+Q28</f>
        <v>-8426338.5999322105</v>
      </c>
      <c r="S28">
        <f t="shared" ref="S28" si="118">R28/100000</f>
        <v>-84.263385999322111</v>
      </c>
      <c r="T28">
        <f t="shared" ref="T28" si="119">S28/1000</f>
        <v>-8.4263385999322107E-2</v>
      </c>
    </row>
    <row r="29" spans="1:20" x14ac:dyDescent="0.25">
      <c r="A29" s="5">
        <v>44564</v>
      </c>
      <c r="B29">
        <v>9.1639999999999997</v>
      </c>
      <c r="C29">
        <v>9.7260000000000009</v>
      </c>
      <c r="D29">
        <v>9.1630000000000003</v>
      </c>
      <c r="E29">
        <v>9.5129999999999999</v>
      </c>
      <c r="F29">
        <v>300935.3</v>
      </c>
      <c r="G29">
        <v>9.5129999999999999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0.24333925399644499</v>
      </c>
      <c r="Q29">
        <f t="shared" ref="Q29" si="121">F29*P29</f>
        <v>73229.371403196375</v>
      </c>
      <c r="R29">
        <f t="shared" ref="R29" si="122">R30+Q29</f>
        <v>-8693694.2584008873</v>
      </c>
      <c r="S29">
        <f t="shared" ref="S29" si="123">R29/100000</f>
        <v>-86.936942584008875</v>
      </c>
      <c r="T29">
        <f t="shared" ref="T29" si="124">S29/1000</f>
        <v>-8.6936942584008872E-2</v>
      </c>
    </row>
    <row r="30" spans="1:20" x14ac:dyDescent="0.25">
      <c r="A30" s="5">
        <v>44563</v>
      </c>
      <c r="B30">
        <v>9.1839999999999993</v>
      </c>
      <c r="C30">
        <v>9.9749999999999996</v>
      </c>
      <c r="D30">
        <v>8.9830000000000005</v>
      </c>
      <c r="E30">
        <v>9.1760000000000002</v>
      </c>
      <c r="F30">
        <v>440437.8</v>
      </c>
      <c r="G30">
        <v>9.1760000000000002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-0.61088709677419395</v>
      </c>
      <c r="Q30">
        <f t="shared" ref="Q30" si="126">F30*P30</f>
        <v>-269057.76895161305</v>
      </c>
      <c r="R30">
        <f t="shared" ref="R30" si="127">R31+Q30</f>
        <v>-8766923.6298040841</v>
      </c>
      <c r="S30">
        <f t="shared" ref="S30" si="128">R30/100000</f>
        <v>-87.669236298040843</v>
      </c>
      <c r="T30">
        <f t="shared" ref="T30" si="129">S30/1000</f>
        <v>-8.766923629804084E-2</v>
      </c>
    </row>
    <row r="31" spans="1:20" x14ac:dyDescent="0.25">
      <c r="A31" s="5">
        <v>44562</v>
      </c>
      <c r="B31">
        <v>8.9809999999999999</v>
      </c>
      <c r="C31">
        <v>9.2880000000000003</v>
      </c>
      <c r="D31">
        <v>8.9329999999999998</v>
      </c>
      <c r="E31">
        <v>9.1760000000000002</v>
      </c>
      <c r="F31">
        <v>82909.100000000006</v>
      </c>
      <c r="G31">
        <v>9.1760000000000002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0.36901408450704243</v>
      </c>
      <c r="Q31">
        <f t="shared" ref="Q31" si="131">F31*P31</f>
        <v>30594.625633802832</v>
      </c>
      <c r="R31">
        <f t="shared" ref="R31" si="132">R32+Q31</f>
        <v>-8497865.8608524706</v>
      </c>
      <c r="S31">
        <f t="shared" ref="S31" si="133">R31/100000</f>
        <v>-84.978658608524711</v>
      </c>
      <c r="T31">
        <f t="shared" ref="T31" si="134">S31/1000</f>
        <v>-8.4978658608524715E-2</v>
      </c>
    </row>
    <row r="32" spans="1:20" x14ac:dyDescent="0.25">
      <c r="A32" s="5">
        <v>44561</v>
      </c>
      <c r="B32">
        <v>9.0340000000000007</v>
      </c>
      <c r="C32">
        <v>9.298</v>
      </c>
      <c r="D32">
        <v>8.8309999999999995</v>
      </c>
      <c r="E32">
        <v>8.94</v>
      </c>
      <c r="F32">
        <v>112518.9</v>
      </c>
      <c r="G32">
        <v>8.94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-0.53319057815845883</v>
      </c>
      <c r="Q32">
        <f t="shared" ref="Q32" si="136">F32*P32</f>
        <v>-59994.017344753811</v>
      </c>
      <c r="R32">
        <f t="shared" ref="R32" si="137">R33+Q32</f>
        <v>-8528460.4864862729</v>
      </c>
      <c r="S32">
        <f t="shared" ref="S32" si="138">R32/100000</f>
        <v>-85.284604864862729</v>
      </c>
      <c r="T32">
        <f t="shared" ref="T32" si="139">S32/1000</f>
        <v>-8.5284604864862723E-2</v>
      </c>
    </row>
    <row r="33" spans="1:20" x14ac:dyDescent="0.25">
      <c r="A33" s="5">
        <v>44560</v>
      </c>
      <c r="B33">
        <v>9.1259999999999994</v>
      </c>
      <c r="C33">
        <v>9.2769999999999992</v>
      </c>
      <c r="D33">
        <v>8.8460000000000001</v>
      </c>
      <c r="E33">
        <v>9.0350000000000001</v>
      </c>
      <c r="F33">
        <v>167915.1</v>
      </c>
      <c r="G33">
        <v>9.0350000000000001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-0.12296983758700498</v>
      </c>
      <c r="Q33">
        <f t="shared" ref="Q33" si="141">F33*P33</f>
        <v>-20648.4925754057</v>
      </c>
      <c r="R33">
        <f t="shared" ref="R33" si="142">R34+Q33</f>
        <v>-8468466.4691415187</v>
      </c>
      <c r="S33">
        <f t="shared" ref="S33" si="143">R33/100000</f>
        <v>-84.684664691415193</v>
      </c>
      <c r="T33">
        <f t="shared" ref="T33" si="144">S33/1000</f>
        <v>-8.4684664691415196E-2</v>
      </c>
    </row>
    <row r="34" spans="1:20" x14ac:dyDescent="0.25">
      <c r="A34" s="5">
        <v>44559</v>
      </c>
      <c r="B34">
        <v>9.1329999999999991</v>
      </c>
      <c r="C34">
        <v>9.6039999999999992</v>
      </c>
      <c r="D34">
        <v>9.0210000000000008</v>
      </c>
      <c r="E34">
        <v>9.1229999999999993</v>
      </c>
      <c r="F34">
        <v>138882.5</v>
      </c>
      <c r="G34">
        <v>9.1229999999999993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-0.65008576329331458</v>
      </c>
      <c r="Q34">
        <f t="shared" ref="Q34" si="146">F34*P34</f>
        <v>-90285.536020583764</v>
      </c>
      <c r="R34">
        <f t="shared" ref="R34" si="147">R35+Q34</f>
        <v>-8447817.9765661135</v>
      </c>
      <c r="S34">
        <f t="shared" ref="S34" si="148">R34/100000</f>
        <v>-84.478179765661139</v>
      </c>
      <c r="T34">
        <f t="shared" ref="T34" si="149">S34/1000</f>
        <v>-8.4478179765661132E-2</v>
      </c>
    </row>
    <row r="35" spans="1:20" x14ac:dyDescent="0.25">
      <c r="A35" s="5">
        <v>44558</v>
      </c>
      <c r="B35">
        <v>10.161</v>
      </c>
      <c r="C35">
        <v>10.186</v>
      </c>
      <c r="D35">
        <v>9.0749999999999993</v>
      </c>
      <c r="E35">
        <v>9.1329999999999991</v>
      </c>
      <c r="F35">
        <v>215150</v>
      </c>
      <c r="G35">
        <v>9.1329999999999991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-0.89558955895589598</v>
      </c>
      <c r="Q35">
        <f t="shared" ref="Q35" si="151">F35*P35</f>
        <v>-192686.09360936101</v>
      </c>
      <c r="R35">
        <f t="shared" ref="R35" si="152">R36+Q35</f>
        <v>-8357532.4405455301</v>
      </c>
      <c r="S35">
        <f t="shared" ref="S35" si="153">R35/100000</f>
        <v>-83.575324405455305</v>
      </c>
      <c r="T35">
        <f t="shared" ref="T35" si="154">S35/1000</f>
        <v>-8.3575324405455301E-2</v>
      </c>
    </row>
    <row r="36" spans="1:20" x14ac:dyDescent="0.25">
      <c r="A36" s="5">
        <v>44557</v>
      </c>
      <c r="B36">
        <v>9.8179999999999996</v>
      </c>
      <c r="C36">
        <v>10.585000000000001</v>
      </c>
      <c r="D36">
        <v>9.7609999999999992</v>
      </c>
      <c r="E36">
        <v>10.157999999999999</v>
      </c>
      <c r="F36">
        <v>230542.1</v>
      </c>
      <c r="G36">
        <v>10.157999999999999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-3.6407766990292571E-2</v>
      </c>
      <c r="Q36">
        <f t="shared" ref="Q36" si="156">F36*P36</f>
        <v>-8393.5230582527292</v>
      </c>
      <c r="R36">
        <f t="shared" ref="R36" si="157">R37+Q36</f>
        <v>-8164846.3469361691</v>
      </c>
      <c r="S36">
        <f t="shared" ref="S36" si="158">R36/100000</f>
        <v>-81.648463469361687</v>
      </c>
      <c r="T36">
        <f t="shared" ref="T36" si="159">S36/1000</f>
        <v>-8.1648463469361693E-2</v>
      </c>
    </row>
    <row r="37" spans="1:20" x14ac:dyDescent="0.25">
      <c r="A37" s="5">
        <v>44556</v>
      </c>
      <c r="B37">
        <v>9.9429999999999996</v>
      </c>
      <c r="C37">
        <v>10.057</v>
      </c>
      <c r="D37">
        <v>9.59</v>
      </c>
      <c r="E37">
        <v>9.8179999999999996</v>
      </c>
      <c r="F37">
        <v>140688</v>
      </c>
      <c r="G37">
        <v>9.8179999999999996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-2.3554603854391856E-2</v>
      </c>
      <c r="Q37">
        <f t="shared" ref="Q37" si="161">F37*P37</f>
        <v>-3313.8501070666816</v>
      </c>
      <c r="R37">
        <f t="shared" ref="R37" si="162">R38+Q37</f>
        <v>-8156452.8238779167</v>
      </c>
      <c r="S37">
        <f t="shared" ref="S37" si="163">R37/100000</f>
        <v>-81.564528238779161</v>
      </c>
      <c r="T37">
        <f t="shared" ref="T37" si="164">S37/1000</f>
        <v>-8.156452823877916E-2</v>
      </c>
    </row>
    <row r="38" spans="1:20" x14ac:dyDescent="0.25">
      <c r="A38" s="5">
        <v>44555</v>
      </c>
      <c r="B38">
        <v>9.8569999999999993</v>
      </c>
      <c r="C38">
        <v>10.164</v>
      </c>
      <c r="D38">
        <v>9.8109999999999999</v>
      </c>
      <c r="E38">
        <v>9.9749999999999996</v>
      </c>
      <c r="F38">
        <v>106240.7</v>
      </c>
      <c r="G38">
        <v>9.9749999999999996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-7.0821529745043549E-2</v>
      </c>
      <c r="Q38">
        <f t="shared" ref="Q38" si="166">F38*P38</f>
        <v>-7524.128895184248</v>
      </c>
      <c r="R38">
        <f t="shared" ref="R38" si="167">R39+Q38</f>
        <v>-8153138.9737708503</v>
      </c>
      <c r="S38">
        <f t="shared" ref="S38" si="168">R38/100000</f>
        <v>-81.531389737708508</v>
      </c>
      <c r="T38">
        <f t="shared" ref="T38" si="169">S38/1000</f>
        <v>-8.1531389737708515E-2</v>
      </c>
    </row>
    <row r="39" spans="1:20" x14ac:dyDescent="0.25">
      <c r="A39" s="5">
        <v>44554</v>
      </c>
      <c r="B39">
        <v>10.036</v>
      </c>
      <c r="C39">
        <v>10.182</v>
      </c>
      <c r="D39">
        <v>9.702</v>
      </c>
      <c r="E39">
        <v>9.8889999999999993</v>
      </c>
      <c r="F39">
        <v>171698.8</v>
      </c>
      <c r="G39">
        <v>9.8889999999999993</v>
      </c>
      <c r="L39" t="s">
        <v>7</v>
      </c>
      <c r="M39" t="s">
        <v>7</v>
      </c>
      <c r="N39" t="s">
        <v>7</v>
      </c>
      <c r="P39">
        <f t="shared" ref="P39" si="170">IF(C39=D39,0,((E39-D39)-(C39-E39))/(C39-D39))</f>
        <v>-0.22083333333333657</v>
      </c>
      <c r="Q39">
        <f t="shared" ref="Q39" si="171">F39*P39</f>
        <v>-37916.818333333889</v>
      </c>
      <c r="R39">
        <f t="shared" ref="R39" si="172">R40+Q39</f>
        <v>-8145614.8448756663</v>
      </c>
      <c r="S39">
        <f t="shared" ref="S39" si="173">R39/100000</f>
        <v>-81.456148448756664</v>
      </c>
      <c r="T39">
        <f t="shared" ref="T39" si="174">S39/1000</f>
        <v>-8.1456148448756663E-2</v>
      </c>
    </row>
    <row r="40" spans="1:20" x14ac:dyDescent="0.25">
      <c r="A40" s="5">
        <v>44553</v>
      </c>
      <c r="B40">
        <v>9.4939999999999998</v>
      </c>
      <c r="C40">
        <v>10.510999999999999</v>
      </c>
      <c r="D40">
        <v>9.3800000000000008</v>
      </c>
      <c r="E40">
        <v>9.9960000000000004</v>
      </c>
      <c r="F40">
        <v>155031</v>
      </c>
      <c r="G40">
        <v>9.9960000000000004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8.9301503094607437E-2</v>
      </c>
      <c r="Q40">
        <f t="shared" ref="Q40" si="176">F40*P40</f>
        <v>13844.501326260086</v>
      </c>
      <c r="R40">
        <f t="shared" ref="R40" si="177">R41+Q40</f>
        <v>-8107698.026542332</v>
      </c>
      <c r="S40">
        <f t="shared" ref="S40" si="178">R40/100000</f>
        <v>-81.076980265423316</v>
      </c>
      <c r="T40">
        <f t="shared" ref="T40" si="179">S40/1000</f>
        <v>-8.1076980265423315E-2</v>
      </c>
    </row>
    <row r="41" spans="1:20" x14ac:dyDescent="0.25">
      <c r="A41" s="5">
        <v>44552</v>
      </c>
      <c r="B41">
        <v>9.6319999999999997</v>
      </c>
      <c r="C41">
        <v>10.026</v>
      </c>
      <c r="D41">
        <v>9.4589999999999996</v>
      </c>
      <c r="E41">
        <v>9.4649999999999999</v>
      </c>
      <c r="F41">
        <v>131533.20000000001</v>
      </c>
      <c r="G41">
        <v>9.4649999999999999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-0.97883597883597806</v>
      </c>
      <c r="Q41">
        <f t="shared" ref="Q41" si="181">F41*P41</f>
        <v>-128749.42857142848</v>
      </c>
      <c r="R41">
        <f t="shared" ref="R41" si="182">R42+Q41</f>
        <v>-8121542.5278685922</v>
      </c>
      <c r="S41">
        <f t="shared" ref="S41" si="183">R41/100000</f>
        <v>-81.215425278685927</v>
      </c>
      <c r="T41">
        <f t="shared" ref="T41" si="184">S41/1000</f>
        <v>-8.1215425278685929E-2</v>
      </c>
    </row>
    <row r="42" spans="1:20" x14ac:dyDescent="0.25">
      <c r="A42" s="5">
        <v>44551</v>
      </c>
      <c r="B42">
        <v>9.3689999999999998</v>
      </c>
      <c r="C42">
        <v>11.2</v>
      </c>
      <c r="D42">
        <v>9.1790000000000003</v>
      </c>
      <c r="E42">
        <v>9.6210000000000004</v>
      </c>
      <c r="F42">
        <v>723092.4</v>
      </c>
      <c r="G42">
        <v>9.6210000000000004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-0.56259277585353751</v>
      </c>
      <c r="Q42">
        <f t="shared" ref="Q42" si="186">F42*P42</f>
        <v>-406806.56051459652</v>
      </c>
      <c r="R42">
        <f t="shared" ref="R42" si="187">R43+Q42</f>
        <v>-7992793.099297164</v>
      </c>
      <c r="S42">
        <f t="shared" ref="S42" si="188">R42/100000</f>
        <v>-79.927930992971639</v>
      </c>
      <c r="T42">
        <f t="shared" ref="T42" si="189">S42/1000</f>
        <v>-7.9927930992971644E-2</v>
      </c>
    </row>
    <row r="43" spans="1:20" x14ac:dyDescent="0.25">
      <c r="A43" s="5">
        <v>44550</v>
      </c>
      <c r="B43">
        <v>9.1180000000000003</v>
      </c>
      <c r="C43">
        <v>9.4550000000000001</v>
      </c>
      <c r="D43">
        <v>8.625</v>
      </c>
      <c r="E43">
        <v>9.3699999999999992</v>
      </c>
      <c r="F43">
        <v>201955</v>
      </c>
      <c r="G43">
        <v>9.3699999999999992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0.79518072289156427</v>
      </c>
      <c r="Q43">
        <f t="shared" ref="Q43" si="191">F43*P43</f>
        <v>160590.72289156585</v>
      </c>
      <c r="R43">
        <f t="shared" ref="R43" si="192">R44+Q43</f>
        <v>-7585986.5387825677</v>
      </c>
      <c r="S43">
        <f t="shared" ref="S43" si="193">R43/100000</f>
        <v>-75.859865387825678</v>
      </c>
      <c r="T43">
        <f t="shared" ref="T43" si="194">S43/1000</f>
        <v>-7.5859865387825673E-2</v>
      </c>
    </row>
    <row r="44" spans="1:20" x14ac:dyDescent="0.25">
      <c r="A44" s="5">
        <v>44549</v>
      </c>
      <c r="B44">
        <v>9.452</v>
      </c>
      <c r="C44">
        <v>9.6199999999999992</v>
      </c>
      <c r="D44">
        <v>9.1170000000000009</v>
      </c>
      <c r="E44">
        <v>9.1549999999999994</v>
      </c>
      <c r="F44">
        <v>207508.6</v>
      </c>
      <c r="G44">
        <v>9.1549999999999994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-0.84890656063618841</v>
      </c>
      <c r="Q44">
        <f t="shared" ref="Q44" si="196">F44*P44</f>
        <v>-176155.41192843058</v>
      </c>
      <c r="R44">
        <f t="shared" ref="R44" si="197">R45+Q44</f>
        <v>-7746577.2616741331</v>
      </c>
      <c r="S44">
        <f t="shared" ref="S44" si="198">R44/100000</f>
        <v>-77.465772616741333</v>
      </c>
      <c r="T44">
        <f t="shared" ref="T44" si="199">S44/1000</f>
        <v>-7.7465772616741327E-2</v>
      </c>
    </row>
    <row r="45" spans="1:20" x14ac:dyDescent="0.25">
      <c r="A45" s="5">
        <v>44548</v>
      </c>
      <c r="B45">
        <v>9.32</v>
      </c>
      <c r="C45">
        <v>9.5449999999999999</v>
      </c>
      <c r="D45">
        <v>9.0990000000000002</v>
      </c>
      <c r="E45">
        <v>9.4280000000000008</v>
      </c>
      <c r="F45">
        <v>141491.9</v>
      </c>
      <c r="G45">
        <v>9.4280000000000008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0.47533632286995886</v>
      </c>
      <c r="Q45">
        <f t="shared" ref="Q45" si="201">F45*P45</f>
        <v>67256.239461883932</v>
      </c>
      <c r="R45">
        <f t="shared" ref="R45" si="202">R46+Q45</f>
        <v>-7570421.8497457029</v>
      </c>
      <c r="S45">
        <f t="shared" ref="S45" si="203">R45/100000</f>
        <v>-75.704218497457035</v>
      </c>
      <c r="T45">
        <f t="shared" ref="T45" si="204">S45/1000</f>
        <v>-7.5704218497457038E-2</v>
      </c>
    </row>
    <row r="46" spans="1:20" x14ac:dyDescent="0.25">
      <c r="A46" s="5">
        <v>44547</v>
      </c>
      <c r="B46">
        <v>9.6219999999999999</v>
      </c>
      <c r="C46">
        <v>9.7989999999999995</v>
      </c>
      <c r="D46">
        <v>9.1080000000000005</v>
      </c>
      <c r="E46">
        <v>9.3030000000000008</v>
      </c>
      <c r="F46">
        <v>149433.29999999999</v>
      </c>
      <c r="G46">
        <v>9.3030000000000008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-0.43560057887119946</v>
      </c>
      <c r="Q46">
        <f t="shared" ref="Q46" si="206">F46*P46</f>
        <v>-65093.231982633602</v>
      </c>
      <c r="R46">
        <f t="shared" ref="R46" si="207">R47+Q46</f>
        <v>-7637678.0892075868</v>
      </c>
      <c r="S46">
        <f t="shared" ref="S46" si="208">R46/100000</f>
        <v>-76.376780892075871</v>
      </c>
      <c r="T46">
        <f t="shared" ref="T46" si="209">S46/1000</f>
        <v>-7.6376780892075877E-2</v>
      </c>
    </row>
    <row r="47" spans="1:20" x14ac:dyDescent="0.25">
      <c r="A47" s="5">
        <v>44546</v>
      </c>
      <c r="B47">
        <v>9.7059999999999995</v>
      </c>
      <c r="C47">
        <v>10.272</v>
      </c>
      <c r="D47">
        <v>9.5640000000000001</v>
      </c>
      <c r="E47">
        <v>9.6820000000000004</v>
      </c>
      <c r="F47">
        <v>116331.5</v>
      </c>
      <c r="G47">
        <v>9.6820000000000004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-0.66666666666666585</v>
      </c>
      <c r="Q47">
        <f t="shared" ref="Q47" si="211">F47*P47</f>
        <v>-77554.333333333241</v>
      </c>
      <c r="R47">
        <f t="shared" ref="R47" si="212">R48+Q47</f>
        <v>-7572584.8572249534</v>
      </c>
      <c r="S47">
        <f t="shared" ref="S47" si="213">R47/100000</f>
        <v>-75.725848572249532</v>
      </c>
      <c r="T47">
        <f t="shared" ref="T47" si="214">S47/1000</f>
        <v>-7.5725848572249538E-2</v>
      </c>
    </row>
    <row r="48" spans="1:20" x14ac:dyDescent="0.25">
      <c r="A48" s="5">
        <v>44545</v>
      </c>
      <c r="B48">
        <v>9.3360000000000003</v>
      </c>
      <c r="C48">
        <v>9.9410000000000007</v>
      </c>
      <c r="D48">
        <v>8.7739999999999991</v>
      </c>
      <c r="E48">
        <v>9.6999999999999993</v>
      </c>
      <c r="F48">
        <v>172947</v>
      </c>
      <c r="G48">
        <v>9.6999999999999993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0.58697514995715316</v>
      </c>
      <c r="Q48">
        <f t="shared" ref="Q48" si="216">F48*P48</f>
        <v>101515.59125963977</v>
      </c>
      <c r="R48">
        <f t="shared" ref="R48" si="217">R49+Q48</f>
        <v>-7495030.5238916203</v>
      </c>
      <c r="S48">
        <f t="shared" ref="S48" si="218">R48/100000</f>
        <v>-74.950305238916201</v>
      </c>
      <c r="T48">
        <f t="shared" ref="T48" si="219">S48/1000</f>
        <v>-7.4950305238916201E-2</v>
      </c>
    </row>
    <row r="49" spans="1:20" x14ac:dyDescent="0.25">
      <c r="A49" s="5">
        <v>44544</v>
      </c>
      <c r="B49">
        <v>9.3170000000000002</v>
      </c>
      <c r="C49">
        <v>9.6129999999999995</v>
      </c>
      <c r="D49">
        <v>8.92</v>
      </c>
      <c r="E49">
        <v>9.3800000000000008</v>
      </c>
      <c r="F49">
        <v>131518.79999999999</v>
      </c>
      <c r="G49">
        <v>9.3800000000000008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0.32756132756133077</v>
      </c>
      <c r="Q49">
        <f t="shared" ref="Q49" si="221">F49*P49</f>
        <v>43080.472727273147</v>
      </c>
      <c r="R49">
        <f t="shared" ref="R49" si="222">R50+Q49</f>
        <v>-7596546.11515126</v>
      </c>
      <c r="S49">
        <f t="shared" ref="S49" si="223">R49/100000</f>
        <v>-75.965461151512599</v>
      </c>
      <c r="T49">
        <f t="shared" ref="T49" si="224">S49/1000</f>
        <v>-7.5965461151512606E-2</v>
      </c>
    </row>
    <row r="50" spans="1:20" x14ac:dyDescent="0.25">
      <c r="A50" s="5">
        <v>44543</v>
      </c>
      <c r="B50">
        <v>10.459</v>
      </c>
      <c r="C50">
        <v>10.72</v>
      </c>
      <c r="D50">
        <v>9.1750000000000007</v>
      </c>
      <c r="E50">
        <v>9.3170000000000002</v>
      </c>
      <c r="F50">
        <v>348412.1</v>
      </c>
      <c r="G50">
        <v>9.3170000000000002</v>
      </c>
      <c r="L50" t="s">
        <v>7</v>
      </c>
      <c r="M50" t="s">
        <v>8</v>
      </c>
      <c r="N50" t="s">
        <v>7</v>
      </c>
      <c r="P50">
        <f t="shared" ref="P50" si="225">IF(C50=D50,0,((E50-D50)-(C50-E50))/(C50-D50))</f>
        <v>-0.81618122977346352</v>
      </c>
      <c r="Q50">
        <f t="shared" ref="Q50" si="226">F50*P50</f>
        <v>-284367.41624595493</v>
      </c>
      <c r="R50">
        <f t="shared" ref="R50" si="227">R51+Q50</f>
        <v>-7639626.5878785336</v>
      </c>
      <c r="S50">
        <f t="shared" ref="S50" si="228">R50/100000</f>
        <v>-76.396265878785343</v>
      </c>
      <c r="T50">
        <f t="shared" ref="T50" si="229">S50/1000</f>
        <v>-7.6396265878785341E-2</v>
      </c>
    </row>
    <row r="51" spans="1:20" x14ac:dyDescent="0.25">
      <c r="A51" s="5">
        <v>44542</v>
      </c>
      <c r="B51">
        <v>9.3330000000000002</v>
      </c>
      <c r="C51">
        <v>10.818</v>
      </c>
      <c r="D51">
        <v>9.2799999999999994</v>
      </c>
      <c r="E51">
        <v>10.454000000000001</v>
      </c>
      <c r="F51">
        <v>322363.3</v>
      </c>
      <c r="G51">
        <v>10.454000000000001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0.52665799739922114</v>
      </c>
      <c r="Q51">
        <f t="shared" ref="Q51" si="231">F51*P51</f>
        <v>169775.21001300434</v>
      </c>
      <c r="R51">
        <f t="shared" ref="R51" si="232">R52+Q51</f>
        <v>-7355259.1716325786</v>
      </c>
      <c r="S51">
        <f t="shared" ref="S51" si="233">R51/100000</f>
        <v>-73.552591716325793</v>
      </c>
      <c r="T51">
        <f t="shared" ref="T51" si="234">S51/1000</f>
        <v>-7.3552591716325791E-2</v>
      </c>
    </row>
    <row r="52" spans="1:20" x14ac:dyDescent="0.25">
      <c r="A52" s="5">
        <v>44541</v>
      </c>
      <c r="B52">
        <v>8.9760000000000009</v>
      </c>
      <c r="C52">
        <v>9.1489999999999991</v>
      </c>
      <c r="D52">
        <v>8.8829999999999991</v>
      </c>
      <c r="E52">
        <v>9.1489999999999991</v>
      </c>
      <c r="F52">
        <v>4122.5</v>
      </c>
      <c r="G52">
        <v>9.1489999999999991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1</v>
      </c>
      <c r="Q52">
        <f t="shared" ref="Q52" si="236">F52*P52</f>
        <v>4122.5</v>
      </c>
      <c r="R52">
        <f t="shared" ref="R52" si="237">R53+Q52</f>
        <v>-7525034.3816455826</v>
      </c>
      <c r="S52">
        <f t="shared" ref="S52" si="238">R52/100000</f>
        <v>-75.250343816455825</v>
      </c>
      <c r="T52">
        <f t="shared" ref="T52" si="239">S52/1000</f>
        <v>-7.5250343816455831E-2</v>
      </c>
    </row>
    <row r="53" spans="1:20" x14ac:dyDescent="0.25">
      <c r="A53" s="5">
        <v>44540</v>
      </c>
      <c r="B53">
        <v>9.5670000000000002</v>
      </c>
      <c r="C53">
        <v>9.9250000000000007</v>
      </c>
      <c r="D53">
        <v>8.9719999999999995</v>
      </c>
      <c r="E53">
        <v>8.9760000000000009</v>
      </c>
      <c r="F53">
        <v>173592.5</v>
      </c>
      <c r="G53">
        <v>8.9760000000000009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-0.99160545645330256</v>
      </c>
      <c r="Q53">
        <f t="shared" ref="Q53" si="241">F53*P53</f>
        <v>-172135.27019936993</v>
      </c>
      <c r="R53">
        <f t="shared" ref="R53" si="242">R54+Q53</f>
        <v>-7529156.8816455826</v>
      </c>
      <c r="S53">
        <f t="shared" ref="S53" si="243">R53/100000</f>
        <v>-75.291568816455822</v>
      </c>
      <c r="T53">
        <f t="shared" ref="T53" si="244">S53/1000</f>
        <v>-7.5291568816455823E-2</v>
      </c>
    </row>
    <row r="54" spans="1:20" x14ac:dyDescent="0.25">
      <c r="A54" s="5">
        <v>44539</v>
      </c>
      <c r="B54">
        <v>10.436</v>
      </c>
      <c r="C54">
        <v>10.871</v>
      </c>
      <c r="D54">
        <v>9.5389999999999997</v>
      </c>
      <c r="E54">
        <v>9.5399999999999991</v>
      </c>
      <c r="F54">
        <v>370846.7</v>
      </c>
      <c r="G54">
        <v>9.5399999999999991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-0.99849849849849937</v>
      </c>
      <c r="Q54">
        <f t="shared" ref="Q54" si="246">F54*P54</f>
        <v>-370289.87312312349</v>
      </c>
      <c r="R54">
        <f t="shared" ref="R54" si="247">R55+Q54</f>
        <v>-7357021.611446213</v>
      </c>
      <c r="S54">
        <f t="shared" ref="S54" si="248">R54/100000</f>
        <v>-73.570216114462127</v>
      </c>
      <c r="T54">
        <f t="shared" ref="T54" si="249">S54/1000</f>
        <v>-7.3570216114462128E-2</v>
      </c>
    </row>
    <row r="55" spans="1:20" x14ac:dyDescent="0.25">
      <c r="A55" s="5">
        <v>44538</v>
      </c>
      <c r="B55">
        <v>11.138999999999999</v>
      </c>
      <c r="C55">
        <v>11.516999999999999</v>
      </c>
      <c r="D55">
        <v>10.321999999999999</v>
      </c>
      <c r="E55">
        <v>10.436999999999999</v>
      </c>
      <c r="F55">
        <v>311515.8</v>
      </c>
      <c r="G55">
        <v>10.436999999999999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-0.8075313807531378</v>
      </c>
      <c r="Q55">
        <f t="shared" ref="Q55" si="251">F55*P55</f>
        <v>-251558.7841004183</v>
      </c>
      <c r="R55">
        <f t="shared" ref="R55" si="252">R56+Q55</f>
        <v>-6986731.7383230897</v>
      </c>
      <c r="S55">
        <f t="shared" ref="S55" si="253">R55/100000</f>
        <v>-69.867317383230898</v>
      </c>
      <c r="T55">
        <f t="shared" ref="T55" si="254">S55/1000</f>
        <v>-6.9867317383230904E-2</v>
      </c>
    </row>
    <row r="56" spans="1:20" x14ac:dyDescent="0.25">
      <c r="A56" s="5">
        <v>44537</v>
      </c>
      <c r="B56">
        <v>9.7279999999999998</v>
      </c>
      <c r="C56">
        <v>12.228</v>
      </c>
      <c r="D56">
        <v>9.6539999999999999</v>
      </c>
      <c r="E56">
        <v>11.141</v>
      </c>
      <c r="F56">
        <v>613341.69999999995</v>
      </c>
      <c r="G56">
        <v>11.141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0.15540015540015556</v>
      </c>
      <c r="Q56">
        <f t="shared" ref="Q56" si="256">F56*P56</f>
        <v>95313.395493395583</v>
      </c>
      <c r="R56">
        <f t="shared" ref="R56" si="257">R57+Q56</f>
        <v>-6735172.9542226717</v>
      </c>
      <c r="S56">
        <f t="shared" ref="S56" si="258">R56/100000</f>
        <v>-67.351729542226721</v>
      </c>
      <c r="T56">
        <f t="shared" ref="T56" si="259">S56/1000</f>
        <v>-6.7351729542226721E-2</v>
      </c>
    </row>
    <row r="57" spans="1:20" x14ac:dyDescent="0.25">
      <c r="A57" s="5">
        <v>44536</v>
      </c>
      <c r="B57">
        <v>9.6929999999999996</v>
      </c>
      <c r="C57">
        <v>10.5</v>
      </c>
      <c r="D57">
        <v>8.5739999999999998</v>
      </c>
      <c r="E57">
        <v>9.7289999999999992</v>
      </c>
      <c r="F57">
        <v>306168.09999999998</v>
      </c>
      <c r="G57">
        <v>9.7289999999999992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0.19937694704049769</v>
      </c>
      <c r="Q57">
        <f t="shared" ref="Q57" si="261">F57*P57</f>
        <v>61042.861059189796</v>
      </c>
      <c r="R57">
        <f t="shared" ref="R57" si="262">R58+Q57</f>
        <v>-6830486.3497160673</v>
      </c>
      <c r="S57">
        <f t="shared" ref="S57" si="263">R57/100000</f>
        <v>-68.304863497160667</v>
      </c>
      <c r="T57">
        <f t="shared" ref="T57" si="264">S57/1000</f>
        <v>-6.8304863497160667E-2</v>
      </c>
    </row>
    <row r="58" spans="1:20" x14ac:dyDescent="0.25">
      <c r="A58" s="5">
        <v>44535</v>
      </c>
      <c r="B58">
        <v>10.413</v>
      </c>
      <c r="C58">
        <v>10.913</v>
      </c>
      <c r="D58">
        <v>9.3480000000000008</v>
      </c>
      <c r="E58">
        <v>9.6950000000000003</v>
      </c>
      <c r="F58">
        <v>167545.60000000001</v>
      </c>
      <c r="G58">
        <v>9.6950000000000003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-0.55654952076677366</v>
      </c>
      <c r="Q58">
        <f t="shared" ref="Q58" si="266">F58*P58</f>
        <v>-93247.423386581562</v>
      </c>
      <c r="R58">
        <f t="shared" ref="R58" si="267">R59+Q58</f>
        <v>-6891529.2107752571</v>
      </c>
      <c r="S58">
        <f t="shared" ref="S58" si="268">R58/100000</f>
        <v>-68.915292107752578</v>
      </c>
      <c r="T58">
        <f t="shared" ref="T58" si="269">S58/1000</f>
        <v>-6.8915292107752574E-2</v>
      </c>
    </row>
    <row r="59" spans="1:20" x14ac:dyDescent="0.25">
      <c r="A59" s="5">
        <v>44534</v>
      </c>
      <c r="B59">
        <v>11.903</v>
      </c>
      <c r="C59">
        <v>12.061999999999999</v>
      </c>
      <c r="D59">
        <v>9.6910000000000007</v>
      </c>
      <c r="E59">
        <v>10.404999999999999</v>
      </c>
      <c r="F59">
        <v>407886.4</v>
      </c>
      <c r="G59">
        <v>10.404999999999999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-0.39772247996625976</v>
      </c>
      <c r="Q59">
        <f t="shared" ref="Q59" si="271">F59*P59</f>
        <v>-162225.59055250982</v>
      </c>
      <c r="R59">
        <f t="shared" ref="R59" si="272">R60+Q59</f>
        <v>-6798281.7873886758</v>
      </c>
      <c r="S59">
        <f t="shared" ref="S59" si="273">R59/100000</f>
        <v>-67.982817873886759</v>
      </c>
      <c r="T59">
        <f t="shared" ref="T59" si="274">S59/1000</f>
        <v>-6.7982817873886756E-2</v>
      </c>
    </row>
    <row r="60" spans="1:20" x14ac:dyDescent="0.25">
      <c r="A60" s="5">
        <v>44533</v>
      </c>
      <c r="B60">
        <v>12.24</v>
      </c>
      <c r="C60">
        <v>12.805</v>
      </c>
      <c r="D60">
        <v>11.5</v>
      </c>
      <c r="E60">
        <v>11.901999999999999</v>
      </c>
      <c r="F60">
        <v>447782.2</v>
      </c>
      <c r="G60">
        <v>11.901999999999999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-0.3839080459770125</v>
      </c>
      <c r="Q60">
        <f t="shared" ref="Q60" si="276">F60*P60</f>
        <v>-171907.18942528783</v>
      </c>
      <c r="R60">
        <f t="shared" ref="R60" si="277">R61+Q60</f>
        <v>-6636056.1968361661</v>
      </c>
      <c r="S60">
        <f t="shared" ref="S60" si="278">R60/100000</f>
        <v>-66.360561968361665</v>
      </c>
      <c r="T60">
        <f t="shared" ref="T60" si="279">S60/1000</f>
        <v>-6.6360561968361667E-2</v>
      </c>
    </row>
    <row r="61" spans="1:20" x14ac:dyDescent="0.25">
      <c r="A61" s="5">
        <v>44532</v>
      </c>
      <c r="B61">
        <v>12.772</v>
      </c>
      <c r="C61">
        <v>12.785</v>
      </c>
      <c r="D61">
        <v>12.021000000000001</v>
      </c>
      <c r="E61">
        <v>12.211</v>
      </c>
      <c r="F61">
        <v>343947.2</v>
      </c>
      <c r="G61">
        <v>12.211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-0.50261780104712128</v>
      </c>
      <c r="Q61">
        <f t="shared" ref="Q61" si="281">F61*P61</f>
        <v>-172873.98534031445</v>
      </c>
      <c r="R61">
        <f t="shared" ref="R61" si="282">R62+Q61</f>
        <v>-6464149.0074108783</v>
      </c>
      <c r="S61">
        <f t="shared" ref="S61" si="283">R61/100000</f>
        <v>-64.641490074108788</v>
      </c>
      <c r="T61">
        <f t="shared" ref="T61" si="284">S61/1000</f>
        <v>-6.4641490074108784E-2</v>
      </c>
    </row>
    <row r="62" spans="1:20" x14ac:dyDescent="0.25">
      <c r="A62" s="5">
        <v>44531</v>
      </c>
      <c r="B62">
        <v>13.022</v>
      </c>
      <c r="C62">
        <v>13.3</v>
      </c>
      <c r="D62">
        <v>12.471</v>
      </c>
      <c r="E62">
        <v>12.772</v>
      </c>
      <c r="F62">
        <v>548066.30000000005</v>
      </c>
      <c r="G62">
        <v>12.772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-0.27382388419782888</v>
      </c>
      <c r="Q62">
        <f t="shared" ref="Q62" si="286">F62*P62</f>
        <v>-150073.64306393257</v>
      </c>
      <c r="R62">
        <f t="shared" ref="R62" si="287">R63+Q62</f>
        <v>-6291275.0220705643</v>
      </c>
      <c r="S62">
        <f t="shared" ref="S62" si="288">R62/100000</f>
        <v>-62.912750220705647</v>
      </c>
      <c r="T62">
        <f t="shared" ref="T62" si="289">S62/1000</f>
        <v>-6.2912750220705652E-2</v>
      </c>
    </row>
    <row r="63" spans="1:20" x14ac:dyDescent="0.25">
      <c r="A63" s="5">
        <v>44530</v>
      </c>
      <c r="B63">
        <v>14.066000000000001</v>
      </c>
      <c r="C63">
        <v>14.561</v>
      </c>
      <c r="D63">
        <v>12.927</v>
      </c>
      <c r="E63">
        <v>13.05</v>
      </c>
      <c r="F63">
        <v>414553.2</v>
      </c>
      <c r="G63">
        <v>13.05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-0.8494492044063634</v>
      </c>
      <c r="Q63">
        <f t="shared" ref="Q63" si="291">F63*P63</f>
        <v>-352141.88592411205</v>
      </c>
      <c r="R63">
        <f t="shared" ref="R63" si="292">R64+Q63</f>
        <v>-6141201.3790066317</v>
      </c>
      <c r="S63">
        <f t="shared" ref="S63" si="293">R63/100000</f>
        <v>-61.412013790066318</v>
      </c>
      <c r="T63">
        <f t="shared" ref="T63" si="294">S63/1000</f>
        <v>-6.1412013790066319E-2</v>
      </c>
    </row>
    <row r="64" spans="1:20" x14ac:dyDescent="0.25">
      <c r="A64" s="5">
        <v>44529</v>
      </c>
      <c r="B64">
        <v>14.548</v>
      </c>
      <c r="C64">
        <v>15.154</v>
      </c>
      <c r="D64">
        <v>14.042</v>
      </c>
      <c r="E64">
        <v>14.066000000000001</v>
      </c>
      <c r="F64">
        <v>230648.5</v>
      </c>
      <c r="G64">
        <v>14.066000000000001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-0.9568345323740991</v>
      </c>
      <c r="Q64">
        <f t="shared" ref="Q64" si="296">F64*P64</f>
        <v>-220692.44964028741</v>
      </c>
      <c r="R64">
        <f t="shared" ref="R64" si="297">R65+Q64</f>
        <v>-5789059.4930825196</v>
      </c>
      <c r="S64">
        <f t="shared" ref="S64" si="298">R64/100000</f>
        <v>-57.890594930825195</v>
      </c>
      <c r="T64">
        <f t="shared" ref="T64" si="299">S64/1000</f>
        <v>-5.7890594930825198E-2</v>
      </c>
    </row>
    <row r="65" spans="1:20" x14ac:dyDescent="0.25">
      <c r="A65" s="5">
        <v>44528</v>
      </c>
      <c r="B65">
        <v>13.739000000000001</v>
      </c>
      <c r="C65">
        <v>14.769</v>
      </c>
      <c r="D65">
        <v>12.8</v>
      </c>
      <c r="E65">
        <v>14.548</v>
      </c>
      <c r="F65">
        <v>317210.59999999998</v>
      </c>
      <c r="G65">
        <v>14.548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0.7755205688166581</v>
      </c>
      <c r="Q65">
        <f t="shared" ref="Q65" si="301">F65*P65</f>
        <v>246003.34494667337</v>
      </c>
      <c r="R65">
        <f t="shared" ref="R65" si="302">R66+Q65</f>
        <v>-5568367.0434422325</v>
      </c>
      <c r="S65">
        <f t="shared" ref="S65" si="303">R65/100000</f>
        <v>-55.683670434422325</v>
      </c>
      <c r="T65">
        <f t="shared" ref="T65" si="304">S65/1000</f>
        <v>-5.5683670434422322E-2</v>
      </c>
    </row>
    <row r="66" spans="1:20" x14ac:dyDescent="0.25">
      <c r="A66" s="5">
        <v>44527</v>
      </c>
      <c r="B66">
        <v>13.581</v>
      </c>
      <c r="C66">
        <v>15.066000000000001</v>
      </c>
      <c r="D66">
        <v>13.526</v>
      </c>
      <c r="E66">
        <v>13.739000000000001</v>
      </c>
      <c r="F66">
        <v>252271.3</v>
      </c>
      <c r="G66">
        <v>13.739000000000001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-0.72337662337662234</v>
      </c>
      <c r="Q66">
        <f t="shared" ref="Q66" si="306">F66*P66</f>
        <v>-182487.16116883091</v>
      </c>
      <c r="R66">
        <f t="shared" ref="R66" si="307">R67+Q66</f>
        <v>-5814370.3883889057</v>
      </c>
      <c r="S66">
        <f t="shared" ref="S66" si="308">R66/100000</f>
        <v>-58.14370388388906</v>
      </c>
      <c r="T66">
        <f t="shared" ref="T66" si="309">S66/1000</f>
        <v>-5.8143703883889057E-2</v>
      </c>
    </row>
    <row r="67" spans="1:20" x14ac:dyDescent="0.25">
      <c r="A67" s="5">
        <v>44526</v>
      </c>
      <c r="B67">
        <v>15.531000000000001</v>
      </c>
      <c r="C67">
        <v>15.657</v>
      </c>
      <c r="D67">
        <v>13.1</v>
      </c>
      <c r="E67">
        <v>13.58</v>
      </c>
      <c r="F67">
        <v>349013.2</v>
      </c>
      <c r="G67">
        <v>13.58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-0.62456003128666382</v>
      </c>
      <c r="Q67">
        <f t="shared" ref="Q67" si="311">F67*P67</f>
        <v>-217979.69511145866</v>
      </c>
      <c r="R67">
        <f t="shared" ref="R67" si="312">R68+Q67</f>
        <v>-5631883.2272200752</v>
      </c>
      <c r="S67">
        <f t="shared" ref="S67" si="313">R67/100000</f>
        <v>-56.318832272200751</v>
      </c>
      <c r="T67">
        <f t="shared" ref="T67" si="314">S67/1000</f>
        <v>-5.6318832272200754E-2</v>
      </c>
    </row>
    <row r="68" spans="1:20" x14ac:dyDescent="0.25">
      <c r="A68" s="5">
        <v>44525</v>
      </c>
      <c r="B68">
        <v>14.262</v>
      </c>
      <c r="C68">
        <v>16.649999999999999</v>
      </c>
      <c r="D68">
        <v>14.146000000000001</v>
      </c>
      <c r="E68">
        <v>15.486000000000001</v>
      </c>
      <c r="F68">
        <v>605968.5</v>
      </c>
      <c r="G68">
        <v>15.486000000000001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7.0287539936103066E-2</v>
      </c>
      <c r="Q68">
        <f t="shared" ref="Q68" si="316">F68*P68</f>
        <v>42592.035143770474</v>
      </c>
      <c r="R68">
        <f t="shared" ref="R68" si="317">R69+Q68</f>
        <v>-5413903.5321086161</v>
      </c>
      <c r="S68">
        <f t="shared" ref="S68" si="318">R68/100000</f>
        <v>-54.139035321086162</v>
      </c>
      <c r="T68">
        <f t="shared" ref="T68" si="319">S68/1000</f>
        <v>-5.413903532108616E-2</v>
      </c>
    </row>
    <row r="69" spans="1:20" x14ac:dyDescent="0.25">
      <c r="A69" s="5">
        <v>44524</v>
      </c>
      <c r="B69">
        <v>14.884</v>
      </c>
      <c r="C69">
        <v>16.13</v>
      </c>
      <c r="D69">
        <v>14.353999999999999</v>
      </c>
      <c r="E69">
        <v>14.5</v>
      </c>
      <c r="F69">
        <v>71324.100000000006</v>
      </c>
      <c r="G69">
        <v>14.5</v>
      </c>
      <c r="L69" t="s">
        <v>8</v>
      </c>
      <c r="M69" t="s">
        <v>8</v>
      </c>
      <c r="N69" t="s">
        <v>7</v>
      </c>
      <c r="P69">
        <f t="shared" ref="P69" si="320">IF(C69=D69,0,((E69-D69)-(C69-E69))/(C69-D69))</f>
        <v>-0.83558558558558471</v>
      </c>
      <c r="Q69">
        <f t="shared" ref="Q69" si="321">F69*P69</f>
        <v>-59597.38986486481</v>
      </c>
      <c r="R69">
        <f t="shared" ref="R69" si="322">R70+Q69</f>
        <v>-5456495.5672523864</v>
      </c>
      <c r="S69">
        <f t="shared" ref="S69" si="323">R69/100000</f>
        <v>-54.564955672523865</v>
      </c>
      <c r="T69">
        <f t="shared" ref="T69" si="324">S69/1000</f>
        <v>-5.4564955672523868E-2</v>
      </c>
    </row>
    <row r="70" spans="1:20" x14ac:dyDescent="0.25">
      <c r="A70" s="5">
        <v>44523</v>
      </c>
      <c r="B70">
        <v>15.125999999999999</v>
      </c>
      <c r="C70">
        <v>15.48</v>
      </c>
      <c r="D70">
        <v>14.27</v>
      </c>
      <c r="E70">
        <v>14.871</v>
      </c>
      <c r="F70">
        <v>241977.1</v>
      </c>
      <c r="G70">
        <v>14.871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-6.6115702479331512E-3</v>
      </c>
      <c r="Q70">
        <f t="shared" ref="Q70" si="326">F70*P70</f>
        <v>-1599.848595041145</v>
      </c>
      <c r="R70">
        <f t="shared" ref="R70" si="327">R71+Q70</f>
        <v>-5396898.1773875216</v>
      </c>
      <c r="S70">
        <f t="shared" ref="S70" si="328">R70/100000</f>
        <v>-53.968981773875214</v>
      </c>
      <c r="T70">
        <f t="shared" ref="T70" si="329">S70/1000</f>
        <v>-5.3968981773875213E-2</v>
      </c>
    </row>
    <row r="71" spans="1:20" x14ac:dyDescent="0.25">
      <c r="A71" s="5">
        <v>44522</v>
      </c>
      <c r="B71">
        <v>16.024999999999999</v>
      </c>
      <c r="C71">
        <v>16.283999999999999</v>
      </c>
      <c r="D71">
        <v>14.593999999999999</v>
      </c>
      <c r="E71">
        <v>15.178000000000001</v>
      </c>
      <c r="F71">
        <v>319677.7</v>
      </c>
      <c r="G71">
        <v>15.178000000000001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-0.30887573964496856</v>
      </c>
      <c r="Q71">
        <f t="shared" ref="Q71" si="331">F71*P71</f>
        <v>-98740.686035502367</v>
      </c>
      <c r="R71">
        <f t="shared" ref="R71" si="332">R72+Q71</f>
        <v>-5395298.3287924808</v>
      </c>
      <c r="S71">
        <f t="shared" ref="S71" si="333">R71/100000</f>
        <v>-53.952983287924809</v>
      </c>
      <c r="T71">
        <f t="shared" ref="T71" si="334">S71/1000</f>
        <v>-5.3952983287924812E-2</v>
      </c>
    </row>
    <row r="72" spans="1:20" x14ac:dyDescent="0.25">
      <c r="A72" s="5">
        <v>44521</v>
      </c>
      <c r="B72">
        <v>15.262</v>
      </c>
      <c r="C72">
        <v>16.8</v>
      </c>
      <c r="D72">
        <v>14.87</v>
      </c>
      <c r="E72">
        <v>16.001000000000001</v>
      </c>
      <c r="F72">
        <v>426131.6</v>
      </c>
      <c r="G72">
        <v>16.001000000000001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0.17202072538860222</v>
      </c>
      <c r="Q72">
        <f t="shared" ref="Q72" si="336">F72*P72</f>
        <v>73303.466943005682</v>
      </c>
      <c r="R72">
        <f t="shared" ref="R72" si="337">R73+Q72</f>
        <v>-5296557.642756978</v>
      </c>
      <c r="S72">
        <f t="shared" ref="S72" si="338">R72/100000</f>
        <v>-52.965576427569779</v>
      </c>
      <c r="T72">
        <f t="shared" ref="T72" si="339">S72/1000</f>
        <v>-5.2965576427569779E-2</v>
      </c>
    </row>
    <row r="73" spans="1:20" x14ac:dyDescent="0.25">
      <c r="A73" s="5">
        <v>44520</v>
      </c>
      <c r="B73">
        <v>15.826000000000001</v>
      </c>
      <c r="C73">
        <v>16.25</v>
      </c>
      <c r="D73">
        <v>14.782</v>
      </c>
      <c r="E73">
        <v>15.239000000000001</v>
      </c>
      <c r="F73">
        <v>317155.8</v>
      </c>
      <c r="G73">
        <v>15.239000000000001</v>
      </c>
      <c r="L73" t="s">
        <v>7</v>
      </c>
      <c r="M73" t="s">
        <v>8</v>
      </c>
      <c r="N73" t="s">
        <v>7</v>
      </c>
      <c r="P73">
        <f t="shared" ref="P73" si="340">IF(C73=D73,0,((E73-D73)-(C73-E73))/(C73-D73))</f>
        <v>-0.37738419618528507</v>
      </c>
      <c r="Q73">
        <f t="shared" ref="Q73" si="341">F73*P73</f>
        <v>-119689.58664850103</v>
      </c>
      <c r="R73">
        <f t="shared" ref="R73" si="342">R74+Q73</f>
        <v>-5369861.1096999841</v>
      </c>
      <c r="S73">
        <f t="shared" ref="S73" si="343">R73/100000</f>
        <v>-53.698611096999841</v>
      </c>
      <c r="T73">
        <f t="shared" ref="T73" si="344">S73/1000</f>
        <v>-5.3698611096999839E-2</v>
      </c>
    </row>
    <row r="74" spans="1:20" x14ac:dyDescent="0.25">
      <c r="A74" s="5">
        <v>44519</v>
      </c>
      <c r="B74">
        <v>13.260999999999999</v>
      </c>
      <c r="C74">
        <v>16.350000000000001</v>
      </c>
      <c r="D74">
        <v>13.156000000000001</v>
      </c>
      <c r="E74">
        <v>15.824999999999999</v>
      </c>
      <c r="F74">
        <v>519435.3</v>
      </c>
      <c r="G74">
        <v>15.824999999999999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0.67125860989354913</v>
      </c>
      <c r="Q74">
        <f t="shared" ref="Q74" si="346">F74*P74</f>
        <v>348675.41740763863</v>
      </c>
      <c r="R74">
        <f t="shared" ref="R74" si="347">R75+Q74</f>
        <v>-5250171.5230514826</v>
      </c>
      <c r="S74">
        <f t="shared" ref="S74" si="348">R74/100000</f>
        <v>-52.501715230514826</v>
      </c>
      <c r="T74">
        <f t="shared" ref="T74" si="349">S74/1000</f>
        <v>-5.2501715230514827E-2</v>
      </c>
    </row>
    <row r="75" spans="1:20" x14ac:dyDescent="0.25">
      <c r="A75" s="5">
        <v>44518</v>
      </c>
      <c r="B75">
        <v>14.444000000000001</v>
      </c>
      <c r="C75">
        <v>14.952999999999999</v>
      </c>
      <c r="D75">
        <v>12.907999999999999</v>
      </c>
      <c r="E75">
        <v>13.314</v>
      </c>
      <c r="F75">
        <v>381816.6</v>
      </c>
      <c r="G75">
        <v>13.314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-0.60293398533007281</v>
      </c>
      <c r="Q75">
        <f t="shared" ref="Q75" si="351">F75*P75</f>
        <v>-230210.20430317827</v>
      </c>
      <c r="R75">
        <f t="shared" ref="R75" si="352">R76+Q75</f>
        <v>-5598846.940459121</v>
      </c>
      <c r="S75">
        <f t="shared" ref="S75" si="353">R75/100000</f>
        <v>-55.988469404591207</v>
      </c>
      <c r="T75">
        <f t="shared" ref="T75" si="354">S75/1000</f>
        <v>-5.5988469404591207E-2</v>
      </c>
    </row>
    <row r="76" spans="1:20" x14ac:dyDescent="0.25">
      <c r="A76" s="5">
        <v>44517</v>
      </c>
      <c r="B76">
        <v>13.651</v>
      </c>
      <c r="C76">
        <v>14.685</v>
      </c>
      <c r="D76">
        <v>13.1</v>
      </c>
      <c r="E76">
        <v>14.45</v>
      </c>
      <c r="F76">
        <v>320018.7</v>
      </c>
      <c r="G76">
        <v>14.45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0.70347003154573995</v>
      </c>
      <c r="Q76">
        <f t="shared" ref="Q76" si="356">F76*P76</f>
        <v>225123.56498422669</v>
      </c>
      <c r="R76">
        <f t="shared" ref="R76" si="357">R77+Q76</f>
        <v>-5368636.736155943</v>
      </c>
      <c r="S76">
        <f t="shared" ref="S76" si="358">R76/100000</f>
        <v>-53.686367361559434</v>
      </c>
      <c r="T76">
        <f t="shared" ref="T76" si="359">S76/1000</f>
        <v>-5.3686367361559434E-2</v>
      </c>
    </row>
    <row r="77" spans="1:20" x14ac:dyDescent="0.25">
      <c r="A77" s="5">
        <v>44516</v>
      </c>
      <c r="B77">
        <v>15.051</v>
      </c>
      <c r="C77">
        <v>15.45</v>
      </c>
      <c r="D77">
        <v>13.161</v>
      </c>
      <c r="E77">
        <v>13.651</v>
      </c>
      <c r="F77">
        <v>365218.2</v>
      </c>
      <c r="G77">
        <v>13.651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-0.57186544342507617</v>
      </c>
      <c r="Q77">
        <f t="shared" ref="Q77" si="361">F77*P77</f>
        <v>-208855.66788990816</v>
      </c>
      <c r="R77">
        <f t="shared" ref="R77" si="362">R78+Q77</f>
        <v>-5593760.3011401696</v>
      </c>
      <c r="S77">
        <f t="shared" ref="S77" si="363">R77/100000</f>
        <v>-55.937603011401698</v>
      </c>
      <c r="T77">
        <f t="shared" ref="T77" si="364">S77/1000</f>
        <v>-5.5937603011401701E-2</v>
      </c>
    </row>
    <row r="78" spans="1:20" x14ac:dyDescent="0.25">
      <c r="A78" s="5">
        <v>44515</v>
      </c>
      <c r="B78">
        <v>15.362</v>
      </c>
      <c r="C78">
        <v>16.135000000000002</v>
      </c>
      <c r="D78">
        <v>14.88</v>
      </c>
      <c r="E78">
        <v>15.05</v>
      </c>
      <c r="F78">
        <v>218332.2</v>
      </c>
      <c r="G78">
        <v>15.05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-0.72908366533864566</v>
      </c>
      <c r="Q78">
        <f t="shared" ref="Q78" si="366">F78*P78</f>
        <v>-159182.44063745026</v>
      </c>
      <c r="R78">
        <f t="shared" ref="R78" si="367">R79+Q78</f>
        <v>-5384904.6332502617</v>
      </c>
      <c r="S78">
        <f t="shared" ref="S78" si="368">R78/100000</f>
        <v>-53.849046332502617</v>
      </c>
      <c r="T78">
        <f t="shared" ref="T78" si="369">S78/1000</f>
        <v>-5.384904633250262E-2</v>
      </c>
    </row>
    <row r="79" spans="1:20" x14ac:dyDescent="0.25">
      <c r="A79" s="5">
        <v>44514</v>
      </c>
      <c r="B79">
        <v>16.061</v>
      </c>
      <c r="C79">
        <v>16.48</v>
      </c>
      <c r="D79">
        <v>15.275</v>
      </c>
      <c r="E79">
        <v>15.388</v>
      </c>
      <c r="F79">
        <v>186383.4</v>
      </c>
      <c r="G79">
        <v>15.388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-0.81244813278008376</v>
      </c>
      <c r="Q79">
        <f t="shared" ref="Q79" si="371">F79*P79</f>
        <v>-151426.84531120345</v>
      </c>
      <c r="R79">
        <f t="shared" ref="R79" si="372">R80+Q79</f>
        <v>-5225722.192612811</v>
      </c>
      <c r="S79">
        <f t="shared" ref="S79" si="373">R79/100000</f>
        <v>-52.257221926128111</v>
      </c>
      <c r="T79">
        <f t="shared" ref="T79" si="374">S79/1000</f>
        <v>-5.2257221926128111E-2</v>
      </c>
    </row>
    <row r="80" spans="1:20" x14ac:dyDescent="0.25">
      <c r="A80" s="5">
        <v>44513</v>
      </c>
      <c r="B80">
        <v>15.448</v>
      </c>
      <c r="C80">
        <v>16.812000000000001</v>
      </c>
      <c r="D80">
        <v>14.856</v>
      </c>
      <c r="E80">
        <v>16.062000000000001</v>
      </c>
      <c r="F80">
        <v>458567.1</v>
      </c>
      <c r="G80">
        <v>16.062000000000001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0.23312883435582873</v>
      </c>
      <c r="Q80">
        <f t="shared" ref="Q80" si="376">F80*P80</f>
        <v>106905.21349693275</v>
      </c>
      <c r="R80">
        <f t="shared" ref="R80" si="377">R81+Q80</f>
        <v>-5074295.347301608</v>
      </c>
      <c r="S80">
        <f t="shared" ref="S80" si="378">R80/100000</f>
        <v>-50.74295347301608</v>
      </c>
      <c r="T80">
        <f t="shared" ref="T80" si="379">S80/1000</f>
        <v>-5.0742953473016078E-2</v>
      </c>
    </row>
    <row r="81" spans="1:20" x14ac:dyDescent="0.25">
      <c r="A81" s="5">
        <v>44512</v>
      </c>
      <c r="B81">
        <v>16.21</v>
      </c>
      <c r="C81">
        <v>16.327999999999999</v>
      </c>
      <c r="D81">
        <v>14.95</v>
      </c>
      <c r="E81">
        <v>15.422000000000001</v>
      </c>
      <c r="F81">
        <v>278640.3</v>
      </c>
      <c r="G81">
        <v>15.422000000000001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-0.31494920174165275</v>
      </c>
      <c r="Q81">
        <f t="shared" ref="Q81" si="381">F81*P81</f>
        <v>-87757.540058054641</v>
      </c>
      <c r="R81">
        <f t="shared" ref="R81" si="382">R82+Q81</f>
        <v>-5181200.5607985407</v>
      </c>
      <c r="S81">
        <f t="shared" ref="S81" si="383">R81/100000</f>
        <v>-51.812005607985405</v>
      </c>
      <c r="T81">
        <f t="shared" ref="T81" si="384">S81/1000</f>
        <v>-5.1812005607985406E-2</v>
      </c>
    </row>
    <row r="82" spans="1:20" x14ac:dyDescent="0.25">
      <c r="A82" s="5">
        <v>44511</v>
      </c>
      <c r="B82">
        <v>15.061999999999999</v>
      </c>
      <c r="C82">
        <v>17.736999999999998</v>
      </c>
      <c r="D82">
        <v>14.978</v>
      </c>
      <c r="E82">
        <v>16.210999999999999</v>
      </c>
      <c r="F82">
        <v>476242.3</v>
      </c>
      <c r="G82">
        <v>16.210999999999999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-0.10619789778905443</v>
      </c>
      <c r="Q82">
        <f t="shared" ref="Q82" si="386">F82*P82</f>
        <v>-50575.931098224195</v>
      </c>
      <c r="R82">
        <f t="shared" ref="R82" si="387">R83+Q82</f>
        <v>-5093443.0207404858</v>
      </c>
      <c r="S82">
        <f t="shared" ref="S82" si="388">R82/100000</f>
        <v>-50.934430207404858</v>
      </c>
      <c r="T82">
        <f t="shared" ref="T82" si="389">S82/1000</f>
        <v>-5.093443020740486E-2</v>
      </c>
    </row>
    <row r="83" spans="1:20" x14ac:dyDescent="0.25">
      <c r="A83" s="5">
        <v>44510</v>
      </c>
      <c r="B83">
        <v>16.309000000000001</v>
      </c>
      <c r="C83">
        <v>17.044</v>
      </c>
      <c r="D83">
        <v>14.31</v>
      </c>
      <c r="E83">
        <v>15.096</v>
      </c>
      <c r="F83">
        <v>574147.4</v>
      </c>
      <c r="G83">
        <v>15.096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-0.42501828822238508</v>
      </c>
      <c r="Q83">
        <f t="shared" ref="Q83" si="391">F83*P83</f>
        <v>-244023.14513533303</v>
      </c>
      <c r="R83">
        <f t="shared" ref="R83" si="392">R84+Q83</f>
        <v>-5042867.0896422612</v>
      </c>
      <c r="S83">
        <f t="shared" ref="S83" si="393">R83/100000</f>
        <v>-50.428670896422609</v>
      </c>
      <c r="T83">
        <f t="shared" ref="T83" si="394">S83/1000</f>
        <v>-5.0428670896422612E-2</v>
      </c>
    </row>
    <row r="84" spans="1:20" x14ac:dyDescent="0.25">
      <c r="A84" s="5">
        <v>44509</v>
      </c>
      <c r="B84">
        <v>17.11</v>
      </c>
      <c r="C84">
        <v>19.838000000000001</v>
      </c>
      <c r="D84">
        <v>15.84</v>
      </c>
      <c r="E84">
        <v>16.347999999999999</v>
      </c>
      <c r="F84">
        <v>2104272.2999999998</v>
      </c>
      <c r="G84">
        <v>16.347999999999999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-0.7458729364682346</v>
      </c>
      <c r="Q84">
        <f t="shared" ref="Q84" si="396">F84*P84</f>
        <v>-1569519.7595297657</v>
      </c>
      <c r="R84">
        <f t="shared" ref="R84" si="397">R85+Q84</f>
        <v>-4798843.9445069283</v>
      </c>
      <c r="S84">
        <f t="shared" ref="S84" si="398">R84/100000</f>
        <v>-47.988439445069282</v>
      </c>
      <c r="T84">
        <f t="shared" ref="T84" si="399">S84/1000</f>
        <v>-4.7988439445069281E-2</v>
      </c>
    </row>
    <row r="85" spans="1:20" x14ac:dyDescent="0.25">
      <c r="A85" s="5">
        <v>44508</v>
      </c>
      <c r="B85">
        <v>15.013</v>
      </c>
      <c r="C85">
        <v>17.97</v>
      </c>
      <c r="D85">
        <v>14.226000000000001</v>
      </c>
      <c r="E85">
        <v>17.093</v>
      </c>
      <c r="F85">
        <v>1635892.6</v>
      </c>
      <c r="G85">
        <v>17.093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0.53151709401709435</v>
      </c>
      <c r="Q85">
        <f t="shared" ref="Q85" si="401">F85*P85</f>
        <v>869504.88087606896</v>
      </c>
      <c r="R85">
        <f t="shared" ref="R85" si="402">R86+Q85</f>
        <v>-3229324.1849771631</v>
      </c>
      <c r="S85">
        <f t="shared" ref="S85" si="403">R85/100000</f>
        <v>-32.293241849771633</v>
      </c>
      <c r="T85">
        <f t="shared" ref="T85" si="404">S85/1000</f>
        <v>-3.2293241849771635E-2</v>
      </c>
    </row>
    <row r="86" spans="1:20" x14ac:dyDescent="0.25">
      <c r="A86" s="5">
        <v>44507</v>
      </c>
      <c r="B86">
        <v>14.09</v>
      </c>
      <c r="C86">
        <v>17.221</v>
      </c>
      <c r="D86">
        <v>13.999000000000001</v>
      </c>
      <c r="E86">
        <v>15.013</v>
      </c>
      <c r="F86">
        <v>1530623.7</v>
      </c>
      <c r="G86">
        <v>15.013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-0.37057728119180666</v>
      </c>
      <c r="Q86">
        <f t="shared" ref="Q86" si="406">F86*P86</f>
        <v>-567214.36927374348</v>
      </c>
      <c r="R86">
        <f t="shared" ref="R86" si="407">R87+Q86</f>
        <v>-4098829.0658532321</v>
      </c>
      <c r="S86">
        <f t="shared" ref="S86" si="408">R86/100000</f>
        <v>-40.988290658532321</v>
      </c>
      <c r="T86">
        <f t="shared" ref="T86" si="409">S86/1000</f>
        <v>-4.0988290658532323E-2</v>
      </c>
    </row>
    <row r="87" spans="1:20" x14ac:dyDescent="0.25">
      <c r="A87" s="5">
        <v>44506</v>
      </c>
      <c r="B87">
        <v>13.851000000000001</v>
      </c>
      <c r="C87">
        <v>14.5</v>
      </c>
      <c r="D87">
        <v>13</v>
      </c>
      <c r="E87">
        <v>14.108000000000001</v>
      </c>
      <c r="F87">
        <v>469353.1</v>
      </c>
      <c r="G87">
        <v>14.108000000000001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0.47733333333333405</v>
      </c>
      <c r="Q87">
        <f t="shared" ref="Q87" si="411">F87*P87</f>
        <v>224037.87973333366</v>
      </c>
      <c r="R87">
        <f t="shared" ref="R87" si="412">R88+Q87</f>
        <v>-3531614.6965794885</v>
      </c>
      <c r="S87">
        <f t="shared" ref="S87" si="413">R87/100000</f>
        <v>-35.316146965794886</v>
      </c>
      <c r="T87">
        <f t="shared" ref="T87" si="414">S87/1000</f>
        <v>-3.5316146965794888E-2</v>
      </c>
    </row>
    <row r="88" spans="1:20" x14ac:dyDescent="0.25">
      <c r="A88" s="5">
        <v>44505</v>
      </c>
      <c r="B88">
        <v>14.509</v>
      </c>
      <c r="C88">
        <v>15.069000000000001</v>
      </c>
      <c r="D88">
        <v>12.879</v>
      </c>
      <c r="E88">
        <v>13.856</v>
      </c>
      <c r="F88">
        <v>539556.5</v>
      </c>
      <c r="G88">
        <v>13.856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-0.1077625570776258</v>
      </c>
      <c r="Q88">
        <f t="shared" ref="Q88" si="416">F88*P88</f>
        <v>-58143.988127854005</v>
      </c>
      <c r="R88">
        <f t="shared" ref="R88" si="417">R89+Q88</f>
        <v>-3755652.5763128223</v>
      </c>
      <c r="S88">
        <f t="shared" ref="S88" si="418">R88/100000</f>
        <v>-37.556525763128221</v>
      </c>
      <c r="T88">
        <f t="shared" ref="T88" si="419">S88/1000</f>
        <v>-3.7556525763128221E-2</v>
      </c>
    </row>
    <row r="89" spans="1:20" x14ac:dyDescent="0.25">
      <c r="A89" s="5">
        <v>44504</v>
      </c>
      <c r="B89">
        <v>16.260000000000002</v>
      </c>
      <c r="C89">
        <v>16.309999999999999</v>
      </c>
      <c r="D89">
        <v>14.132</v>
      </c>
      <c r="E89">
        <v>14.491</v>
      </c>
      <c r="F89">
        <v>544297.4</v>
      </c>
      <c r="G89">
        <v>14.491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-0.67033976124885197</v>
      </c>
      <c r="Q89">
        <f t="shared" ref="Q89" si="421">F89*P89</f>
        <v>-364864.18916437088</v>
      </c>
      <c r="R89">
        <f t="shared" ref="R89" si="422">R90+Q89</f>
        <v>-3697508.5881849681</v>
      </c>
      <c r="S89">
        <f t="shared" ref="S89" si="423">R89/100000</f>
        <v>-36.975085881849679</v>
      </c>
      <c r="T89">
        <f t="shared" ref="T89" si="424">S89/1000</f>
        <v>-3.6975085881849681E-2</v>
      </c>
    </row>
    <row r="90" spans="1:20" x14ac:dyDescent="0.25">
      <c r="A90" s="5">
        <v>44503</v>
      </c>
      <c r="B90">
        <v>13.726000000000001</v>
      </c>
      <c r="C90">
        <v>17.440000000000001</v>
      </c>
      <c r="D90">
        <v>13.510999999999999</v>
      </c>
      <c r="E90">
        <v>16.288</v>
      </c>
      <c r="F90">
        <v>2626812.9</v>
      </c>
      <c r="G90">
        <v>16.288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0.41359124459149887</v>
      </c>
      <c r="Q90">
        <f t="shared" ref="Q90" si="426">F90*P90</f>
        <v>1086426.8166200044</v>
      </c>
      <c r="R90">
        <f t="shared" ref="R90" si="427">R91+Q90</f>
        <v>-3332644.3990205973</v>
      </c>
      <c r="S90">
        <f t="shared" ref="S90" si="428">R90/100000</f>
        <v>-33.326443990205973</v>
      </c>
      <c r="T90">
        <f t="shared" ref="T90" si="429">S90/1000</f>
        <v>-3.332644399020597E-2</v>
      </c>
    </row>
    <row r="91" spans="1:20" x14ac:dyDescent="0.25">
      <c r="A91" s="5">
        <v>44502</v>
      </c>
      <c r="B91">
        <v>12.183</v>
      </c>
      <c r="C91">
        <v>13.89</v>
      </c>
      <c r="D91">
        <v>12.108000000000001</v>
      </c>
      <c r="E91">
        <v>13.731999999999999</v>
      </c>
      <c r="F91">
        <v>918076.1</v>
      </c>
      <c r="G91">
        <v>13.731999999999999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0.82267115600448792</v>
      </c>
      <c r="Q91">
        <f t="shared" ref="Q91" si="431">F91*P91</f>
        <v>755274.72648709186</v>
      </c>
      <c r="R91">
        <f t="shared" ref="R91" si="432">R92+Q91</f>
        <v>-4419071.2156406017</v>
      </c>
      <c r="S91">
        <f t="shared" ref="S91" si="433">R91/100000</f>
        <v>-44.190712156406015</v>
      </c>
      <c r="T91">
        <f t="shared" ref="T91" si="434">S91/1000</f>
        <v>-4.4190712156406013E-2</v>
      </c>
    </row>
    <row r="92" spans="1:20" x14ac:dyDescent="0.25">
      <c r="A92" s="5">
        <v>44501</v>
      </c>
      <c r="B92">
        <v>11.913</v>
      </c>
      <c r="C92">
        <v>13.04</v>
      </c>
      <c r="D92">
        <v>11.776999999999999</v>
      </c>
      <c r="E92">
        <v>12.167999999999999</v>
      </c>
      <c r="F92">
        <v>440840</v>
      </c>
      <c r="G92">
        <v>12.167999999999999</v>
      </c>
      <c r="L92" t="s">
        <v>7</v>
      </c>
      <c r="M92" t="s">
        <v>8</v>
      </c>
      <c r="N92" t="s">
        <v>7</v>
      </c>
      <c r="P92">
        <f t="shared" ref="P92" si="435">IF(C92=D92,0,((E92-D92)-(C92-E92))/(C92-D92))</f>
        <v>-0.38083927157561354</v>
      </c>
      <c r="Q92">
        <f t="shared" ref="Q92" si="436">F92*P92</f>
        <v>-167889.18448139346</v>
      </c>
      <c r="R92">
        <f t="shared" ref="R92" si="437">R93+Q92</f>
        <v>-5174345.9421276934</v>
      </c>
      <c r="S92">
        <f t="shared" ref="S92" si="438">R92/100000</f>
        <v>-51.743459421276931</v>
      </c>
      <c r="T92">
        <f t="shared" ref="T92" si="439">S92/1000</f>
        <v>-5.1743459421276929E-2</v>
      </c>
    </row>
    <row r="93" spans="1:20" x14ac:dyDescent="0.25">
      <c r="A93" s="5">
        <v>44500</v>
      </c>
      <c r="B93">
        <v>12.326000000000001</v>
      </c>
      <c r="C93">
        <v>13.129</v>
      </c>
      <c r="D93">
        <v>11.458</v>
      </c>
      <c r="E93">
        <v>11.9</v>
      </c>
      <c r="F93">
        <v>490352.6</v>
      </c>
      <c r="G93">
        <v>11.9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-0.47097546379413485</v>
      </c>
      <c r="Q93">
        <f t="shared" ref="Q93" si="441">F93*P93</f>
        <v>-230944.04320765988</v>
      </c>
      <c r="R93">
        <f t="shared" ref="R93" si="442">R94+Q93</f>
        <v>-5006456.7576462999</v>
      </c>
      <c r="S93">
        <f t="shared" ref="S93" si="443">R93/100000</f>
        <v>-50.064567576462998</v>
      </c>
      <c r="T93">
        <f t="shared" ref="T93" si="444">S93/1000</f>
        <v>-5.0064567576463E-2</v>
      </c>
    </row>
    <row r="94" spans="1:20" x14ac:dyDescent="0.25">
      <c r="A94" s="5">
        <v>44499</v>
      </c>
      <c r="B94">
        <v>11.635999999999999</v>
      </c>
      <c r="C94">
        <v>12.9</v>
      </c>
      <c r="D94">
        <v>11.036</v>
      </c>
      <c r="E94">
        <v>12.324</v>
      </c>
      <c r="F94">
        <v>715972</v>
      </c>
      <c r="G94">
        <v>12.324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0.38197424892703835</v>
      </c>
      <c r="Q94">
        <f t="shared" ref="Q94" si="446">F94*P94</f>
        <v>273482.86695278948</v>
      </c>
      <c r="R94">
        <f t="shared" ref="R94" si="447">R95+Q94</f>
        <v>-4775512.7144386396</v>
      </c>
      <c r="S94">
        <f t="shared" ref="S94" si="448">R94/100000</f>
        <v>-47.755127144386393</v>
      </c>
      <c r="T94">
        <f t="shared" ref="T94" si="449">S94/1000</f>
        <v>-4.7755127144386393E-2</v>
      </c>
    </row>
    <row r="95" spans="1:20" x14ac:dyDescent="0.25">
      <c r="A95" s="5">
        <v>44498</v>
      </c>
      <c r="B95">
        <v>11.241</v>
      </c>
      <c r="C95">
        <v>12.388</v>
      </c>
      <c r="D95">
        <v>11</v>
      </c>
      <c r="E95">
        <v>11.66</v>
      </c>
      <c r="F95">
        <v>424901.9</v>
      </c>
      <c r="G95">
        <v>11.66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-4.8991354466858518E-2</v>
      </c>
      <c r="Q95">
        <f t="shared" ref="Q95" si="451">F95*P95</f>
        <v>-20816.519596541671</v>
      </c>
      <c r="R95">
        <f t="shared" ref="R95" si="452">R96+Q95</f>
        <v>-5048995.5813914286</v>
      </c>
      <c r="S95">
        <f t="shared" ref="S95" si="453">R95/100000</f>
        <v>-50.489955813914285</v>
      </c>
      <c r="T95">
        <f t="shared" ref="T95" si="454">S95/1000</f>
        <v>-5.0489955813914286E-2</v>
      </c>
    </row>
    <row r="96" spans="1:20" x14ac:dyDescent="0.25">
      <c r="A96" s="5">
        <v>44497</v>
      </c>
      <c r="B96">
        <v>10.436</v>
      </c>
      <c r="C96">
        <v>11.728</v>
      </c>
      <c r="D96">
        <v>9.8960000000000008</v>
      </c>
      <c r="E96">
        <v>11.211</v>
      </c>
      <c r="F96">
        <v>655531.5</v>
      </c>
      <c r="G96">
        <v>11.211</v>
      </c>
      <c r="L96" t="s">
        <v>8</v>
      </c>
      <c r="M96" t="s">
        <v>8</v>
      </c>
      <c r="N96" t="s">
        <v>7</v>
      </c>
      <c r="P96">
        <f t="shared" ref="P96" si="455">IF(C96=D96,0,((E96-D96)-(C96-E96))/(C96-D96))</f>
        <v>0.43558951965065529</v>
      </c>
      <c r="Q96">
        <f t="shared" ref="Q96" si="456">F96*P96</f>
        <v>285542.65120087354</v>
      </c>
      <c r="R96">
        <f t="shared" ref="R96" si="457">R97+Q96</f>
        <v>-5028179.0617948873</v>
      </c>
      <c r="S96">
        <f t="shared" ref="S96" si="458">R96/100000</f>
        <v>-50.281790617948872</v>
      </c>
      <c r="T96">
        <f t="shared" ref="T96" si="459">S96/1000</f>
        <v>-5.0281790617948872E-2</v>
      </c>
    </row>
    <row r="97" spans="1:20" x14ac:dyDescent="0.25">
      <c r="A97" s="5">
        <v>44496</v>
      </c>
      <c r="B97">
        <v>11.105</v>
      </c>
      <c r="C97">
        <v>11.372999999999999</v>
      </c>
      <c r="D97">
        <v>9.8629999999999995</v>
      </c>
      <c r="E97">
        <v>10.436</v>
      </c>
      <c r="F97">
        <v>495381.2</v>
      </c>
      <c r="G97">
        <v>10.436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-0.241059602649006</v>
      </c>
      <c r="Q97">
        <f t="shared" ref="Q97" si="461">F97*P97</f>
        <v>-119416.39523178777</v>
      </c>
      <c r="R97">
        <f t="shared" ref="R97" si="462">R98+Q97</f>
        <v>-5313721.7129957611</v>
      </c>
      <c r="S97">
        <f t="shared" ref="S97" si="463">R97/100000</f>
        <v>-53.137217129957612</v>
      </c>
      <c r="T97">
        <f t="shared" ref="T97" si="464">S97/1000</f>
        <v>-5.3137217129957615E-2</v>
      </c>
    </row>
    <row r="98" spans="1:20" x14ac:dyDescent="0.25">
      <c r="A98" s="5">
        <v>44495</v>
      </c>
      <c r="B98">
        <v>11.035</v>
      </c>
      <c r="C98">
        <v>11.859</v>
      </c>
      <c r="D98">
        <v>10.933</v>
      </c>
      <c r="E98">
        <v>11.105</v>
      </c>
      <c r="F98">
        <v>437841.9</v>
      </c>
      <c r="G98">
        <v>11.105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-0.62850971922246102</v>
      </c>
      <c r="Q98">
        <f t="shared" ref="Q98" si="466">F98*P98</f>
        <v>-275187.88963282888</v>
      </c>
      <c r="R98">
        <f t="shared" ref="R98" si="467">R99+Q98</f>
        <v>-5194305.317763973</v>
      </c>
      <c r="S98">
        <f t="shared" ref="S98" si="468">R98/100000</f>
        <v>-51.943053177639733</v>
      </c>
      <c r="T98">
        <f t="shared" ref="T98" si="469">S98/1000</f>
        <v>-5.1943053177639732E-2</v>
      </c>
    </row>
    <row r="99" spans="1:20" x14ac:dyDescent="0.25">
      <c r="A99" s="5">
        <v>44494</v>
      </c>
      <c r="B99">
        <v>11.047000000000001</v>
      </c>
      <c r="C99">
        <v>11.26</v>
      </c>
      <c r="D99">
        <v>10.878</v>
      </c>
      <c r="E99">
        <v>11.04</v>
      </c>
      <c r="F99">
        <v>324318.90000000002</v>
      </c>
      <c r="G99">
        <v>11.04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-0.15183246073298862</v>
      </c>
      <c r="Q99">
        <f t="shared" ref="Q99" si="471">F99*P99</f>
        <v>-49242.136649216067</v>
      </c>
      <c r="R99">
        <f t="shared" ref="R99" si="472">R100+Q99</f>
        <v>-4919117.4281311445</v>
      </c>
      <c r="S99">
        <f t="shared" ref="S99" si="473">R99/100000</f>
        <v>-49.191174281311447</v>
      </c>
      <c r="T99">
        <f t="shared" ref="T99" si="474">S99/1000</f>
        <v>-4.9191174281311451E-2</v>
      </c>
    </row>
    <row r="100" spans="1:20" x14ac:dyDescent="0.25">
      <c r="A100" s="5">
        <v>44493</v>
      </c>
      <c r="B100">
        <v>11.427</v>
      </c>
      <c r="C100">
        <v>11.471</v>
      </c>
      <c r="D100">
        <v>10.708</v>
      </c>
      <c r="E100">
        <v>11.054</v>
      </c>
      <c r="F100">
        <v>265835.3</v>
      </c>
      <c r="G100">
        <v>11.054</v>
      </c>
      <c r="L100" t="s">
        <v>8</v>
      </c>
      <c r="M100" t="s">
        <v>7</v>
      </c>
      <c r="N100" t="s">
        <v>7</v>
      </c>
      <c r="P100">
        <f t="shared" ref="P100" si="475">IF(C100=D100,0,((E100-D100)-(C100-E100))/(C100-D100))</f>
        <v>-9.3053735255569772E-2</v>
      </c>
      <c r="Q100">
        <f t="shared" ref="Q100" si="476">F100*P100</f>
        <v>-24736.967627784965</v>
      </c>
      <c r="R100">
        <f t="shared" ref="R100" si="477">R101+Q100</f>
        <v>-4869875.291481928</v>
      </c>
      <c r="S100">
        <f t="shared" ref="S100" si="478">R100/100000</f>
        <v>-48.698752914819281</v>
      </c>
      <c r="T100">
        <f t="shared" ref="T100" si="479">S100/1000</f>
        <v>-4.8698752914819281E-2</v>
      </c>
    </row>
    <row r="101" spans="1:20" x14ac:dyDescent="0.25">
      <c r="A101" s="5">
        <v>44492</v>
      </c>
      <c r="B101">
        <v>11.786</v>
      </c>
      <c r="C101">
        <v>12.069000000000001</v>
      </c>
      <c r="D101">
        <v>10.75</v>
      </c>
      <c r="E101">
        <v>11.445</v>
      </c>
      <c r="F101">
        <v>234801.6</v>
      </c>
      <c r="G101">
        <v>11.445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5.3828658074298472E-2</v>
      </c>
      <c r="Q101">
        <f t="shared" ref="Q101" si="481">F101*P101</f>
        <v>12639.055041698201</v>
      </c>
      <c r="R101">
        <f t="shared" ref="R101" si="482">R102+Q101</f>
        <v>-4845138.3238541428</v>
      </c>
      <c r="S101">
        <f t="shared" ref="S101" si="483">R101/100000</f>
        <v>-48.451383238541425</v>
      </c>
      <c r="T101">
        <f t="shared" ref="T101" si="484">S101/1000</f>
        <v>-4.8451383238541423E-2</v>
      </c>
    </row>
    <row r="102" spans="1:20" x14ac:dyDescent="0.25">
      <c r="A102" s="5">
        <v>44491</v>
      </c>
      <c r="B102">
        <v>11.9</v>
      </c>
      <c r="C102">
        <v>12.151999999999999</v>
      </c>
      <c r="D102">
        <v>11.5</v>
      </c>
      <c r="E102">
        <v>11.785</v>
      </c>
      <c r="F102">
        <v>188801.5</v>
      </c>
      <c r="G102">
        <v>11.785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-0.12576687116564272</v>
      </c>
      <c r="Q102">
        <f t="shared" ref="Q102" si="486">F102*P102</f>
        <v>-23744.973926380095</v>
      </c>
      <c r="R102">
        <f t="shared" ref="R102" si="487">R103+Q102</f>
        <v>-4857777.3788958406</v>
      </c>
      <c r="S102">
        <f t="shared" ref="S102" si="488">R102/100000</f>
        <v>-48.577773788958403</v>
      </c>
      <c r="T102">
        <f t="shared" ref="T102" si="489">S102/1000</f>
        <v>-4.8577773788958403E-2</v>
      </c>
    </row>
    <row r="103" spans="1:20" x14ac:dyDescent="0.25">
      <c r="A103" s="5">
        <v>44490</v>
      </c>
      <c r="B103">
        <v>12.391</v>
      </c>
      <c r="C103">
        <v>12.8</v>
      </c>
      <c r="D103">
        <v>11.826000000000001</v>
      </c>
      <c r="E103">
        <v>11.914999999999999</v>
      </c>
      <c r="F103">
        <v>628916.6</v>
      </c>
      <c r="G103">
        <v>11.914999999999999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-0.81724845995893503</v>
      </c>
      <c r="Q103">
        <f t="shared" ref="Q103" si="491">F103*P103</f>
        <v>-513981.12279260956</v>
      </c>
      <c r="R103">
        <f t="shared" ref="R103" si="492">R104+Q103</f>
        <v>-4834032.4049694603</v>
      </c>
      <c r="S103">
        <f t="shared" ref="S103" si="493">R103/100000</f>
        <v>-48.340324049694601</v>
      </c>
      <c r="T103">
        <f t="shared" ref="T103" si="494">S103/1000</f>
        <v>-4.83403240496946E-2</v>
      </c>
    </row>
    <row r="104" spans="1:20" x14ac:dyDescent="0.25">
      <c r="A104" s="5">
        <v>44489</v>
      </c>
      <c r="B104">
        <v>11.914</v>
      </c>
      <c r="C104">
        <v>12.9</v>
      </c>
      <c r="D104">
        <v>11.625</v>
      </c>
      <c r="E104">
        <v>12.382999999999999</v>
      </c>
      <c r="F104">
        <v>266418</v>
      </c>
      <c r="G104">
        <v>12.382999999999999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0.18901960784313554</v>
      </c>
      <c r="Q104">
        <f t="shared" ref="Q104" si="496">F104*P104</f>
        <v>50358.225882352483</v>
      </c>
      <c r="R104">
        <f t="shared" ref="R104" si="497">R105+Q104</f>
        <v>-4320051.2821768504</v>
      </c>
      <c r="S104">
        <f t="shared" ref="S104" si="498">R104/100000</f>
        <v>-43.200512821768505</v>
      </c>
      <c r="T104">
        <f t="shared" ref="T104" si="499">S104/1000</f>
        <v>-4.3200512821768504E-2</v>
      </c>
    </row>
    <row r="105" spans="1:20" x14ac:dyDescent="0.25">
      <c r="A105" s="5">
        <v>44488</v>
      </c>
      <c r="B105">
        <v>11.792999999999999</v>
      </c>
      <c r="C105">
        <v>12.731</v>
      </c>
      <c r="D105">
        <v>11.1</v>
      </c>
      <c r="E105">
        <v>11.879</v>
      </c>
      <c r="F105">
        <v>296593</v>
      </c>
      <c r="G105">
        <v>11.879</v>
      </c>
      <c r="L105" t="s">
        <v>8</v>
      </c>
      <c r="M105" t="s">
        <v>7</v>
      </c>
      <c r="N105" t="s">
        <v>7</v>
      </c>
      <c r="P105">
        <f t="shared" ref="P105" si="500">IF(C105=D105,0,((E105-D105)-(C105-E105))/(C105-D105))</f>
        <v>-4.4757817290006371E-2</v>
      </c>
      <c r="Q105">
        <f t="shared" ref="Q105" si="501">F105*P105</f>
        <v>-13274.85530349486</v>
      </c>
      <c r="R105">
        <f t="shared" ref="R105" si="502">R106+Q105</f>
        <v>-4370409.5080592027</v>
      </c>
      <c r="S105">
        <f t="shared" ref="S105" si="503">R105/100000</f>
        <v>-43.704095080592026</v>
      </c>
      <c r="T105">
        <f t="shared" ref="T105" si="504">S105/1000</f>
        <v>-4.3704095080592024E-2</v>
      </c>
    </row>
    <row r="106" spans="1:20" x14ac:dyDescent="0.25">
      <c r="A106" s="5">
        <v>44487</v>
      </c>
      <c r="B106">
        <v>12.121</v>
      </c>
      <c r="C106">
        <v>12.44</v>
      </c>
      <c r="D106">
        <v>11.473000000000001</v>
      </c>
      <c r="E106">
        <v>11.788</v>
      </c>
      <c r="F106">
        <v>269339.5</v>
      </c>
      <c r="G106">
        <v>11.788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-0.34850051706308188</v>
      </c>
      <c r="Q106">
        <f t="shared" ref="Q106" si="506">F106*P106</f>
        <v>-93864.955015511936</v>
      </c>
      <c r="R106">
        <f t="shared" ref="R106" si="507">R107+Q106</f>
        <v>-4357134.6527557075</v>
      </c>
      <c r="S106">
        <f t="shared" ref="S106" si="508">R106/100000</f>
        <v>-43.571346527557075</v>
      </c>
      <c r="T106">
        <f t="shared" ref="T106" si="509">S106/1000</f>
        <v>-4.3571346527557078E-2</v>
      </c>
    </row>
    <row r="107" spans="1:20" x14ac:dyDescent="0.25">
      <c r="A107" s="5">
        <v>44486</v>
      </c>
      <c r="B107">
        <v>11.93</v>
      </c>
      <c r="C107">
        <v>12.766</v>
      </c>
      <c r="D107">
        <v>11.566000000000001</v>
      </c>
      <c r="E107">
        <v>12.125999999999999</v>
      </c>
      <c r="F107">
        <v>540280.1</v>
      </c>
      <c r="G107">
        <v>12.125999999999999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-6.6666666666668248E-2</v>
      </c>
      <c r="Q107">
        <f t="shared" ref="Q107" si="511">F107*P107</f>
        <v>-36018.673333334184</v>
      </c>
      <c r="R107">
        <f t="shared" ref="R107" si="512">R108+Q107</f>
        <v>-4263269.6977401953</v>
      </c>
      <c r="S107">
        <f t="shared" ref="S107" si="513">R107/100000</f>
        <v>-42.632696977401956</v>
      </c>
      <c r="T107">
        <f t="shared" ref="T107" si="514">S107/1000</f>
        <v>-4.2632696977401956E-2</v>
      </c>
    </row>
    <row r="108" spans="1:20" x14ac:dyDescent="0.25">
      <c r="A108" s="5">
        <v>44485</v>
      </c>
      <c r="B108">
        <v>12.917</v>
      </c>
      <c r="C108">
        <v>13.000999999999999</v>
      </c>
      <c r="D108">
        <v>11.863</v>
      </c>
      <c r="E108">
        <v>11.939</v>
      </c>
      <c r="F108">
        <v>298660.90000000002</v>
      </c>
      <c r="G108">
        <v>11.939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-0.86643233743409398</v>
      </c>
      <c r="Q108">
        <f t="shared" ref="Q108" si="516">F108*P108</f>
        <v>-258769.46168717023</v>
      </c>
      <c r="R108">
        <f t="shared" ref="R108" si="517">R109+Q108</f>
        <v>-4227251.0244068615</v>
      </c>
      <c r="S108">
        <f t="shared" ref="S108" si="518">R108/100000</f>
        <v>-42.272510244068613</v>
      </c>
      <c r="T108">
        <f t="shared" ref="T108" si="519">S108/1000</f>
        <v>-4.2272510244068612E-2</v>
      </c>
    </row>
    <row r="109" spans="1:20" x14ac:dyDescent="0.25">
      <c r="A109" s="5">
        <v>44484</v>
      </c>
      <c r="B109">
        <v>14.839</v>
      </c>
      <c r="C109">
        <v>15.587</v>
      </c>
      <c r="D109">
        <v>11.945</v>
      </c>
      <c r="E109">
        <v>12.935</v>
      </c>
      <c r="F109">
        <v>2611737.4</v>
      </c>
      <c r="G109">
        <v>12.935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-0.45634266886326175</v>
      </c>
      <c r="Q109">
        <f t="shared" ref="Q109" si="521">F109*P109</f>
        <v>-1191847.2154859961</v>
      </c>
      <c r="R109">
        <f t="shared" ref="R109" si="522">R110+Q109</f>
        <v>-3968481.5627196911</v>
      </c>
      <c r="S109">
        <f t="shared" ref="S109" si="523">R109/100000</f>
        <v>-39.684815627196912</v>
      </c>
      <c r="T109">
        <f t="shared" ref="T109" si="524">S109/1000</f>
        <v>-3.9684815627196911E-2</v>
      </c>
    </row>
    <row r="110" spans="1:20" x14ac:dyDescent="0.25">
      <c r="A110" s="5">
        <v>44483</v>
      </c>
      <c r="B110">
        <v>10.343999999999999</v>
      </c>
      <c r="C110">
        <v>17.5</v>
      </c>
      <c r="D110">
        <v>10.273999999999999</v>
      </c>
      <c r="E110">
        <v>14.84</v>
      </c>
      <c r="F110">
        <v>6912870.5999999996</v>
      </c>
      <c r="G110">
        <v>14.84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0.26376972045391645</v>
      </c>
      <c r="Q110">
        <f t="shared" ref="Q110" si="526">F110*P110</f>
        <v>1823405.9456960976</v>
      </c>
      <c r="R110">
        <f t="shared" ref="R110" si="527">R111+Q110</f>
        <v>-2776634.347233695</v>
      </c>
      <c r="S110">
        <f t="shared" ref="S110" si="528">R110/100000</f>
        <v>-27.766343472336949</v>
      </c>
      <c r="T110">
        <f t="shared" ref="T110" si="529">S110/1000</f>
        <v>-2.776634347233695E-2</v>
      </c>
    </row>
    <row r="111" spans="1:20" x14ac:dyDescent="0.25">
      <c r="A111" s="5">
        <v>44482</v>
      </c>
      <c r="B111">
        <v>10.541</v>
      </c>
      <c r="C111">
        <v>10.695</v>
      </c>
      <c r="D111">
        <v>10</v>
      </c>
      <c r="E111">
        <v>10.308999999999999</v>
      </c>
      <c r="F111">
        <v>235804.7</v>
      </c>
      <c r="G111">
        <v>10.308999999999999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-0.11079136690647727</v>
      </c>
      <c r="Q111">
        <f t="shared" ref="Q111" si="531">F111*P111</f>
        <v>-26125.125035971803</v>
      </c>
      <c r="R111">
        <f t="shared" ref="R111" si="532">R112+Q111</f>
        <v>-4600040.2929297928</v>
      </c>
      <c r="S111">
        <f t="shared" ref="S111" si="533">R111/100000</f>
        <v>-46.000402929297927</v>
      </c>
      <c r="T111">
        <f t="shared" ref="T111" si="534">S111/1000</f>
        <v>-4.6000402929297926E-2</v>
      </c>
    </row>
    <row r="112" spans="1:20" x14ac:dyDescent="0.25">
      <c r="A112" s="5">
        <v>44481</v>
      </c>
      <c r="B112">
        <v>10.939</v>
      </c>
      <c r="C112">
        <v>10.996</v>
      </c>
      <c r="D112">
        <v>10.223000000000001</v>
      </c>
      <c r="E112">
        <v>10.529</v>
      </c>
      <c r="F112">
        <v>194860.3</v>
      </c>
      <c r="G112">
        <v>10.529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-0.20827943078913511</v>
      </c>
      <c r="Q112">
        <f t="shared" ref="Q112" si="536">F112*P112</f>
        <v>-40585.392367400098</v>
      </c>
      <c r="R112">
        <f t="shared" ref="R112" si="537">R113+Q112</f>
        <v>-4573915.1678938214</v>
      </c>
      <c r="S112">
        <f t="shared" ref="S112" si="538">R112/100000</f>
        <v>-45.739151678938214</v>
      </c>
      <c r="T112">
        <f t="shared" ref="T112" si="539">S112/1000</f>
        <v>-4.5739151678938217E-2</v>
      </c>
    </row>
    <row r="113" spans="1:20" x14ac:dyDescent="0.25">
      <c r="A113" s="5">
        <v>44480</v>
      </c>
      <c r="B113">
        <v>10.766</v>
      </c>
      <c r="C113">
        <v>11.587999999999999</v>
      </c>
      <c r="D113">
        <v>10.579000000000001</v>
      </c>
      <c r="E113">
        <v>10.933999999999999</v>
      </c>
      <c r="F113">
        <v>258548.4</v>
      </c>
      <c r="G113">
        <v>10.933999999999999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-0.2963330029732425</v>
      </c>
      <c r="Q113">
        <f t="shared" ref="Q113" si="541">F113*P113</f>
        <v>-76616.423785927094</v>
      </c>
      <c r="R113">
        <f t="shared" ref="R113" si="542">R114+Q113</f>
        <v>-4533329.7755264211</v>
      </c>
      <c r="S113">
        <f t="shared" ref="S113" si="543">R113/100000</f>
        <v>-45.333297755264212</v>
      </c>
      <c r="T113">
        <f t="shared" ref="T113" si="544">S113/1000</f>
        <v>-4.5333297755264214E-2</v>
      </c>
    </row>
    <row r="114" spans="1:20" x14ac:dyDescent="0.25">
      <c r="A114" s="5">
        <v>44479</v>
      </c>
      <c r="B114">
        <v>11.191000000000001</v>
      </c>
      <c r="C114">
        <v>11.417999999999999</v>
      </c>
      <c r="D114">
        <v>10.773999999999999</v>
      </c>
      <c r="E114">
        <v>10.773999999999999</v>
      </c>
      <c r="F114">
        <v>179354.8</v>
      </c>
      <c r="G114">
        <v>10.773999999999999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-1</v>
      </c>
      <c r="Q114">
        <f t="shared" ref="Q114" si="546">F114*P114</f>
        <v>-179354.8</v>
      </c>
      <c r="R114">
        <f t="shared" ref="R114" si="547">R115+Q114</f>
        <v>-4456713.3517404944</v>
      </c>
      <c r="S114">
        <f t="shared" ref="S114" si="548">R114/100000</f>
        <v>-44.56713351740494</v>
      </c>
      <c r="T114">
        <f t="shared" ref="T114" si="549">S114/1000</f>
        <v>-4.456713351740494E-2</v>
      </c>
    </row>
    <row r="115" spans="1:20" x14ac:dyDescent="0.25">
      <c r="A115" s="5">
        <v>44478</v>
      </c>
      <c r="B115">
        <v>11.548</v>
      </c>
      <c r="C115">
        <v>11.696</v>
      </c>
      <c r="D115">
        <v>11.045</v>
      </c>
      <c r="E115">
        <v>11.175000000000001</v>
      </c>
      <c r="F115">
        <v>388025.9</v>
      </c>
      <c r="G115">
        <v>11.175000000000001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-0.60061443932411418</v>
      </c>
      <c r="Q115">
        <f t="shared" ref="Q115" si="551">F115*P115</f>
        <v>-233053.9583717348</v>
      </c>
      <c r="R115">
        <f t="shared" ref="R115" si="552">R116+Q115</f>
        <v>-4277358.5517404946</v>
      </c>
      <c r="S115">
        <f t="shared" ref="S115" si="553">R115/100000</f>
        <v>-42.773585517404946</v>
      </c>
      <c r="T115">
        <f t="shared" ref="T115" si="554">S115/1000</f>
        <v>-4.2773585517404948E-2</v>
      </c>
    </row>
    <row r="116" spans="1:20" x14ac:dyDescent="0.25">
      <c r="A116" s="5">
        <v>44477</v>
      </c>
      <c r="B116">
        <v>12.105</v>
      </c>
      <c r="C116">
        <v>12.327</v>
      </c>
      <c r="D116">
        <v>11.5</v>
      </c>
      <c r="E116">
        <v>11.541</v>
      </c>
      <c r="F116">
        <v>169338.3</v>
      </c>
      <c r="G116">
        <v>11.541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-0.9008464328899628</v>
      </c>
      <c r="Q116">
        <f t="shared" ref="Q116" si="556">F116*P116</f>
        <v>-152547.80350665038</v>
      </c>
      <c r="R116">
        <f t="shared" ref="R116" si="557">R117+Q116</f>
        <v>-4044304.5933687598</v>
      </c>
      <c r="S116">
        <f t="shared" ref="S116" si="558">R116/100000</f>
        <v>-40.4430459336876</v>
      </c>
      <c r="T116">
        <f t="shared" ref="T116" si="559">S116/1000</f>
        <v>-4.0443045933687596E-2</v>
      </c>
    </row>
    <row r="117" spans="1:20" x14ac:dyDescent="0.25">
      <c r="A117" s="5">
        <v>44476</v>
      </c>
      <c r="B117">
        <v>11.583</v>
      </c>
      <c r="C117">
        <v>12.59</v>
      </c>
      <c r="D117">
        <v>11.03</v>
      </c>
      <c r="E117">
        <v>12.092000000000001</v>
      </c>
      <c r="F117">
        <v>481579.4</v>
      </c>
      <c r="G117">
        <v>12.092000000000001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0.36153846153846259</v>
      </c>
      <c r="Q117">
        <f t="shared" ref="Q117" si="561">F117*P117</f>
        <v>174109.47538461589</v>
      </c>
      <c r="R117">
        <f t="shared" ref="R117" si="562">R118+Q117</f>
        <v>-3891756.7898621093</v>
      </c>
      <c r="S117">
        <f t="shared" ref="S117" si="563">R117/100000</f>
        <v>-38.917567898621094</v>
      </c>
      <c r="T117">
        <f t="shared" ref="T117" si="564">S117/1000</f>
        <v>-3.8917567898621094E-2</v>
      </c>
    </row>
    <row r="118" spans="1:20" x14ac:dyDescent="0.25">
      <c r="A118" s="5">
        <v>44475</v>
      </c>
      <c r="B118">
        <v>11.999000000000001</v>
      </c>
      <c r="C118">
        <v>13.2</v>
      </c>
      <c r="D118">
        <v>10.856</v>
      </c>
      <c r="E118">
        <v>11.582000000000001</v>
      </c>
      <c r="F118">
        <v>1043477.3</v>
      </c>
      <c r="G118">
        <v>11.582000000000001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-0.38054607508532334</v>
      </c>
      <c r="Q118">
        <f t="shared" ref="Q118" si="566">F118*P118</f>
        <v>-397091.1909556305</v>
      </c>
      <c r="R118">
        <f t="shared" ref="R118" si="567">R119+Q118</f>
        <v>-4065866.2652467252</v>
      </c>
      <c r="S118">
        <f t="shared" ref="S118" si="568">R118/100000</f>
        <v>-40.65866265246725</v>
      </c>
      <c r="T118">
        <f t="shared" ref="T118" si="569">S118/1000</f>
        <v>-4.0658662652467252E-2</v>
      </c>
    </row>
    <row r="119" spans="1:20" x14ac:dyDescent="0.25">
      <c r="A119" s="5">
        <v>44474</v>
      </c>
      <c r="B119">
        <v>12.275</v>
      </c>
      <c r="C119">
        <v>13.058</v>
      </c>
      <c r="D119">
        <v>11.452999999999999</v>
      </c>
      <c r="E119">
        <v>11.999000000000001</v>
      </c>
      <c r="F119">
        <v>713912.2</v>
      </c>
      <c r="G119">
        <v>11.999000000000001</v>
      </c>
      <c r="L119" t="s">
        <v>7</v>
      </c>
      <c r="M119" t="s">
        <v>7</v>
      </c>
      <c r="N119" t="s">
        <v>8</v>
      </c>
      <c r="P119">
        <f t="shared" ref="P119" si="570">IF(C119=D119,0,((E119-D119)-(C119-E119))/(C119-D119))</f>
        <v>-0.31962616822429779</v>
      </c>
      <c r="Q119">
        <f t="shared" ref="Q119" si="571">F119*P119</f>
        <v>-228185.02093457853</v>
      </c>
      <c r="R119">
        <f t="shared" ref="R119" si="572">R120+Q119</f>
        <v>-3668775.0742910947</v>
      </c>
      <c r="S119">
        <f t="shared" ref="S119" si="573">R119/100000</f>
        <v>-36.68775074291095</v>
      </c>
      <c r="T119">
        <f t="shared" ref="T119" si="574">S119/1000</f>
        <v>-3.6687750742910953E-2</v>
      </c>
    </row>
    <row r="120" spans="1:20" x14ac:dyDescent="0.25">
      <c r="A120" s="5">
        <v>44473</v>
      </c>
      <c r="B120">
        <v>11.222</v>
      </c>
      <c r="C120">
        <v>13.651999999999999</v>
      </c>
      <c r="D120">
        <v>10.87</v>
      </c>
      <c r="E120">
        <v>12.502000000000001</v>
      </c>
      <c r="F120">
        <v>1023929.1</v>
      </c>
      <c r="G120">
        <v>12.502000000000001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0.17325664989216494</v>
      </c>
      <c r="Q120">
        <f t="shared" ref="Q120" si="576">F120*P120</f>
        <v>177402.52559309953</v>
      </c>
      <c r="R120">
        <f t="shared" ref="R120" si="577">R121+Q120</f>
        <v>-3440590.0533565162</v>
      </c>
      <c r="S120">
        <f t="shared" ref="S120" si="578">R120/100000</f>
        <v>-34.405900533565159</v>
      </c>
      <c r="T120">
        <f t="shared" ref="T120" si="579">S120/1000</f>
        <v>-3.440590053356516E-2</v>
      </c>
    </row>
    <row r="121" spans="1:20" x14ac:dyDescent="0.25">
      <c r="A121" s="5">
        <v>44472</v>
      </c>
      <c r="B121">
        <v>11.377000000000001</v>
      </c>
      <c r="C121">
        <v>11.667</v>
      </c>
      <c r="D121">
        <v>10.859</v>
      </c>
      <c r="E121">
        <v>11.222</v>
      </c>
      <c r="F121">
        <v>310340.59999999998</v>
      </c>
      <c r="G121">
        <v>11.222</v>
      </c>
      <c r="L121" t="s">
        <v>7</v>
      </c>
      <c r="M121" t="s">
        <v>7</v>
      </c>
      <c r="N121" t="s">
        <v>8</v>
      </c>
      <c r="P121">
        <f t="shared" ref="P121" si="580">IF(C121=D121,0,((E121-D121)-(C121-E121))/(C121-D121))</f>
        <v>-0.10148514851485242</v>
      </c>
      <c r="Q121">
        <f t="shared" ref="Q121" si="581">F121*P121</f>
        <v>-31494.961881188407</v>
      </c>
      <c r="R121">
        <f t="shared" ref="R121" si="582">R122+Q121</f>
        <v>-3617992.5789496158</v>
      </c>
      <c r="S121">
        <f t="shared" ref="S121" si="583">R121/100000</f>
        <v>-36.17992578949616</v>
      </c>
      <c r="T121">
        <f t="shared" ref="T121" si="584">S121/1000</f>
        <v>-3.6179925789496158E-2</v>
      </c>
    </row>
    <row r="122" spans="1:20" x14ac:dyDescent="0.25">
      <c r="A122" s="5">
        <v>44471</v>
      </c>
      <c r="B122">
        <v>11.617000000000001</v>
      </c>
      <c r="C122">
        <v>11.92</v>
      </c>
      <c r="D122">
        <v>11.239000000000001</v>
      </c>
      <c r="E122">
        <v>11.39</v>
      </c>
      <c r="F122">
        <v>396187.7</v>
      </c>
      <c r="G122">
        <v>11.39</v>
      </c>
      <c r="L122" t="s">
        <v>7</v>
      </c>
      <c r="M122" t="s">
        <v>8</v>
      </c>
      <c r="N122" t="s">
        <v>8</v>
      </c>
      <c r="P122">
        <f t="shared" ref="P122" si="585">IF(C122=D122,0,((E122-D122)-(C122-E122))/(C122-D122))</f>
        <v>-0.55653450807635829</v>
      </c>
      <c r="Q122">
        <f t="shared" ref="Q122" si="586">F122*P122</f>
        <v>-220492.12672540382</v>
      </c>
      <c r="R122">
        <f t="shared" ref="R122" si="587">R123+Q122</f>
        <v>-3586497.6170684276</v>
      </c>
      <c r="S122">
        <f t="shared" ref="S122" si="588">R122/100000</f>
        <v>-35.86497617068428</v>
      </c>
      <c r="T122">
        <f t="shared" ref="T122" si="589">S122/1000</f>
        <v>-3.5864976170684279E-2</v>
      </c>
    </row>
    <row r="123" spans="1:20" x14ac:dyDescent="0.25">
      <c r="A123" s="5">
        <v>44470</v>
      </c>
      <c r="B123">
        <v>9.7089999999999996</v>
      </c>
      <c r="C123">
        <v>12.679</v>
      </c>
      <c r="D123">
        <v>9.6809999999999992</v>
      </c>
      <c r="E123">
        <v>11.602</v>
      </c>
      <c r="F123">
        <v>557284.4</v>
      </c>
      <c r="G123">
        <v>11.602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0.28152101400933988</v>
      </c>
      <c r="Q123">
        <f t="shared" ref="Q123" si="591">F123*P123</f>
        <v>156887.26937958656</v>
      </c>
      <c r="R123">
        <f t="shared" ref="R123" si="592">R124+Q123</f>
        <v>-3366005.4903430236</v>
      </c>
      <c r="S123">
        <f t="shared" ref="S123" si="593">R123/100000</f>
        <v>-33.660054903430236</v>
      </c>
      <c r="T123">
        <f t="shared" ref="T123" si="594">S123/1000</f>
        <v>-3.3660054903430235E-2</v>
      </c>
    </row>
    <row r="124" spans="1:20" x14ac:dyDescent="0.25">
      <c r="A124" s="5">
        <v>44469</v>
      </c>
      <c r="B124">
        <v>8.9649999999999999</v>
      </c>
      <c r="C124">
        <v>10.798999999999999</v>
      </c>
      <c r="D124">
        <v>8.9619999999999997</v>
      </c>
      <c r="E124">
        <v>9.7159999999999993</v>
      </c>
      <c r="F124">
        <v>720795.4</v>
      </c>
      <c r="G124">
        <v>9.7159999999999993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-0.17909635274904773</v>
      </c>
      <c r="Q124">
        <f t="shared" ref="Q124" si="596">F124*P124</f>
        <v>-129091.82721829096</v>
      </c>
      <c r="R124">
        <f t="shared" ref="R124" si="597">R125+Q124</f>
        <v>-3522892.75972261</v>
      </c>
      <c r="S124">
        <f t="shared" ref="S124" si="598">R124/100000</f>
        <v>-35.228927597226097</v>
      </c>
      <c r="T124">
        <f t="shared" ref="T124" si="599">S124/1000</f>
        <v>-3.5228927597226095E-2</v>
      </c>
    </row>
    <row r="125" spans="1:20" x14ac:dyDescent="0.25">
      <c r="A125" s="5">
        <v>44468</v>
      </c>
      <c r="B125">
        <v>9.0250000000000004</v>
      </c>
      <c r="C125">
        <v>9.52</v>
      </c>
      <c r="D125">
        <v>8.7289999999999992</v>
      </c>
      <c r="E125">
        <v>8.9670000000000005</v>
      </c>
      <c r="F125">
        <v>208116.8</v>
      </c>
      <c r="G125">
        <v>8.9670000000000005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-0.39823008849557218</v>
      </c>
      <c r="Q125">
        <f t="shared" ref="Q125" si="601">F125*P125</f>
        <v>-82878.371681415287</v>
      </c>
      <c r="R125">
        <f t="shared" ref="R125" si="602">R126+Q125</f>
        <v>-3393800.9325043191</v>
      </c>
      <c r="S125">
        <f t="shared" ref="S125" si="603">R125/100000</f>
        <v>-33.93800932504319</v>
      </c>
      <c r="T125">
        <f t="shared" ref="T125" si="604">S125/1000</f>
        <v>-3.3938009325043192E-2</v>
      </c>
    </row>
    <row r="126" spans="1:20" x14ac:dyDescent="0.25">
      <c r="A126" s="5">
        <v>44467</v>
      </c>
      <c r="B126">
        <v>9.702</v>
      </c>
      <c r="C126">
        <v>9.8379999999999992</v>
      </c>
      <c r="D126">
        <v>9.0060000000000002</v>
      </c>
      <c r="E126">
        <v>9.016</v>
      </c>
      <c r="F126">
        <v>363335.1</v>
      </c>
      <c r="G126">
        <v>9.016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-0.97596153846153899</v>
      </c>
      <c r="Q126">
        <f t="shared" ref="Q126" si="606">F126*P126</f>
        <v>-354601.08317307709</v>
      </c>
      <c r="R126">
        <f t="shared" ref="R126" si="607">R127+Q126</f>
        <v>-3310922.5608229036</v>
      </c>
      <c r="S126">
        <f t="shared" ref="S126" si="608">R126/100000</f>
        <v>-33.109225608229039</v>
      </c>
      <c r="T126">
        <f t="shared" ref="T126" si="609">S126/1000</f>
        <v>-3.3109225608229036E-2</v>
      </c>
    </row>
    <row r="127" spans="1:20" x14ac:dyDescent="0.25">
      <c r="A127" s="5">
        <v>44466</v>
      </c>
      <c r="B127">
        <v>10.334</v>
      </c>
      <c r="C127">
        <v>10.597</v>
      </c>
      <c r="D127">
        <v>9.66</v>
      </c>
      <c r="E127">
        <v>9.7119999999999997</v>
      </c>
      <c r="F127">
        <v>449498.2</v>
      </c>
      <c r="G127">
        <v>9.7119999999999997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-0.8890074706510146</v>
      </c>
      <c r="Q127">
        <f t="shared" ref="Q127" si="611">F127*P127</f>
        <v>-399607.25784418389</v>
      </c>
      <c r="R127">
        <f t="shared" ref="R127" si="612">R128+Q127</f>
        <v>-2956321.4776498266</v>
      </c>
      <c r="S127">
        <f t="shared" ref="S127" si="613">R127/100000</f>
        <v>-29.563214776498267</v>
      </c>
      <c r="T127">
        <f t="shared" ref="T127" si="614">S127/1000</f>
        <v>-2.9563214776498266E-2</v>
      </c>
    </row>
    <row r="128" spans="1:20" x14ac:dyDescent="0.25">
      <c r="A128" s="5">
        <v>44465</v>
      </c>
      <c r="B128">
        <v>9.91</v>
      </c>
      <c r="C128">
        <v>10.464</v>
      </c>
      <c r="D128">
        <v>9.2460000000000004</v>
      </c>
      <c r="E128">
        <v>10.327</v>
      </c>
      <c r="F128">
        <v>351382.8</v>
      </c>
      <c r="G128">
        <v>10.327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0.77504105090311914</v>
      </c>
      <c r="Q128">
        <f t="shared" ref="Q128" si="616">F128*P128</f>
        <v>272336.09458128054</v>
      </c>
      <c r="R128">
        <f t="shared" ref="R128" si="617">R129+Q128</f>
        <v>-2556714.2198056425</v>
      </c>
      <c r="S128">
        <f t="shared" ref="S128" si="618">R128/100000</f>
        <v>-25.567142198056423</v>
      </c>
      <c r="T128">
        <f t="shared" ref="T128" si="619">S128/1000</f>
        <v>-2.5567142198056423E-2</v>
      </c>
    </row>
    <row r="129" spans="1:20" x14ac:dyDescent="0.25">
      <c r="A129" s="5">
        <v>44464</v>
      </c>
      <c r="B129">
        <v>10.231</v>
      </c>
      <c r="C129">
        <v>10.353999999999999</v>
      </c>
      <c r="D129">
        <v>9.7810000000000006</v>
      </c>
      <c r="E129">
        <v>9.9079999999999995</v>
      </c>
      <c r="F129">
        <v>302992.90000000002</v>
      </c>
      <c r="G129">
        <v>9.9079999999999995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-0.55671902268761186</v>
      </c>
      <c r="Q129">
        <f t="shared" ref="Q129" si="621">F129*P129</f>
        <v>-168681.91116928533</v>
      </c>
      <c r="R129">
        <f t="shared" ref="R129" si="622">R130+Q129</f>
        <v>-2829050.3143869229</v>
      </c>
      <c r="S129">
        <f t="shared" ref="S129" si="623">R129/100000</f>
        <v>-28.290503143869227</v>
      </c>
      <c r="T129">
        <f t="shared" ref="T129" si="624">S129/1000</f>
        <v>-2.8290503143869227E-2</v>
      </c>
    </row>
    <row r="130" spans="1:20" x14ac:dyDescent="0.25">
      <c r="A130" s="5">
        <v>44463</v>
      </c>
      <c r="B130">
        <v>11.051</v>
      </c>
      <c r="C130">
        <v>11.137</v>
      </c>
      <c r="D130">
        <v>9.4700000000000006</v>
      </c>
      <c r="E130">
        <v>10.231</v>
      </c>
      <c r="F130">
        <v>449606.5</v>
      </c>
      <c r="G130">
        <v>10.231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-8.6982603479304962E-2</v>
      </c>
      <c r="Q130">
        <f t="shared" ref="Q130" si="626">F130*P130</f>
        <v>-39107.943911218128</v>
      </c>
      <c r="R130">
        <f t="shared" ref="R130" si="627">R131+Q130</f>
        <v>-2660368.4032176374</v>
      </c>
      <c r="S130">
        <f t="shared" ref="S130" si="628">R130/100000</f>
        <v>-26.603684032176375</v>
      </c>
      <c r="T130">
        <f t="shared" ref="T130" si="629">S130/1000</f>
        <v>-2.6603684032176375E-2</v>
      </c>
    </row>
    <row r="131" spans="1:20" x14ac:dyDescent="0.25">
      <c r="A131" s="5">
        <v>44462</v>
      </c>
      <c r="B131">
        <v>11.177</v>
      </c>
      <c r="C131">
        <v>11.593</v>
      </c>
      <c r="D131">
        <v>10.927</v>
      </c>
      <c r="E131">
        <v>11.053000000000001</v>
      </c>
      <c r="F131">
        <v>362331.8</v>
      </c>
      <c r="G131">
        <v>11.053000000000001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-0.62162162162161816</v>
      </c>
      <c r="Q131">
        <f t="shared" ref="Q131" si="631">F131*P131</f>
        <v>-225233.28108107983</v>
      </c>
      <c r="R131">
        <f t="shared" ref="R131" si="632">R132+Q131</f>
        <v>-2621260.4593064194</v>
      </c>
      <c r="S131">
        <f t="shared" ref="S131" si="633">R131/100000</f>
        <v>-26.212604593064192</v>
      </c>
      <c r="T131">
        <f t="shared" ref="T131" si="634">S131/1000</f>
        <v>-2.6212604593064192E-2</v>
      </c>
    </row>
    <row r="132" spans="1:20" x14ac:dyDescent="0.25">
      <c r="A132" s="5">
        <v>44461</v>
      </c>
      <c r="B132">
        <v>9.7479999999999993</v>
      </c>
      <c r="C132">
        <v>11.923</v>
      </c>
      <c r="D132">
        <v>9.6989999999999998</v>
      </c>
      <c r="E132">
        <v>11.177</v>
      </c>
      <c r="F132">
        <v>494616.6</v>
      </c>
      <c r="G132">
        <v>11.177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0.32913669064748169</v>
      </c>
      <c r="Q132">
        <f t="shared" ref="Q132" si="636">F132*P132</f>
        <v>162796.47086330919</v>
      </c>
      <c r="R132">
        <f t="shared" ref="R132" si="637">R133+Q132</f>
        <v>-2396027.1782253394</v>
      </c>
      <c r="S132">
        <f t="shared" ref="S132" si="638">R132/100000</f>
        <v>-23.960271782253393</v>
      </c>
      <c r="T132">
        <f t="shared" ref="T132" si="639">S132/1000</f>
        <v>-2.3960271782253392E-2</v>
      </c>
    </row>
    <row r="133" spans="1:20" x14ac:dyDescent="0.25">
      <c r="A133" s="5">
        <v>44460</v>
      </c>
      <c r="B133">
        <v>10.526</v>
      </c>
      <c r="C133">
        <v>11.234</v>
      </c>
      <c r="D133">
        <v>9.6</v>
      </c>
      <c r="E133">
        <v>9.7270000000000003</v>
      </c>
      <c r="F133">
        <v>365620.6</v>
      </c>
      <c r="G133">
        <v>9.7270000000000003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-0.84455324357405059</v>
      </c>
      <c r="Q133">
        <f t="shared" ref="Q133" si="641">F133*P133</f>
        <v>-308786.06364749052</v>
      </c>
      <c r="R133">
        <f t="shared" ref="R133" si="642">R134+Q133</f>
        <v>-2558823.6490886486</v>
      </c>
      <c r="S133">
        <f t="shared" ref="S133" si="643">R133/100000</f>
        <v>-25.588236490886487</v>
      </c>
      <c r="T133">
        <f t="shared" ref="T133" si="644">S133/1000</f>
        <v>-2.5588236490886488E-2</v>
      </c>
    </row>
    <row r="134" spans="1:20" x14ac:dyDescent="0.25">
      <c r="A134" s="5">
        <v>44459</v>
      </c>
      <c r="B134">
        <v>12.896000000000001</v>
      </c>
      <c r="C134">
        <v>12.896000000000001</v>
      </c>
      <c r="D134">
        <v>11.494</v>
      </c>
      <c r="E134">
        <v>11.819000000000001</v>
      </c>
      <c r="F134">
        <v>204504.1</v>
      </c>
      <c r="G134">
        <v>11.819000000000001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-0.53637660485021277</v>
      </c>
      <c r="Q134">
        <f t="shared" ref="Q134" si="646">F134*P134</f>
        <v>-109691.2148359484</v>
      </c>
      <c r="R134">
        <f t="shared" ref="R134" si="647">R135+Q134</f>
        <v>-2250037.5854411582</v>
      </c>
      <c r="S134">
        <f t="shared" ref="S134" si="648">R134/100000</f>
        <v>-22.500375854411583</v>
      </c>
      <c r="T134">
        <f t="shared" ref="T134" si="649">S134/1000</f>
        <v>-2.2500375854411583E-2</v>
      </c>
    </row>
    <row r="135" spans="1:20" x14ac:dyDescent="0.25">
      <c r="A135" s="5">
        <v>44458</v>
      </c>
      <c r="B135">
        <v>13.923</v>
      </c>
      <c r="C135">
        <v>14.308999999999999</v>
      </c>
      <c r="D135">
        <v>12.661</v>
      </c>
      <c r="E135">
        <v>12.898</v>
      </c>
      <c r="F135">
        <v>427837.5</v>
      </c>
      <c r="G135">
        <v>12.898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-0.71237864077669888</v>
      </c>
      <c r="Q135">
        <f t="shared" ref="Q135" si="651">F135*P135</f>
        <v>-304782.29672330088</v>
      </c>
      <c r="R135">
        <f t="shared" ref="R135" si="652">R136+Q135</f>
        <v>-2140346.3706052098</v>
      </c>
      <c r="S135">
        <f t="shared" ref="S135" si="653">R135/100000</f>
        <v>-21.403463706052097</v>
      </c>
      <c r="T135">
        <f t="shared" ref="T135" si="654">S135/1000</f>
        <v>-2.1403463706052096E-2</v>
      </c>
    </row>
    <row r="136" spans="1:20" x14ac:dyDescent="0.25">
      <c r="A136" s="5">
        <v>44457</v>
      </c>
      <c r="B136">
        <v>13.978</v>
      </c>
      <c r="C136">
        <v>14.874000000000001</v>
      </c>
      <c r="D136">
        <v>13.7</v>
      </c>
      <c r="E136">
        <v>13.926</v>
      </c>
      <c r="F136">
        <v>281513</v>
      </c>
      <c r="G136">
        <v>13.926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-0.61499148211243504</v>
      </c>
      <c r="Q136">
        <f t="shared" ref="Q136" si="656">F136*P136</f>
        <v>-173128.09710391791</v>
      </c>
      <c r="R136">
        <f t="shared" ref="R136" si="657">R137+Q136</f>
        <v>-1835564.0738819088</v>
      </c>
      <c r="S136">
        <f t="shared" ref="S136" si="658">R136/100000</f>
        <v>-18.355640738819087</v>
      </c>
      <c r="T136">
        <f t="shared" ref="T136" si="659">S136/1000</f>
        <v>-1.8355640738819089E-2</v>
      </c>
    </row>
    <row r="137" spans="1:20" x14ac:dyDescent="0.25">
      <c r="A137" s="5">
        <v>44456</v>
      </c>
      <c r="B137">
        <v>14.125</v>
      </c>
      <c r="C137">
        <v>14.342000000000001</v>
      </c>
      <c r="D137">
        <v>13.364000000000001</v>
      </c>
      <c r="E137">
        <v>13.978</v>
      </c>
      <c r="F137">
        <v>353871.8</v>
      </c>
      <c r="G137">
        <v>13.978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0.25562372188138882</v>
      </c>
      <c r="Q137">
        <f t="shared" ref="Q137" si="661">F137*P137</f>
        <v>90458.026584866442</v>
      </c>
      <c r="R137">
        <f t="shared" ref="R137" si="662">R138+Q137</f>
        <v>-1662435.9767779908</v>
      </c>
      <c r="S137">
        <f t="shared" ref="S137" si="663">R137/100000</f>
        <v>-16.624359767779907</v>
      </c>
      <c r="T137">
        <f t="shared" ref="T137" si="664">S137/1000</f>
        <v>-1.6624359767779907E-2</v>
      </c>
    </row>
    <row r="138" spans="1:20" x14ac:dyDescent="0.25">
      <c r="A138" s="5">
        <v>44455</v>
      </c>
      <c r="B138">
        <v>13.884</v>
      </c>
      <c r="C138">
        <v>14.355</v>
      </c>
      <c r="D138">
        <v>13.224</v>
      </c>
      <c r="E138">
        <v>14.125999999999999</v>
      </c>
      <c r="F138">
        <v>366923.6</v>
      </c>
      <c r="G138">
        <v>14.125999999999999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0.59504862953138649</v>
      </c>
      <c r="Q138">
        <f t="shared" ref="Q138" si="666">F138*P138</f>
        <v>218337.38532272264</v>
      </c>
      <c r="R138">
        <f t="shared" ref="R138" si="667">R139+Q138</f>
        <v>-1752894.0033628573</v>
      </c>
      <c r="S138">
        <f t="shared" ref="S138" si="668">R138/100000</f>
        <v>-17.528940033628572</v>
      </c>
      <c r="T138">
        <f t="shared" ref="T138" si="669">S138/1000</f>
        <v>-1.7528940033628572E-2</v>
      </c>
    </row>
    <row r="139" spans="1:20" x14ac:dyDescent="0.25">
      <c r="A139" s="5">
        <v>44454</v>
      </c>
      <c r="B139">
        <v>14.433999999999999</v>
      </c>
      <c r="C139">
        <v>14.45</v>
      </c>
      <c r="D139">
        <v>13.417</v>
      </c>
      <c r="E139">
        <v>13.885999999999999</v>
      </c>
      <c r="F139">
        <v>438495.5</v>
      </c>
      <c r="G139">
        <v>13.885999999999999</v>
      </c>
      <c r="L139" t="s">
        <v>7</v>
      </c>
      <c r="M139" t="s">
        <v>7</v>
      </c>
      <c r="N139" t="s">
        <v>8</v>
      </c>
      <c r="P139">
        <f t="shared" ref="P139" si="670">IF(C139=D139,0,((E139-D139)-(C139-E139))/(C139-D139))</f>
        <v>-9.1965150048403374E-2</v>
      </c>
      <c r="Q139">
        <f t="shared" ref="Q139" si="671">F139*P139</f>
        <v>-40326.304453049663</v>
      </c>
      <c r="R139">
        <f t="shared" ref="R139" si="672">R140+Q139</f>
        <v>-1971231.3886855799</v>
      </c>
      <c r="S139">
        <f t="shared" ref="S139" si="673">R139/100000</f>
        <v>-19.712313886855799</v>
      </c>
      <c r="T139">
        <f t="shared" ref="T139" si="674">S139/1000</f>
        <v>-1.9712313886855799E-2</v>
      </c>
    </row>
    <row r="140" spans="1:20" x14ac:dyDescent="0.25">
      <c r="A140" s="5">
        <v>44453</v>
      </c>
      <c r="B140">
        <v>13.879</v>
      </c>
      <c r="C140">
        <v>14.943</v>
      </c>
      <c r="D140">
        <v>13.459</v>
      </c>
      <c r="E140">
        <v>14.422000000000001</v>
      </c>
      <c r="F140">
        <v>415743.4</v>
      </c>
      <c r="G140">
        <v>14.422000000000001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0.29784366576819538</v>
      </c>
      <c r="Q140">
        <f t="shared" ref="Q140" si="676">F140*P140</f>
        <v>123826.53827493316</v>
      </c>
      <c r="R140">
        <f t="shared" ref="R140" si="677">R141+Q140</f>
        <v>-1930905.0842325303</v>
      </c>
      <c r="S140">
        <f t="shared" ref="S140" si="678">R140/100000</f>
        <v>-19.309050842325302</v>
      </c>
      <c r="T140">
        <f t="shared" ref="T140" si="679">S140/1000</f>
        <v>-1.9309050842325301E-2</v>
      </c>
    </row>
    <row r="141" spans="1:20" x14ac:dyDescent="0.25">
      <c r="A141" s="5">
        <v>44452</v>
      </c>
      <c r="B141">
        <v>15.739000000000001</v>
      </c>
      <c r="C141">
        <v>15.792</v>
      </c>
      <c r="D141">
        <v>13.3</v>
      </c>
      <c r="E141">
        <v>13.898999999999999</v>
      </c>
      <c r="F141">
        <v>838586.5</v>
      </c>
      <c r="G141">
        <v>13.898999999999999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-0.51926163723916641</v>
      </c>
      <c r="Q141">
        <f t="shared" ref="Q141" si="681">F141*P141</f>
        <v>-435445.79895666224</v>
      </c>
      <c r="R141">
        <f t="shared" ref="R141" si="682">R142+Q141</f>
        <v>-2054731.6225074634</v>
      </c>
      <c r="S141">
        <f t="shared" ref="S141" si="683">R141/100000</f>
        <v>-20.547316225074635</v>
      </c>
      <c r="T141">
        <f t="shared" ref="T141" si="684">S141/1000</f>
        <v>-2.0547316225074636E-2</v>
      </c>
    </row>
    <row r="142" spans="1:20" x14ac:dyDescent="0.25">
      <c r="A142" s="5">
        <v>44451</v>
      </c>
      <c r="B142">
        <v>13.007</v>
      </c>
      <c r="C142">
        <v>17.95</v>
      </c>
      <c r="D142">
        <v>12.6</v>
      </c>
      <c r="E142">
        <v>15.766</v>
      </c>
      <c r="F142">
        <v>2281669</v>
      </c>
      <c r="G142">
        <v>15.766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0.18355140186915911</v>
      </c>
      <c r="Q142">
        <f t="shared" ref="Q142" si="686">F142*P142</f>
        <v>418803.5435514024</v>
      </c>
      <c r="R142">
        <f t="shared" ref="R142" si="687">R143+Q142</f>
        <v>-1619285.8235508013</v>
      </c>
      <c r="S142">
        <f t="shared" ref="S142" si="688">R142/100000</f>
        <v>-16.192858235508012</v>
      </c>
      <c r="T142">
        <f t="shared" ref="T142" si="689">S142/1000</f>
        <v>-1.6192858235508013E-2</v>
      </c>
    </row>
    <row r="143" spans="1:20" x14ac:dyDescent="0.25">
      <c r="A143" s="5">
        <v>44450</v>
      </c>
      <c r="B143">
        <v>12.457000000000001</v>
      </c>
      <c r="C143">
        <v>13.670999999999999</v>
      </c>
      <c r="D143">
        <v>12.06</v>
      </c>
      <c r="E143">
        <v>13.071999999999999</v>
      </c>
      <c r="F143">
        <v>254616.9</v>
      </c>
      <c r="G143">
        <v>13.071999999999999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0.25636250775915503</v>
      </c>
      <c r="Q143">
        <f t="shared" ref="Q143" si="691">F143*P143</f>
        <v>65274.227001861997</v>
      </c>
      <c r="R143">
        <f t="shared" ref="R143" si="692">R144+Q143</f>
        <v>-2038089.3671022037</v>
      </c>
      <c r="S143">
        <f t="shared" ref="S143" si="693">R143/100000</f>
        <v>-20.380893671022037</v>
      </c>
      <c r="T143">
        <f t="shared" ref="T143" si="694">S143/1000</f>
        <v>-2.0380893671022037E-2</v>
      </c>
    </row>
    <row r="144" spans="1:20" x14ac:dyDescent="0.25">
      <c r="A144" s="5">
        <v>44449</v>
      </c>
      <c r="B144">
        <v>14.147</v>
      </c>
      <c r="C144">
        <v>14.352</v>
      </c>
      <c r="D144">
        <v>12.071999999999999</v>
      </c>
      <c r="E144">
        <v>12.43</v>
      </c>
      <c r="F144">
        <v>362171.5</v>
      </c>
      <c r="G144">
        <v>12.43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-0.68596491228070144</v>
      </c>
      <c r="Q144">
        <f t="shared" ref="Q144" si="696">F144*P144</f>
        <v>-248436.94122807006</v>
      </c>
      <c r="R144">
        <f t="shared" ref="R144" si="697">R145+Q144</f>
        <v>-2103363.5941040656</v>
      </c>
      <c r="S144">
        <f t="shared" ref="S144" si="698">R144/100000</f>
        <v>-21.033635941040657</v>
      </c>
      <c r="T144">
        <f t="shared" ref="T144" si="699">S144/1000</f>
        <v>-2.1033635941040657E-2</v>
      </c>
    </row>
    <row r="145" spans="1:20" x14ac:dyDescent="0.25">
      <c r="A145" s="5">
        <v>44448</v>
      </c>
      <c r="B145">
        <v>13.173</v>
      </c>
      <c r="C145">
        <v>15.47</v>
      </c>
      <c r="D145">
        <v>12.547000000000001</v>
      </c>
      <c r="E145">
        <v>14.105</v>
      </c>
      <c r="F145">
        <v>708660.2</v>
      </c>
      <c r="G145">
        <v>14.105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6.6028053369825396E-2</v>
      </c>
      <c r="Q145">
        <f t="shared" ref="Q145" si="701">F145*P145</f>
        <v>46791.453506671132</v>
      </c>
      <c r="R145">
        <f t="shared" ref="R145" si="702">R146+Q145</f>
        <v>-1854926.6528759957</v>
      </c>
      <c r="S145">
        <f t="shared" ref="S145" si="703">R145/100000</f>
        <v>-18.549266528759958</v>
      </c>
      <c r="T145">
        <f t="shared" ref="T145" si="704">S145/1000</f>
        <v>-1.8549266528759958E-2</v>
      </c>
    </row>
    <row r="146" spans="1:20" x14ac:dyDescent="0.25">
      <c r="A146" s="5">
        <v>44447</v>
      </c>
      <c r="B146">
        <v>13.382</v>
      </c>
      <c r="C146">
        <v>13.923</v>
      </c>
      <c r="D146">
        <v>11.682</v>
      </c>
      <c r="E146">
        <v>13.173</v>
      </c>
      <c r="F146">
        <v>365072.5</v>
      </c>
      <c r="G146">
        <v>13.173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0.33065595716198115</v>
      </c>
      <c r="Q146">
        <f t="shared" ref="Q146" si="706">F146*P146</f>
        <v>120713.39692101737</v>
      </c>
      <c r="R146">
        <f t="shared" ref="R146" si="707">R147+Q146</f>
        <v>-1901718.1063826669</v>
      </c>
      <c r="S146">
        <f t="shared" ref="S146" si="708">R146/100000</f>
        <v>-19.017181063826669</v>
      </c>
      <c r="T146">
        <f t="shared" ref="T146" si="709">S146/1000</f>
        <v>-1.9017181063826671E-2</v>
      </c>
    </row>
    <row r="147" spans="1:20" x14ac:dyDescent="0.25">
      <c r="A147" s="5">
        <v>44446</v>
      </c>
      <c r="B147">
        <v>16.809999999999999</v>
      </c>
      <c r="C147">
        <v>16.824000000000002</v>
      </c>
      <c r="D147">
        <v>10.441000000000001</v>
      </c>
      <c r="E147">
        <v>13.359</v>
      </c>
      <c r="F147">
        <v>797532.5</v>
      </c>
      <c r="G147">
        <v>13.359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-8.5696381012063658E-2</v>
      </c>
      <c r="Q147">
        <f t="shared" ref="Q147" si="711">F147*P147</f>
        <v>-68345.648989503665</v>
      </c>
      <c r="R147">
        <f t="shared" ref="R147" si="712">R148+Q147</f>
        <v>-2022431.5033036843</v>
      </c>
      <c r="S147">
        <f t="shared" ref="S147" si="713">R147/100000</f>
        <v>-20.224315033036842</v>
      </c>
      <c r="T147">
        <f t="shared" ref="T147" si="714">S147/1000</f>
        <v>-2.022431503303684E-2</v>
      </c>
    </row>
    <row r="148" spans="1:20" x14ac:dyDescent="0.25">
      <c r="A148" s="5">
        <v>44445</v>
      </c>
      <c r="B148">
        <v>17.396999999999998</v>
      </c>
      <c r="C148">
        <v>17.934000000000001</v>
      </c>
      <c r="D148">
        <v>16.5</v>
      </c>
      <c r="E148">
        <v>16.812000000000001</v>
      </c>
      <c r="F148">
        <v>562579.30000000005</v>
      </c>
      <c r="G148">
        <v>16.812000000000001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-0.56485355648535429</v>
      </c>
      <c r="Q148">
        <f t="shared" ref="Q148" si="716">F148*P148</f>
        <v>-317774.91841004108</v>
      </c>
      <c r="R148">
        <f t="shared" ref="R148" si="717">R149+Q148</f>
        <v>-1954085.8543141806</v>
      </c>
      <c r="S148">
        <f t="shared" ref="S148" si="718">R148/100000</f>
        <v>-19.540858543141805</v>
      </c>
      <c r="T148">
        <f t="shared" ref="T148" si="719">S148/1000</f>
        <v>-1.9540858543141807E-2</v>
      </c>
    </row>
    <row r="149" spans="1:20" x14ac:dyDescent="0.25">
      <c r="A149" s="5">
        <v>44444</v>
      </c>
      <c r="B149">
        <v>17.516999999999999</v>
      </c>
      <c r="C149">
        <v>17.96</v>
      </c>
      <c r="D149">
        <v>16.873000000000001</v>
      </c>
      <c r="E149">
        <v>17.369</v>
      </c>
      <c r="F149">
        <v>239487.3</v>
      </c>
      <c r="G149">
        <v>17.369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-8.7396504139836656E-2</v>
      </c>
      <c r="Q149">
        <f t="shared" ref="Q149" si="721">F149*P149</f>
        <v>-20930.352805888302</v>
      </c>
      <c r="R149">
        <f t="shared" ref="R149" si="722">R150+Q149</f>
        <v>-1636310.9359041394</v>
      </c>
      <c r="S149">
        <f t="shared" ref="S149" si="723">R149/100000</f>
        <v>-16.363109359041395</v>
      </c>
      <c r="T149">
        <f t="shared" ref="T149" si="724">S149/1000</f>
        <v>-1.6363109359041395E-2</v>
      </c>
    </row>
    <row r="150" spans="1:20" x14ac:dyDescent="0.25">
      <c r="A150" s="5">
        <v>44443</v>
      </c>
      <c r="B150">
        <v>17.829999999999998</v>
      </c>
      <c r="C150">
        <v>18.347000000000001</v>
      </c>
      <c r="D150">
        <v>17.100000000000001</v>
      </c>
      <c r="E150">
        <v>17.518000000000001</v>
      </c>
      <c r="F150">
        <v>535951.80000000005</v>
      </c>
      <c r="G150">
        <v>17.518000000000001</v>
      </c>
      <c r="L150" t="s">
        <v>7</v>
      </c>
      <c r="M150" t="s">
        <v>8</v>
      </c>
      <c r="N150" t="s">
        <v>7</v>
      </c>
      <c r="P150">
        <f t="shared" ref="P150" si="725">IF(C150=D150,0,((E150-D150)-(C150-E150))/(C150-D150))</f>
        <v>-0.32959101844426736</v>
      </c>
      <c r="Q150">
        <f t="shared" ref="Q150" si="726">F150*P150</f>
        <v>-176644.8995990383</v>
      </c>
      <c r="R150">
        <f t="shared" ref="R150" si="727">R151+Q150</f>
        <v>-1615380.5830982511</v>
      </c>
      <c r="S150">
        <f t="shared" ref="S150" si="728">R150/100000</f>
        <v>-16.15380583098251</v>
      </c>
      <c r="T150">
        <f t="shared" ref="T150" si="729">S150/1000</f>
        <v>-1.6153805830982509E-2</v>
      </c>
    </row>
    <row r="151" spans="1:20" x14ac:dyDescent="0.25">
      <c r="A151" s="5">
        <v>44442</v>
      </c>
      <c r="B151">
        <v>17.446999999999999</v>
      </c>
      <c r="C151">
        <v>20.46</v>
      </c>
      <c r="D151">
        <v>17.196999999999999</v>
      </c>
      <c r="E151">
        <v>17.844999999999999</v>
      </c>
      <c r="F151">
        <v>1166920.1000000001</v>
      </c>
      <c r="G151">
        <v>17.844999999999999</v>
      </c>
      <c r="L151" t="s">
        <v>8</v>
      </c>
      <c r="M151" t="s">
        <v>8</v>
      </c>
      <c r="N151" t="s">
        <v>7</v>
      </c>
      <c r="P151">
        <f t="shared" ref="P151" si="730">IF(C151=D151,0,((E151-D151)-(C151-E151))/(C151-D151))</f>
        <v>-0.60281949126570677</v>
      </c>
      <c r="Q151">
        <f t="shared" ref="Q151" si="731">F151*P151</f>
        <v>-703442.18102972768</v>
      </c>
      <c r="R151">
        <f t="shared" ref="R151" si="732">R152+Q151</f>
        <v>-1438735.6834992128</v>
      </c>
      <c r="S151">
        <f t="shared" ref="S151" si="733">R151/100000</f>
        <v>-14.387356834992129</v>
      </c>
      <c r="T151">
        <f t="shared" ref="T151" si="734">S151/1000</f>
        <v>-1.438735683499213E-2</v>
      </c>
    </row>
    <row r="152" spans="1:20" x14ac:dyDescent="0.25">
      <c r="A152" s="5">
        <v>44441</v>
      </c>
      <c r="B152">
        <v>16.402999999999999</v>
      </c>
      <c r="C152">
        <v>19.420000000000002</v>
      </c>
      <c r="D152">
        <v>16.2</v>
      </c>
      <c r="E152">
        <v>17.446999999999999</v>
      </c>
      <c r="F152">
        <v>976113.4</v>
      </c>
      <c r="G152">
        <v>17.446999999999999</v>
      </c>
      <c r="L152" t="s">
        <v>8</v>
      </c>
      <c r="M152" t="s">
        <v>8</v>
      </c>
      <c r="N152" t="s">
        <v>7</v>
      </c>
      <c r="P152">
        <f t="shared" ref="P152" si="735">IF(C152=D152,0,((E152-D152)-(C152-E152))/(C152-D152))</f>
        <v>-0.22546583850931742</v>
      </c>
      <c r="Q152">
        <f t="shared" ref="Q152" si="736">F152*P152</f>
        <v>-220080.22621118076</v>
      </c>
      <c r="R152">
        <f t="shared" ref="R152" si="737">R153+Q152</f>
        <v>-735293.50246948516</v>
      </c>
      <c r="S152">
        <f t="shared" ref="S152" si="738">R152/100000</f>
        <v>-7.3529350246948519</v>
      </c>
      <c r="T152">
        <f t="shared" ref="T152" si="739">S152/1000</f>
        <v>-7.3529350246948517E-3</v>
      </c>
    </row>
    <row r="153" spans="1:20" x14ac:dyDescent="0.25">
      <c r="A153" s="5">
        <v>44440</v>
      </c>
      <c r="B153">
        <v>15.977</v>
      </c>
      <c r="C153">
        <v>16.899999999999999</v>
      </c>
      <c r="D153">
        <v>15.7</v>
      </c>
      <c r="E153">
        <v>16.404</v>
      </c>
      <c r="F153">
        <v>311936.7</v>
      </c>
      <c r="G153">
        <v>16.404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0.17333333333333506</v>
      </c>
      <c r="Q153">
        <f t="shared" ref="Q153" si="741">F153*P153</f>
        <v>54069.028000000544</v>
      </c>
      <c r="R153">
        <f t="shared" ref="R153" si="742">R154+Q153</f>
        <v>-515213.27625830437</v>
      </c>
      <c r="S153">
        <f t="shared" ref="S153" si="743">R153/100000</f>
        <v>-5.1521327625830438</v>
      </c>
      <c r="T153">
        <f t="shared" ref="T153" si="744">S153/1000</f>
        <v>-5.1521327625830438E-3</v>
      </c>
    </row>
    <row r="154" spans="1:20" x14ac:dyDescent="0.25">
      <c r="A154" s="5">
        <v>44439</v>
      </c>
      <c r="B154">
        <v>15.882</v>
      </c>
      <c r="C154">
        <v>17.8</v>
      </c>
      <c r="D154">
        <v>15.547000000000001</v>
      </c>
      <c r="E154">
        <v>16.027000000000001</v>
      </c>
      <c r="F154">
        <v>551770.5</v>
      </c>
      <c r="G154">
        <v>16.027000000000001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-0.57390146471371473</v>
      </c>
      <c r="Q154">
        <f t="shared" ref="Q154" si="746">F154*P154</f>
        <v>-316661.89813581872</v>
      </c>
      <c r="R154">
        <f t="shared" ref="R154" si="747">R155+Q154</f>
        <v>-569282.30425830488</v>
      </c>
      <c r="S154">
        <f t="shared" ref="S154" si="748">R154/100000</f>
        <v>-5.6928230425830488</v>
      </c>
      <c r="T154">
        <f t="shared" ref="T154" si="749">S154/1000</f>
        <v>-5.6928230425830487E-3</v>
      </c>
    </row>
    <row r="155" spans="1:20" x14ac:dyDescent="0.25">
      <c r="A155" s="5">
        <v>44438</v>
      </c>
      <c r="B155">
        <v>16.850000000000001</v>
      </c>
      <c r="C155">
        <v>17.367000000000001</v>
      </c>
      <c r="D155">
        <v>15.718999999999999</v>
      </c>
      <c r="E155">
        <v>15.894</v>
      </c>
      <c r="F155">
        <v>387337.5</v>
      </c>
      <c r="G155">
        <v>15.894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-0.78762135922330034</v>
      </c>
      <c r="Q155">
        <f t="shared" ref="Q155" si="751">F155*P155</f>
        <v>-305075.28822815511</v>
      </c>
      <c r="R155">
        <f t="shared" ref="R155" si="752">R156+Q155</f>
        <v>-252620.40612248617</v>
      </c>
      <c r="S155">
        <f t="shared" ref="S155" si="753">R155/100000</f>
        <v>-2.5262040612248615</v>
      </c>
      <c r="T155">
        <f t="shared" ref="T155" si="754">S155/1000</f>
        <v>-2.5262040612248613E-3</v>
      </c>
    </row>
    <row r="156" spans="1:20" x14ac:dyDescent="0.25">
      <c r="A156" s="5">
        <v>44437</v>
      </c>
      <c r="B156">
        <v>17.962</v>
      </c>
      <c r="C156">
        <v>18.387</v>
      </c>
      <c r="D156">
        <v>16.617000000000001</v>
      </c>
      <c r="E156">
        <v>16.805</v>
      </c>
      <c r="F156">
        <v>516225</v>
      </c>
      <c r="G156">
        <v>16.805</v>
      </c>
      <c r="L156" t="s">
        <v>7</v>
      </c>
      <c r="M156" t="s">
        <v>7</v>
      </c>
      <c r="N156" t="s">
        <v>7</v>
      </c>
      <c r="P156">
        <f t="shared" ref="P156" si="755">IF(C156=D156,0,((E156-D156)-(C156-E156))/(C156-D156))</f>
        <v>-0.78757062146892787</v>
      </c>
      <c r="Q156">
        <f t="shared" ref="Q156" si="756">F156*P156</f>
        <v>-406563.64406779729</v>
      </c>
      <c r="R156">
        <f t="shared" ref="R156" si="757">R157+Q156</f>
        <v>52454.882105668948</v>
      </c>
      <c r="S156">
        <f t="shared" ref="S156" si="758">R156/100000</f>
        <v>0.52454882105668954</v>
      </c>
      <c r="T156">
        <f t="shared" ref="T156" si="759">S156/1000</f>
        <v>5.2454882105668955E-4</v>
      </c>
    </row>
    <row r="157" spans="1:20" x14ac:dyDescent="0.25">
      <c r="A157" s="5">
        <v>44436</v>
      </c>
      <c r="B157">
        <v>18.297000000000001</v>
      </c>
      <c r="C157">
        <v>18.5</v>
      </c>
      <c r="D157">
        <v>16.876999999999999</v>
      </c>
      <c r="E157">
        <v>17.920000000000002</v>
      </c>
      <c r="F157">
        <v>452004.1</v>
      </c>
      <c r="G157">
        <v>17.920000000000002</v>
      </c>
      <c r="L157" t="s">
        <v>7</v>
      </c>
      <c r="M157" t="s">
        <v>7</v>
      </c>
      <c r="N157" t="s">
        <v>7</v>
      </c>
      <c r="P157">
        <f t="shared" ref="P157" si="760">IF(C157=D157,0,((E157-D157)-(C157-E157))/(C157-D157))</f>
        <v>0.28527418361060025</v>
      </c>
      <c r="Q157">
        <f t="shared" ref="Q157" si="761">F157*P157</f>
        <v>128945.1006161441</v>
      </c>
      <c r="R157">
        <f t="shared" ref="R157" si="762">R158+Q157</f>
        <v>459018.52617346623</v>
      </c>
      <c r="S157">
        <f t="shared" ref="S157" si="763">R157/100000</f>
        <v>4.5901852617346623</v>
      </c>
      <c r="T157">
        <f t="shared" ref="T157" si="764">S157/1000</f>
        <v>4.5901852617346627E-3</v>
      </c>
    </row>
    <row r="158" spans="1:20" x14ac:dyDescent="0.25">
      <c r="A158" s="5">
        <v>44435</v>
      </c>
      <c r="B158">
        <v>16.024999999999999</v>
      </c>
      <c r="C158">
        <v>19.899999999999999</v>
      </c>
      <c r="D158">
        <v>15.000999999999999</v>
      </c>
      <c r="E158">
        <v>18.347000000000001</v>
      </c>
      <c r="F158">
        <v>942446.3</v>
      </c>
      <c r="G158">
        <v>18.347000000000001</v>
      </c>
      <c r="L158" t="s">
        <v>8</v>
      </c>
      <c r="M158" t="s">
        <v>8</v>
      </c>
      <c r="N158" t="s">
        <v>7</v>
      </c>
      <c r="P158">
        <f t="shared" ref="P158" si="765">IF(C158=D158,0,((E158-D158)-(C158-E158))/(C158-D158))</f>
        <v>0.36599305980812513</v>
      </c>
      <c r="Q158">
        <f t="shared" ref="Q158" si="766">F158*P158</f>
        <v>344928.80504184624</v>
      </c>
      <c r="R158">
        <f t="shared" ref="R158" si="767">R159+Q158</f>
        <v>330073.4255573221</v>
      </c>
      <c r="S158">
        <f t="shared" ref="S158" si="768">R158/100000</f>
        <v>3.3007342555732211</v>
      </c>
      <c r="T158">
        <f t="shared" ref="T158" si="769">S158/1000</f>
        <v>3.3007342555732211E-3</v>
      </c>
    </row>
    <row r="159" spans="1:20" x14ac:dyDescent="0.25">
      <c r="A159" s="5">
        <v>44434</v>
      </c>
      <c r="B159">
        <v>17.698</v>
      </c>
      <c r="C159">
        <v>18.065000000000001</v>
      </c>
      <c r="D159">
        <v>15.000999999999999</v>
      </c>
      <c r="E159">
        <v>16.024000000000001</v>
      </c>
      <c r="F159">
        <v>483916.4</v>
      </c>
      <c r="G159">
        <v>16.024000000000001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-0.33224543080939895</v>
      </c>
      <c r="Q159">
        <f t="shared" ref="Q159" si="771">F159*P159</f>
        <v>-160779.01279373342</v>
      </c>
      <c r="R159">
        <f t="shared" ref="R159" si="772">R160+Q159</f>
        <v>-14855.379484524106</v>
      </c>
      <c r="S159">
        <f t="shared" ref="S159" si="773">R159/100000</f>
        <v>-0.14855379484524106</v>
      </c>
      <c r="T159">
        <f t="shared" ref="T159" si="774">S159/1000</f>
        <v>-1.4855379484524106E-4</v>
      </c>
    </row>
    <row r="160" spans="1:20" x14ac:dyDescent="0.25">
      <c r="A160" s="5">
        <v>44433</v>
      </c>
      <c r="B160">
        <v>16.792999999999999</v>
      </c>
      <c r="C160">
        <v>18.375</v>
      </c>
      <c r="D160">
        <v>16.05</v>
      </c>
      <c r="E160">
        <v>17.728000000000002</v>
      </c>
      <c r="F160">
        <v>646499.4</v>
      </c>
      <c r="G160">
        <v>17.728000000000002</v>
      </c>
      <c r="L160" t="s">
        <v>8</v>
      </c>
      <c r="M160" t="s">
        <v>7</v>
      </c>
      <c r="N160" t="s">
        <v>7</v>
      </c>
      <c r="P160">
        <f t="shared" ref="P160" si="775">IF(C160=D160,0,((E160-D160)-(C160-E160))/(C160-D160))</f>
        <v>0.44344086021505491</v>
      </c>
      <c r="Q160">
        <f t="shared" ref="Q160" si="776">F160*P160</f>
        <v>286684.25006451691</v>
      </c>
      <c r="R160">
        <f t="shared" ref="R160" si="777">R161+Q160</f>
        <v>145923.63330920931</v>
      </c>
      <c r="S160">
        <f t="shared" ref="S160" si="778">R160/100000</f>
        <v>1.4592363330920932</v>
      </c>
      <c r="T160">
        <f t="shared" ref="T160" si="779">S160/1000</f>
        <v>1.4592363330920932E-3</v>
      </c>
    </row>
    <row r="161" spans="1:20" x14ac:dyDescent="0.25">
      <c r="A161" s="5">
        <v>44432</v>
      </c>
      <c r="B161">
        <v>19.61</v>
      </c>
      <c r="C161">
        <v>20.004999999999999</v>
      </c>
      <c r="D161">
        <v>16.103999999999999</v>
      </c>
      <c r="E161">
        <v>16.829999999999998</v>
      </c>
      <c r="F161">
        <v>680627.19999999995</v>
      </c>
      <c r="G161">
        <v>16.829999999999998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-0.62778774673160775</v>
      </c>
      <c r="Q161">
        <f t="shared" ref="Q161" si="781">F161*P161</f>
        <v>-427289.41625224333</v>
      </c>
      <c r="R161">
        <f t="shared" ref="R161" si="782">R162+Q161</f>
        <v>-140760.61675530759</v>
      </c>
      <c r="S161">
        <f t="shared" ref="S161" si="783">R161/100000</f>
        <v>-1.407606167553076</v>
      </c>
      <c r="T161">
        <f t="shared" ref="T161" si="784">S161/1000</f>
        <v>-1.4076061675530761E-3</v>
      </c>
    </row>
    <row r="162" spans="1:20" x14ac:dyDescent="0.25">
      <c r="A162" s="5">
        <v>44431</v>
      </c>
      <c r="B162">
        <v>18.920999999999999</v>
      </c>
      <c r="C162">
        <v>22.512</v>
      </c>
      <c r="D162">
        <v>18.75</v>
      </c>
      <c r="E162">
        <v>19.648</v>
      </c>
      <c r="F162">
        <v>810847.4</v>
      </c>
      <c r="G162">
        <v>19.648</v>
      </c>
      <c r="L162" t="s">
        <v>7</v>
      </c>
      <c r="M162" t="s">
        <v>7</v>
      </c>
      <c r="N162" t="s">
        <v>8</v>
      </c>
      <c r="P162">
        <f t="shared" ref="P162" si="785">IF(C162=D162,0,((E162-D162)-(C162-E162))/(C162-D162))</f>
        <v>-0.52259436469962806</v>
      </c>
      <c r="Q162">
        <f t="shared" ref="Q162" si="786">F162*P162</f>
        <v>-423744.28187134519</v>
      </c>
      <c r="R162">
        <f t="shared" ref="R162" si="787">R163+Q162</f>
        <v>286528.79949693574</v>
      </c>
      <c r="S162">
        <f t="shared" ref="S162" si="788">R162/100000</f>
        <v>2.8652879949693575</v>
      </c>
      <c r="T162">
        <f t="shared" ref="T162" si="789">S162/1000</f>
        <v>2.8652879949693576E-3</v>
      </c>
    </row>
    <row r="163" spans="1:20" x14ac:dyDescent="0.25">
      <c r="A163" s="5">
        <v>44430</v>
      </c>
      <c r="B163">
        <v>19.361000000000001</v>
      </c>
      <c r="C163">
        <v>20.399000000000001</v>
      </c>
      <c r="D163">
        <v>19.318000000000001</v>
      </c>
      <c r="E163">
        <v>20.395</v>
      </c>
      <c r="F163">
        <v>157457.70000000001</v>
      </c>
      <c r="G163">
        <v>20.395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0.99259944495836938</v>
      </c>
      <c r="Q163">
        <f t="shared" ref="Q163" si="791">F163*P163</f>
        <v>156292.42562442145</v>
      </c>
      <c r="R163">
        <f t="shared" ref="R163" si="792">R164+Q163</f>
        <v>710273.08136828092</v>
      </c>
      <c r="S163">
        <f t="shared" ref="S163" si="793">R163/100000</f>
        <v>7.1027308136828093</v>
      </c>
      <c r="T163">
        <f t="shared" ref="T163" si="794">S163/1000</f>
        <v>7.1027308136828093E-3</v>
      </c>
    </row>
    <row r="164" spans="1:20" x14ac:dyDescent="0.25">
      <c r="A164" s="5">
        <v>44429</v>
      </c>
      <c r="B164">
        <v>22.091000000000001</v>
      </c>
      <c r="C164">
        <v>24.8</v>
      </c>
      <c r="D164">
        <v>18.8</v>
      </c>
      <c r="E164">
        <v>19.361999999999998</v>
      </c>
      <c r="F164">
        <v>1302982.8999999999</v>
      </c>
      <c r="G164">
        <v>19.361999999999998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-0.81266666666666743</v>
      </c>
      <c r="Q164">
        <f t="shared" ref="Q164" si="796">F164*P164</f>
        <v>-1058890.7700666676</v>
      </c>
      <c r="R164">
        <f t="shared" ref="R164" si="797">R165+Q164</f>
        <v>553980.65574385948</v>
      </c>
      <c r="S164">
        <f t="shared" ref="S164" si="798">R164/100000</f>
        <v>5.5398065574385944</v>
      </c>
      <c r="T164">
        <f t="shared" ref="T164" si="799">S164/1000</f>
        <v>5.5398065574385948E-3</v>
      </c>
    </row>
    <row r="165" spans="1:20" x14ac:dyDescent="0.25">
      <c r="A165" s="5">
        <v>44428</v>
      </c>
      <c r="B165">
        <v>18.908999999999999</v>
      </c>
      <c r="C165">
        <v>23.143999999999998</v>
      </c>
      <c r="D165">
        <v>18.399999999999999</v>
      </c>
      <c r="E165">
        <v>22.091000000000001</v>
      </c>
      <c r="F165">
        <v>1475543.8</v>
      </c>
      <c r="G165">
        <v>22.091000000000001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0.55607082630691518</v>
      </c>
      <c r="Q165">
        <f t="shared" ref="Q165" si="801">F165*P165</f>
        <v>820506.86011804559</v>
      </c>
      <c r="R165">
        <f t="shared" ref="R165" si="802">R166+Q165</f>
        <v>1612871.4258105271</v>
      </c>
      <c r="S165">
        <f t="shared" ref="S165" si="803">R165/100000</f>
        <v>16.128714258105269</v>
      </c>
      <c r="T165">
        <f t="shared" ref="T165" si="804">S165/1000</f>
        <v>1.6128714258105269E-2</v>
      </c>
    </row>
    <row r="166" spans="1:20" x14ac:dyDescent="0.25">
      <c r="A166" s="5">
        <v>44427</v>
      </c>
      <c r="B166">
        <v>15.472</v>
      </c>
      <c r="C166">
        <v>20.100000000000001</v>
      </c>
      <c r="D166">
        <v>15.271000000000001</v>
      </c>
      <c r="E166">
        <v>18.908000000000001</v>
      </c>
      <c r="F166">
        <v>1271816.6000000001</v>
      </c>
      <c r="G166">
        <v>18.908000000000001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0.50631600745495964</v>
      </c>
      <c r="Q166">
        <f t="shared" ref="Q166" si="806">F166*P166</f>
        <v>643941.10312694148</v>
      </c>
      <c r="R166">
        <f t="shared" ref="R166" si="807">R167+Q166</f>
        <v>792364.56569248135</v>
      </c>
      <c r="S166">
        <f t="shared" ref="S166" si="808">R166/100000</f>
        <v>7.9236456569248137</v>
      </c>
      <c r="T166">
        <f t="shared" ref="T166" si="809">S166/1000</f>
        <v>7.9236456569248132E-3</v>
      </c>
    </row>
    <row r="167" spans="1:20" x14ac:dyDescent="0.25">
      <c r="A167" s="5">
        <v>44426</v>
      </c>
      <c r="B167">
        <v>15.215</v>
      </c>
      <c r="C167">
        <v>16.335000000000001</v>
      </c>
      <c r="D167">
        <v>14.632</v>
      </c>
      <c r="E167">
        <v>15.486000000000001</v>
      </c>
      <c r="F167">
        <v>357539.7</v>
      </c>
      <c r="G167">
        <v>15.486000000000001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2.9359953024079731E-3</v>
      </c>
      <c r="Q167">
        <f t="shared" ref="Q167" si="811">F167*P167</f>
        <v>1049.7348796243559</v>
      </c>
      <c r="R167">
        <f t="shared" ref="R167" si="812">R168+Q167</f>
        <v>148423.4625655399</v>
      </c>
      <c r="S167">
        <f t="shared" ref="S167" si="813">R167/100000</f>
        <v>1.4842346256553991</v>
      </c>
      <c r="T167">
        <f t="shared" ref="T167" si="814">S167/1000</f>
        <v>1.4842346256553991E-3</v>
      </c>
    </row>
    <row r="168" spans="1:20" x14ac:dyDescent="0.25">
      <c r="A168" s="5">
        <v>44425</v>
      </c>
      <c r="B168">
        <v>16.157</v>
      </c>
      <c r="C168">
        <v>16.899000000000001</v>
      </c>
      <c r="D168">
        <v>14.788</v>
      </c>
      <c r="E168">
        <v>15.215</v>
      </c>
      <c r="F168">
        <v>561304.6</v>
      </c>
      <c r="G168">
        <v>15.215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-0.59545239223117052</v>
      </c>
      <c r="Q168">
        <f t="shared" ref="Q168" si="816">F168*P168</f>
        <v>-334230.16684036027</v>
      </c>
      <c r="R168">
        <f t="shared" ref="R168" si="817">R169+Q168</f>
        <v>147373.72768591554</v>
      </c>
      <c r="S168">
        <f t="shared" ref="S168" si="818">R168/100000</f>
        <v>1.4737372768591555</v>
      </c>
      <c r="T168">
        <f t="shared" ref="T168" si="819">S168/1000</f>
        <v>1.4737372768591555E-3</v>
      </c>
    </row>
    <row r="169" spans="1:20" x14ac:dyDescent="0.25">
      <c r="A169" s="5">
        <v>44424</v>
      </c>
      <c r="B169">
        <v>14.444000000000001</v>
      </c>
      <c r="C169">
        <v>17.75</v>
      </c>
      <c r="D169">
        <v>14.124000000000001</v>
      </c>
      <c r="E169">
        <v>16.157</v>
      </c>
      <c r="F169">
        <v>1020611.4</v>
      </c>
      <c r="G169">
        <v>16.157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0.1213458356315498</v>
      </c>
      <c r="Q169">
        <f t="shared" ref="Q169" si="821">F169*P169</f>
        <v>123846.94318808592</v>
      </c>
      <c r="R169">
        <f t="shared" ref="R169" si="822">R170+Q169</f>
        <v>481603.89452627581</v>
      </c>
      <c r="S169">
        <f t="shared" ref="S169" si="823">R169/100000</f>
        <v>4.8160389452627577</v>
      </c>
      <c r="T169">
        <f t="shared" ref="T169" si="824">S169/1000</f>
        <v>4.8160389452627577E-3</v>
      </c>
    </row>
    <row r="170" spans="1:20" x14ac:dyDescent="0.25">
      <c r="A170" s="5">
        <v>44423</v>
      </c>
      <c r="B170">
        <v>13.833</v>
      </c>
      <c r="C170">
        <v>14.88</v>
      </c>
      <c r="D170">
        <v>13.292999999999999</v>
      </c>
      <c r="E170">
        <v>14.397</v>
      </c>
      <c r="F170">
        <v>418296.1</v>
      </c>
      <c r="G170">
        <v>14.397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0.39130434782608686</v>
      </c>
      <c r="Q170">
        <f t="shared" ref="Q170" si="826">F170*P170</f>
        <v>163681.08260869561</v>
      </c>
      <c r="R170">
        <f t="shared" ref="R170" si="827">R171+Q170</f>
        <v>357756.95133818989</v>
      </c>
      <c r="S170">
        <f t="shared" ref="S170" si="828">R170/100000</f>
        <v>3.5775695133818988</v>
      </c>
      <c r="T170">
        <f t="shared" ref="T170" si="829">S170/1000</f>
        <v>3.5775695133818987E-3</v>
      </c>
    </row>
    <row r="171" spans="1:20" x14ac:dyDescent="0.25">
      <c r="A171" s="5">
        <v>44422</v>
      </c>
      <c r="B171">
        <v>13.526999999999999</v>
      </c>
      <c r="C171">
        <v>14.39</v>
      </c>
      <c r="D171">
        <v>12.61</v>
      </c>
      <c r="E171">
        <v>13.833</v>
      </c>
      <c r="F171">
        <v>399433.7</v>
      </c>
      <c r="G171">
        <v>13.833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0.37415730337078651</v>
      </c>
      <c r="Q171">
        <f t="shared" ref="Q171" si="831">F171*P171</f>
        <v>149451.03606741573</v>
      </c>
      <c r="R171">
        <f t="shared" ref="R171" si="832">R172+Q171</f>
        <v>194075.86872949425</v>
      </c>
      <c r="S171">
        <f t="shared" ref="S171" si="833">R171/100000</f>
        <v>1.9407586872949425</v>
      </c>
      <c r="T171">
        <f t="shared" ref="T171" si="834">S171/1000</f>
        <v>1.9407586872949424E-3</v>
      </c>
    </row>
    <row r="172" spans="1:20" x14ac:dyDescent="0.25">
      <c r="A172" s="5">
        <v>44421</v>
      </c>
      <c r="B172">
        <v>11.923</v>
      </c>
      <c r="C172">
        <v>14</v>
      </c>
      <c r="D172">
        <v>11.88</v>
      </c>
      <c r="E172">
        <v>13.526999999999999</v>
      </c>
      <c r="F172">
        <v>382149.7</v>
      </c>
      <c r="G172">
        <v>13.526999999999999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0.55377358490565953</v>
      </c>
      <c r="Q172">
        <f t="shared" ref="Q172" si="836">F172*P172</f>
        <v>211624.40933962233</v>
      </c>
      <c r="R172">
        <f t="shared" ref="R172" si="837">R173+Q172</f>
        <v>44624.832662078523</v>
      </c>
      <c r="S172">
        <f t="shared" ref="S172" si="838">R172/100000</f>
        <v>0.44624832662078523</v>
      </c>
      <c r="T172">
        <f t="shared" ref="T172" si="839">S172/1000</f>
        <v>4.4624832662078521E-4</v>
      </c>
    </row>
    <row r="173" spans="1:20" x14ac:dyDescent="0.25">
      <c r="A173" s="5">
        <v>44420</v>
      </c>
      <c r="B173">
        <v>12.393000000000001</v>
      </c>
      <c r="C173">
        <v>12.739000000000001</v>
      </c>
      <c r="D173">
        <v>11.446</v>
      </c>
      <c r="E173">
        <v>11.920999999999999</v>
      </c>
      <c r="F173">
        <v>334075</v>
      </c>
      <c r="G173">
        <v>11.920999999999999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-0.26527455529775829</v>
      </c>
      <c r="Q173">
        <f t="shared" ref="Q173" si="841">F173*P173</f>
        <v>-88621.597061098597</v>
      </c>
      <c r="R173">
        <f t="shared" ref="R173" si="842">R174+Q173</f>
        <v>-166999.57667754381</v>
      </c>
      <c r="S173">
        <f t="shared" ref="S173" si="843">R173/100000</f>
        <v>-1.6699957667754382</v>
      </c>
      <c r="T173">
        <f t="shared" ref="T173" si="844">S173/1000</f>
        <v>-1.6699957667754381E-3</v>
      </c>
    </row>
    <row r="174" spans="1:20" x14ac:dyDescent="0.25">
      <c r="A174" s="5">
        <v>44419</v>
      </c>
      <c r="B174">
        <v>11.962999999999999</v>
      </c>
      <c r="C174">
        <v>13.5</v>
      </c>
      <c r="D174">
        <v>11.85</v>
      </c>
      <c r="E174">
        <v>12.393000000000001</v>
      </c>
      <c r="F174">
        <v>533688.1</v>
      </c>
      <c r="G174">
        <v>12.393000000000001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-0.34181818181818069</v>
      </c>
      <c r="Q174">
        <f t="shared" ref="Q174" si="846">F174*P174</f>
        <v>-182424.29599999939</v>
      </c>
      <c r="R174">
        <f t="shared" ref="R174" si="847">R175+Q174</f>
        <v>-78377.979616445198</v>
      </c>
      <c r="S174">
        <f t="shared" ref="S174" si="848">R174/100000</f>
        <v>-0.78377979616445204</v>
      </c>
      <c r="T174">
        <f t="shared" ref="T174" si="849">S174/1000</f>
        <v>-7.8377979616445204E-4</v>
      </c>
    </row>
    <row r="175" spans="1:20" x14ac:dyDescent="0.25">
      <c r="A175" s="5">
        <v>44418</v>
      </c>
      <c r="B175">
        <v>12.275</v>
      </c>
      <c r="C175">
        <v>12.85</v>
      </c>
      <c r="D175">
        <v>11.512</v>
      </c>
      <c r="E175">
        <v>11.962999999999999</v>
      </c>
      <c r="F175">
        <v>483686</v>
      </c>
      <c r="G175">
        <v>11.962999999999999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-0.32585949177877577</v>
      </c>
      <c r="Q175">
        <f t="shared" ref="Q175" si="851">F175*P175</f>
        <v>-157613.67414050893</v>
      </c>
      <c r="R175">
        <f t="shared" ref="R175" si="852">R176+Q175</f>
        <v>104046.31638355419</v>
      </c>
      <c r="S175">
        <f t="shared" ref="S175" si="853">R175/100000</f>
        <v>1.0404631638355419</v>
      </c>
      <c r="T175">
        <f t="shared" ref="T175" si="854">S175/1000</f>
        <v>1.0404631638355419E-3</v>
      </c>
    </row>
    <row r="176" spans="1:20" x14ac:dyDescent="0.25">
      <c r="A176" s="5">
        <v>44417</v>
      </c>
      <c r="B176">
        <v>12.037000000000001</v>
      </c>
      <c r="C176">
        <v>13.042</v>
      </c>
      <c r="D176">
        <v>11.250999999999999</v>
      </c>
      <c r="E176">
        <v>12.276</v>
      </c>
      <c r="F176">
        <v>536364</v>
      </c>
      <c r="G176">
        <v>12.276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0.14461194863204929</v>
      </c>
      <c r="Q176">
        <f t="shared" ref="Q176" si="856">F176*P176</f>
        <v>77564.643216080483</v>
      </c>
      <c r="R176">
        <f t="shared" ref="R176" si="857">R177+Q176</f>
        <v>261659.99052406312</v>
      </c>
      <c r="S176">
        <f t="shared" ref="S176" si="858">R176/100000</f>
        <v>2.6165999052406312</v>
      </c>
      <c r="T176">
        <f t="shared" ref="T176" si="859">S176/1000</f>
        <v>2.6165999052406314E-3</v>
      </c>
    </row>
    <row r="177" spans="1:20" x14ac:dyDescent="0.25">
      <c r="A177" s="5">
        <v>44416</v>
      </c>
      <c r="B177">
        <v>13.4</v>
      </c>
      <c r="C177">
        <v>13.86</v>
      </c>
      <c r="D177">
        <v>11.510999999999999</v>
      </c>
      <c r="E177">
        <v>12.03</v>
      </c>
      <c r="F177">
        <v>841603.8</v>
      </c>
      <c r="G177">
        <v>12.03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-0.55810983397190284</v>
      </c>
      <c r="Q177">
        <f t="shared" ref="Q177" si="861">F177*P177</f>
        <v>-469707.35708812252</v>
      </c>
      <c r="R177">
        <f t="shared" ref="R177" si="862">R178+Q177</f>
        <v>184095.34730798262</v>
      </c>
      <c r="S177">
        <f t="shared" ref="S177" si="863">R177/100000</f>
        <v>1.8409534730798263</v>
      </c>
      <c r="T177">
        <f t="shared" ref="T177" si="864">S177/1000</f>
        <v>1.8409534730798262E-3</v>
      </c>
    </row>
    <row r="178" spans="1:20" x14ac:dyDescent="0.25">
      <c r="A178" s="5">
        <v>44415</v>
      </c>
      <c r="B178">
        <v>12.122</v>
      </c>
      <c r="C178">
        <v>14.898</v>
      </c>
      <c r="D178">
        <v>11.679</v>
      </c>
      <c r="E178">
        <v>13.435</v>
      </c>
      <c r="F178">
        <v>1796490.9</v>
      </c>
      <c r="G178">
        <v>13.435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9.1022056539298263E-2</v>
      </c>
      <c r="Q178">
        <f t="shared" ref="Q178" si="866">F178*P178</f>
        <v>163520.29627213482</v>
      </c>
      <c r="R178">
        <f t="shared" ref="R178" si="867">R179+Q178</f>
        <v>653802.70439610514</v>
      </c>
      <c r="S178">
        <f t="shared" ref="S178" si="868">R178/100000</f>
        <v>6.5380270439610513</v>
      </c>
      <c r="T178">
        <f t="shared" ref="T178" si="869">S178/1000</f>
        <v>6.538027043961051E-3</v>
      </c>
    </row>
    <row r="179" spans="1:20" x14ac:dyDescent="0.25">
      <c r="A179" s="5">
        <v>44414</v>
      </c>
      <c r="B179">
        <v>10.920999999999999</v>
      </c>
      <c r="C179">
        <v>12.56</v>
      </c>
      <c r="D179">
        <v>10.4</v>
      </c>
      <c r="E179">
        <v>12.127000000000001</v>
      </c>
      <c r="F179">
        <v>892934.7</v>
      </c>
      <c r="G179">
        <v>12.127000000000001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0.5990740740740742</v>
      </c>
      <c r="Q179">
        <f t="shared" ref="Q179" si="871">F179*P179</f>
        <v>534934.02861111122</v>
      </c>
      <c r="R179">
        <f t="shared" ref="R179" si="872">R180+Q179</f>
        <v>490282.40812397026</v>
      </c>
      <c r="S179">
        <f t="shared" ref="S179" si="873">R179/100000</f>
        <v>4.9028240812397028</v>
      </c>
      <c r="T179">
        <f t="shared" ref="T179" si="874">S179/1000</f>
        <v>4.9028240812397025E-3</v>
      </c>
    </row>
    <row r="180" spans="1:20" x14ac:dyDescent="0.25">
      <c r="A180" s="5">
        <v>44413</v>
      </c>
      <c r="B180">
        <v>11.615</v>
      </c>
      <c r="C180">
        <v>12.112</v>
      </c>
      <c r="D180">
        <v>9.7569999999999997</v>
      </c>
      <c r="E180">
        <v>10.930999999999999</v>
      </c>
      <c r="F180">
        <v>2288983</v>
      </c>
      <c r="G180">
        <v>10.930999999999999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-2.972399150743715E-3</v>
      </c>
      <c r="Q180">
        <f t="shared" ref="Q180" si="876">F180*P180</f>
        <v>-6803.7711252668005</v>
      </c>
      <c r="R180">
        <f t="shared" ref="R180" si="877">R181+Q180</f>
        <v>-44651.620487140965</v>
      </c>
      <c r="S180">
        <f t="shared" ref="S180" si="878">R180/100000</f>
        <v>-0.44651620487140964</v>
      </c>
      <c r="T180">
        <f t="shared" ref="T180" si="879">S180/1000</f>
        <v>-4.4651620487140965E-4</v>
      </c>
    </row>
    <row r="181" spans="1:20" x14ac:dyDescent="0.25">
      <c r="A181" s="5">
        <v>44412</v>
      </c>
      <c r="B181">
        <v>8.1210000000000004</v>
      </c>
      <c r="C181">
        <v>12.757</v>
      </c>
      <c r="D181">
        <v>7.976</v>
      </c>
      <c r="E181">
        <v>11.615</v>
      </c>
      <c r="F181">
        <v>3357024.3</v>
      </c>
      <c r="G181">
        <v>11.615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0.5222756745450744</v>
      </c>
      <c r="Q181">
        <f t="shared" ref="Q181" si="881">F181*P181</f>
        <v>1753292.1307467062</v>
      </c>
      <c r="R181">
        <f t="shared" ref="R181" si="882">R182+Q181</f>
        <v>-37847.849361874163</v>
      </c>
      <c r="S181">
        <f t="shared" ref="S181" si="883">R181/100000</f>
        <v>-0.37847849361874164</v>
      </c>
      <c r="T181">
        <f t="shared" ref="T181" si="884">S181/1000</f>
        <v>-3.7847849361874166E-4</v>
      </c>
    </row>
    <row r="182" spans="1:20" x14ac:dyDescent="0.25">
      <c r="A182" s="5">
        <v>44411</v>
      </c>
      <c r="B182">
        <v>8.0050000000000008</v>
      </c>
      <c r="C182">
        <v>8.1910000000000007</v>
      </c>
      <c r="D182">
        <v>7.6790000000000003</v>
      </c>
      <c r="E182">
        <v>8.1210000000000004</v>
      </c>
      <c r="F182">
        <v>188740.1</v>
      </c>
      <c r="G182">
        <v>8.1210000000000004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0.72656249999999911</v>
      </c>
      <c r="Q182">
        <f t="shared" ref="Q182" si="886">F182*P182</f>
        <v>137131.47890624983</v>
      </c>
      <c r="R182">
        <f t="shared" ref="R182" si="887">R183+Q182</f>
        <v>-1791139.9801085803</v>
      </c>
      <c r="S182">
        <f t="shared" ref="S182" si="888">R182/100000</f>
        <v>-17.911399801085803</v>
      </c>
      <c r="T182">
        <f t="shared" ref="T182" si="889">S182/1000</f>
        <v>-1.7911399801085803E-2</v>
      </c>
    </row>
    <row r="183" spans="1:20" x14ac:dyDescent="0.25">
      <c r="A183" s="5">
        <v>44410</v>
      </c>
      <c r="B183">
        <v>7.9729999999999999</v>
      </c>
      <c r="C183">
        <v>8.9</v>
      </c>
      <c r="D183">
        <v>7.8</v>
      </c>
      <c r="E183">
        <v>7.9749999999999996</v>
      </c>
      <c r="F183">
        <v>335442.7</v>
      </c>
      <c r="G183">
        <v>7.9749999999999996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-0.68181818181818232</v>
      </c>
      <c r="Q183">
        <f t="shared" ref="Q183" si="891">F183*P183</f>
        <v>-228710.931818182</v>
      </c>
      <c r="R183">
        <f t="shared" ref="R183" si="892">R184+Q183</f>
        <v>-1928271.4590148302</v>
      </c>
      <c r="S183">
        <f t="shared" ref="S183" si="893">R183/100000</f>
        <v>-19.282714590148302</v>
      </c>
      <c r="T183">
        <f t="shared" ref="T183" si="894">S183/1000</f>
        <v>-1.9282714590148301E-2</v>
      </c>
    </row>
    <row r="184" spans="1:20" x14ac:dyDescent="0.25">
      <c r="A184" s="5">
        <v>44409</v>
      </c>
      <c r="B184">
        <v>8.0500000000000007</v>
      </c>
      <c r="C184">
        <v>8.4719999999999995</v>
      </c>
      <c r="D184">
        <v>7.7640000000000002</v>
      </c>
      <c r="E184">
        <v>7.9740000000000002</v>
      </c>
      <c r="F184">
        <v>222384.9</v>
      </c>
      <c r="G184">
        <v>7.9740000000000002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-0.40677966101694868</v>
      </c>
      <c r="Q184">
        <f t="shared" ref="Q184" si="896">F184*P184</f>
        <v>-90461.654237288021</v>
      </c>
      <c r="R184">
        <f t="shared" ref="R184" si="897">R185+Q184</f>
        <v>-1699560.5271966483</v>
      </c>
      <c r="S184">
        <f t="shared" ref="S184" si="898">R184/100000</f>
        <v>-16.995605271966483</v>
      </c>
      <c r="T184">
        <f t="shared" ref="T184" si="899">S184/1000</f>
        <v>-1.6995605271966481E-2</v>
      </c>
    </row>
    <row r="185" spans="1:20" x14ac:dyDescent="0.25">
      <c r="A185" s="5">
        <v>44408</v>
      </c>
      <c r="B185">
        <v>8.1240000000000006</v>
      </c>
      <c r="C185">
        <v>8.2200000000000006</v>
      </c>
      <c r="D185">
        <v>7.8150000000000004</v>
      </c>
      <c r="E185">
        <v>8.0500000000000007</v>
      </c>
      <c r="F185">
        <v>170456.6</v>
      </c>
      <c r="G185">
        <v>8.0500000000000007</v>
      </c>
      <c r="L185" t="s">
        <v>7</v>
      </c>
      <c r="M185" t="s">
        <v>7</v>
      </c>
      <c r="N185" t="s">
        <v>8</v>
      </c>
      <c r="P185">
        <f t="shared" ref="P185" si="900">IF(C185=D185,0,((E185-D185)-(C185-E185))/(C185-D185))</f>
        <v>0.16049382716049471</v>
      </c>
      <c r="Q185">
        <f t="shared" ref="Q185" si="901">F185*P185</f>
        <v>27357.232098765584</v>
      </c>
      <c r="R185">
        <f t="shared" ref="R185" si="902">R186+Q185</f>
        <v>-1609098.8729593602</v>
      </c>
      <c r="S185">
        <f t="shared" ref="S185" si="903">R185/100000</f>
        <v>-16.090988729593601</v>
      </c>
      <c r="T185">
        <f t="shared" ref="T185" si="904">S185/1000</f>
        <v>-1.6090988729593601E-2</v>
      </c>
    </row>
    <row r="186" spans="1:20" x14ac:dyDescent="0.25">
      <c r="A186" s="5">
        <v>44407</v>
      </c>
      <c r="B186">
        <v>7.7770000000000001</v>
      </c>
      <c r="C186">
        <v>8.3960000000000008</v>
      </c>
      <c r="D186">
        <v>7.5510000000000002</v>
      </c>
      <c r="E186">
        <v>8.1310000000000002</v>
      </c>
      <c r="F186">
        <v>287793.5</v>
      </c>
      <c r="G186">
        <v>8.1310000000000002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0.37278106508875652</v>
      </c>
      <c r="Q186">
        <f t="shared" ref="Q186" si="906">F186*P186</f>
        <v>107283.96745562105</v>
      </c>
      <c r="R186">
        <f t="shared" ref="R186" si="907">R187+Q186</f>
        <v>-1636456.1050581259</v>
      </c>
      <c r="S186">
        <f t="shared" ref="S186" si="908">R186/100000</f>
        <v>-16.364561050581258</v>
      </c>
      <c r="T186">
        <f t="shared" ref="T186" si="909">S186/1000</f>
        <v>-1.6364561050581258E-2</v>
      </c>
    </row>
    <row r="187" spans="1:20" x14ac:dyDescent="0.25">
      <c r="A187" s="5">
        <v>44406</v>
      </c>
      <c r="B187">
        <v>7.8440000000000003</v>
      </c>
      <c r="C187">
        <v>8.0809999999999995</v>
      </c>
      <c r="D187">
        <v>7.6639999999999997</v>
      </c>
      <c r="E187">
        <v>7.7759999999999998</v>
      </c>
      <c r="F187">
        <v>238149.2</v>
      </c>
      <c r="G187">
        <v>7.7759999999999998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-0.46282973621103046</v>
      </c>
      <c r="Q187">
        <f t="shared" ref="Q187" si="911">F187*P187</f>
        <v>-110222.53141486795</v>
      </c>
      <c r="R187">
        <f t="shared" ref="R187" si="912">R188+Q187</f>
        <v>-1743740.072513747</v>
      </c>
      <c r="S187">
        <f t="shared" ref="S187" si="913">R187/100000</f>
        <v>-17.437400725137469</v>
      </c>
      <c r="T187">
        <f t="shared" ref="T187" si="914">S187/1000</f>
        <v>-1.743740072513747E-2</v>
      </c>
    </row>
    <row r="188" spans="1:20" x14ac:dyDescent="0.25">
      <c r="A188" s="5">
        <v>44405</v>
      </c>
      <c r="B188">
        <v>8.2690000000000001</v>
      </c>
      <c r="C188">
        <v>8.6660000000000004</v>
      </c>
      <c r="D188">
        <v>7.6539999999999999</v>
      </c>
      <c r="E188">
        <v>7.82</v>
      </c>
      <c r="F188">
        <v>547569.69999999995</v>
      </c>
      <c r="G188">
        <v>7.82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-0.67193675889328008</v>
      </c>
      <c r="Q188">
        <f t="shared" ref="Q188" si="916">F188*P188</f>
        <v>-367932.20948616567</v>
      </c>
      <c r="R188">
        <f t="shared" ref="R188" si="917">R189+Q188</f>
        <v>-1633517.5410988792</v>
      </c>
      <c r="S188">
        <f t="shared" ref="S188" si="918">R188/100000</f>
        <v>-16.335175410988793</v>
      </c>
      <c r="T188">
        <f t="shared" ref="T188" si="919">S188/1000</f>
        <v>-1.6335175410988792E-2</v>
      </c>
    </row>
    <row r="189" spans="1:20" x14ac:dyDescent="0.25">
      <c r="A189" s="5">
        <v>44404</v>
      </c>
      <c r="B189">
        <v>7.907</v>
      </c>
      <c r="C189">
        <v>9.1219999999999999</v>
      </c>
      <c r="D189">
        <v>7.532</v>
      </c>
      <c r="E189">
        <v>8.2690000000000001</v>
      </c>
      <c r="F189">
        <v>474859.5</v>
      </c>
      <c r="G189">
        <v>8.2690000000000001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-7.2955974842767085E-2</v>
      </c>
      <c r="Q189">
        <f t="shared" ref="Q189" si="921">F189*P189</f>
        <v>-34643.83773584896</v>
      </c>
      <c r="R189">
        <f t="shared" ref="R189" si="922">R190+Q189</f>
        <v>-1265585.3316127136</v>
      </c>
      <c r="S189">
        <f t="shared" ref="S189" si="923">R189/100000</f>
        <v>-12.655853316127136</v>
      </c>
      <c r="T189">
        <f t="shared" ref="T189" si="924">S189/1000</f>
        <v>-1.2655853316127135E-2</v>
      </c>
    </row>
    <row r="190" spans="1:20" x14ac:dyDescent="0.25">
      <c r="A190" s="5">
        <v>44403</v>
      </c>
      <c r="B190">
        <v>8.6579999999999995</v>
      </c>
      <c r="C190">
        <v>9.4499999999999993</v>
      </c>
      <c r="D190">
        <v>7.61</v>
      </c>
      <c r="E190">
        <v>7.8869999999999996</v>
      </c>
      <c r="F190">
        <v>717880.7</v>
      </c>
      <c r="G190">
        <v>7.8869999999999996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-0.69891304347826155</v>
      </c>
      <c r="Q190">
        <f t="shared" ref="Q190" si="926">F190*P190</f>
        <v>-501736.18489130482</v>
      </c>
      <c r="R190">
        <f t="shared" ref="R190" si="927">R191+Q190</f>
        <v>-1230941.4938768647</v>
      </c>
      <c r="S190">
        <f t="shared" ref="S190" si="928">R190/100000</f>
        <v>-12.309414938768647</v>
      </c>
      <c r="T190">
        <f t="shared" ref="T190" si="929">S190/1000</f>
        <v>-1.2309414938768647E-2</v>
      </c>
    </row>
    <row r="191" spans="1:20" x14ac:dyDescent="0.25">
      <c r="A191" s="5">
        <v>44402</v>
      </c>
      <c r="B191">
        <v>7.6509999999999998</v>
      </c>
      <c r="C191">
        <v>8.9</v>
      </c>
      <c r="D191">
        <v>7.3070000000000004</v>
      </c>
      <c r="E191">
        <v>8.6579999999999995</v>
      </c>
      <c r="F191">
        <v>604816.19999999995</v>
      </c>
      <c r="G191">
        <v>8.6579999999999995</v>
      </c>
      <c r="L191" t="s">
        <v>8</v>
      </c>
      <c r="M191" t="s">
        <v>7</v>
      </c>
      <c r="N191" t="s">
        <v>8</v>
      </c>
      <c r="P191">
        <f t="shared" ref="P191" si="930">IF(C191=D191,0,((E191-D191)-(C191-E191))/(C191-D191))</f>
        <v>0.69617074701820358</v>
      </c>
      <c r="Q191">
        <f t="shared" ref="Q191" si="931">F191*P191</f>
        <v>421055.34576271119</v>
      </c>
      <c r="R191">
        <f t="shared" ref="R191" si="932">R192+Q191</f>
        <v>-729205.30898555997</v>
      </c>
      <c r="S191">
        <f t="shared" ref="S191" si="933">R191/100000</f>
        <v>-7.2920530898555995</v>
      </c>
      <c r="T191">
        <f t="shared" ref="T191:T197" si="934">S191/1000</f>
        <v>-7.2920530898555993E-3</v>
      </c>
    </row>
    <row r="192" spans="1:20" x14ac:dyDescent="0.25">
      <c r="A192" s="5">
        <v>44401</v>
      </c>
      <c r="B192">
        <v>8.0280000000000005</v>
      </c>
      <c r="C192">
        <v>8.6389999999999993</v>
      </c>
      <c r="D192">
        <v>7.3860000000000001</v>
      </c>
      <c r="E192">
        <v>7.66</v>
      </c>
      <c r="F192">
        <v>855087.6</v>
      </c>
      <c r="G192">
        <v>7.66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-0.56264964086193103</v>
      </c>
      <c r="Q192">
        <f t="shared" ref="Q192" si="936">F192*P192</f>
        <v>-481114.73104549054</v>
      </c>
      <c r="R192">
        <f t="shared" ref="R192" si="937">R193+Q192</f>
        <v>-1150260.6547482712</v>
      </c>
      <c r="S192">
        <f t="shared" ref="S192" si="938">R192/100000</f>
        <v>-11.502606547482712</v>
      </c>
      <c r="T192">
        <f t="shared" si="934"/>
        <v>-1.1502606547482712E-2</v>
      </c>
    </row>
    <row r="193" spans="1:20" x14ac:dyDescent="0.25">
      <c r="A193" s="5">
        <v>44400</v>
      </c>
      <c r="B193">
        <v>6.8230000000000004</v>
      </c>
      <c r="C193">
        <v>8.1579999999999995</v>
      </c>
      <c r="D193">
        <v>6.1639999999999997</v>
      </c>
      <c r="E193">
        <v>8.0269999999999992</v>
      </c>
      <c r="F193">
        <v>852666.1</v>
      </c>
      <c r="G193">
        <v>8.0269999999999992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0.86860581745235688</v>
      </c>
      <c r="Q193">
        <f t="shared" ref="Q193" si="940">F193*P193</f>
        <v>740630.73480441305</v>
      </c>
      <c r="R193">
        <f t="shared" ref="R193" si="941">R194+Q193</f>
        <v>-669145.92370278062</v>
      </c>
      <c r="S193">
        <f t="shared" ref="S193" si="942">R193/100000</f>
        <v>-6.6914592370278063</v>
      </c>
      <c r="T193">
        <f t="shared" si="934"/>
        <v>-6.6914592370278065E-3</v>
      </c>
    </row>
    <row r="194" spans="1:20" x14ac:dyDescent="0.25">
      <c r="A194" s="5">
        <v>44399</v>
      </c>
      <c r="B194">
        <v>6.76</v>
      </c>
      <c r="C194">
        <v>7.5060000000000002</v>
      </c>
      <c r="D194">
        <v>6.6</v>
      </c>
      <c r="E194">
        <v>6.8209999999999997</v>
      </c>
      <c r="F194">
        <v>429779.3</v>
      </c>
      <c r="G194">
        <v>6.8209999999999997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-0.51214128035320106</v>
      </c>
      <c r="Q194">
        <f t="shared" ref="Q194" si="944">F194*P194</f>
        <v>-220107.72097130251</v>
      </c>
      <c r="R194">
        <f t="shared" ref="R194" si="945">R195+Q194</f>
        <v>-1409776.6585071937</v>
      </c>
      <c r="S194">
        <f t="shared" ref="S194" si="946">R194/100000</f>
        <v>-14.097766585071938</v>
      </c>
      <c r="T194">
        <f t="shared" si="934"/>
        <v>-1.4097766585071938E-2</v>
      </c>
    </row>
    <row r="195" spans="1:20" x14ac:dyDescent="0.25">
      <c r="A195" s="5">
        <v>44398</v>
      </c>
      <c r="B195">
        <v>5.8579999999999997</v>
      </c>
      <c r="C195">
        <v>7.2510000000000003</v>
      </c>
      <c r="D195">
        <v>5.7759999999999998</v>
      </c>
      <c r="E195">
        <v>6.7619999999999996</v>
      </c>
      <c r="F195">
        <v>666224.80000000005</v>
      </c>
      <c r="G195">
        <v>6.7619999999999996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0.33694915254237207</v>
      </c>
      <c r="Q195">
        <f t="shared" ref="Q195" si="948">F195*P195</f>
        <v>224483.88176271133</v>
      </c>
      <c r="R195">
        <f t="shared" ref="R195" si="949">R196+Q195</f>
        <v>-1189668.9375358911</v>
      </c>
      <c r="S195">
        <f t="shared" ref="S195" si="950">R195/100000</f>
        <v>-11.89668937535891</v>
      </c>
      <c r="T195">
        <f t="shared" si="934"/>
        <v>-1.1896689375358911E-2</v>
      </c>
    </row>
    <row r="196" spans="1:20" x14ac:dyDescent="0.25">
      <c r="A196" s="5">
        <v>44397</v>
      </c>
      <c r="B196">
        <v>6.1609999999999996</v>
      </c>
      <c r="C196">
        <v>6.1660000000000004</v>
      </c>
      <c r="D196">
        <v>5.5739999999999998</v>
      </c>
      <c r="E196">
        <v>5.8310000000000004</v>
      </c>
      <c r="F196">
        <v>321140.59999999998</v>
      </c>
      <c r="G196">
        <v>5.8310000000000004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-0.13175675675675563</v>
      </c>
      <c r="Q196">
        <f t="shared" ref="Q196" si="952">F196*P196</f>
        <v>-42312.443918918558</v>
      </c>
      <c r="R196">
        <f t="shared" ref="R196" si="953">R197+Q196</f>
        <v>-1414152.8192986024</v>
      </c>
      <c r="S196">
        <f t="shared" ref="S196" si="954">R196/100000</f>
        <v>-14.141528192986025</v>
      </c>
      <c r="T196">
        <f t="shared" si="934"/>
        <v>-1.4141528192986025E-2</v>
      </c>
    </row>
    <row r="197" spans="1:20" x14ac:dyDescent="0.25">
      <c r="A197" s="5">
        <v>44396</v>
      </c>
      <c r="B197">
        <v>7.2709999999999999</v>
      </c>
      <c r="C197">
        <v>7.3179999999999996</v>
      </c>
      <c r="D197">
        <v>5.9710000000000001</v>
      </c>
      <c r="E197">
        <v>6.1360000000000001</v>
      </c>
      <c r="F197">
        <v>350320.4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-0.75501113585746094</v>
      </c>
      <c r="Q197">
        <f t="shared" ref="Q197" si="956">F197*P197</f>
        <v>-264495.80311804009</v>
      </c>
      <c r="R197">
        <f t="shared" ref="R197" si="957">R198+Q197</f>
        <v>-1371840.3753796839</v>
      </c>
      <c r="S197">
        <f t="shared" ref="S197" si="958">R197/100000</f>
        <v>-13.718403753796839</v>
      </c>
      <c r="T197">
        <f t="shared" si="934"/>
        <v>-1.3718403753796838E-2</v>
      </c>
    </row>
    <row r="198" spans="1:20" x14ac:dyDescent="0.25">
      <c r="A198" s="5">
        <v>44395</v>
      </c>
      <c r="B198">
        <v>7.0579999999999998</v>
      </c>
      <c r="C198">
        <v>7.9480000000000004</v>
      </c>
      <c r="D198">
        <v>6.9</v>
      </c>
      <c r="E198">
        <v>7.2709999999999999</v>
      </c>
      <c r="F198">
        <v>456644.6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-0.29198473282442838</v>
      </c>
      <c r="Q198">
        <f t="shared" ref="Q198:Q261" si="960">F198*P198</f>
        <v>-133333.25152671797</v>
      </c>
      <c r="R198">
        <f t="shared" ref="R198:R261" si="961">R199+Q198</f>
        <v>-1107344.5722616438</v>
      </c>
      <c r="S198">
        <f t="shared" ref="S198:S261" si="962">R198/100000</f>
        <v>-11.073445722616439</v>
      </c>
      <c r="T198">
        <f t="shared" ref="T198:T261" si="963">S198/1000</f>
        <v>-1.1073445722616438E-2</v>
      </c>
    </row>
    <row r="199" spans="1:20" x14ac:dyDescent="0.25">
      <c r="A199" s="5">
        <v>44394</v>
      </c>
      <c r="B199">
        <v>7.2039999999999997</v>
      </c>
      <c r="C199">
        <v>7.5650000000000004</v>
      </c>
      <c r="D199">
        <v>6.9</v>
      </c>
      <c r="E199">
        <v>7.0620000000000003</v>
      </c>
      <c r="F199">
        <v>456276.2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-0.51278195488721834</v>
      </c>
      <c r="Q199">
        <f t="shared" si="960"/>
        <v>-233970.20180451142</v>
      </c>
      <c r="R199">
        <f t="shared" si="961"/>
        <v>-974011.3207349258</v>
      </c>
      <c r="S199">
        <f t="shared" si="962"/>
        <v>-9.7401132073492587</v>
      </c>
      <c r="T199">
        <f t="shared" si="963"/>
        <v>-9.7401132073492592E-3</v>
      </c>
    </row>
    <row r="200" spans="1:20" x14ac:dyDescent="0.25">
      <c r="A200" s="5">
        <v>44393</v>
      </c>
      <c r="B200">
        <v>9.6010000000000009</v>
      </c>
      <c r="C200">
        <v>10.25</v>
      </c>
      <c r="D200">
        <v>7.2009999999999996</v>
      </c>
      <c r="E200">
        <v>7.2140000000000004</v>
      </c>
      <c r="F200">
        <v>1994387.3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-0.99147261397179354</v>
      </c>
      <c r="Q200">
        <f t="shared" si="960"/>
        <v>-1977380.3896031477</v>
      </c>
      <c r="R200">
        <f t="shared" si="961"/>
        <v>-740041.11893041432</v>
      </c>
      <c r="S200">
        <f t="shared" si="962"/>
        <v>-7.4004111893041431</v>
      </c>
      <c r="T200">
        <f t="shared" si="963"/>
        <v>-7.4004111893041435E-3</v>
      </c>
    </row>
    <row r="201" spans="1:20" x14ac:dyDescent="0.25">
      <c r="A201" s="5">
        <v>44392</v>
      </c>
      <c r="B201">
        <v>6.9509999999999996</v>
      </c>
      <c r="C201">
        <v>10.66</v>
      </c>
      <c r="D201">
        <v>6.4349999999999996</v>
      </c>
      <c r="E201">
        <v>9.65</v>
      </c>
      <c r="F201">
        <v>5260251.2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0.52189349112426053</v>
      </c>
      <c r="Q201">
        <f t="shared" si="960"/>
        <v>2745290.8629585807</v>
      </c>
      <c r="R201">
        <f t="shared" si="961"/>
        <v>1237339.2706727334</v>
      </c>
      <c r="S201">
        <f t="shared" si="962"/>
        <v>12.373392706727333</v>
      </c>
      <c r="T201">
        <f t="shared" si="963"/>
        <v>1.2373392706727333E-2</v>
      </c>
    </row>
    <row r="202" spans="1:20" x14ac:dyDescent="0.25">
      <c r="A202" s="5">
        <v>44391</v>
      </c>
      <c r="B202">
        <v>5.9909999999999997</v>
      </c>
      <c r="C202">
        <v>6.99</v>
      </c>
      <c r="D202">
        <v>5.6029999999999998</v>
      </c>
      <c r="E202">
        <v>6.9509999999999996</v>
      </c>
      <c r="F202">
        <v>583030.19999999995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0.94376351838500272</v>
      </c>
      <c r="Q202">
        <f t="shared" si="960"/>
        <v>550242.63287671178</v>
      </c>
      <c r="R202">
        <f t="shared" si="961"/>
        <v>-1507951.5922858473</v>
      </c>
      <c r="S202">
        <f t="shared" si="962"/>
        <v>-15.079515922858473</v>
      </c>
      <c r="T202">
        <f t="shared" si="963"/>
        <v>-1.5079515922858474E-2</v>
      </c>
    </row>
    <row r="203" spans="1:20" x14ac:dyDescent="0.25">
      <c r="A203" s="5">
        <v>44390</v>
      </c>
      <c r="B203">
        <v>6.3840000000000003</v>
      </c>
      <c r="C203">
        <v>6.3959999999999999</v>
      </c>
      <c r="D203">
        <v>5.85</v>
      </c>
      <c r="E203">
        <v>5.9850000000000003</v>
      </c>
      <c r="F203">
        <v>178774.5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-0.50549450549450325</v>
      </c>
      <c r="Q203">
        <f t="shared" si="960"/>
        <v>-90369.527472527072</v>
      </c>
      <c r="R203">
        <f t="shared" si="961"/>
        <v>-2058194.225162559</v>
      </c>
      <c r="S203">
        <f t="shared" si="962"/>
        <v>-20.581942251625591</v>
      </c>
      <c r="T203">
        <f t="shared" si="963"/>
        <v>-2.0581942251625591E-2</v>
      </c>
    </row>
    <row r="204" spans="1:20" x14ac:dyDescent="0.25">
      <c r="A204" s="5">
        <v>44389</v>
      </c>
      <c r="B204">
        <v>6.8239999999999998</v>
      </c>
      <c r="C204">
        <v>6.8520000000000003</v>
      </c>
      <c r="D204">
        <v>6</v>
      </c>
      <c r="E204">
        <v>6.3840000000000003</v>
      </c>
      <c r="F204">
        <v>167603.1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-9.8591549295774183E-2</v>
      </c>
      <c r="Q204">
        <f t="shared" si="960"/>
        <v>-16524.249295774571</v>
      </c>
      <c r="R204">
        <f t="shared" si="961"/>
        <v>-1967824.697690032</v>
      </c>
      <c r="S204">
        <f t="shared" si="962"/>
        <v>-19.678246976900319</v>
      </c>
      <c r="T204">
        <f t="shared" si="963"/>
        <v>-1.9678246976900318E-2</v>
      </c>
    </row>
    <row r="205" spans="1:20" x14ac:dyDescent="0.25">
      <c r="A205" s="5">
        <v>44388</v>
      </c>
      <c r="B205">
        <v>6.42</v>
      </c>
      <c r="C205">
        <v>7.1319999999999997</v>
      </c>
      <c r="D205">
        <v>6.33</v>
      </c>
      <c r="E205">
        <v>6.79</v>
      </c>
      <c r="F205">
        <v>323387.59999999998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0.14713216957606032</v>
      </c>
      <c r="Q205">
        <f t="shared" si="960"/>
        <v>47580.719201995162</v>
      </c>
      <c r="R205">
        <f t="shared" si="961"/>
        <v>-1951300.4483942573</v>
      </c>
      <c r="S205">
        <f t="shared" si="962"/>
        <v>-19.513004483942574</v>
      </c>
      <c r="T205">
        <f t="shared" si="963"/>
        <v>-1.9513004483942574E-2</v>
      </c>
    </row>
    <row r="206" spans="1:20" x14ac:dyDescent="0.25">
      <c r="A206" s="5">
        <v>44387</v>
      </c>
      <c r="B206">
        <v>6.0250000000000004</v>
      </c>
      <c r="C206">
        <v>6.532</v>
      </c>
      <c r="D206">
        <v>5.992</v>
      </c>
      <c r="E206">
        <v>6.43</v>
      </c>
      <c r="F206">
        <v>311053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0.62222222222222112</v>
      </c>
      <c r="Q206">
        <f t="shared" si="960"/>
        <v>193544.08888888854</v>
      </c>
      <c r="R206">
        <f t="shared" si="961"/>
        <v>-1998881.1675962524</v>
      </c>
      <c r="S206">
        <f t="shared" si="962"/>
        <v>-19.988811675962523</v>
      </c>
      <c r="T206">
        <f t="shared" si="963"/>
        <v>-1.9988811675962524E-2</v>
      </c>
    </row>
    <row r="207" spans="1:20" x14ac:dyDescent="0.25">
      <c r="A207" s="5">
        <v>44386</v>
      </c>
      <c r="B207">
        <v>6.0190000000000001</v>
      </c>
      <c r="C207">
        <v>6.1589999999999998</v>
      </c>
      <c r="D207">
        <v>5.7089999999999996</v>
      </c>
      <c r="E207">
        <v>6.0209999999999999</v>
      </c>
      <c r="F207">
        <v>165715.1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0.38666666666666732</v>
      </c>
      <c r="Q207">
        <f t="shared" si="960"/>
        <v>64076.505333333444</v>
      </c>
      <c r="R207">
        <f t="shared" si="961"/>
        <v>-2192425.2564851409</v>
      </c>
      <c r="S207">
        <f t="shared" si="962"/>
        <v>-21.924252564851407</v>
      </c>
      <c r="T207">
        <f t="shared" si="963"/>
        <v>-2.1924252564851407E-2</v>
      </c>
    </row>
    <row r="208" spans="1:20" x14ac:dyDescent="0.25">
      <c r="A208" s="5">
        <v>44385</v>
      </c>
      <c r="B208">
        <v>6.3440000000000003</v>
      </c>
      <c r="C208">
        <v>7.2460000000000004</v>
      </c>
      <c r="D208">
        <v>5.9</v>
      </c>
      <c r="E208">
        <v>6.0460000000000003</v>
      </c>
      <c r="F208">
        <v>409994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-0.78306092124814275</v>
      </c>
      <c r="Q208">
        <f t="shared" si="960"/>
        <v>-321050.27934621106</v>
      </c>
      <c r="R208">
        <f t="shared" si="961"/>
        <v>-2256501.7618184742</v>
      </c>
      <c r="S208">
        <f t="shared" si="962"/>
        <v>-22.56501761818474</v>
      </c>
      <c r="T208">
        <f t="shared" si="963"/>
        <v>-2.2565017618184739E-2</v>
      </c>
    </row>
    <row r="209" spans="1:20" x14ac:dyDescent="0.25">
      <c r="A209" s="5">
        <v>44384</v>
      </c>
      <c r="B209">
        <v>5.8520000000000003</v>
      </c>
      <c r="C209">
        <v>7.2619999999999996</v>
      </c>
      <c r="D209">
        <v>5.8140000000000001</v>
      </c>
      <c r="E209">
        <v>6.35</v>
      </c>
      <c r="F209">
        <v>553388.19999999995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-0.25966850828729315</v>
      </c>
      <c r="Q209">
        <f t="shared" si="960"/>
        <v>-143697.48839779024</v>
      </c>
      <c r="R209">
        <f t="shared" si="961"/>
        <v>-1935451.4824722633</v>
      </c>
      <c r="S209">
        <f t="shared" si="962"/>
        <v>-19.354514824722632</v>
      </c>
      <c r="T209">
        <f t="shared" si="963"/>
        <v>-1.935451482472263E-2</v>
      </c>
    </row>
    <row r="210" spans="1:20" x14ac:dyDescent="0.25">
      <c r="A210" s="5">
        <v>44383</v>
      </c>
      <c r="B210">
        <v>5.4809999999999999</v>
      </c>
      <c r="C210">
        <v>6.5640000000000001</v>
      </c>
      <c r="D210">
        <v>5.4710000000000001</v>
      </c>
      <c r="E210">
        <v>5.8520000000000003</v>
      </c>
      <c r="F210">
        <v>295185.3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-0.30283623055809655</v>
      </c>
      <c r="Q210">
        <f t="shared" si="960"/>
        <v>-89392.803568160889</v>
      </c>
      <c r="R210">
        <f t="shared" si="961"/>
        <v>-1791753.9940744729</v>
      </c>
      <c r="S210">
        <f t="shared" si="962"/>
        <v>-17.917539940744728</v>
      </c>
      <c r="T210">
        <f t="shared" si="963"/>
        <v>-1.7917539940744728E-2</v>
      </c>
    </row>
    <row r="211" spans="1:20" x14ac:dyDescent="0.25">
      <c r="A211" s="5">
        <v>44382</v>
      </c>
      <c r="B211">
        <v>5.9</v>
      </c>
      <c r="C211">
        <v>5.9</v>
      </c>
      <c r="D211">
        <v>5.3789999999999996</v>
      </c>
      <c r="E211">
        <v>5.48</v>
      </c>
      <c r="F211">
        <v>252260.9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-0.61228406909788591</v>
      </c>
      <c r="Q211">
        <f t="shared" si="960"/>
        <v>-154455.33032629488</v>
      </c>
      <c r="R211">
        <f t="shared" si="961"/>
        <v>-1702361.1905063121</v>
      </c>
      <c r="S211">
        <f t="shared" si="962"/>
        <v>-17.02361190506312</v>
      </c>
      <c r="T211">
        <f t="shared" si="963"/>
        <v>-1.7023611905063119E-2</v>
      </c>
    </row>
    <row r="212" spans="1:20" x14ac:dyDescent="0.25">
      <c r="A212" s="5">
        <v>44381</v>
      </c>
      <c r="B212">
        <v>5.74</v>
      </c>
      <c r="C212">
        <v>6.25</v>
      </c>
      <c r="D212">
        <v>5.64</v>
      </c>
      <c r="E212">
        <v>5.9059999999999997</v>
      </c>
      <c r="F212">
        <v>212782.8</v>
      </c>
      <c r="G212">
        <v>0</v>
      </c>
      <c r="L212" t="s">
        <v>8</v>
      </c>
      <c r="M212" t="s">
        <v>7</v>
      </c>
      <c r="N212" t="s">
        <v>7</v>
      </c>
      <c r="P212">
        <f t="shared" si="959"/>
        <v>-0.1278688524590168</v>
      </c>
      <c r="Q212">
        <f t="shared" si="960"/>
        <v>-27208.29245901648</v>
      </c>
      <c r="R212">
        <f t="shared" si="961"/>
        <v>-1547905.8601800171</v>
      </c>
      <c r="S212">
        <f t="shared" si="962"/>
        <v>-15.479058601800171</v>
      </c>
      <c r="T212">
        <f t="shared" si="963"/>
        <v>-1.5479058601800171E-2</v>
      </c>
    </row>
    <row r="213" spans="1:20" x14ac:dyDescent="0.25">
      <c r="A213" s="5">
        <v>44380</v>
      </c>
      <c r="B213">
        <v>5.6159999999999997</v>
      </c>
      <c r="C213">
        <v>5.9610000000000003</v>
      </c>
      <c r="D213">
        <v>5.6040000000000001</v>
      </c>
      <c r="E213">
        <v>5.74</v>
      </c>
      <c r="F213">
        <v>84051.4</v>
      </c>
      <c r="G213">
        <v>0</v>
      </c>
      <c r="L213" t="s">
        <v>8</v>
      </c>
      <c r="M213" t="s">
        <v>7</v>
      </c>
      <c r="N213" t="s">
        <v>7</v>
      </c>
      <c r="P213">
        <f t="shared" si="959"/>
        <v>-0.23809523809523786</v>
      </c>
      <c r="Q213">
        <f t="shared" si="960"/>
        <v>-20012.238095238074</v>
      </c>
      <c r="R213">
        <f t="shared" si="961"/>
        <v>-1520697.5677210006</v>
      </c>
      <c r="S213">
        <f t="shared" si="962"/>
        <v>-15.206975677210007</v>
      </c>
      <c r="T213">
        <f t="shared" si="963"/>
        <v>-1.5206975677210008E-2</v>
      </c>
    </row>
    <row r="214" spans="1:20" x14ac:dyDescent="0.25">
      <c r="A214" s="5">
        <v>44379</v>
      </c>
      <c r="B214">
        <v>5.68</v>
      </c>
      <c r="C214">
        <v>5.77</v>
      </c>
      <c r="D214">
        <v>5.3159999999999998</v>
      </c>
      <c r="E214">
        <v>5.6150000000000002</v>
      </c>
      <c r="F214">
        <v>185913.60000000001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0.31718061674009052</v>
      </c>
      <c r="Q214">
        <f t="shared" si="960"/>
        <v>58968.190308370496</v>
      </c>
      <c r="R214">
        <f t="shared" si="961"/>
        <v>-1500685.3296257625</v>
      </c>
      <c r="S214">
        <f t="shared" si="962"/>
        <v>-15.006853296257626</v>
      </c>
      <c r="T214">
        <f t="shared" si="963"/>
        <v>-1.5006853296257627E-2</v>
      </c>
    </row>
    <row r="215" spans="1:20" x14ac:dyDescent="0.25">
      <c r="A215" s="5">
        <v>44378</v>
      </c>
      <c r="B215">
        <v>6.2270000000000003</v>
      </c>
      <c r="C215">
        <v>6.2809999999999997</v>
      </c>
      <c r="D215">
        <v>5.54</v>
      </c>
      <c r="E215">
        <v>5.68</v>
      </c>
      <c r="F215">
        <v>199562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-0.62213225371120173</v>
      </c>
      <c r="Q215">
        <f t="shared" si="960"/>
        <v>-124153.95681511484</v>
      </c>
      <c r="R215">
        <f t="shared" si="961"/>
        <v>-1559653.5199341329</v>
      </c>
      <c r="S215">
        <f t="shared" si="962"/>
        <v>-15.596535199341329</v>
      </c>
      <c r="T215">
        <f t="shared" si="963"/>
        <v>-1.5596535199341328E-2</v>
      </c>
    </row>
    <row r="216" spans="1:20" x14ac:dyDescent="0.25">
      <c r="A216" s="5">
        <v>44377</v>
      </c>
      <c r="B216">
        <v>6.27</v>
      </c>
      <c r="C216">
        <v>6.3650000000000002</v>
      </c>
      <c r="D216">
        <v>5.81</v>
      </c>
      <c r="E216">
        <v>6.2359999999999998</v>
      </c>
      <c r="F216">
        <v>90129.3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0.535135135135134</v>
      </c>
      <c r="Q216">
        <f t="shared" si="960"/>
        <v>48231.355135135032</v>
      </c>
      <c r="R216">
        <f t="shared" si="961"/>
        <v>-1435499.563119018</v>
      </c>
      <c r="S216">
        <f t="shared" si="962"/>
        <v>-14.35499563119018</v>
      </c>
      <c r="T216">
        <f t="shared" si="963"/>
        <v>-1.4354995631190181E-2</v>
      </c>
    </row>
    <row r="217" spans="1:20" x14ac:dyDescent="0.25">
      <c r="A217" s="5">
        <v>44376</v>
      </c>
      <c r="B217">
        <v>6.2590000000000003</v>
      </c>
      <c r="C217">
        <v>6.6509999999999998</v>
      </c>
      <c r="D217">
        <v>6.1</v>
      </c>
      <c r="E217">
        <v>6.3120000000000003</v>
      </c>
      <c r="F217">
        <v>172132.2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-0.23049001814881825</v>
      </c>
      <c r="Q217">
        <f t="shared" si="960"/>
        <v>-39674.753901996017</v>
      </c>
      <c r="R217">
        <f t="shared" si="961"/>
        <v>-1483730.9182541531</v>
      </c>
      <c r="S217">
        <f t="shared" si="962"/>
        <v>-14.837309182541532</v>
      </c>
      <c r="T217">
        <f t="shared" si="963"/>
        <v>-1.4837309182541532E-2</v>
      </c>
    </row>
    <row r="218" spans="1:20" x14ac:dyDescent="0.25">
      <c r="A218" s="5">
        <v>44375</v>
      </c>
      <c r="B218">
        <v>6.6040000000000001</v>
      </c>
      <c r="C218">
        <v>6.97</v>
      </c>
      <c r="D218">
        <v>6.1340000000000003</v>
      </c>
      <c r="E218">
        <v>6.3049999999999997</v>
      </c>
      <c r="F218">
        <v>138701.9</v>
      </c>
      <c r="G218">
        <v>0</v>
      </c>
      <c r="L218" t="s">
        <v>7</v>
      </c>
      <c r="M218" t="s">
        <v>8</v>
      </c>
      <c r="N218" t="s">
        <v>7</v>
      </c>
      <c r="P218">
        <f t="shared" si="959"/>
        <v>-0.59090909090909216</v>
      </c>
      <c r="Q218">
        <f t="shared" si="960"/>
        <v>-81960.213636363813</v>
      </c>
      <c r="R218">
        <f t="shared" si="961"/>
        <v>-1444056.1643521572</v>
      </c>
      <c r="S218">
        <f t="shared" si="962"/>
        <v>-14.440561643521571</v>
      </c>
      <c r="T218">
        <f t="shared" si="963"/>
        <v>-1.444056164352157E-2</v>
      </c>
    </row>
    <row r="219" spans="1:20" x14ac:dyDescent="0.25">
      <c r="A219" s="5">
        <v>44374</v>
      </c>
      <c r="B219">
        <v>5.8890000000000002</v>
      </c>
      <c r="C219">
        <v>7.0519999999999996</v>
      </c>
      <c r="D219">
        <v>5.843</v>
      </c>
      <c r="E219">
        <v>6.6040000000000001</v>
      </c>
      <c r="F219">
        <v>447137.5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0.25889164598842079</v>
      </c>
      <c r="Q219">
        <f t="shared" si="960"/>
        <v>115760.1633581475</v>
      </c>
      <c r="R219">
        <f t="shared" si="961"/>
        <v>-1362095.9507157933</v>
      </c>
      <c r="S219">
        <f t="shared" si="962"/>
        <v>-13.620959507157933</v>
      </c>
      <c r="T219">
        <f t="shared" si="963"/>
        <v>-1.3620959507157932E-2</v>
      </c>
    </row>
    <row r="220" spans="1:20" x14ac:dyDescent="0.25">
      <c r="A220" s="5">
        <v>44373</v>
      </c>
      <c r="B220">
        <v>6.0010000000000003</v>
      </c>
      <c r="C220">
        <v>6.1829999999999998</v>
      </c>
      <c r="D220">
        <v>5.3220000000000001</v>
      </c>
      <c r="E220">
        <v>5.8890000000000002</v>
      </c>
      <c r="F220">
        <v>128553.60000000001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0.3170731707317081</v>
      </c>
      <c r="Q220">
        <f t="shared" si="960"/>
        <v>40760.897560975711</v>
      </c>
      <c r="R220">
        <f t="shared" si="961"/>
        <v>-1477856.1140739408</v>
      </c>
      <c r="S220">
        <f t="shared" si="962"/>
        <v>-14.778561140739408</v>
      </c>
      <c r="T220">
        <f t="shared" si="963"/>
        <v>-1.4778561140739407E-2</v>
      </c>
    </row>
    <row r="221" spans="1:20" x14ac:dyDescent="0.25">
      <c r="A221" s="5">
        <v>44372</v>
      </c>
      <c r="B221">
        <v>6.7649999999999997</v>
      </c>
      <c r="C221">
        <v>6.8719999999999999</v>
      </c>
      <c r="D221">
        <v>5.7750000000000004</v>
      </c>
      <c r="E221">
        <v>6.0019999999999998</v>
      </c>
      <c r="F221">
        <v>276421.7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-0.58614402917046582</v>
      </c>
      <c r="Q221">
        <f t="shared" si="960"/>
        <v>-162022.92898814977</v>
      </c>
      <c r="R221">
        <f t="shared" si="961"/>
        <v>-1518617.0116349165</v>
      </c>
      <c r="S221">
        <f t="shared" si="962"/>
        <v>-15.186170116349166</v>
      </c>
      <c r="T221">
        <f t="shared" si="963"/>
        <v>-1.5186170116349165E-2</v>
      </c>
    </row>
    <row r="222" spans="1:20" x14ac:dyDescent="0.25">
      <c r="A222" s="5">
        <v>44371</v>
      </c>
      <c r="B222">
        <v>6.9989999999999997</v>
      </c>
      <c r="C222">
        <v>7.1440000000000001</v>
      </c>
      <c r="D222">
        <v>6.34</v>
      </c>
      <c r="E222">
        <v>6.7649999999999997</v>
      </c>
      <c r="F222">
        <v>185111.9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5.7213930348257912E-2</v>
      </c>
      <c r="Q222">
        <f t="shared" si="960"/>
        <v>10590.979353233683</v>
      </c>
      <c r="R222">
        <f t="shared" si="961"/>
        <v>-1356594.0826467667</v>
      </c>
      <c r="S222">
        <f t="shared" si="962"/>
        <v>-13.565940826467667</v>
      </c>
      <c r="T222">
        <f t="shared" si="963"/>
        <v>-1.3565940826467667E-2</v>
      </c>
    </row>
    <row r="223" spans="1:20" x14ac:dyDescent="0.25">
      <c r="A223" s="5">
        <v>44370</v>
      </c>
      <c r="B223">
        <v>6.4</v>
      </c>
      <c r="C223">
        <v>7.9</v>
      </c>
      <c r="D223">
        <v>6.2</v>
      </c>
      <c r="E223">
        <v>6.9989999999999997</v>
      </c>
      <c r="F223">
        <v>437339.2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-6.0000000000000699E-2</v>
      </c>
      <c r="Q223">
        <f t="shared" si="960"/>
        <v>-26240.352000000305</v>
      </c>
      <c r="R223">
        <f t="shared" si="961"/>
        <v>-1367185.0620000004</v>
      </c>
      <c r="S223">
        <f t="shared" si="962"/>
        <v>-13.671850620000004</v>
      </c>
      <c r="T223">
        <f t="shared" si="963"/>
        <v>-1.3671850620000004E-2</v>
      </c>
    </row>
    <row r="224" spans="1:20" x14ac:dyDescent="0.25">
      <c r="A224" s="5">
        <v>44369</v>
      </c>
      <c r="B224">
        <v>7.9909999999999997</v>
      </c>
      <c r="C224">
        <v>9.8000000000000007</v>
      </c>
      <c r="D224">
        <v>5.5</v>
      </c>
      <c r="E224">
        <v>6.351</v>
      </c>
      <c r="F224">
        <v>2219423.5</v>
      </c>
      <c r="G224">
        <v>0</v>
      </c>
      <c r="P224">
        <f t="shared" si="959"/>
        <v>-0.60418604651162799</v>
      </c>
      <c r="Q224">
        <f t="shared" si="960"/>
        <v>-1340944.7100000002</v>
      </c>
      <c r="R224">
        <f t="shared" si="961"/>
        <v>-1340944.7100000002</v>
      </c>
      <c r="S224">
        <f t="shared" si="962"/>
        <v>-13.409447100000001</v>
      </c>
      <c r="T224">
        <f t="shared" si="963"/>
        <v>-1.3409447100000001E-2</v>
      </c>
    </row>
    <row r="225" spans="1:20" x14ac:dyDescent="0.25">
      <c r="A225" s="5"/>
      <c r="P225">
        <f t="shared" si="959"/>
        <v>0</v>
      </c>
      <c r="Q225">
        <f t="shared" si="960"/>
        <v>0</v>
      </c>
      <c r="R225">
        <f t="shared" si="961"/>
        <v>0</v>
      </c>
      <c r="S225">
        <f t="shared" si="962"/>
        <v>0</v>
      </c>
      <c r="T225">
        <f t="shared" si="963"/>
        <v>0</v>
      </c>
    </row>
    <row r="226" spans="1:20" x14ac:dyDescent="0.25">
      <c r="A226" s="5"/>
      <c r="P226">
        <f t="shared" si="959"/>
        <v>0</v>
      </c>
      <c r="Q226">
        <f t="shared" si="960"/>
        <v>0</v>
      </c>
      <c r="R226">
        <f t="shared" si="961"/>
        <v>0</v>
      </c>
      <c r="S226">
        <f t="shared" si="962"/>
        <v>0</v>
      </c>
      <c r="T226">
        <f t="shared" si="96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959"/>
        <v>0</v>
      </c>
      <c r="Q227">
        <f t="shared" si="960"/>
        <v>0</v>
      </c>
      <c r="R227">
        <f t="shared" si="961"/>
        <v>0</v>
      </c>
      <c r="S227">
        <f t="shared" si="962"/>
        <v>0</v>
      </c>
      <c r="T227">
        <f t="shared" si="96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959"/>
        <v>0</v>
      </c>
      <c r="Q228">
        <f t="shared" si="960"/>
        <v>0</v>
      </c>
      <c r="R228">
        <f t="shared" si="961"/>
        <v>0</v>
      </c>
      <c r="S228">
        <f t="shared" si="962"/>
        <v>0</v>
      </c>
      <c r="T228">
        <f t="shared" si="96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959"/>
        <v>0</v>
      </c>
      <c r="Q229">
        <f t="shared" si="960"/>
        <v>0</v>
      </c>
      <c r="R229">
        <f t="shared" si="961"/>
        <v>0</v>
      </c>
      <c r="S229">
        <f t="shared" si="962"/>
        <v>0</v>
      </c>
      <c r="T229">
        <f t="shared" si="96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959"/>
        <v>0</v>
      </c>
      <c r="Q230">
        <f t="shared" si="960"/>
        <v>0</v>
      </c>
      <c r="R230">
        <f t="shared" si="961"/>
        <v>0</v>
      </c>
      <c r="S230">
        <f t="shared" si="962"/>
        <v>0</v>
      </c>
      <c r="T230">
        <f t="shared" si="96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959"/>
        <v>0</v>
      </c>
      <c r="Q231">
        <f t="shared" si="960"/>
        <v>0</v>
      </c>
      <c r="R231">
        <f t="shared" si="961"/>
        <v>0</v>
      </c>
      <c r="S231">
        <f t="shared" si="962"/>
        <v>0</v>
      </c>
      <c r="T231">
        <f t="shared" si="96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959"/>
        <v>0</v>
      </c>
      <c r="Q232">
        <f t="shared" si="960"/>
        <v>0</v>
      </c>
      <c r="R232">
        <f t="shared" si="961"/>
        <v>0</v>
      </c>
      <c r="S232">
        <f t="shared" si="962"/>
        <v>0</v>
      </c>
      <c r="T232">
        <f t="shared" si="96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959"/>
        <v>0</v>
      </c>
      <c r="Q233">
        <f t="shared" si="960"/>
        <v>0</v>
      </c>
      <c r="R233">
        <f t="shared" si="961"/>
        <v>0</v>
      </c>
      <c r="S233">
        <f t="shared" si="962"/>
        <v>0</v>
      </c>
      <c r="T233">
        <f t="shared" si="96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959"/>
        <v>0</v>
      </c>
      <c r="Q234">
        <f t="shared" si="960"/>
        <v>0</v>
      </c>
      <c r="R234">
        <f t="shared" si="961"/>
        <v>0</v>
      </c>
      <c r="S234">
        <f t="shared" si="962"/>
        <v>0</v>
      </c>
      <c r="T234">
        <f t="shared" si="96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959"/>
        <v>0</v>
      </c>
      <c r="Q235">
        <f t="shared" si="960"/>
        <v>0</v>
      </c>
      <c r="R235">
        <f t="shared" si="961"/>
        <v>0</v>
      </c>
      <c r="S235">
        <f t="shared" si="962"/>
        <v>0</v>
      </c>
      <c r="T235">
        <f t="shared" si="96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959"/>
        <v>0</v>
      </c>
      <c r="Q236">
        <f t="shared" si="960"/>
        <v>0</v>
      </c>
      <c r="R236">
        <f t="shared" si="961"/>
        <v>0</v>
      </c>
      <c r="S236">
        <f t="shared" si="962"/>
        <v>0</v>
      </c>
      <c r="T236">
        <f t="shared" si="96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959"/>
        <v>0</v>
      </c>
      <c r="Q237">
        <f t="shared" si="960"/>
        <v>0</v>
      </c>
      <c r="R237">
        <f t="shared" si="961"/>
        <v>0</v>
      </c>
      <c r="S237">
        <f t="shared" si="962"/>
        <v>0</v>
      </c>
      <c r="T237">
        <f t="shared" si="96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959"/>
        <v>0</v>
      </c>
      <c r="Q238">
        <f t="shared" si="960"/>
        <v>0</v>
      </c>
      <c r="R238">
        <f t="shared" si="961"/>
        <v>0</v>
      </c>
      <c r="S238">
        <f t="shared" si="962"/>
        <v>0</v>
      </c>
      <c r="T238">
        <f t="shared" si="96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959"/>
        <v>0</v>
      </c>
      <c r="Q239">
        <f t="shared" si="960"/>
        <v>0</v>
      </c>
      <c r="R239">
        <f t="shared" si="961"/>
        <v>0</v>
      </c>
      <c r="S239">
        <f t="shared" si="962"/>
        <v>0</v>
      </c>
      <c r="T239">
        <f t="shared" si="96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si="959"/>
        <v>0</v>
      </c>
      <c r="Q240">
        <f t="shared" si="960"/>
        <v>0</v>
      </c>
      <c r="R240">
        <f t="shared" si="961"/>
        <v>0</v>
      </c>
      <c r="S240">
        <f t="shared" si="962"/>
        <v>0</v>
      </c>
      <c r="T240">
        <f t="shared" si="963"/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DJ510" sqref="DJ51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$A$509</v>
      </c>
      <c r="D111" s="1" t="str">
        <f>ADDRESS(C121-1,D121,1,1)</f>
        <v>$DJ$509</v>
      </c>
      <c r="E111"/>
    </row>
    <row r="112" spans="1:5" x14ac:dyDescent="0.25">
      <c r="A112" s="7">
        <v>12164.144957890772</v>
      </c>
      <c r="C112" s="1" t="str">
        <f>ADDRESS(C121,1,1,1)</f>
        <v>$A$510</v>
      </c>
      <c r="D112" s="1" t="str">
        <f>ADDRESS(C121,D121-1,1,1)</f>
        <v>$DI$510</v>
      </c>
      <c r="E112"/>
    </row>
    <row r="113" spans="1:5" x14ac:dyDescent="0.25">
      <c r="A113" s="7">
        <v>11925.63231165762</v>
      </c>
      <c r="C113" s="1" t="str">
        <f>ADDRESS(C121+1,1,1,1)</f>
        <v>$A$511</v>
      </c>
      <c r="D113" s="1" t="str">
        <f>ADDRESS(C121-1,D121+1,1,1)</f>
        <v>$DK$509</v>
      </c>
    </row>
    <row r="114" spans="1:5" x14ac:dyDescent="0.25">
      <c r="A114" s="7">
        <v>11691.796383978059</v>
      </c>
      <c r="C114" s="1" t="str">
        <f>ADDRESS(C121,D121,1,1)</f>
        <v>$DJ$510</v>
      </c>
      <c r="D114" s="1" t="str">
        <f>ADDRESS(C121+1,D121+1,1,1)</f>
        <v>$DK$511</v>
      </c>
    </row>
    <row r="115" spans="1:5" x14ac:dyDescent="0.25">
      <c r="A115" s="7">
        <v>11462.545474488292</v>
      </c>
      <c r="C115" s="1" t="str">
        <f>ADDRESS(C121+1,D121,1,1)</f>
        <v>$DJ$511</v>
      </c>
    </row>
    <row r="116" spans="1:5" x14ac:dyDescent="0.25">
      <c r="A116" s="7">
        <v>11237.789680870874</v>
      </c>
      <c r="C116" s="1">
        <f>C117-1</f>
        <v>509</v>
      </c>
    </row>
    <row r="117" spans="1:5" x14ac:dyDescent="0.25">
      <c r="A117" s="7">
        <v>11017.440863598895</v>
      </c>
      <c r="C117" s="1">
        <f>C121</f>
        <v>510</v>
      </c>
      <c r="D117" s="1">
        <f>D121</f>
        <v>114</v>
      </c>
    </row>
    <row r="118" spans="1:5" x14ac:dyDescent="0.25">
      <c r="A118" s="7">
        <v>10801.412611371465</v>
      </c>
      <c r="C118" s="1">
        <f>C117+1</f>
        <v>511</v>
      </c>
      <c r="D118" s="1">
        <f>D117+1</f>
        <v>115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510</v>
      </c>
      <c r="D121" s="19">
        <v>114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R510</v>
      </c>
      <c r="D123" s="1" t="str">
        <f>"C"&amp;D121</f>
        <v>C114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4.5942352075148269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38" x14ac:dyDescent="0.25">
      <c r="A417" s="7">
        <v>28.975383953883185</v>
      </c>
      <c r="B417"/>
      <c r="C417"/>
      <c r="D417"/>
      <c r="E417"/>
    </row>
    <row r="418" spans="1:38" x14ac:dyDescent="0.25">
      <c r="A418" s="7">
        <v>28.407239170473709</v>
      </c>
      <c r="B418"/>
      <c r="C418"/>
      <c r="D418"/>
      <c r="E418"/>
    </row>
    <row r="419" spans="1:38" x14ac:dyDescent="0.25">
      <c r="A419" s="7">
        <v>27.850234480856578</v>
      </c>
      <c r="B419"/>
      <c r="C419"/>
      <c r="D419"/>
      <c r="E419"/>
    </row>
    <row r="420" spans="1:38" x14ac:dyDescent="0.25">
      <c r="A420" s="7">
        <v>27.304151451820175</v>
      </c>
      <c r="B420"/>
      <c r="C420"/>
      <c r="D420"/>
      <c r="E420"/>
    </row>
    <row r="421" spans="1:38" x14ac:dyDescent="0.25">
      <c r="A421" s="7">
        <v>26.768775933157034</v>
      </c>
      <c r="B421"/>
      <c r="C421"/>
      <c r="D421"/>
      <c r="E421"/>
    </row>
    <row r="422" spans="1:38" x14ac:dyDescent="0.25">
      <c r="A422" s="7">
        <v>26.243897973683367</v>
      </c>
      <c r="B422"/>
      <c r="C422"/>
      <c r="D422"/>
      <c r="E422"/>
    </row>
    <row r="423" spans="1:38" x14ac:dyDescent="0.25">
      <c r="A423" s="7">
        <v>25.729311738905263</v>
      </c>
      <c r="B423"/>
      <c r="C423"/>
      <c r="D423"/>
      <c r="E423"/>
    </row>
    <row r="424" spans="1:38" x14ac:dyDescent="0.25">
      <c r="A424" s="7">
        <v>25.224815430299277</v>
      </c>
      <c r="B424"/>
      <c r="C424"/>
      <c r="D424"/>
      <c r="E424"/>
    </row>
    <row r="425" spans="1:38" x14ac:dyDescent="0.25">
      <c r="A425" s="7">
        <v>24.73021120617576</v>
      </c>
      <c r="B425"/>
      <c r="C425"/>
      <c r="D425"/>
      <c r="E425"/>
      <c r="AK425" s="27" t="s">
        <v>8</v>
      </c>
    </row>
    <row r="426" spans="1:38" x14ac:dyDescent="0.25">
      <c r="A426" s="7">
        <v>24.24530510409388</v>
      </c>
      <c r="B426"/>
      <c r="C426"/>
      <c r="D426"/>
      <c r="E426"/>
      <c r="AK426" s="27" t="s">
        <v>8</v>
      </c>
      <c r="AL426" s="27" t="s">
        <v>7</v>
      </c>
    </row>
    <row r="427" spans="1:38" x14ac:dyDescent="0.25">
      <c r="A427" s="7">
        <v>23.769906964797922</v>
      </c>
      <c r="B427"/>
      <c r="C427"/>
      <c r="D427"/>
      <c r="E427"/>
      <c r="AK427" s="27" t="s">
        <v>8</v>
      </c>
      <c r="AL427" s="27" t="s">
        <v>7</v>
      </c>
    </row>
    <row r="428" spans="1:38" x14ac:dyDescent="0.25">
      <c r="A428" s="7">
        <v>23.303830357645023</v>
      </c>
      <c r="B428"/>
      <c r="C428"/>
      <c r="D428"/>
      <c r="E428"/>
      <c r="AK428" s="27" t="s">
        <v>8</v>
      </c>
      <c r="AL428" s="27" t="s">
        <v>7</v>
      </c>
    </row>
    <row r="429" spans="1:38" x14ac:dyDescent="0.25">
      <c r="A429" s="7">
        <v>22.84689250749512</v>
      </c>
      <c r="B429"/>
      <c r="C429"/>
      <c r="D429"/>
      <c r="E429"/>
      <c r="AK429" s="27" t="s">
        <v>8</v>
      </c>
      <c r="AL429" s="27" t="s">
        <v>7</v>
      </c>
    </row>
    <row r="430" spans="1:38" x14ac:dyDescent="0.25">
      <c r="A430" s="7">
        <v>22.398914223034431</v>
      </c>
      <c r="B430"/>
      <c r="C430"/>
      <c r="D430"/>
      <c r="E430"/>
      <c r="AK430" s="27" t="s">
        <v>8</v>
      </c>
      <c r="AL430" s="27" t="s">
        <v>7</v>
      </c>
    </row>
    <row r="431" spans="1:38" x14ac:dyDescent="0.25">
      <c r="A431" s="7">
        <v>21.959719826504344</v>
      </c>
      <c r="B431"/>
      <c r="C431"/>
      <c r="D431"/>
      <c r="E431"/>
      <c r="AK431" s="27" t="s">
        <v>8</v>
      </c>
      <c r="AL431" s="27" t="s">
        <v>7</v>
      </c>
    </row>
    <row r="432" spans="1:38" x14ac:dyDescent="0.25">
      <c r="A432" s="7">
        <v>21.52913708480818</v>
      </c>
      <c r="B432"/>
      <c r="C432"/>
      <c r="D432"/>
      <c r="E432"/>
      <c r="AK432" s="27" t="s">
        <v>8</v>
      </c>
      <c r="AL432" s="27" t="s">
        <v>7</v>
      </c>
    </row>
    <row r="433" spans="1:86" x14ac:dyDescent="0.25">
      <c r="A433" s="7">
        <v>21.106997141968804</v>
      </c>
      <c r="B433"/>
      <c r="C433"/>
      <c r="D433"/>
      <c r="E433"/>
      <c r="AK433" s="27" t="s">
        <v>8</v>
      </c>
      <c r="AL433" s="27" t="s">
        <v>7</v>
      </c>
    </row>
    <row r="434" spans="1:86" x14ac:dyDescent="0.25">
      <c r="A434" s="7">
        <v>20.693134452910591</v>
      </c>
      <c r="B434"/>
      <c r="C434"/>
      <c r="D434"/>
      <c r="E434"/>
      <c r="AK434" s="27" t="s">
        <v>8</v>
      </c>
      <c r="AL434" s="27" t="s">
        <v>7</v>
      </c>
    </row>
    <row r="435" spans="1:86" x14ac:dyDescent="0.25">
      <c r="A435" s="7">
        <v>20.287386718539796</v>
      </c>
      <c r="B435"/>
      <c r="C435"/>
      <c r="D435"/>
      <c r="E435"/>
      <c r="AK435" s="27" t="s">
        <v>8</v>
      </c>
      <c r="AL435" s="27" t="s">
        <v>7</v>
      </c>
      <c r="AQ435" s="27" t="s">
        <v>8</v>
      </c>
    </row>
    <row r="436" spans="1:86" x14ac:dyDescent="0.25">
      <c r="A436" s="7">
        <v>19.889594822097838</v>
      </c>
      <c r="B436"/>
      <c r="C436"/>
      <c r="D436"/>
      <c r="E436"/>
      <c r="AK436" s="27" t="s">
        <v>8</v>
      </c>
      <c r="AL436" s="27" t="s">
        <v>7</v>
      </c>
      <c r="AO436" s="27" t="s">
        <v>8</v>
      </c>
      <c r="AQ436" s="27" t="s">
        <v>8</v>
      </c>
      <c r="AR436" s="27" t="s">
        <v>7</v>
      </c>
    </row>
    <row r="437" spans="1:86" x14ac:dyDescent="0.25">
      <c r="A437" s="7">
        <v>19.499602766762585</v>
      </c>
      <c r="B437"/>
      <c r="C437"/>
      <c r="D437"/>
      <c r="E437"/>
      <c r="AK437" s="27" t="s">
        <v>8</v>
      </c>
      <c r="AL437" s="27" t="s">
        <v>7</v>
      </c>
      <c r="AO437" s="27" t="s">
        <v>8</v>
      </c>
      <c r="AP437" s="27" t="s">
        <v>7</v>
      </c>
      <c r="AQ437" s="27" t="s">
        <v>8</v>
      </c>
      <c r="AR437" s="27" t="s">
        <v>7</v>
      </c>
      <c r="BW437" s="27" t="s">
        <v>8</v>
      </c>
    </row>
    <row r="438" spans="1:86" x14ac:dyDescent="0.25">
      <c r="A438" s="7">
        <v>19.117257614473122</v>
      </c>
      <c r="B438"/>
      <c r="C438"/>
      <c r="D438"/>
      <c r="E438"/>
      <c r="AK438" s="27" t="s">
        <v>8</v>
      </c>
      <c r="AL438" s="27" t="s">
        <v>7</v>
      </c>
      <c r="AO438" s="27" t="s">
        <v>8</v>
      </c>
      <c r="AP438" s="27" t="s">
        <v>7</v>
      </c>
      <c r="AQ438" s="27" t="s">
        <v>8</v>
      </c>
      <c r="AR438" s="27" t="s">
        <v>7</v>
      </c>
      <c r="BW438" s="27" t="s">
        <v>8</v>
      </c>
      <c r="BX438" s="27" t="s">
        <v>7</v>
      </c>
    </row>
    <row r="439" spans="1:86" x14ac:dyDescent="0.25">
      <c r="A439" s="7">
        <v>18.74240942595404</v>
      </c>
      <c r="B439"/>
      <c r="C439"/>
      <c r="D439"/>
      <c r="E439"/>
      <c r="AK439" s="27" t="s">
        <v>8</v>
      </c>
      <c r="AL439" s="27" t="s">
        <v>7</v>
      </c>
      <c r="AO439" s="27" t="s">
        <v>8</v>
      </c>
      <c r="AP439" s="27" t="s">
        <v>7</v>
      </c>
      <c r="AQ439" s="27" t="s">
        <v>8</v>
      </c>
      <c r="AR439" s="27" t="s">
        <v>7</v>
      </c>
      <c r="BW439" s="27" t="s">
        <v>8</v>
      </c>
      <c r="BX439" s="27" t="s">
        <v>7</v>
      </c>
    </row>
    <row r="440" spans="1:86" x14ac:dyDescent="0.25">
      <c r="A440" s="7">
        <v>18.374911201915726</v>
      </c>
      <c r="B440"/>
      <c r="C440"/>
      <c r="D440"/>
      <c r="E440"/>
      <c r="AK440" s="27" t="s">
        <v>8</v>
      </c>
      <c r="AL440" s="27" t="s">
        <v>7</v>
      </c>
      <c r="AM440" s="27" t="s">
        <v>8</v>
      </c>
      <c r="AO440" s="27" t="s">
        <v>8</v>
      </c>
      <c r="AP440" s="27" t="s">
        <v>7</v>
      </c>
      <c r="AQ440" s="27" t="s">
        <v>8</v>
      </c>
      <c r="AR440" s="27" t="s">
        <v>7</v>
      </c>
      <c r="BW440" s="27" t="s">
        <v>8</v>
      </c>
      <c r="BX440" s="27" t="s">
        <v>7</v>
      </c>
    </row>
    <row r="441" spans="1:86" x14ac:dyDescent="0.25">
      <c r="A441" s="7">
        <v>18.014618825407574</v>
      </c>
      <c r="B441"/>
      <c r="C441"/>
      <c r="D441"/>
      <c r="E441"/>
      <c r="AK441" s="27" t="s">
        <v>8</v>
      </c>
      <c r="AL441" s="27" t="s">
        <v>7</v>
      </c>
      <c r="AM441" s="27" t="s">
        <v>8</v>
      </c>
      <c r="AN441" s="27" t="s">
        <v>7</v>
      </c>
      <c r="AO441" s="27" t="s">
        <v>8</v>
      </c>
      <c r="AP441" s="27" t="s">
        <v>7</v>
      </c>
      <c r="AQ441" s="27" t="s">
        <v>8</v>
      </c>
      <c r="AR441" s="27" t="s">
        <v>7</v>
      </c>
      <c r="BW441" s="27" t="s">
        <v>8</v>
      </c>
      <c r="BX441" s="27" t="s">
        <v>7</v>
      </c>
    </row>
    <row r="442" spans="1:86" x14ac:dyDescent="0.25">
      <c r="A442" s="7">
        <v>17.661391005301542</v>
      </c>
      <c r="B442"/>
      <c r="C442"/>
      <c r="D442"/>
      <c r="E442"/>
      <c r="AI442" s="27" t="s">
        <v>8</v>
      </c>
      <c r="AK442" s="27" t="s">
        <v>8</v>
      </c>
      <c r="AL442" s="27" t="s">
        <v>7</v>
      </c>
      <c r="AM442" s="27" t="s">
        <v>8</v>
      </c>
      <c r="AN442" s="27" t="s">
        <v>7</v>
      </c>
      <c r="AO442" s="27" t="s">
        <v>8</v>
      </c>
      <c r="AP442" s="27" t="s">
        <v>7</v>
      </c>
      <c r="AQ442" s="27" t="s">
        <v>8</v>
      </c>
      <c r="AR442" s="27" t="s">
        <v>7</v>
      </c>
      <c r="AU442" s="27" t="s">
        <v>8</v>
      </c>
      <c r="BW442" s="27" t="s">
        <v>8</v>
      </c>
      <c r="BX442" s="27" t="s">
        <v>7</v>
      </c>
      <c r="BY442" s="27" t="s">
        <v>8</v>
      </c>
    </row>
    <row r="443" spans="1:86" x14ac:dyDescent="0.25">
      <c r="A443" s="7">
        <v>17.315089220883866</v>
      </c>
      <c r="B443"/>
      <c r="C443"/>
      <c r="D443"/>
      <c r="E443"/>
      <c r="AI443" s="27" t="s">
        <v>8</v>
      </c>
      <c r="AJ443" s="27" t="s">
        <v>7</v>
      </c>
      <c r="AK443" s="27" t="s">
        <v>8</v>
      </c>
      <c r="AL443" s="27" t="s">
        <v>7</v>
      </c>
      <c r="AM443" s="27" t="s">
        <v>8</v>
      </c>
      <c r="AN443" s="27" t="s">
        <v>7</v>
      </c>
      <c r="AO443" s="27" t="s">
        <v>8</v>
      </c>
      <c r="AP443" s="27" t="s">
        <v>7</v>
      </c>
      <c r="AQ443" s="27" t="s">
        <v>8</v>
      </c>
      <c r="AR443" s="27" t="s">
        <v>7</v>
      </c>
      <c r="AU443" s="27" t="s">
        <v>8</v>
      </c>
      <c r="AV443" s="27" t="s">
        <v>7</v>
      </c>
      <c r="BM443" s="27" t="s">
        <v>8</v>
      </c>
      <c r="BU443" s="27" t="s">
        <v>8</v>
      </c>
      <c r="BW443" s="27" t="s">
        <v>8</v>
      </c>
      <c r="BX443" s="27" t="s">
        <v>7</v>
      </c>
      <c r="BY443" s="27" t="s">
        <v>8</v>
      </c>
      <c r="BZ443" s="27" t="s">
        <v>7</v>
      </c>
    </row>
    <row r="444" spans="1:86" x14ac:dyDescent="0.25">
      <c r="A444" s="7">
        <v>16.975577667533202</v>
      </c>
      <c r="B444"/>
      <c r="C444"/>
      <c r="D444"/>
      <c r="E444"/>
      <c r="AI444" s="27" t="s">
        <v>8</v>
      </c>
      <c r="AJ444" s="27" t="s">
        <v>7</v>
      </c>
      <c r="AK444" s="27" t="s">
        <v>8</v>
      </c>
      <c r="AL444" s="27" t="s">
        <v>7</v>
      </c>
      <c r="AM444" s="27" t="s">
        <v>8</v>
      </c>
      <c r="AN444" s="27" t="s">
        <v>7</v>
      </c>
      <c r="AO444" s="27" t="s">
        <v>8</v>
      </c>
      <c r="AP444" s="27" t="s">
        <v>7</v>
      </c>
      <c r="AQ444" s="27" t="s">
        <v>8</v>
      </c>
      <c r="AR444" s="27" t="s">
        <v>7</v>
      </c>
      <c r="AU444" s="27" t="s">
        <v>8</v>
      </c>
      <c r="AV444" s="27" t="s">
        <v>7</v>
      </c>
      <c r="BM444" s="27" t="s">
        <v>8</v>
      </c>
      <c r="BN444" s="27" t="s">
        <v>7</v>
      </c>
      <c r="BU444" s="27" t="s">
        <v>8</v>
      </c>
      <c r="BV444" s="27" t="s">
        <v>7</v>
      </c>
      <c r="BW444" s="27" t="s">
        <v>8</v>
      </c>
      <c r="BX444" s="27" t="s">
        <v>7</v>
      </c>
      <c r="BY444" s="27" t="s">
        <v>8</v>
      </c>
      <c r="BZ444" s="27" t="s">
        <v>7</v>
      </c>
    </row>
    <row r="445" spans="1:86" x14ac:dyDescent="0.25">
      <c r="A445" s="7">
        <v>16.642723203463923</v>
      </c>
      <c r="B445"/>
      <c r="C445"/>
      <c r="D445"/>
      <c r="E445"/>
      <c r="AI445" s="27" t="s">
        <v>8</v>
      </c>
      <c r="AJ445" s="27" t="s">
        <v>7</v>
      </c>
      <c r="AK445" s="27" t="s">
        <v>8</v>
      </c>
      <c r="AL445" s="27" t="s">
        <v>7</v>
      </c>
      <c r="AM445" s="27" t="s">
        <v>8</v>
      </c>
      <c r="AN445" s="27" t="s">
        <v>7</v>
      </c>
      <c r="AO445" s="27" t="s">
        <v>8</v>
      </c>
      <c r="AP445" s="27" t="s">
        <v>7</v>
      </c>
      <c r="AQ445" s="27" t="s">
        <v>8</v>
      </c>
      <c r="AR445" s="27" t="s">
        <v>7</v>
      </c>
      <c r="AU445" s="27" t="s">
        <v>8</v>
      </c>
      <c r="AV445" s="27" t="s">
        <v>7</v>
      </c>
      <c r="BM445" s="27" t="s">
        <v>8</v>
      </c>
      <c r="BN445" s="27" t="s">
        <v>7</v>
      </c>
      <c r="BU445" s="27" t="s">
        <v>8</v>
      </c>
      <c r="BV445" s="27" t="s">
        <v>7</v>
      </c>
      <c r="BW445" s="27" t="s">
        <v>8</v>
      </c>
      <c r="BX445" s="27" t="s">
        <v>7</v>
      </c>
      <c r="BY445" s="27" t="s">
        <v>8</v>
      </c>
      <c r="BZ445" s="27" t="s">
        <v>7</v>
      </c>
      <c r="CA445" s="27" t="s">
        <v>8</v>
      </c>
      <c r="CE445" s="27" t="s">
        <v>8</v>
      </c>
      <c r="CG445" s="27" t="s">
        <v>8</v>
      </c>
    </row>
    <row r="446" spans="1:86" x14ac:dyDescent="0.25">
      <c r="A446" s="7">
        <v>16.316395297513651</v>
      </c>
      <c r="B446"/>
      <c r="C446"/>
      <c r="D446"/>
      <c r="E446"/>
      <c r="AI446" s="27" t="s">
        <v>8</v>
      </c>
      <c r="AJ446" s="27" t="s">
        <v>7</v>
      </c>
      <c r="AK446" s="27" t="s">
        <v>8</v>
      </c>
      <c r="AL446" s="27" t="s">
        <v>7</v>
      </c>
      <c r="AN446" s="27" t="s">
        <v>7</v>
      </c>
      <c r="AO446" s="27" t="s">
        <v>8</v>
      </c>
      <c r="AP446" s="27" t="s">
        <v>7</v>
      </c>
      <c r="AQ446" s="27" t="s">
        <v>8</v>
      </c>
      <c r="AR446" s="27" t="s">
        <v>7</v>
      </c>
      <c r="AU446" s="27" t="s">
        <v>8</v>
      </c>
      <c r="AV446" s="27" t="s">
        <v>7</v>
      </c>
      <c r="BM446" s="27" t="s">
        <v>8</v>
      </c>
      <c r="BN446" s="27" t="s">
        <v>7</v>
      </c>
      <c r="BU446" s="27" t="s">
        <v>8</v>
      </c>
      <c r="BV446" s="27" t="s">
        <v>7</v>
      </c>
      <c r="BW446" s="27" t="s">
        <v>8</v>
      </c>
      <c r="BX446" s="27" t="s">
        <v>7</v>
      </c>
      <c r="BY446" s="27" t="s">
        <v>8</v>
      </c>
      <c r="BZ446" s="27" t="s">
        <v>7</v>
      </c>
      <c r="CA446" s="27" t="s">
        <v>8</v>
      </c>
      <c r="CB446" s="27" t="s">
        <v>7</v>
      </c>
      <c r="CC446" s="27" t="s">
        <v>8</v>
      </c>
      <c r="CE446" s="27" t="s">
        <v>8</v>
      </c>
      <c r="CF446" s="27" t="s">
        <v>7</v>
      </c>
      <c r="CG446" s="27" t="s">
        <v>8</v>
      </c>
      <c r="CH446" s="27" t="s">
        <v>7</v>
      </c>
    </row>
    <row r="447" spans="1:86" x14ac:dyDescent="0.25">
      <c r="A447" s="7">
        <v>15.996465977954561</v>
      </c>
      <c r="B447"/>
      <c r="C447"/>
      <c r="D447"/>
      <c r="E447"/>
      <c r="AI447" s="27" t="s">
        <v>8</v>
      </c>
      <c r="AJ447" s="27" t="s">
        <v>7</v>
      </c>
      <c r="AK447" s="27" t="s">
        <v>8</v>
      </c>
      <c r="AN447" s="27" t="s">
        <v>7</v>
      </c>
      <c r="AO447" s="27" t="s">
        <v>8</v>
      </c>
      <c r="AP447" s="27" t="s">
        <v>7</v>
      </c>
      <c r="AQ447" s="27" t="s">
        <v>8</v>
      </c>
      <c r="AR447" s="27" t="s">
        <v>7</v>
      </c>
      <c r="AU447" s="27" t="s">
        <v>8</v>
      </c>
      <c r="AV447" s="27" t="s">
        <v>7</v>
      </c>
      <c r="BM447" s="27" t="s">
        <v>8</v>
      </c>
      <c r="BN447" s="27" t="s">
        <v>7</v>
      </c>
      <c r="BU447" s="27" t="s">
        <v>8</v>
      </c>
      <c r="BV447" s="27" t="s">
        <v>7</v>
      </c>
      <c r="BW447" s="27" t="s">
        <v>8</v>
      </c>
      <c r="BX447" s="27" t="s">
        <v>7</v>
      </c>
      <c r="BY447" s="27" t="s">
        <v>8</v>
      </c>
      <c r="BZ447" s="27" t="s">
        <v>7</v>
      </c>
      <c r="CA447" s="27" t="s">
        <v>8</v>
      </c>
      <c r="CB447" s="27" t="s">
        <v>7</v>
      </c>
      <c r="CC447" s="27" t="s">
        <v>8</v>
      </c>
      <c r="CD447" s="27" t="s">
        <v>7</v>
      </c>
      <c r="CE447" s="27" t="s">
        <v>8</v>
      </c>
      <c r="CF447" s="27" t="s">
        <v>7</v>
      </c>
      <c r="CG447" s="27" t="s">
        <v>8</v>
      </c>
      <c r="CH447" s="27" t="s">
        <v>7</v>
      </c>
    </row>
    <row r="448" spans="1:86" x14ac:dyDescent="0.25">
      <c r="A448" s="7">
        <v>15.682809782308393</v>
      </c>
      <c r="B448"/>
      <c r="C448"/>
      <c r="D448"/>
      <c r="E448"/>
      <c r="AI448" s="27" t="s">
        <v>8</v>
      </c>
      <c r="AJ448" s="27" t="s">
        <v>7</v>
      </c>
      <c r="AK448" s="27" t="s">
        <v>8</v>
      </c>
      <c r="AN448" s="27" t="s">
        <v>7</v>
      </c>
      <c r="AO448" s="27" t="s">
        <v>8</v>
      </c>
      <c r="AP448" s="27" t="s">
        <v>7</v>
      </c>
      <c r="AR448" s="27" t="s">
        <v>7</v>
      </c>
      <c r="AU448" s="27" t="s">
        <v>8</v>
      </c>
      <c r="AV448" s="27" t="s">
        <v>7</v>
      </c>
      <c r="BM448" s="27" t="s">
        <v>8</v>
      </c>
      <c r="BN448" s="27" t="s">
        <v>7</v>
      </c>
      <c r="BU448" s="27" t="s">
        <v>8</v>
      </c>
      <c r="BV448" s="27" t="s">
        <v>7</v>
      </c>
      <c r="BW448" s="27" t="s">
        <v>8</v>
      </c>
      <c r="BX448" s="27" t="s">
        <v>7</v>
      </c>
      <c r="BY448" s="27" t="s">
        <v>8</v>
      </c>
      <c r="BZ448" s="27" t="s">
        <v>7</v>
      </c>
      <c r="CA448" s="27" t="s">
        <v>8</v>
      </c>
      <c r="CB448" s="27" t="s">
        <v>7</v>
      </c>
      <c r="CC448" s="27" t="s">
        <v>8</v>
      </c>
      <c r="CD448" s="27" t="s">
        <v>7</v>
      </c>
      <c r="CE448" s="27" t="s">
        <v>8</v>
      </c>
      <c r="CF448" s="27" t="s">
        <v>7</v>
      </c>
      <c r="CG448" s="27" t="s">
        <v>8</v>
      </c>
      <c r="CH448" s="27" t="s">
        <v>7</v>
      </c>
    </row>
    <row r="449" spans="1:106" x14ac:dyDescent="0.25">
      <c r="A449" s="7">
        <v>15.375303708145482</v>
      </c>
      <c r="B449"/>
      <c r="C449"/>
      <c r="D449"/>
      <c r="E449"/>
      <c r="AI449" s="27" t="s">
        <v>8</v>
      </c>
      <c r="AJ449" s="27" t="s">
        <v>7</v>
      </c>
      <c r="AK449" s="27" t="s">
        <v>8</v>
      </c>
      <c r="AN449" s="27" t="s">
        <v>7</v>
      </c>
      <c r="AO449" s="27" t="s">
        <v>8</v>
      </c>
      <c r="AR449" s="27" t="s">
        <v>7</v>
      </c>
      <c r="AS449" s="27" t="s">
        <v>8</v>
      </c>
      <c r="AU449" s="27" t="s">
        <v>8</v>
      </c>
      <c r="AV449" s="27" t="s">
        <v>7</v>
      </c>
      <c r="BM449" s="27" t="s">
        <v>8</v>
      </c>
      <c r="BN449" s="27" t="s">
        <v>7</v>
      </c>
      <c r="BU449" s="27" t="s">
        <v>8</v>
      </c>
      <c r="BV449" s="27" t="s">
        <v>7</v>
      </c>
      <c r="BW449" s="27" t="s">
        <v>8</v>
      </c>
      <c r="BX449" s="27" t="s">
        <v>7</v>
      </c>
      <c r="BY449" s="27" t="s">
        <v>8</v>
      </c>
      <c r="BZ449" s="27" t="s">
        <v>7</v>
      </c>
      <c r="CA449" s="27" t="s">
        <v>8</v>
      </c>
      <c r="CB449" s="27" t="s">
        <v>7</v>
      </c>
      <c r="CC449" s="27" t="s">
        <v>8</v>
      </c>
      <c r="CD449" s="27" t="s">
        <v>7</v>
      </c>
      <c r="CE449" s="27" t="s">
        <v>8</v>
      </c>
      <c r="CF449" s="27" t="s">
        <v>7</v>
      </c>
      <c r="CG449" s="27" t="s">
        <v>8</v>
      </c>
      <c r="CH449" s="27" t="s">
        <v>7</v>
      </c>
    </row>
    <row r="450" spans="1:106" x14ac:dyDescent="0.25">
      <c r="A450" s="7">
        <v>15.073827164848511</v>
      </c>
      <c r="B450"/>
      <c r="C450"/>
      <c r="D450"/>
      <c r="E450"/>
      <c r="AI450" s="27" t="s">
        <v>8</v>
      </c>
      <c r="AJ450" s="27" t="s">
        <v>7</v>
      </c>
      <c r="AK450" s="27" t="s">
        <v>8</v>
      </c>
      <c r="AN450" s="27" t="s">
        <v>7</v>
      </c>
      <c r="AR450" s="27" t="s">
        <v>7</v>
      </c>
      <c r="AS450" s="27" t="s">
        <v>8</v>
      </c>
      <c r="AT450" s="27" t="s">
        <v>7</v>
      </c>
      <c r="AU450" s="27" t="s">
        <v>8</v>
      </c>
      <c r="AV450" s="27" t="s">
        <v>7</v>
      </c>
      <c r="BM450" s="27" t="s">
        <v>8</v>
      </c>
      <c r="BN450" s="27" t="s">
        <v>7</v>
      </c>
      <c r="BU450" s="27" t="s">
        <v>8</v>
      </c>
      <c r="BV450" s="27" t="s">
        <v>7</v>
      </c>
      <c r="BW450" s="27" t="s">
        <v>8</v>
      </c>
      <c r="BX450" s="27" t="s">
        <v>7</v>
      </c>
      <c r="BY450" s="27" t="s">
        <v>8</v>
      </c>
      <c r="BZ450" s="27" t="s">
        <v>7</v>
      </c>
      <c r="CB450" s="27" t="s">
        <v>7</v>
      </c>
      <c r="CC450" s="27" t="s">
        <v>8</v>
      </c>
      <c r="CD450" s="27" t="s">
        <v>7</v>
      </c>
      <c r="CF450" s="27" t="s">
        <v>7</v>
      </c>
      <c r="CG450" s="27" t="s">
        <v>8</v>
      </c>
      <c r="CH450" s="27" t="s">
        <v>7</v>
      </c>
      <c r="CK450" s="27" t="s">
        <v>8</v>
      </c>
    </row>
    <row r="451" spans="1:106" x14ac:dyDescent="0.25">
      <c r="A451" s="7">
        <v>14.77826192632207</v>
      </c>
      <c r="B451"/>
      <c r="C451"/>
      <c r="D451"/>
      <c r="E451"/>
      <c r="AE451" s="27" t="s">
        <v>8</v>
      </c>
      <c r="AI451" s="27" t="s">
        <v>8</v>
      </c>
      <c r="AJ451" s="27" t="s">
        <v>7</v>
      </c>
      <c r="AR451" s="27" t="s">
        <v>7</v>
      </c>
      <c r="AS451" s="27" t="s">
        <v>8</v>
      </c>
      <c r="AT451" s="27" t="s">
        <v>7</v>
      </c>
      <c r="AU451" s="27" t="s">
        <v>8</v>
      </c>
      <c r="AV451" s="27" t="s">
        <v>7</v>
      </c>
      <c r="AW451" s="27" t="s">
        <v>8</v>
      </c>
      <c r="AY451" s="27" t="s">
        <v>8</v>
      </c>
      <c r="BM451" s="27" t="s">
        <v>8</v>
      </c>
      <c r="BN451" s="27" t="s">
        <v>7</v>
      </c>
      <c r="BU451" s="27" t="s">
        <v>8</v>
      </c>
      <c r="BV451" s="27" t="s">
        <v>7</v>
      </c>
      <c r="BW451" s="27" t="s">
        <v>8</v>
      </c>
      <c r="BX451" s="27" t="s">
        <v>7</v>
      </c>
      <c r="BY451" s="27" t="s">
        <v>8</v>
      </c>
      <c r="CB451" s="27" t="s">
        <v>7</v>
      </c>
      <c r="CC451" s="27" t="s">
        <v>8</v>
      </c>
      <c r="CF451" s="27" t="s">
        <v>7</v>
      </c>
      <c r="CG451" s="27" t="s">
        <v>8</v>
      </c>
      <c r="CH451" s="27" t="s">
        <v>7</v>
      </c>
      <c r="CI451" s="27" t="s">
        <v>8</v>
      </c>
      <c r="CK451" s="27" t="s">
        <v>8</v>
      </c>
      <c r="CL451" s="27" t="s">
        <v>7</v>
      </c>
    </row>
    <row r="452" spans="1:106" x14ac:dyDescent="0.25">
      <c r="A452" s="7">
        <v>14.488492084629481</v>
      </c>
      <c r="B452"/>
      <c r="C452"/>
      <c r="D452"/>
      <c r="E452"/>
      <c r="AE452" s="27" t="s">
        <v>8</v>
      </c>
      <c r="AF452" s="27" t="s">
        <v>7</v>
      </c>
      <c r="AI452" s="27" t="s">
        <v>8</v>
      </c>
      <c r="AR452" s="27" t="s">
        <v>7</v>
      </c>
      <c r="AS452" s="27" t="s">
        <v>8</v>
      </c>
      <c r="AT452" s="27" t="s">
        <v>7</v>
      </c>
      <c r="AU452" s="27" t="s">
        <v>8</v>
      </c>
      <c r="AV452" s="27" t="s">
        <v>7</v>
      </c>
      <c r="AW452" s="27" t="s">
        <v>8</v>
      </c>
      <c r="AX452" s="27" t="s">
        <v>7</v>
      </c>
      <c r="AY452" s="27" t="s">
        <v>8</v>
      </c>
      <c r="AZ452" s="27" t="s">
        <v>7</v>
      </c>
      <c r="BM452" s="27" t="s">
        <v>8</v>
      </c>
      <c r="BN452" s="27" t="s">
        <v>7</v>
      </c>
      <c r="BU452" s="27" t="s">
        <v>8</v>
      </c>
      <c r="BV452" s="27" t="s">
        <v>7</v>
      </c>
      <c r="BW452" s="27" t="s">
        <v>8</v>
      </c>
      <c r="BX452" s="27" t="s">
        <v>7</v>
      </c>
      <c r="CB452" s="27" t="s">
        <v>7</v>
      </c>
      <c r="CC452" s="27" t="s">
        <v>8</v>
      </c>
      <c r="CF452" s="27" t="s">
        <v>7</v>
      </c>
      <c r="CH452" s="27" t="s">
        <v>7</v>
      </c>
      <c r="CI452" s="27" t="s">
        <v>8</v>
      </c>
      <c r="CJ452" s="27" t="s">
        <v>7</v>
      </c>
      <c r="CK452" s="27" t="s">
        <v>8</v>
      </c>
      <c r="CL452" s="27" t="s">
        <v>7</v>
      </c>
    </row>
    <row r="453" spans="1:106" x14ac:dyDescent="0.25">
      <c r="A453" s="7">
        <v>14.204404004538707</v>
      </c>
      <c r="B453"/>
      <c r="C453"/>
      <c r="D453"/>
      <c r="E453"/>
      <c r="AE453" s="27" t="s">
        <v>8</v>
      </c>
      <c r="AF453" s="27" t="s">
        <v>7</v>
      </c>
      <c r="AI453" s="27" t="s">
        <v>8</v>
      </c>
      <c r="AR453" s="27" t="s">
        <v>7</v>
      </c>
      <c r="AS453" s="27" t="s">
        <v>8</v>
      </c>
      <c r="AT453" s="27" t="s">
        <v>7</v>
      </c>
      <c r="AU453" s="27" t="s">
        <v>8</v>
      </c>
      <c r="AV453" s="27" t="s">
        <v>7</v>
      </c>
      <c r="AW453" s="27" t="s">
        <v>8</v>
      </c>
      <c r="AX453" s="27" t="s">
        <v>7</v>
      </c>
      <c r="AY453" s="27" t="s">
        <v>8</v>
      </c>
      <c r="AZ453" s="27" t="s">
        <v>7</v>
      </c>
      <c r="BM453" s="27" t="s">
        <v>8</v>
      </c>
      <c r="BN453" s="27" t="s">
        <v>7</v>
      </c>
      <c r="BU453" s="27" t="s">
        <v>8</v>
      </c>
      <c r="BV453" s="27" t="s">
        <v>7</v>
      </c>
      <c r="BW453" s="27" t="s">
        <v>8</v>
      </c>
      <c r="CB453" s="27" t="s">
        <v>7</v>
      </c>
      <c r="CC453" s="27" t="s">
        <v>8</v>
      </c>
      <c r="CH453" s="27" t="s">
        <v>7</v>
      </c>
      <c r="CI453" s="27" t="s">
        <v>8</v>
      </c>
      <c r="CJ453" s="27" t="s">
        <v>7</v>
      </c>
      <c r="CK453" s="27" t="s">
        <v>8</v>
      </c>
      <c r="CL453" s="27" t="s">
        <v>7</v>
      </c>
    </row>
    <row r="454" spans="1:106" x14ac:dyDescent="0.25">
      <c r="A454" s="7">
        <v>13.925886278959517</v>
      </c>
      <c r="B454"/>
      <c r="C454"/>
      <c r="D454"/>
      <c r="E454"/>
      <c r="AE454" s="27" t="s">
        <v>8</v>
      </c>
      <c r="AF454" s="27" t="s">
        <v>7</v>
      </c>
      <c r="AI454" s="27" t="s">
        <v>8</v>
      </c>
      <c r="AR454" s="27" t="s">
        <v>7</v>
      </c>
      <c r="AS454" s="27" t="s">
        <v>8</v>
      </c>
      <c r="AT454" s="27" t="s">
        <v>7</v>
      </c>
      <c r="AU454" s="27" t="s">
        <v>8</v>
      </c>
      <c r="AV454" s="27" t="s">
        <v>7</v>
      </c>
      <c r="AW454" s="27" t="s">
        <v>8</v>
      </c>
      <c r="AX454" s="27" t="s">
        <v>7</v>
      </c>
      <c r="AY454" s="27" t="s">
        <v>8</v>
      </c>
      <c r="AZ454" s="27" t="s">
        <v>7</v>
      </c>
      <c r="BM454" s="27" t="s">
        <v>8</v>
      </c>
      <c r="BN454" s="27" t="s">
        <v>7</v>
      </c>
      <c r="BU454" s="27" t="s">
        <v>8</v>
      </c>
      <c r="BV454" s="27" t="s">
        <v>7</v>
      </c>
      <c r="BW454" s="27" t="s">
        <v>8</v>
      </c>
      <c r="CB454" s="27" t="s">
        <v>7</v>
      </c>
      <c r="CC454" s="27" t="s">
        <v>8</v>
      </c>
      <c r="CH454" s="27" t="s">
        <v>7</v>
      </c>
      <c r="CI454" s="27" t="s">
        <v>8</v>
      </c>
      <c r="CJ454" s="27" t="s">
        <v>7</v>
      </c>
      <c r="CK454" s="27" t="s">
        <v>8</v>
      </c>
      <c r="CL454" s="27" t="s">
        <v>7</v>
      </c>
    </row>
    <row r="455" spans="1:106" x14ac:dyDescent="0.25">
      <c r="A455" s="7">
        <v>13.652829685254428</v>
      </c>
      <c r="B455"/>
      <c r="C455"/>
      <c r="D455"/>
      <c r="E455"/>
      <c r="AE455" s="27" t="s">
        <v>8</v>
      </c>
      <c r="AF455" s="27" t="s">
        <v>7</v>
      </c>
      <c r="AI455" s="27" t="s">
        <v>8</v>
      </c>
      <c r="AR455" s="27" t="s">
        <v>7</v>
      </c>
      <c r="AS455" s="27" t="s">
        <v>8</v>
      </c>
      <c r="AT455" s="27" t="s">
        <v>7</v>
      </c>
      <c r="AU455" s="27" t="s">
        <v>8</v>
      </c>
      <c r="AV455" s="27" t="s">
        <v>7</v>
      </c>
      <c r="AW455" s="27" t="s">
        <v>8</v>
      </c>
      <c r="AX455" s="27" t="s">
        <v>7</v>
      </c>
      <c r="AY455" s="27" t="s">
        <v>8</v>
      </c>
      <c r="AZ455" s="27" t="s">
        <v>7</v>
      </c>
      <c r="BM455" s="27" t="s">
        <v>8</v>
      </c>
      <c r="BN455" s="27" t="s">
        <v>7</v>
      </c>
      <c r="BU455" s="27" t="s">
        <v>8</v>
      </c>
      <c r="BV455" s="27" t="s">
        <v>7</v>
      </c>
      <c r="BW455" s="27" t="s">
        <v>8</v>
      </c>
      <c r="CB455" s="27" t="s">
        <v>7</v>
      </c>
      <c r="CC455" s="27" t="s">
        <v>8</v>
      </c>
      <c r="CH455" s="27" t="s">
        <v>7</v>
      </c>
      <c r="CI455" s="27" t="s">
        <v>8</v>
      </c>
      <c r="CJ455" s="27" t="s">
        <v>7</v>
      </c>
      <c r="CK455" s="27" t="s">
        <v>8</v>
      </c>
      <c r="CL455" s="27" t="s">
        <v>7</v>
      </c>
    </row>
    <row r="456" spans="1:106" x14ac:dyDescent="0.25">
      <c r="A456" s="7">
        <v>13.385127142406303</v>
      </c>
      <c r="B456"/>
      <c r="C456"/>
      <c r="D456"/>
      <c r="E456"/>
      <c r="AE456" s="27" t="s">
        <v>8</v>
      </c>
      <c r="AF456" s="27" t="s">
        <v>7</v>
      </c>
      <c r="AG456" s="27" t="s">
        <v>8</v>
      </c>
      <c r="AI456" s="27" t="s">
        <v>8</v>
      </c>
      <c r="AR456" s="27" t="s">
        <v>7</v>
      </c>
      <c r="AS456" s="27" t="s">
        <v>8</v>
      </c>
      <c r="AT456" s="27" t="s">
        <v>7</v>
      </c>
      <c r="AU456" s="27" t="s">
        <v>8</v>
      </c>
      <c r="AV456" s="27" t="s">
        <v>7</v>
      </c>
      <c r="AX456" s="27" t="s">
        <v>7</v>
      </c>
      <c r="AZ456" s="27" t="s">
        <v>7</v>
      </c>
      <c r="BI456" s="27" t="s">
        <v>8</v>
      </c>
      <c r="BM456" s="27" t="s">
        <v>8</v>
      </c>
      <c r="BN456" s="27" t="s">
        <v>7</v>
      </c>
      <c r="BU456" s="27" t="s">
        <v>8</v>
      </c>
      <c r="BV456" s="27" t="s">
        <v>7</v>
      </c>
      <c r="BW456" s="27" t="s">
        <v>8</v>
      </c>
      <c r="CB456" s="27" t="s">
        <v>7</v>
      </c>
      <c r="CC456" s="27" t="s">
        <v>8</v>
      </c>
      <c r="CH456" s="27" t="s">
        <v>7</v>
      </c>
      <c r="CI456" s="27" t="s">
        <v>8</v>
      </c>
      <c r="CJ456" s="27" t="s">
        <v>7</v>
      </c>
      <c r="CK456" s="27" t="s">
        <v>8</v>
      </c>
      <c r="CL456" s="27" t="s">
        <v>7</v>
      </c>
    </row>
    <row r="457" spans="1:106" x14ac:dyDescent="0.25">
      <c r="A457" s="7">
        <v>13.122673669025787</v>
      </c>
      <c r="B457"/>
      <c r="C457"/>
      <c r="D457"/>
      <c r="E457"/>
      <c r="AE457" s="27" t="s">
        <v>8</v>
      </c>
      <c r="AF457" s="27" t="s">
        <v>7</v>
      </c>
      <c r="AG457" s="27" t="s">
        <v>8</v>
      </c>
      <c r="AH457" s="27" t="s">
        <v>7</v>
      </c>
      <c r="AI457" s="27" t="s">
        <v>8</v>
      </c>
      <c r="AR457" s="27" t="s">
        <v>7</v>
      </c>
      <c r="AS457" s="27" t="s">
        <v>8</v>
      </c>
      <c r="AT457" s="27" t="s">
        <v>7</v>
      </c>
      <c r="AU457" s="27" t="s">
        <v>8</v>
      </c>
      <c r="AZ457" s="27" t="s">
        <v>7</v>
      </c>
      <c r="BI457" s="27" t="s">
        <v>8</v>
      </c>
      <c r="BJ457" s="27" t="s">
        <v>7</v>
      </c>
      <c r="BM457" s="27" t="s">
        <v>8</v>
      </c>
      <c r="BN457" s="27" t="s">
        <v>7</v>
      </c>
      <c r="BS457" s="27" t="s">
        <v>8</v>
      </c>
      <c r="BU457" s="27" t="s">
        <v>8</v>
      </c>
      <c r="BV457" s="27" t="s">
        <v>7</v>
      </c>
      <c r="CB457" s="27" t="s">
        <v>7</v>
      </c>
      <c r="CH457" s="27" t="s">
        <v>7</v>
      </c>
      <c r="CJ457" s="27" t="s">
        <v>7</v>
      </c>
      <c r="CK457" s="27" t="s">
        <v>8</v>
      </c>
      <c r="CL457" s="27" t="s">
        <v>7</v>
      </c>
    </row>
    <row r="458" spans="1:106" x14ac:dyDescent="0.25">
      <c r="A458" s="7">
        <v>12.865366342182144</v>
      </c>
      <c r="B458"/>
      <c r="C458"/>
      <c r="D458"/>
      <c r="E458"/>
      <c r="AE458" s="27" t="s">
        <v>8</v>
      </c>
      <c r="AF458" s="27" t="s">
        <v>7</v>
      </c>
      <c r="AG458" s="27" t="s">
        <v>8</v>
      </c>
      <c r="AH458" s="27" t="s">
        <v>7</v>
      </c>
      <c r="AI458" s="27" t="s">
        <v>8</v>
      </c>
      <c r="AR458" s="27" t="s">
        <v>7</v>
      </c>
      <c r="AS458" s="27" t="s">
        <v>8</v>
      </c>
      <c r="AT458" s="27" t="s">
        <v>7</v>
      </c>
      <c r="AU458" s="27" t="s">
        <v>8</v>
      </c>
      <c r="AZ458" s="27" t="s">
        <v>7</v>
      </c>
      <c r="BI458" s="27" t="s">
        <v>8</v>
      </c>
      <c r="BJ458" s="27" t="s">
        <v>7</v>
      </c>
      <c r="BM458" s="27" t="s">
        <v>8</v>
      </c>
      <c r="BN458" s="27" t="s">
        <v>7</v>
      </c>
      <c r="BO458" s="27" t="s">
        <v>8</v>
      </c>
      <c r="BS458" s="27" t="s">
        <v>8</v>
      </c>
      <c r="BT458" s="27" t="s">
        <v>7</v>
      </c>
      <c r="BU458" s="27" t="s">
        <v>8</v>
      </c>
      <c r="CJ458" s="27" t="s">
        <v>7</v>
      </c>
      <c r="CL458" s="27" t="s">
        <v>7</v>
      </c>
    </row>
    <row r="459" spans="1:106" x14ac:dyDescent="0.25">
      <c r="A459" s="7">
        <v>12.613104257041318</v>
      </c>
      <c r="B459"/>
      <c r="C459"/>
      <c r="D459"/>
      <c r="E459"/>
      <c r="AC459" s="27" t="s">
        <v>8</v>
      </c>
      <c r="AE459" s="27" t="s">
        <v>8</v>
      </c>
      <c r="AF459" s="27" t="s">
        <v>7</v>
      </c>
      <c r="AG459" s="27" t="s">
        <v>8</v>
      </c>
      <c r="AH459" s="27" t="s">
        <v>7</v>
      </c>
      <c r="AI459" s="27" t="s">
        <v>8</v>
      </c>
      <c r="AR459" s="27" t="s">
        <v>7</v>
      </c>
      <c r="AS459" s="27" t="s">
        <v>8</v>
      </c>
      <c r="AT459" s="27" t="s">
        <v>7</v>
      </c>
      <c r="AU459" s="27" t="s">
        <v>8</v>
      </c>
      <c r="AZ459" s="27" t="s">
        <v>7</v>
      </c>
      <c r="BG459" s="27" t="s">
        <v>8</v>
      </c>
      <c r="BI459" s="27" t="s">
        <v>8</v>
      </c>
      <c r="BJ459" s="27" t="s">
        <v>7</v>
      </c>
      <c r="BM459" s="27" t="s">
        <v>8</v>
      </c>
      <c r="BN459" s="27" t="s">
        <v>7</v>
      </c>
      <c r="BO459" s="27" t="s">
        <v>8</v>
      </c>
      <c r="BP459" s="27" t="s">
        <v>7</v>
      </c>
      <c r="BS459" s="27" t="s">
        <v>8</v>
      </c>
      <c r="BT459" s="27" t="s">
        <v>7</v>
      </c>
      <c r="BU459" s="27" t="s">
        <v>8</v>
      </c>
      <c r="CL459" s="27" t="s">
        <v>7</v>
      </c>
    </row>
    <row r="460" spans="1:106" x14ac:dyDescent="0.25">
      <c r="A460" s="7">
        <v>12.36578848729541</v>
      </c>
      <c r="B460"/>
      <c r="C460"/>
      <c r="D460"/>
      <c r="E460"/>
      <c r="AC460" s="27" t="s">
        <v>8</v>
      </c>
      <c r="AD460" s="27" t="s">
        <v>7</v>
      </c>
      <c r="AE460" s="27" t="s">
        <v>8</v>
      </c>
      <c r="AF460" s="27" t="s">
        <v>7</v>
      </c>
      <c r="AG460" s="27" t="s">
        <v>8</v>
      </c>
      <c r="AH460" s="27" t="s">
        <v>7</v>
      </c>
      <c r="AI460" s="27" t="s">
        <v>8</v>
      </c>
      <c r="AR460" s="27" t="s">
        <v>7</v>
      </c>
      <c r="AS460" s="27" t="s">
        <v>8</v>
      </c>
      <c r="AT460" s="27" t="s">
        <v>7</v>
      </c>
      <c r="AU460" s="27" t="s">
        <v>8</v>
      </c>
      <c r="AZ460" s="27" t="s">
        <v>7</v>
      </c>
      <c r="BG460" s="27" t="s">
        <v>8</v>
      </c>
      <c r="BH460" s="27" t="s">
        <v>7</v>
      </c>
      <c r="BI460" s="27" t="s">
        <v>8</v>
      </c>
      <c r="BJ460" s="27" t="s">
        <v>7</v>
      </c>
      <c r="BK460" s="27" t="s">
        <v>8</v>
      </c>
      <c r="BM460" s="27" t="s">
        <v>8</v>
      </c>
      <c r="BN460" s="27" t="s">
        <v>7</v>
      </c>
      <c r="BO460" s="27" t="s">
        <v>8</v>
      </c>
      <c r="BP460" s="27" t="s">
        <v>7</v>
      </c>
      <c r="BS460" s="27" t="s">
        <v>8</v>
      </c>
      <c r="BT460" s="27" t="s">
        <v>7</v>
      </c>
      <c r="BU460" s="27" t="s">
        <v>8</v>
      </c>
      <c r="CL460" s="27" t="s">
        <v>7</v>
      </c>
    </row>
    <row r="461" spans="1:106" x14ac:dyDescent="0.25">
      <c r="A461" s="7">
        <v>12.123322046368049</v>
      </c>
      <c r="B461"/>
      <c r="C461"/>
      <c r="D461"/>
      <c r="E461"/>
      <c r="AC461" s="27" t="s">
        <v>8</v>
      </c>
      <c r="AD461" s="27" t="s">
        <v>7</v>
      </c>
      <c r="AE461" s="27" t="s">
        <v>8</v>
      </c>
      <c r="AF461" s="27" t="s">
        <v>7</v>
      </c>
      <c r="AG461" s="27" t="s">
        <v>8</v>
      </c>
      <c r="AH461" s="27" t="s">
        <v>7</v>
      </c>
      <c r="AI461" s="27" t="s">
        <v>8</v>
      </c>
      <c r="AR461" s="27" t="s">
        <v>7</v>
      </c>
      <c r="AS461" s="27" t="s">
        <v>8</v>
      </c>
      <c r="AT461" s="27" t="s">
        <v>7</v>
      </c>
      <c r="AZ461" s="27" t="s">
        <v>7</v>
      </c>
      <c r="BG461" s="27" t="s">
        <v>8</v>
      </c>
      <c r="BH461" s="27" t="s">
        <v>7</v>
      </c>
      <c r="BI461" s="27" t="s">
        <v>8</v>
      </c>
      <c r="BJ461" s="27" t="s">
        <v>7</v>
      </c>
      <c r="BK461" s="27" t="s">
        <v>8</v>
      </c>
      <c r="BL461" s="27" t="s">
        <v>7</v>
      </c>
      <c r="BM461" s="27" t="s">
        <v>8</v>
      </c>
      <c r="BN461" s="27" t="s">
        <v>7</v>
      </c>
      <c r="BO461" s="27" t="s">
        <v>8</v>
      </c>
      <c r="BP461" s="27" t="s">
        <v>7</v>
      </c>
      <c r="BS461" s="27" t="s">
        <v>8</v>
      </c>
      <c r="BT461" s="27" t="s">
        <v>7</v>
      </c>
      <c r="BU461" s="27" t="s">
        <v>8</v>
      </c>
      <c r="CL461" s="27" t="s">
        <v>7</v>
      </c>
      <c r="CM461" s="27" t="s">
        <v>8</v>
      </c>
    </row>
    <row r="462" spans="1:106" x14ac:dyDescent="0.25">
      <c r="A462" s="7">
        <v>11.88560984938044</v>
      </c>
      <c r="B462"/>
      <c r="C462"/>
      <c r="D462"/>
      <c r="E462"/>
      <c r="AC462" s="27" t="s">
        <v>8</v>
      </c>
      <c r="AD462" s="27" t="s">
        <v>7</v>
      </c>
      <c r="AE462" s="27" t="s">
        <v>8</v>
      </c>
      <c r="AF462" s="27" t="s">
        <v>7</v>
      </c>
      <c r="AG462" s="27" t="s">
        <v>8</v>
      </c>
      <c r="AH462" s="27" t="s">
        <v>7</v>
      </c>
      <c r="AI462" s="27" t="s">
        <v>8</v>
      </c>
      <c r="AR462" s="27" t="s">
        <v>7</v>
      </c>
      <c r="AS462" s="27" t="s">
        <v>8</v>
      </c>
      <c r="AZ462" s="27" t="s">
        <v>7</v>
      </c>
      <c r="BA462" s="27" t="s">
        <v>8</v>
      </c>
      <c r="BG462" s="27" t="s">
        <v>8</v>
      </c>
      <c r="BH462" s="27" t="s">
        <v>7</v>
      </c>
      <c r="BI462" s="27" t="s">
        <v>8</v>
      </c>
      <c r="BJ462" s="27" t="s">
        <v>7</v>
      </c>
      <c r="BK462" s="27" t="s">
        <v>8</v>
      </c>
      <c r="BL462" s="27" t="s">
        <v>7</v>
      </c>
      <c r="BM462" s="27" t="s">
        <v>8</v>
      </c>
      <c r="BN462" s="27" t="s">
        <v>7</v>
      </c>
      <c r="BO462" s="27" t="s">
        <v>8</v>
      </c>
      <c r="BP462" s="27" t="s">
        <v>7</v>
      </c>
      <c r="BS462" s="27" t="s">
        <v>8</v>
      </c>
      <c r="BT462" s="27" t="s">
        <v>7</v>
      </c>
      <c r="CL462" s="27" t="s">
        <v>7</v>
      </c>
      <c r="CM462" s="27" t="s">
        <v>8</v>
      </c>
      <c r="CN462" s="27" t="s">
        <v>7</v>
      </c>
      <c r="DA462" s="27" t="s">
        <v>8</v>
      </c>
    </row>
    <row r="463" spans="1:106" x14ac:dyDescent="0.25">
      <c r="A463" s="7">
        <v>11.652558675863176</v>
      </c>
      <c r="B463"/>
      <c r="C463"/>
      <c r="D463"/>
      <c r="E463"/>
      <c r="AC463" s="27" t="s">
        <v>8</v>
      </c>
      <c r="AD463" s="27" t="s">
        <v>7</v>
      </c>
      <c r="AE463" s="27" t="s">
        <v>8</v>
      </c>
      <c r="AF463" s="27" t="s">
        <v>7</v>
      </c>
      <c r="AG463" s="27" t="s">
        <v>8</v>
      </c>
      <c r="AH463" s="27" t="s">
        <v>7</v>
      </c>
      <c r="AR463" s="27" t="s">
        <v>7</v>
      </c>
      <c r="AS463" s="27" t="s">
        <v>8</v>
      </c>
      <c r="AZ463" s="27" t="s">
        <v>7</v>
      </c>
      <c r="BA463" s="27" t="s">
        <v>8</v>
      </c>
      <c r="BB463" s="27" t="s">
        <v>7</v>
      </c>
      <c r="BG463" s="27" t="s">
        <v>8</v>
      </c>
      <c r="BH463" s="27" t="s">
        <v>7</v>
      </c>
      <c r="BI463" s="27" t="s">
        <v>8</v>
      </c>
      <c r="BJ463" s="27" t="s">
        <v>7</v>
      </c>
      <c r="BK463" s="27" t="s">
        <v>8</v>
      </c>
      <c r="BL463" s="27" t="s">
        <v>7</v>
      </c>
      <c r="BM463" s="27" t="s">
        <v>8</v>
      </c>
      <c r="BN463" s="27" t="s">
        <v>7</v>
      </c>
      <c r="BP463" s="27" t="s">
        <v>7</v>
      </c>
      <c r="BQ463" s="27" t="s">
        <v>8</v>
      </c>
      <c r="BS463" s="27" t="s">
        <v>8</v>
      </c>
      <c r="CL463" s="27" t="s">
        <v>7</v>
      </c>
      <c r="CM463" s="27" t="s">
        <v>8</v>
      </c>
      <c r="CN463" s="27" t="s">
        <v>7</v>
      </c>
      <c r="DA463" s="27" t="s">
        <v>8</v>
      </c>
      <c r="DB463" s="27" t="s">
        <v>7</v>
      </c>
    </row>
    <row r="464" spans="1:106" x14ac:dyDescent="0.25">
      <c r="A464" s="7">
        <v>11.424077133199193</v>
      </c>
      <c r="B464"/>
      <c r="C464"/>
      <c r="D464"/>
      <c r="E464"/>
      <c r="AC464" s="27" t="s">
        <v>8</v>
      </c>
      <c r="AD464" s="27" t="s">
        <v>7</v>
      </c>
      <c r="AE464" s="27" t="s">
        <v>8</v>
      </c>
      <c r="AF464" s="27" t="s">
        <v>7</v>
      </c>
      <c r="AR464" s="27" t="s">
        <v>7</v>
      </c>
      <c r="AS464" s="27" t="s">
        <v>8</v>
      </c>
      <c r="AZ464" s="27" t="s">
        <v>7</v>
      </c>
      <c r="BA464" s="27" t="s">
        <v>8</v>
      </c>
      <c r="BB464" s="27" t="s">
        <v>7</v>
      </c>
      <c r="BG464" s="27" t="s">
        <v>8</v>
      </c>
      <c r="BH464" s="27" t="s">
        <v>7</v>
      </c>
      <c r="BI464" s="27" t="s">
        <v>8</v>
      </c>
      <c r="BJ464" s="27" t="s">
        <v>7</v>
      </c>
      <c r="BK464" s="27" t="s">
        <v>8</v>
      </c>
      <c r="BL464" s="27" t="s">
        <v>7</v>
      </c>
      <c r="BM464" s="27" t="s">
        <v>8</v>
      </c>
      <c r="BP464" s="27" t="s">
        <v>7</v>
      </c>
      <c r="BQ464" s="27" t="s">
        <v>8</v>
      </c>
      <c r="BR464" s="27" t="s">
        <v>7</v>
      </c>
      <c r="BS464" s="27" t="s">
        <v>8</v>
      </c>
      <c r="CL464" s="27" t="s">
        <v>7</v>
      </c>
      <c r="CM464" s="27" t="s">
        <v>8</v>
      </c>
      <c r="CN464" s="27" t="s">
        <v>7</v>
      </c>
      <c r="DA464" s="27" t="s">
        <v>8</v>
      </c>
      <c r="DB464" s="27" t="s">
        <v>7</v>
      </c>
    </row>
    <row r="465" spans="1:110" x14ac:dyDescent="0.25">
      <c r="A465" s="7">
        <v>11.200075620783522</v>
      </c>
      <c r="B465"/>
      <c r="C465"/>
      <c r="D465"/>
      <c r="E465"/>
      <c r="AC465" s="27" t="s">
        <v>8</v>
      </c>
      <c r="AD465" s="27" t="s">
        <v>7</v>
      </c>
      <c r="AE465" s="27" t="s">
        <v>8</v>
      </c>
      <c r="AR465" s="27" t="s">
        <v>7</v>
      </c>
      <c r="AS465" s="27" t="s">
        <v>8</v>
      </c>
      <c r="AZ465" s="27" t="s">
        <v>7</v>
      </c>
      <c r="BA465" s="27" t="s">
        <v>8</v>
      </c>
      <c r="BB465" s="27" t="s">
        <v>7</v>
      </c>
      <c r="BG465" s="27" t="s">
        <v>8</v>
      </c>
      <c r="BH465" s="27" t="s">
        <v>7</v>
      </c>
      <c r="BI465" s="27" t="s">
        <v>8</v>
      </c>
      <c r="BJ465" s="27" t="s">
        <v>7</v>
      </c>
      <c r="BK465" s="27" t="s">
        <v>8</v>
      </c>
      <c r="BL465" s="27" t="s">
        <v>7</v>
      </c>
      <c r="BM465" s="27" t="s">
        <v>8</v>
      </c>
      <c r="BP465" s="27" t="s">
        <v>7</v>
      </c>
      <c r="BQ465" s="27" t="s">
        <v>8</v>
      </c>
      <c r="BR465" s="27" t="s">
        <v>7</v>
      </c>
      <c r="BS465" s="27" t="s">
        <v>8</v>
      </c>
      <c r="CL465" s="27" t="s">
        <v>7</v>
      </c>
      <c r="CM465" s="27" t="s">
        <v>8</v>
      </c>
      <c r="CN465" s="27" t="s">
        <v>7</v>
      </c>
      <c r="DA465" s="27" t="s">
        <v>8</v>
      </c>
      <c r="DB465" s="27" t="s">
        <v>7</v>
      </c>
    </row>
    <row r="466" spans="1:110" x14ac:dyDescent="0.25">
      <c r="A466" s="7">
        <v>10.980466294885806</v>
      </c>
      <c r="B466"/>
      <c r="C466"/>
      <c r="D466"/>
      <c r="E466"/>
      <c r="AC466" s="27" t="s">
        <v>8</v>
      </c>
      <c r="AD466" s="27" t="s">
        <v>7</v>
      </c>
      <c r="AE466" s="27" t="s">
        <v>8</v>
      </c>
      <c r="AR466" s="27" t="s">
        <v>7</v>
      </c>
      <c r="AS466" s="27" t="s">
        <v>8</v>
      </c>
      <c r="AZ466" s="27" t="s">
        <v>7</v>
      </c>
      <c r="BA466" s="27" t="s">
        <v>8</v>
      </c>
      <c r="BB466" s="27" t="s">
        <v>7</v>
      </c>
      <c r="BG466" s="27" t="s">
        <v>8</v>
      </c>
      <c r="BH466" s="27" t="s">
        <v>7</v>
      </c>
      <c r="BJ466" s="27" t="s">
        <v>7</v>
      </c>
      <c r="BL466" s="27" t="s">
        <v>7</v>
      </c>
      <c r="BM466" s="27" t="s">
        <v>8</v>
      </c>
      <c r="BP466" s="27" t="s">
        <v>7</v>
      </c>
      <c r="BQ466" s="27" t="s">
        <v>8</v>
      </c>
      <c r="BR466" s="27" t="s">
        <v>7</v>
      </c>
      <c r="BS466" s="27" t="s">
        <v>8</v>
      </c>
      <c r="CL466" s="27" t="s">
        <v>7</v>
      </c>
      <c r="CM466" s="27" t="s">
        <v>8</v>
      </c>
      <c r="CN466" s="27" t="s">
        <v>7</v>
      </c>
      <c r="CS466" s="27" t="s">
        <v>8</v>
      </c>
      <c r="DA466" s="27" t="s">
        <v>8</v>
      </c>
      <c r="DB466" s="27" t="s">
        <v>7</v>
      </c>
    </row>
    <row r="467" spans="1:110" x14ac:dyDescent="0.25">
      <c r="A467" s="7">
        <v>10.765163034201771</v>
      </c>
      <c r="B467"/>
      <c r="C467"/>
      <c r="D467"/>
      <c r="E467"/>
      <c r="AC467" s="27" t="s">
        <v>8</v>
      </c>
      <c r="AD467" s="27" t="s">
        <v>7</v>
      </c>
      <c r="AE467" s="27" t="s">
        <v>8</v>
      </c>
      <c r="AR467" s="27" t="s">
        <v>7</v>
      </c>
      <c r="AS467" s="27" t="s">
        <v>8</v>
      </c>
      <c r="AZ467" s="27" t="s">
        <v>7</v>
      </c>
      <c r="BA467" s="27" t="s">
        <v>8</v>
      </c>
      <c r="BB467" s="27" t="s">
        <v>7</v>
      </c>
      <c r="BG467" s="27" t="s">
        <v>8</v>
      </c>
      <c r="BL467" s="27" t="s">
        <v>7</v>
      </c>
      <c r="BM467" s="27" t="s">
        <v>8</v>
      </c>
      <c r="BP467" s="27" t="s">
        <v>7</v>
      </c>
      <c r="BR467" s="27" t="s">
        <v>7</v>
      </c>
      <c r="BS467" s="27" t="s">
        <v>8</v>
      </c>
      <c r="CL467" s="27" t="s">
        <v>7</v>
      </c>
      <c r="CM467" s="27" t="s">
        <v>8</v>
      </c>
      <c r="CN467" s="27" t="s">
        <v>7</v>
      </c>
      <c r="CO467" s="27" t="s">
        <v>8</v>
      </c>
      <c r="CS467" s="27" t="s">
        <v>8</v>
      </c>
      <c r="CT467" s="27" t="s">
        <v>7</v>
      </c>
      <c r="DA467" s="27" t="s">
        <v>8</v>
      </c>
      <c r="DB467" s="27" t="s">
        <v>7</v>
      </c>
    </row>
    <row r="468" spans="1:110" x14ac:dyDescent="0.25">
      <c r="A468" s="7">
        <v>10.554081406080169</v>
      </c>
      <c r="B468"/>
      <c r="C468"/>
      <c r="D468"/>
      <c r="E468"/>
      <c r="Q468" s="27" t="s">
        <v>8</v>
      </c>
      <c r="AC468" s="27" t="s">
        <v>8</v>
      </c>
      <c r="AD468" s="27" t="s">
        <v>7</v>
      </c>
      <c r="AE468" s="27" t="s">
        <v>8</v>
      </c>
      <c r="AR468" s="27" t="s">
        <v>7</v>
      </c>
      <c r="AZ468" s="27" t="s">
        <v>7</v>
      </c>
      <c r="BA468" s="27" t="s">
        <v>8</v>
      </c>
      <c r="BB468" s="27" t="s">
        <v>7</v>
      </c>
      <c r="BE468" s="27" t="s">
        <v>8</v>
      </c>
      <c r="BG468" s="27" t="s">
        <v>8</v>
      </c>
      <c r="BL468" s="27" t="s">
        <v>7</v>
      </c>
      <c r="BM468" s="27" t="s">
        <v>8</v>
      </c>
      <c r="BR468" s="27" t="s">
        <v>7</v>
      </c>
      <c r="BS468" s="27" t="s">
        <v>8</v>
      </c>
      <c r="CL468" s="27" t="s">
        <v>7</v>
      </c>
      <c r="CM468" s="27" t="s">
        <v>8</v>
      </c>
      <c r="CN468" s="27" t="s">
        <v>7</v>
      </c>
      <c r="CO468" s="27" t="s">
        <v>8</v>
      </c>
      <c r="CP468" s="27" t="s">
        <v>7</v>
      </c>
      <c r="CS468" s="27" t="s">
        <v>8</v>
      </c>
      <c r="CT468" s="27" t="s">
        <v>7</v>
      </c>
      <c r="CW468" s="27" t="s">
        <v>8</v>
      </c>
      <c r="DA468" s="27" t="s">
        <v>8</v>
      </c>
      <c r="DB468" s="27" t="s">
        <v>7</v>
      </c>
    </row>
    <row r="469" spans="1:110" x14ac:dyDescent="0.25">
      <c r="A469" s="7">
        <v>10.34713863341193</v>
      </c>
      <c r="B469"/>
      <c r="C469"/>
      <c r="D469"/>
      <c r="E469"/>
      <c r="Q469" s="27" t="s">
        <v>8</v>
      </c>
      <c r="R469" s="27" t="s">
        <v>7</v>
      </c>
      <c r="AC469" s="27" t="s">
        <v>8</v>
      </c>
      <c r="AD469" s="27" t="s">
        <v>7</v>
      </c>
      <c r="AE469" s="27" t="s">
        <v>8</v>
      </c>
      <c r="AZ469" s="27" t="s">
        <v>7</v>
      </c>
      <c r="BA469" s="27" t="s">
        <v>8</v>
      </c>
      <c r="BB469" s="27" t="s">
        <v>7</v>
      </c>
      <c r="BC469" s="27" t="s">
        <v>8</v>
      </c>
      <c r="BE469" s="27" t="s">
        <v>8</v>
      </c>
      <c r="BF469" s="27" t="s">
        <v>7</v>
      </c>
      <c r="BG469" s="27" t="s">
        <v>8</v>
      </c>
      <c r="BL469" s="27" t="s">
        <v>7</v>
      </c>
      <c r="BM469" s="27" t="s">
        <v>8</v>
      </c>
      <c r="BR469" s="27" t="s">
        <v>7</v>
      </c>
      <c r="BS469" s="27" t="s">
        <v>8</v>
      </c>
      <c r="CL469" s="27" t="s">
        <v>7</v>
      </c>
      <c r="CM469" s="27" t="s">
        <v>8</v>
      </c>
      <c r="CN469" s="27" t="s">
        <v>7</v>
      </c>
      <c r="CO469" s="27" t="s">
        <v>8</v>
      </c>
      <c r="CP469" s="27" t="s">
        <v>7</v>
      </c>
      <c r="CS469" s="27" t="s">
        <v>8</v>
      </c>
      <c r="CT469" s="27" t="s">
        <v>7</v>
      </c>
      <c r="CU469" s="27" t="s">
        <v>8</v>
      </c>
      <c r="CW469" s="27" t="s">
        <v>8</v>
      </c>
      <c r="CX469" s="27" t="s">
        <v>7</v>
      </c>
      <c r="DA469" s="27" t="s">
        <v>8</v>
      </c>
      <c r="DB469" s="27" t="s">
        <v>7</v>
      </c>
    </row>
    <row r="470" spans="1:110" x14ac:dyDescent="0.25">
      <c r="A470" s="7">
        <v>10.14425356216856</v>
      </c>
      <c r="B470"/>
      <c r="C470"/>
      <c r="D470"/>
      <c r="E470"/>
      <c r="Q470" s="27" t="s">
        <v>8</v>
      </c>
      <c r="R470" s="27" t="s">
        <v>7</v>
      </c>
      <c r="AC470" s="27" t="s">
        <v>8</v>
      </c>
      <c r="AD470" s="27" t="s">
        <v>7</v>
      </c>
      <c r="AE470" s="27" t="s">
        <v>8</v>
      </c>
      <c r="AZ470" s="27" t="s">
        <v>7</v>
      </c>
      <c r="BA470" s="27" t="s">
        <v>8</v>
      </c>
      <c r="BB470" s="27" t="s">
        <v>7</v>
      </c>
      <c r="BC470" s="27" t="s">
        <v>8</v>
      </c>
      <c r="BD470" s="27" t="s">
        <v>7</v>
      </c>
      <c r="BE470" s="27" t="s">
        <v>8</v>
      </c>
      <c r="BF470" s="27" t="s">
        <v>7</v>
      </c>
      <c r="BG470" s="27" t="s">
        <v>8</v>
      </c>
      <c r="BL470" s="27" t="s">
        <v>7</v>
      </c>
      <c r="BR470" s="27" t="s">
        <v>7</v>
      </c>
      <c r="BS470" s="27" t="s">
        <v>8</v>
      </c>
      <c r="CL470" s="27" t="s">
        <v>7</v>
      </c>
      <c r="CM470" s="27" t="s">
        <v>8</v>
      </c>
      <c r="CN470" s="27" t="s">
        <v>7</v>
      </c>
      <c r="CO470" s="27" t="s">
        <v>8</v>
      </c>
      <c r="CP470" s="27" t="s">
        <v>7</v>
      </c>
      <c r="CQ470" s="27" t="s">
        <v>8</v>
      </c>
      <c r="CS470" s="27" t="s">
        <v>8</v>
      </c>
      <c r="CT470" s="27" t="s">
        <v>7</v>
      </c>
      <c r="CU470" s="27" t="s">
        <v>8</v>
      </c>
      <c r="CV470" s="27" t="s">
        <v>7</v>
      </c>
      <c r="CW470" s="27" t="s">
        <v>8</v>
      </c>
      <c r="CX470" s="27" t="s">
        <v>7</v>
      </c>
      <c r="DA470" s="27" t="s">
        <v>8</v>
      </c>
      <c r="DB470" s="27" t="s">
        <v>7</v>
      </c>
    </row>
    <row r="471" spans="1:110" x14ac:dyDescent="0.25">
      <c r="A471" s="7">
        <v>9.9453466295770188</v>
      </c>
      <c r="B471"/>
      <c r="C471"/>
      <c r="D471"/>
      <c r="E471"/>
      <c r="Q471" s="27" t="s">
        <v>8</v>
      </c>
      <c r="R471" s="27" t="s">
        <v>7</v>
      </c>
      <c r="AC471" s="27" t="s">
        <v>8</v>
      </c>
      <c r="AD471" s="27" t="s">
        <v>7</v>
      </c>
      <c r="AZ471" s="27" t="s">
        <v>7</v>
      </c>
      <c r="BA471" s="27" t="s">
        <v>8</v>
      </c>
      <c r="BB471" s="27" t="s">
        <v>7</v>
      </c>
      <c r="BC471" s="27" t="s">
        <v>8</v>
      </c>
      <c r="BD471" s="27" t="s">
        <v>7</v>
      </c>
      <c r="BE471" s="27" t="s">
        <v>8</v>
      </c>
      <c r="BF471" s="27" t="s">
        <v>7</v>
      </c>
      <c r="BG471" s="27" t="s">
        <v>8</v>
      </c>
      <c r="BR471" s="27" t="s">
        <v>7</v>
      </c>
      <c r="CL471" s="27" t="s">
        <v>7</v>
      </c>
      <c r="CM471" s="27" t="s">
        <v>8</v>
      </c>
      <c r="CN471" s="27" t="s">
        <v>7</v>
      </c>
      <c r="CO471" s="27" t="s">
        <v>8</v>
      </c>
      <c r="CP471" s="27" t="s">
        <v>7</v>
      </c>
      <c r="CQ471" s="27" t="s">
        <v>8</v>
      </c>
      <c r="CR471" s="27" t="s">
        <v>7</v>
      </c>
      <c r="CS471" s="27" t="s">
        <v>8</v>
      </c>
      <c r="CT471" s="27" t="s">
        <v>7</v>
      </c>
      <c r="CU471" s="27" t="s">
        <v>8</v>
      </c>
      <c r="CV471" s="27" t="s">
        <v>7</v>
      </c>
      <c r="CW471" s="27" t="s">
        <v>8</v>
      </c>
      <c r="CX471" s="27" t="s">
        <v>7</v>
      </c>
      <c r="CY471" s="27" t="s">
        <v>8</v>
      </c>
      <c r="DA471" s="27" t="s">
        <v>8</v>
      </c>
      <c r="DB471" s="27" t="s">
        <v>7</v>
      </c>
    </row>
    <row r="472" spans="1:110" x14ac:dyDescent="0.25">
      <c r="A472" s="7">
        <v>9.7503398329186464</v>
      </c>
      <c r="B472"/>
      <c r="C472"/>
      <c r="D472"/>
      <c r="E472"/>
      <c r="Q472" s="27" t="s">
        <v>8</v>
      </c>
      <c r="R472" s="27" t="s">
        <v>7</v>
      </c>
      <c r="AC472" s="27" t="s">
        <v>8</v>
      </c>
      <c r="AZ472" s="27" t="s">
        <v>7</v>
      </c>
      <c r="BB472" s="27" t="s">
        <v>7</v>
      </c>
      <c r="BC472" s="27" t="s">
        <v>8</v>
      </c>
      <c r="BD472" s="27" t="s">
        <v>7</v>
      </c>
      <c r="BE472" s="27" t="s">
        <v>8</v>
      </c>
      <c r="BF472" s="27" t="s">
        <v>7</v>
      </c>
      <c r="BG472" s="27" t="s">
        <v>8</v>
      </c>
      <c r="CL472" s="27" t="s">
        <v>7</v>
      </c>
      <c r="CM472" s="27" t="s">
        <v>8</v>
      </c>
      <c r="CN472" s="27" t="s">
        <v>7</v>
      </c>
      <c r="CO472" s="27" t="s">
        <v>8</v>
      </c>
      <c r="CP472" s="27" t="s">
        <v>7</v>
      </c>
      <c r="CQ472" s="27" t="s">
        <v>8</v>
      </c>
      <c r="CR472" s="27" t="s">
        <v>7</v>
      </c>
      <c r="CS472" s="27" t="s">
        <v>8</v>
      </c>
      <c r="CT472" s="27" t="s">
        <v>7</v>
      </c>
      <c r="CU472" s="27" t="s">
        <v>8</v>
      </c>
      <c r="CV472" s="27" t="s">
        <v>7</v>
      </c>
      <c r="CX472" s="27" t="s">
        <v>7</v>
      </c>
      <c r="CY472" s="27" t="s">
        <v>8</v>
      </c>
      <c r="CZ472" s="27" t="s">
        <v>7</v>
      </c>
      <c r="DA472" s="27" t="s">
        <v>8</v>
      </c>
      <c r="DB472" s="27" t="s">
        <v>7</v>
      </c>
    </row>
    <row r="473" spans="1:110" x14ac:dyDescent="0.25">
      <c r="A473" s="7">
        <v>9.5591566989398498</v>
      </c>
      <c r="B473"/>
      <c r="C473"/>
      <c r="D473"/>
      <c r="E473"/>
      <c r="Q473" s="27" t="s">
        <v>8</v>
      </c>
      <c r="R473" s="27" t="s">
        <v>7</v>
      </c>
      <c r="AC473" s="27" t="s">
        <v>8</v>
      </c>
      <c r="BB473" s="27" t="s">
        <v>7</v>
      </c>
      <c r="BD473" s="27" t="s">
        <v>7</v>
      </c>
      <c r="BE473" s="27" t="s">
        <v>8</v>
      </c>
      <c r="BF473" s="27" t="s">
        <v>7</v>
      </c>
      <c r="BG473" s="27" t="s">
        <v>8</v>
      </c>
      <c r="CL473" s="27" t="s">
        <v>7</v>
      </c>
      <c r="CM473" s="27" t="s">
        <v>8</v>
      </c>
      <c r="CN473" s="27" t="s">
        <v>7</v>
      </c>
      <c r="CO473" s="27" t="s">
        <v>8</v>
      </c>
      <c r="CP473" s="27" t="s">
        <v>7</v>
      </c>
      <c r="CQ473" s="27" t="s">
        <v>8</v>
      </c>
      <c r="CR473" s="27" t="s">
        <v>7</v>
      </c>
      <c r="CS473" s="27" t="s">
        <v>8</v>
      </c>
      <c r="CT473" s="27" t="s">
        <v>7</v>
      </c>
      <c r="CX473" s="27" t="s">
        <v>7</v>
      </c>
      <c r="CY473" s="27" t="s">
        <v>8</v>
      </c>
      <c r="CZ473" s="27" t="s">
        <v>7</v>
      </c>
      <c r="DA473" s="27" t="s">
        <v>8</v>
      </c>
      <c r="DB473" s="27" t="s">
        <v>7</v>
      </c>
    </row>
    <row r="474" spans="1:110" x14ac:dyDescent="0.25">
      <c r="A474" s="7">
        <v>9.3717222538625968</v>
      </c>
      <c r="B474"/>
      <c r="C474"/>
      <c r="D474"/>
      <c r="E474"/>
      <c r="Q474" s="27" t="s">
        <v>8</v>
      </c>
      <c r="R474" s="27" t="s">
        <v>7</v>
      </c>
      <c r="U474" s="27" t="s">
        <v>8</v>
      </c>
      <c r="AC474" s="27" t="s">
        <v>8</v>
      </c>
      <c r="BD474" s="27" t="s">
        <v>7</v>
      </c>
      <c r="BF474" s="27" t="s">
        <v>7</v>
      </c>
      <c r="BG474" s="27" t="s">
        <v>8</v>
      </c>
      <c r="CL474" s="27" t="s">
        <v>7</v>
      </c>
      <c r="CM474" s="27" t="s">
        <v>8</v>
      </c>
      <c r="CN474" s="27" t="s">
        <v>7</v>
      </c>
      <c r="CO474" s="27" t="s">
        <v>8</v>
      </c>
      <c r="CP474" s="27" t="s">
        <v>7</v>
      </c>
      <c r="CQ474" s="27" t="s">
        <v>8</v>
      </c>
      <c r="CR474" s="27" t="s">
        <v>7</v>
      </c>
      <c r="CS474" s="27" t="s">
        <v>8</v>
      </c>
      <c r="CX474" s="27" t="s">
        <v>7</v>
      </c>
      <c r="CY474" s="27" t="s">
        <v>8</v>
      </c>
      <c r="CZ474" s="27" t="s">
        <v>7</v>
      </c>
      <c r="DA474" s="27" t="s">
        <v>8</v>
      </c>
      <c r="DB474" s="27" t="s">
        <v>7</v>
      </c>
    </row>
    <row r="475" spans="1:110" x14ac:dyDescent="0.25">
      <c r="A475" s="7">
        <v>9.1879629939829375</v>
      </c>
      <c r="B475"/>
      <c r="C475"/>
      <c r="D475"/>
      <c r="E475"/>
      <c r="Q475" s="27" t="s">
        <v>8</v>
      </c>
      <c r="R475" s="27" t="s">
        <v>7</v>
      </c>
      <c r="U475" s="27" t="s">
        <v>8</v>
      </c>
      <c r="V475" s="27" t="s">
        <v>7</v>
      </c>
      <c r="AC475" s="27" t="s">
        <v>8</v>
      </c>
      <c r="BF475" s="27" t="s">
        <v>7</v>
      </c>
      <c r="BG475" s="27" t="s">
        <v>8</v>
      </c>
      <c r="CL475" s="27" t="s">
        <v>7</v>
      </c>
      <c r="CM475" s="27" t="s">
        <v>8</v>
      </c>
      <c r="CN475" s="27" t="s">
        <v>7</v>
      </c>
      <c r="CO475" s="27" t="s">
        <v>8</v>
      </c>
      <c r="CP475" s="27" t="s">
        <v>7</v>
      </c>
      <c r="CQ475" s="27" t="s">
        <v>8</v>
      </c>
      <c r="CR475" s="27" t="s">
        <v>7</v>
      </c>
      <c r="CS475" s="27" t="s">
        <v>8</v>
      </c>
      <c r="CX475" s="27" t="s">
        <v>7</v>
      </c>
      <c r="CY475" s="27" t="s">
        <v>8</v>
      </c>
      <c r="CZ475" s="27" t="s">
        <v>7</v>
      </c>
      <c r="DB475" s="27" t="s">
        <v>7</v>
      </c>
    </row>
    <row r="476" spans="1:110" x14ac:dyDescent="0.25">
      <c r="A476" s="7">
        <v>9.0078068568460168</v>
      </c>
      <c r="B476"/>
      <c r="C476"/>
      <c r="D476"/>
      <c r="E476"/>
      <c r="Q476" s="27" t="s">
        <v>8</v>
      </c>
      <c r="R476" s="27" t="s">
        <v>7</v>
      </c>
      <c r="U476" s="27" t="s">
        <v>8</v>
      </c>
      <c r="V476" s="27" t="s">
        <v>7</v>
      </c>
      <c r="AC476" s="27" t="s">
        <v>8</v>
      </c>
      <c r="BF476" s="27" t="s">
        <v>7</v>
      </c>
      <c r="BG476" s="27" t="s">
        <v>8</v>
      </c>
      <c r="CL476" s="27" t="s">
        <v>7</v>
      </c>
      <c r="CM476" s="27" t="s">
        <v>8</v>
      </c>
      <c r="CN476" s="27" t="s">
        <v>7</v>
      </c>
      <c r="CP476" s="27" t="s">
        <v>7</v>
      </c>
      <c r="CQ476" s="27" t="s">
        <v>8</v>
      </c>
      <c r="CR476" s="27" t="s">
        <v>7</v>
      </c>
      <c r="CS476" s="27" t="s">
        <v>8</v>
      </c>
      <c r="CX476" s="27" t="s">
        <v>7</v>
      </c>
      <c r="CY476" s="27" t="s">
        <v>8</v>
      </c>
      <c r="DB476" s="27" t="s">
        <v>7</v>
      </c>
    </row>
    <row r="477" spans="1:110" x14ac:dyDescent="0.25">
      <c r="A477" s="7">
        <v>8.8311831929862912</v>
      </c>
      <c r="B477"/>
      <c r="C477"/>
      <c r="D477"/>
      <c r="E477"/>
      <c r="Q477" s="27" t="s">
        <v>8</v>
      </c>
      <c r="R477" s="27" t="s">
        <v>7</v>
      </c>
      <c r="U477" s="27" t="s">
        <v>8</v>
      </c>
      <c r="V477" s="27" t="s">
        <v>7</v>
      </c>
      <c r="AA477" s="27" t="s">
        <v>8</v>
      </c>
      <c r="AC477" s="27" t="s">
        <v>8</v>
      </c>
      <c r="BF477" s="27" t="s">
        <v>7</v>
      </c>
      <c r="CL477" s="27" t="s">
        <v>7</v>
      </c>
      <c r="CM477" s="27" t="s">
        <v>8</v>
      </c>
      <c r="CP477" s="27" t="s">
        <v>7</v>
      </c>
      <c r="CR477" s="27" t="s">
        <v>7</v>
      </c>
      <c r="CS477" s="27" t="s">
        <v>8</v>
      </c>
      <c r="CX477" s="27" t="s">
        <v>7</v>
      </c>
      <c r="DB477" s="27" t="s">
        <v>7</v>
      </c>
    </row>
    <row r="478" spans="1:110" x14ac:dyDescent="0.25">
      <c r="A478" s="7">
        <v>8.6580227382218542</v>
      </c>
      <c r="B478"/>
      <c r="C478"/>
      <c r="D478"/>
      <c r="E478"/>
      <c r="Q478" s="27" t="s">
        <v>8</v>
      </c>
      <c r="R478" s="27" t="s">
        <v>7</v>
      </c>
      <c r="U478" s="27" t="s">
        <v>8</v>
      </c>
      <c r="V478" s="27" t="s">
        <v>7</v>
      </c>
      <c r="W478" s="27" t="s">
        <v>8</v>
      </c>
      <c r="AA478" s="27" t="s">
        <v>8</v>
      </c>
      <c r="AB478" s="27" t="s">
        <v>7</v>
      </c>
      <c r="AC478" s="27" t="s">
        <v>8</v>
      </c>
      <c r="CL478" s="27" t="s">
        <v>7</v>
      </c>
      <c r="CR478" s="27" t="s">
        <v>7</v>
      </c>
      <c r="DB478" s="27" t="s">
        <v>7</v>
      </c>
      <c r="DC478" s="27" t="s">
        <v>8</v>
      </c>
    </row>
    <row r="479" spans="1:110" x14ac:dyDescent="0.25">
      <c r="A479" s="7">
        <v>8.4882575864920131</v>
      </c>
      <c r="B479"/>
      <c r="C479"/>
      <c r="D479"/>
      <c r="E479"/>
      <c r="Q479" s="27" t="s">
        <v>8</v>
      </c>
      <c r="R479" s="27" t="s">
        <v>7</v>
      </c>
      <c r="U479" s="27" t="s">
        <v>8</v>
      </c>
      <c r="V479" s="27" t="s">
        <v>7</v>
      </c>
      <c r="W479" s="27" t="s">
        <v>8</v>
      </c>
      <c r="X479" s="27" t="s">
        <v>7</v>
      </c>
      <c r="AA479" s="27" t="s">
        <v>8</v>
      </c>
      <c r="AB479" s="27" t="s">
        <v>7</v>
      </c>
      <c r="AC479" s="27" t="s">
        <v>8</v>
      </c>
      <c r="DB479" s="27" t="s">
        <v>7</v>
      </c>
      <c r="DC479" s="27" t="s">
        <v>8</v>
      </c>
      <c r="DD479" s="27" t="s">
        <v>7</v>
      </c>
      <c r="DE479" s="27" t="s">
        <v>8</v>
      </c>
    </row>
    <row r="480" spans="1:110" x14ac:dyDescent="0.25">
      <c r="A480" s="7">
        <v>8.3218211632274635</v>
      </c>
      <c r="B480"/>
      <c r="C480"/>
      <c r="D480"/>
      <c r="E480"/>
      <c r="Q480" s="27" t="s">
        <v>8</v>
      </c>
      <c r="R480" s="27" t="s">
        <v>7</v>
      </c>
      <c r="U480" s="27" t="s">
        <v>8</v>
      </c>
      <c r="V480" s="27" t="s">
        <v>7</v>
      </c>
      <c r="W480" s="27" t="s">
        <v>8</v>
      </c>
      <c r="X480" s="27" t="s">
        <v>7</v>
      </c>
      <c r="Y480" s="27" t="s">
        <v>8</v>
      </c>
      <c r="AA480" s="27" t="s">
        <v>8</v>
      </c>
      <c r="AB480" s="27" t="s">
        <v>7</v>
      </c>
      <c r="AC480" s="27" t="s">
        <v>8</v>
      </c>
      <c r="DB480" s="27" t="s">
        <v>7</v>
      </c>
      <c r="DC480" s="27" t="s">
        <v>8</v>
      </c>
      <c r="DD480" s="27" t="s">
        <v>7</v>
      </c>
      <c r="DE480" s="27" t="s">
        <v>8</v>
      </c>
      <c r="DF480" s="27" t="s">
        <v>7</v>
      </c>
    </row>
    <row r="481" spans="1:110" x14ac:dyDescent="0.25">
      <c r="A481" s="7">
        <v>8.1586481992426112</v>
      </c>
      <c r="B481"/>
      <c r="C481"/>
      <c r="D481"/>
      <c r="E481"/>
      <c r="Q481" s="27" t="s">
        <v>8</v>
      </c>
      <c r="R481" s="27" t="s">
        <v>7</v>
      </c>
      <c r="U481" s="27" t="s">
        <v>8</v>
      </c>
      <c r="V481" s="27" t="s">
        <v>7</v>
      </c>
      <c r="W481" s="27" t="s">
        <v>8</v>
      </c>
      <c r="X481" s="27" t="s">
        <v>7</v>
      </c>
      <c r="Y481" s="27" t="s">
        <v>8</v>
      </c>
      <c r="Z481" s="27" t="s">
        <v>7</v>
      </c>
      <c r="AA481" s="27" t="s">
        <v>8</v>
      </c>
      <c r="AB481" s="27" t="s">
        <v>7</v>
      </c>
      <c r="AC481" s="27" t="s">
        <v>8</v>
      </c>
      <c r="DB481" s="27" t="s">
        <v>7</v>
      </c>
      <c r="DC481" s="27" t="s">
        <v>8</v>
      </c>
      <c r="DD481" s="27" t="s">
        <v>7</v>
      </c>
      <c r="DE481" s="27" t="s">
        <v>8</v>
      </c>
      <c r="DF481" s="27" t="s">
        <v>7</v>
      </c>
    </row>
    <row r="482" spans="1:110" x14ac:dyDescent="0.25">
      <c r="A482" s="7">
        <v>7.9986747051398144</v>
      </c>
      <c r="B482"/>
      <c r="C482"/>
      <c r="D482"/>
      <c r="E482"/>
      <c r="Q482" s="27" t="s">
        <v>8</v>
      </c>
      <c r="R482" s="27" t="s">
        <v>7</v>
      </c>
      <c r="U482" s="27" t="s">
        <v>8</v>
      </c>
      <c r="V482" s="27" t="s">
        <v>7</v>
      </c>
      <c r="W482" s="27" t="s">
        <v>8</v>
      </c>
      <c r="X482" s="27" t="s">
        <v>7</v>
      </c>
      <c r="Y482" s="27" t="s">
        <v>8</v>
      </c>
      <c r="Z482" s="27" t="s">
        <v>7</v>
      </c>
      <c r="AA482" s="27" t="s">
        <v>8</v>
      </c>
      <c r="AB482" s="27" t="s">
        <v>7</v>
      </c>
      <c r="AC482" s="27" t="s">
        <v>8</v>
      </c>
      <c r="DB482" s="27" t="s">
        <v>7</v>
      </c>
      <c r="DC482" s="27" t="s">
        <v>8</v>
      </c>
      <c r="DD482" s="27" t="s">
        <v>7</v>
      </c>
      <c r="DF482" s="27" t="s">
        <v>7</v>
      </c>
    </row>
    <row r="483" spans="1:110" x14ac:dyDescent="0.25">
      <c r="A483" s="7">
        <v>7.8418379462155041</v>
      </c>
      <c r="B483"/>
      <c r="C483"/>
      <c r="D483"/>
      <c r="E483" t="s">
        <v>8</v>
      </c>
      <c r="Q483" s="27" t="s">
        <v>8</v>
      </c>
      <c r="R483" s="27" t="s">
        <v>7</v>
      </c>
      <c r="S483" s="27" t="s">
        <v>8</v>
      </c>
      <c r="U483" s="27" t="s">
        <v>8</v>
      </c>
      <c r="V483" s="27" t="s">
        <v>7</v>
      </c>
      <c r="W483" s="27" t="s">
        <v>8</v>
      </c>
      <c r="X483" s="27" t="s">
        <v>7</v>
      </c>
      <c r="Y483" s="27" t="s">
        <v>8</v>
      </c>
      <c r="Z483" s="27" t="s">
        <v>7</v>
      </c>
      <c r="AB483" s="27" t="s">
        <v>7</v>
      </c>
      <c r="AC483" s="27" t="s">
        <v>8</v>
      </c>
      <c r="DB483" s="27" t="s">
        <v>7</v>
      </c>
      <c r="DC483" s="27" t="s">
        <v>8</v>
      </c>
      <c r="DF483" s="27" t="s">
        <v>7</v>
      </c>
    </row>
    <row r="484" spans="1:110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Q484" s="27" t="s">
        <v>8</v>
      </c>
      <c r="R484" s="27" t="s">
        <v>7</v>
      </c>
      <c r="S484" s="27" t="s">
        <v>8</v>
      </c>
      <c r="T484" s="27" t="s">
        <v>7</v>
      </c>
      <c r="U484" s="27" t="s">
        <v>8</v>
      </c>
      <c r="V484" s="27" t="s">
        <v>7</v>
      </c>
      <c r="W484" s="27" t="s">
        <v>8</v>
      </c>
      <c r="X484" s="27" t="s">
        <v>7</v>
      </c>
      <c r="AB484" s="27" t="s">
        <v>7</v>
      </c>
      <c r="DB484" s="27" t="s">
        <v>7</v>
      </c>
      <c r="DC484" s="27" t="s">
        <v>8</v>
      </c>
      <c r="DF484" s="27" t="s">
        <v>7</v>
      </c>
    </row>
    <row r="485" spans="1:110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Q485" s="27" t="s">
        <v>8</v>
      </c>
      <c r="R485" s="27" t="s">
        <v>7</v>
      </c>
      <c r="S485" s="27" t="s">
        <v>8</v>
      </c>
      <c r="T485" s="27" t="s">
        <v>7</v>
      </c>
      <c r="U485" s="27" t="s">
        <v>8</v>
      </c>
      <c r="V485" s="27" t="s">
        <v>7</v>
      </c>
      <c r="DB485" s="27" t="s">
        <v>7</v>
      </c>
      <c r="DF485" s="27" t="s">
        <v>7</v>
      </c>
    </row>
    <row r="486" spans="1:110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Q486" s="27" t="s">
        <v>8</v>
      </c>
      <c r="R486" s="27" t="s">
        <v>7</v>
      </c>
      <c r="S486" s="27" t="s">
        <v>8</v>
      </c>
      <c r="T486" s="27" t="s">
        <v>7</v>
      </c>
      <c r="U486" s="27" t="s">
        <v>8</v>
      </c>
      <c r="DF486" s="27" t="s">
        <v>7</v>
      </c>
    </row>
    <row r="487" spans="1:110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M487" s="27" t="s">
        <v>8</v>
      </c>
      <c r="Q487" s="27" t="s">
        <v>8</v>
      </c>
      <c r="R487" s="27" t="s">
        <v>7</v>
      </c>
      <c r="S487" s="27" t="s">
        <v>8</v>
      </c>
      <c r="T487" s="27" t="s">
        <v>7</v>
      </c>
      <c r="U487" s="27" t="s">
        <v>8</v>
      </c>
      <c r="DF487" s="27" t="s">
        <v>7</v>
      </c>
    </row>
    <row r="488" spans="1:110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M488" s="27" t="s">
        <v>8</v>
      </c>
      <c r="N488" s="27" t="s">
        <v>7</v>
      </c>
      <c r="O488" s="27" t="s">
        <v>8</v>
      </c>
      <c r="Q488" s="27" t="s">
        <v>8</v>
      </c>
      <c r="R488" s="27" t="s">
        <v>7</v>
      </c>
      <c r="S488" s="27" t="s">
        <v>8</v>
      </c>
      <c r="T488" s="27" t="s">
        <v>7</v>
      </c>
      <c r="U488" s="27" t="s">
        <v>8</v>
      </c>
      <c r="DF488" s="27" t="s">
        <v>7</v>
      </c>
    </row>
    <row r="489" spans="1:110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G489" s="27" t="s">
        <v>8</v>
      </c>
      <c r="M489" s="27" t="s">
        <v>8</v>
      </c>
      <c r="N489" s="27" t="s">
        <v>7</v>
      </c>
      <c r="O489" s="27" t="s">
        <v>8</v>
      </c>
      <c r="P489" s="27" t="s">
        <v>7</v>
      </c>
      <c r="Q489" s="27" t="s">
        <v>8</v>
      </c>
      <c r="R489" s="27" t="s">
        <v>7</v>
      </c>
      <c r="T489" s="27" t="s">
        <v>7</v>
      </c>
      <c r="U489" s="27" t="s">
        <v>8</v>
      </c>
      <c r="DF489" s="27" t="s">
        <v>7</v>
      </c>
    </row>
    <row r="490" spans="1:110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G490" s="27" t="s">
        <v>8</v>
      </c>
      <c r="H490" s="27" t="s">
        <v>7</v>
      </c>
      <c r="M490" s="27" t="s">
        <v>8</v>
      </c>
      <c r="N490" s="27" t="s">
        <v>7</v>
      </c>
      <c r="O490" s="27" t="s">
        <v>8</v>
      </c>
      <c r="P490" s="27" t="s">
        <v>7</v>
      </c>
      <c r="Q490" s="27" t="s">
        <v>8</v>
      </c>
      <c r="T490" s="27" t="s">
        <v>7</v>
      </c>
      <c r="U490" s="27" t="s">
        <v>8</v>
      </c>
      <c r="DF490" s="27" t="s">
        <v>7</v>
      </c>
    </row>
    <row r="491" spans="1:110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G491" s="27" t="s">
        <v>8</v>
      </c>
      <c r="H491" s="27" t="s">
        <v>7</v>
      </c>
      <c r="M491" s="27" t="s">
        <v>8</v>
      </c>
      <c r="N491" s="27" t="s">
        <v>7</v>
      </c>
      <c r="O491" s="27" t="s">
        <v>8</v>
      </c>
      <c r="P491" s="27" t="s">
        <v>7</v>
      </c>
      <c r="Q491" s="27" t="s">
        <v>8</v>
      </c>
      <c r="T491" s="27" t="s">
        <v>7</v>
      </c>
      <c r="U491" s="27" t="s">
        <v>8</v>
      </c>
      <c r="DF491" s="27" t="s">
        <v>7</v>
      </c>
    </row>
    <row r="492" spans="1:110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G492" s="27" t="s">
        <v>8</v>
      </c>
      <c r="H492" s="27" t="s">
        <v>7</v>
      </c>
      <c r="I492" s="27" t="s">
        <v>8</v>
      </c>
      <c r="M492" s="27" t="s">
        <v>8</v>
      </c>
      <c r="N492" s="27" t="s">
        <v>7</v>
      </c>
      <c r="O492" s="27" t="s">
        <v>8</v>
      </c>
      <c r="P492" s="27" t="s">
        <v>7</v>
      </c>
      <c r="Q492" s="27" t="s">
        <v>8</v>
      </c>
      <c r="T492" s="27" t="s">
        <v>7</v>
      </c>
      <c r="U492" s="27" t="s">
        <v>8</v>
      </c>
      <c r="DF492" s="27" t="s">
        <v>7</v>
      </c>
    </row>
    <row r="493" spans="1:110" x14ac:dyDescent="0.25">
      <c r="A493" s="7">
        <v>6.4330384270743668</v>
      </c>
      <c r="B493"/>
      <c r="C493"/>
      <c r="D493"/>
      <c r="E493" t="s">
        <v>8</v>
      </c>
      <c r="F493" s="27" t="s">
        <v>7</v>
      </c>
      <c r="G493" s="27" t="s">
        <v>8</v>
      </c>
      <c r="H493" s="27" t="s">
        <v>7</v>
      </c>
      <c r="I493" s="27" t="s">
        <v>8</v>
      </c>
      <c r="J493" s="27" t="s">
        <v>7</v>
      </c>
      <c r="M493" s="27" t="s">
        <v>8</v>
      </c>
      <c r="N493" s="27" t="s">
        <v>7</v>
      </c>
      <c r="O493" s="27" t="s">
        <v>8</v>
      </c>
      <c r="P493" s="27" t="s">
        <v>7</v>
      </c>
      <c r="Q493" s="27" t="s">
        <v>8</v>
      </c>
      <c r="T493" s="27" t="s">
        <v>7</v>
      </c>
      <c r="U493" s="27" t="s">
        <v>8</v>
      </c>
      <c r="DF493" s="27" t="s">
        <v>7</v>
      </c>
    </row>
    <row r="494" spans="1:110" x14ac:dyDescent="0.25">
      <c r="A494" s="7">
        <v>6.3069004187003594</v>
      </c>
      <c r="B494"/>
      <c r="C494"/>
      <c r="D494"/>
      <c r="E494" t="s">
        <v>8</v>
      </c>
      <c r="F494" s="27" t="s">
        <v>7</v>
      </c>
      <c r="G494" s="27" t="s">
        <v>8</v>
      </c>
      <c r="H494" s="27" t="s">
        <v>7</v>
      </c>
      <c r="I494" s="27" t="s">
        <v>8</v>
      </c>
      <c r="J494" s="27" t="s">
        <v>7</v>
      </c>
      <c r="M494" s="27" t="s">
        <v>8</v>
      </c>
      <c r="N494" s="27" t="s">
        <v>7</v>
      </c>
      <c r="O494" s="27" t="s">
        <v>8</v>
      </c>
      <c r="P494" s="27" t="s">
        <v>7</v>
      </c>
      <c r="Q494" s="27" t="s">
        <v>8</v>
      </c>
      <c r="T494" s="27" t="s">
        <v>7</v>
      </c>
      <c r="U494" s="27" t="s">
        <v>8</v>
      </c>
      <c r="DF494" s="27" t="s">
        <v>7</v>
      </c>
    </row>
    <row r="495" spans="1:110" x14ac:dyDescent="0.25">
      <c r="A495" s="7">
        <v>6.1832357046081956</v>
      </c>
      <c r="B495"/>
      <c r="C495"/>
      <c r="D495"/>
      <c r="E495" t="s">
        <v>8</v>
      </c>
      <c r="F495" s="27" t="s">
        <v>7</v>
      </c>
      <c r="G495" s="27" t="s">
        <v>8</v>
      </c>
      <c r="H495" s="27" t="s">
        <v>7</v>
      </c>
      <c r="J495" s="27" t="s">
        <v>7</v>
      </c>
      <c r="K495" s="27" t="s">
        <v>8</v>
      </c>
      <c r="M495" s="27" t="s">
        <v>8</v>
      </c>
      <c r="N495" s="27" t="s">
        <v>7</v>
      </c>
      <c r="O495" s="27" t="s">
        <v>8</v>
      </c>
      <c r="P495" s="27" t="s">
        <v>7</v>
      </c>
      <c r="Q495" s="27" t="s">
        <v>8</v>
      </c>
      <c r="T495" s="27" t="s">
        <v>7</v>
      </c>
      <c r="U495" s="27" t="s">
        <v>8</v>
      </c>
      <c r="DF495" s="27" t="s">
        <v>7</v>
      </c>
    </row>
    <row r="496" spans="1:110" x14ac:dyDescent="0.25">
      <c r="A496" s="7">
        <v>6.0619957888315641</v>
      </c>
      <c r="B496"/>
      <c r="C496"/>
      <c r="D496"/>
      <c r="E496" t="s">
        <v>8</v>
      </c>
      <c r="F496" s="27" t="s">
        <v>7</v>
      </c>
      <c r="G496" s="27" t="s">
        <v>8</v>
      </c>
      <c r="J496" s="27" t="s">
        <v>7</v>
      </c>
      <c r="K496" s="27" t="s">
        <v>8</v>
      </c>
      <c r="L496" s="27" t="s">
        <v>7</v>
      </c>
      <c r="M496" s="27" t="s">
        <v>8</v>
      </c>
      <c r="N496" s="27" t="s">
        <v>7</v>
      </c>
      <c r="O496" s="27" t="s">
        <v>8</v>
      </c>
      <c r="P496" s="27" t="s">
        <v>7</v>
      </c>
      <c r="Q496" s="27" t="s">
        <v>8</v>
      </c>
      <c r="T496" s="18" t="s">
        <v>7</v>
      </c>
      <c r="U496" s="27" t="s">
        <v>8</v>
      </c>
      <c r="DF496" s="27" t="s">
        <v>7</v>
      </c>
    </row>
    <row r="497" spans="1:114" x14ac:dyDescent="0.25">
      <c r="A497" s="7">
        <v>5.9431331263054545</v>
      </c>
      <c r="B497"/>
      <c r="C497"/>
      <c r="D497"/>
      <c r="E497" t="s">
        <v>8</v>
      </c>
      <c r="F497" s="27" t="s">
        <v>7</v>
      </c>
      <c r="G497" s="27" t="s">
        <v>8</v>
      </c>
      <c r="J497" s="27" t="s">
        <v>7</v>
      </c>
      <c r="K497" s="27" t="s">
        <v>8</v>
      </c>
      <c r="L497" s="27" t="s">
        <v>7</v>
      </c>
      <c r="M497" s="27" t="s">
        <v>8</v>
      </c>
      <c r="N497" s="27" t="s">
        <v>7</v>
      </c>
      <c r="O497" s="27" t="s">
        <v>8</v>
      </c>
      <c r="P497" s="27" t="s">
        <v>7</v>
      </c>
      <c r="Q497" s="27" t="s">
        <v>8</v>
      </c>
      <c r="T497" s="27" t="s">
        <v>7</v>
      </c>
      <c r="U497" s="27" t="s">
        <v>8</v>
      </c>
      <c r="DF497" s="27" t="s">
        <v>7</v>
      </c>
    </row>
    <row r="498" spans="1:114" x14ac:dyDescent="0.25">
      <c r="A498" s="7">
        <v>5.8266011042210337</v>
      </c>
      <c r="B498"/>
      <c r="C498"/>
      <c r="D498"/>
      <c r="E498" t="s">
        <v>8</v>
      </c>
      <c r="F498" s="27" t="s">
        <v>7</v>
      </c>
      <c r="G498" s="27" t="s">
        <v>8</v>
      </c>
      <c r="J498" s="27" t="s">
        <v>7</v>
      </c>
      <c r="K498" s="27" t="s">
        <v>8</v>
      </c>
      <c r="L498" s="27" t="s">
        <v>7</v>
      </c>
      <c r="M498" s="27" t="s">
        <v>8</v>
      </c>
      <c r="N498" s="27" t="s">
        <v>7</v>
      </c>
      <c r="O498" s="27" t="s">
        <v>8</v>
      </c>
      <c r="P498" s="27" t="s">
        <v>7</v>
      </c>
      <c r="Q498" s="27" t="s">
        <v>8</v>
      </c>
      <c r="T498" s="27" t="s">
        <v>7</v>
      </c>
      <c r="U498" s="27" t="s">
        <v>8</v>
      </c>
      <c r="DF498" s="27" t="s">
        <v>7</v>
      </c>
      <c r="DG498" s="27" t="s">
        <v>8</v>
      </c>
    </row>
    <row r="499" spans="1:114" x14ac:dyDescent="0.25">
      <c r="A499" s="7">
        <v>5.7123540237461112</v>
      </c>
      <c r="B499"/>
      <c r="C499"/>
      <c r="D499"/>
      <c r="E499" t="s">
        <v>8</v>
      </c>
      <c r="F499" s="27" t="s">
        <v>7</v>
      </c>
      <c r="G499" s="27" t="s">
        <v>8</v>
      </c>
      <c r="J499" s="27" t="s">
        <v>7</v>
      </c>
      <c r="K499" s="27" t="s">
        <v>8</v>
      </c>
      <c r="L499" s="27" t="s">
        <v>7</v>
      </c>
      <c r="M499" s="27" t="s">
        <v>8</v>
      </c>
      <c r="N499" s="27" t="s">
        <v>7</v>
      </c>
      <c r="P499" s="27" t="s">
        <v>7</v>
      </c>
      <c r="T499" s="27" t="s">
        <v>7</v>
      </c>
      <c r="U499" s="27" t="s">
        <v>8</v>
      </c>
      <c r="DF499" s="27" t="s">
        <v>7</v>
      </c>
      <c r="DG499" s="27" t="s">
        <v>8</v>
      </c>
      <c r="DH499" s="27" t="s">
        <v>7</v>
      </c>
    </row>
    <row r="500" spans="1:114" x14ac:dyDescent="0.25">
      <c r="A500" s="7">
        <v>5.6003470821040304</v>
      </c>
      <c r="B500"/>
      <c r="C500"/>
      <c r="D500"/>
      <c r="E500" t="s">
        <v>8</v>
      </c>
      <c r="F500" s="27" t="s">
        <v>7</v>
      </c>
      <c r="G500" s="27" t="s">
        <v>8</v>
      </c>
      <c r="J500" s="27" t="s">
        <v>7</v>
      </c>
      <c r="K500" s="27" t="s">
        <v>8</v>
      </c>
      <c r="L500" s="27" t="s">
        <v>7</v>
      </c>
      <c r="M500" s="27" t="s">
        <v>8</v>
      </c>
      <c r="T500" s="27" t="s">
        <v>7</v>
      </c>
      <c r="DF500" s="27" t="s">
        <v>7</v>
      </c>
      <c r="DG500" s="27" t="s">
        <v>8</v>
      </c>
      <c r="DH500" s="27" t="s">
        <v>7</v>
      </c>
    </row>
    <row r="501" spans="1:114" x14ac:dyDescent="0.25">
      <c r="A501" s="7">
        <v>5.4905363550039512</v>
      </c>
      <c r="B501"/>
      <c r="C501"/>
      <c r="D501"/>
      <c r="E501" t="s">
        <v>8</v>
      </c>
      <c r="F501" s="27" t="s">
        <v>7</v>
      </c>
      <c r="G501" s="27" t="s">
        <v>8</v>
      </c>
      <c r="J501" s="27" t="s">
        <v>7</v>
      </c>
      <c r="K501" s="27" t="s">
        <v>8</v>
      </c>
      <c r="L501" s="27" t="s">
        <v>7</v>
      </c>
      <c r="M501" s="27" t="s">
        <v>8</v>
      </c>
      <c r="DF501" s="27" t="s">
        <v>7</v>
      </c>
      <c r="DG501" s="27" t="s">
        <v>8</v>
      </c>
      <c r="DH501" s="27" t="s">
        <v>7</v>
      </c>
    </row>
    <row r="502" spans="1:114" x14ac:dyDescent="0.25">
      <c r="A502" s="7">
        <v>5.3828787794156385</v>
      </c>
      <c r="B502"/>
      <c r="C502"/>
      <c r="D502"/>
      <c r="E502" t="s">
        <v>8</v>
      </c>
      <c r="F502" s="27" t="s">
        <v>7</v>
      </c>
      <c r="J502" s="27" t="s">
        <v>7</v>
      </c>
      <c r="L502" s="27" t="s">
        <v>7</v>
      </c>
      <c r="DF502" s="27" t="s">
        <v>7</v>
      </c>
      <c r="DG502" s="27" t="s">
        <v>8</v>
      </c>
      <c r="DH502" s="27" t="s">
        <v>7</v>
      </c>
    </row>
    <row r="503" spans="1:114" x14ac:dyDescent="0.25">
      <c r="A503" s="7">
        <v>5.2773321366819985</v>
      </c>
      <c r="B503"/>
      <c r="C503"/>
      <c r="D503"/>
      <c r="E503" t="s">
        <v>8</v>
      </c>
      <c r="DF503" s="27" t="s">
        <v>7</v>
      </c>
      <c r="DG503" s="27" t="s">
        <v>8</v>
      </c>
      <c r="DH503" s="27" t="s">
        <v>7</v>
      </c>
      <c r="DI503" s="27" t="s">
        <v>8</v>
      </c>
    </row>
    <row r="504" spans="1:114" x14ac:dyDescent="0.25">
      <c r="A504" s="7">
        <v>5.1738550359627435</v>
      </c>
      <c r="B504"/>
      <c r="C504"/>
      <c r="D504"/>
      <c r="E504" t="s">
        <v>8</v>
      </c>
      <c r="DF504" s="27" t="s">
        <v>7</v>
      </c>
      <c r="DG504" s="27" t="s">
        <v>8</v>
      </c>
      <c r="DH504" s="27" t="s">
        <v>7</v>
      </c>
      <c r="DI504" s="27" t="s">
        <v>8</v>
      </c>
      <c r="DJ504" s="27" t="s">
        <v>7</v>
      </c>
    </row>
    <row r="505" spans="1:114" x14ac:dyDescent="0.25">
      <c r="A505" s="7">
        <v>5.07240689800269</v>
      </c>
      <c r="B505"/>
      <c r="C505"/>
      <c r="D505"/>
      <c r="E505" t="s">
        <v>8</v>
      </c>
      <c r="DF505" s="27" t="s">
        <v>7</v>
      </c>
      <c r="DG505" s="27" t="s">
        <v>8</v>
      </c>
      <c r="DH505" s="27" t="s">
        <v>7</v>
      </c>
      <c r="DI505" s="27" t="s">
        <v>8</v>
      </c>
      <c r="DJ505" s="27" t="s">
        <v>7</v>
      </c>
    </row>
    <row r="506" spans="1:114" x14ac:dyDescent="0.25">
      <c r="A506" s="7">
        <v>4.9729479392183231</v>
      </c>
      <c r="B506"/>
      <c r="C506"/>
      <c r="D506"/>
      <c r="E506" t="s">
        <v>8</v>
      </c>
      <c r="DF506" s="27" t="s">
        <v>7</v>
      </c>
      <c r="DG506" s="27" t="s">
        <v>8</v>
      </c>
      <c r="DH506" s="27" t="s">
        <v>7</v>
      </c>
      <c r="DI506" s="27" t="s">
        <v>8</v>
      </c>
      <c r="DJ506" s="27" t="s">
        <v>7</v>
      </c>
    </row>
    <row r="507" spans="1:114" x14ac:dyDescent="0.25">
      <c r="A507" s="7">
        <v>4.8754391560963954</v>
      </c>
      <c r="B507"/>
      <c r="C507"/>
      <c r="D507"/>
      <c r="E507" t="s">
        <v>8</v>
      </c>
      <c r="DF507" s="27" t="s">
        <v>7</v>
      </c>
      <c r="DG507" s="27" t="s">
        <v>8</v>
      </c>
      <c r="DH507" s="27" t="s">
        <v>7</v>
      </c>
      <c r="DI507" s="27" t="s">
        <v>8</v>
      </c>
      <c r="DJ507" s="27" t="s">
        <v>7</v>
      </c>
    </row>
    <row r="508" spans="1:114" x14ac:dyDescent="0.25">
      <c r="A508" s="7">
        <v>4.7798423098984264</v>
      </c>
      <c r="B508"/>
      <c r="C508"/>
      <c r="D508"/>
      <c r="E508" t="s">
        <v>8</v>
      </c>
      <c r="DF508" s="27" t="s">
        <v>7</v>
      </c>
      <c r="DG508" s="27" t="s">
        <v>8</v>
      </c>
      <c r="DH508" s="27" t="s">
        <v>7</v>
      </c>
      <c r="DI508" s="27" t="s">
        <v>8</v>
      </c>
      <c r="DJ508" s="27" t="s">
        <v>7</v>
      </c>
    </row>
    <row r="509" spans="1:114" x14ac:dyDescent="0.25">
      <c r="A509" s="7">
        <v>4.6861199116651235</v>
      </c>
      <c r="B509"/>
      <c r="C509"/>
      <c r="D509"/>
      <c r="E509" t="s">
        <v>8</v>
      </c>
      <c r="DF509" s="27" t="s">
        <v>7</v>
      </c>
      <c r="DH509" s="27" t="s">
        <v>7</v>
      </c>
      <c r="DI509" s="27" t="s">
        <v>8</v>
      </c>
      <c r="DJ509" s="27" t="s">
        <v>7</v>
      </c>
    </row>
    <row r="510" spans="1:114" x14ac:dyDescent="0.25">
      <c r="A510" s="7">
        <v>4.5942352075148269</v>
      </c>
      <c r="B510"/>
      <c r="C510"/>
      <c r="D510"/>
      <c r="E510" t="s">
        <v>8</v>
      </c>
      <c r="DH510" s="27" t="s">
        <v>7</v>
      </c>
      <c r="DI510" s="27" t="s">
        <v>8</v>
      </c>
      <c r="DJ510" s="27" t="s">
        <v>7</v>
      </c>
    </row>
    <row r="511" spans="1:114" x14ac:dyDescent="0.25">
      <c r="A511" s="7">
        <v>4.5041521642302227</v>
      </c>
      <c r="B511"/>
      <c r="C511"/>
      <c r="D511"/>
      <c r="E511" t="s">
        <v>8</v>
      </c>
      <c r="DH511" s="27" t="s">
        <v>7</v>
      </c>
      <c r="DI511" s="27" t="s">
        <v>8</v>
      </c>
    </row>
    <row r="512" spans="1:114" x14ac:dyDescent="0.25">
      <c r="A512" s="7">
        <v>4.4158354551276693</v>
      </c>
      <c r="B512"/>
      <c r="C512"/>
      <c r="D512"/>
      <c r="E512" t="s">
        <v>8</v>
      </c>
      <c r="DH512" s="27" t="s">
        <v>7</v>
      </c>
      <c r="DI512" s="27" t="s">
        <v>8</v>
      </c>
    </row>
    <row r="513" spans="1:113" x14ac:dyDescent="0.25">
      <c r="A513" s="7">
        <v>4.3292504462035977</v>
      </c>
      <c r="B513"/>
      <c r="C513"/>
      <c r="D513"/>
      <c r="E513" t="s">
        <v>8</v>
      </c>
      <c r="DH513" s="27" t="s">
        <v>7</v>
      </c>
      <c r="DI513" s="27" t="s">
        <v>8</v>
      </c>
    </row>
    <row r="514" spans="1:113" x14ac:dyDescent="0.25">
      <c r="A514" s="7">
        <v>4.2443631825525463</v>
      </c>
      <c r="B514"/>
      <c r="C514"/>
      <c r="D514"/>
      <c r="E514" t="s">
        <v>8</v>
      </c>
      <c r="DH514" s="27" t="s">
        <v>7</v>
      </c>
      <c r="DI514" s="27" t="s">
        <v>8</v>
      </c>
    </row>
    <row r="515" spans="1:113" x14ac:dyDescent="0.25">
      <c r="A515" s="7">
        <v>4.1611403750515157</v>
      </c>
      <c r="B515"/>
      <c r="C515"/>
      <c r="D515"/>
      <c r="E515" t="s">
        <v>8</v>
      </c>
      <c r="DH515" s="27" t="s">
        <v>7</v>
      </c>
    </row>
    <row r="516" spans="1:113" x14ac:dyDescent="0.25">
      <c r="A516" s="7">
        <v>4.0795493873054074</v>
      </c>
      <c r="B516"/>
      <c r="C516"/>
      <c r="D516"/>
      <c r="E516" t="s">
        <v>8</v>
      </c>
    </row>
    <row r="517" spans="1:113" x14ac:dyDescent="0.25">
      <c r="A517" s="7">
        <v>3.9995582228484383</v>
      </c>
      <c r="B517"/>
      <c r="C517"/>
      <c r="D517"/>
      <c r="E517" t="s">
        <v>8</v>
      </c>
    </row>
    <row r="518" spans="1:113" x14ac:dyDescent="0.25">
      <c r="A518" s="7">
        <v>3.9211355125965079</v>
      </c>
      <c r="B518"/>
      <c r="C518"/>
      <c r="D518"/>
      <c r="E518" t="s">
        <v>8</v>
      </c>
    </row>
    <row r="519" spans="1:113" x14ac:dyDescent="0.25">
      <c r="A519" s="7">
        <v>3.844250502545596</v>
      </c>
      <c r="B519"/>
      <c r="C519"/>
      <c r="D519"/>
      <c r="E519" t="s">
        <v>8</v>
      </c>
    </row>
    <row r="520" spans="1:113" x14ac:dyDescent="0.25">
      <c r="A520" s="7">
        <v>3.7688730417113687</v>
      </c>
      <c r="B520"/>
      <c r="C520"/>
      <c r="D520"/>
      <c r="E520" t="s">
        <v>8</v>
      </c>
    </row>
    <row r="521" spans="1:113" x14ac:dyDescent="0.25">
      <c r="A521" s="7">
        <v>3.6949735703052635</v>
      </c>
      <c r="B521"/>
      <c r="C521"/>
      <c r="D521"/>
      <c r="E521" t="s">
        <v>8</v>
      </c>
    </row>
    <row r="522" spans="1:113" x14ac:dyDescent="0.25">
      <c r="A522" s="7">
        <v>3.6225231081424152</v>
      </c>
      <c r="B522"/>
      <c r="C522"/>
      <c r="D522"/>
      <c r="E522" t="s">
        <v>8</v>
      </c>
    </row>
    <row r="523" spans="1:113" x14ac:dyDescent="0.25">
      <c r="A523" s="7">
        <v>3.5514932432768775</v>
      </c>
      <c r="B523"/>
      <c r="C523"/>
      <c r="D523"/>
      <c r="E523" t="s">
        <v>8</v>
      </c>
    </row>
    <row r="524" spans="1:113" x14ac:dyDescent="0.25">
      <c r="A524" s="7">
        <v>3.4818561208596837</v>
      </c>
      <c r="B524"/>
      <c r="C524"/>
      <c r="D524"/>
      <c r="E524" t="s">
        <v>8</v>
      </c>
    </row>
    <row r="525" spans="1:113" x14ac:dyDescent="0.25">
      <c r="A525" s="7">
        <v>3.4135844322153761</v>
      </c>
      <c r="B525"/>
      <c r="C525"/>
      <c r="D525"/>
      <c r="E525" t="s">
        <v>8</v>
      </c>
    </row>
    <row r="526" spans="1:113" x14ac:dyDescent="0.25">
      <c r="A526" s="7">
        <v>3.3466514041327216</v>
      </c>
      <c r="B526"/>
      <c r="C526"/>
      <c r="D526"/>
      <c r="E526" t="s">
        <v>8</v>
      </c>
    </row>
    <row r="527" spans="1:113" x14ac:dyDescent="0.25">
      <c r="A527" s="7">
        <v>3.2810307883654133</v>
      </c>
      <c r="B527"/>
      <c r="C527"/>
      <c r="D527"/>
      <c r="E527" t="s">
        <v>8</v>
      </c>
    </row>
    <row r="528" spans="1:113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25" operator="equal">
      <formula>$U$1</formula>
    </cfRule>
    <cfRule type="cellIs" dxfId="89" priority="626" operator="equal">
      <formula>$S$1</formula>
    </cfRule>
  </conditionalFormatting>
  <conditionalFormatting sqref="D27">
    <cfRule type="cellIs" dxfId="88" priority="623" operator="equal">
      <formula>$S$1</formula>
    </cfRule>
    <cfRule type="cellIs" dxfId="87" priority="624" operator="equal">
      <formula>$U$1</formula>
    </cfRule>
  </conditionalFormatting>
  <conditionalFormatting sqref="C164">
    <cfRule type="cellIs" dxfId="86" priority="621" operator="equal">
      <formula>$U$1</formula>
    </cfRule>
    <cfRule type="cellIs" dxfId="85" priority="622" operator="equal">
      <formula>$S$1</formula>
    </cfRule>
  </conditionalFormatting>
  <conditionalFormatting sqref="D164">
    <cfRule type="cellIs" dxfId="84" priority="619" operator="equal">
      <formula>$S$1</formula>
    </cfRule>
    <cfRule type="cellIs" dxfId="83" priority="620" operator="equal">
      <formula>$U$1</formula>
    </cfRule>
  </conditionalFormatting>
  <conditionalFormatting sqref="C55">
    <cfRule type="cellIs" dxfId="82" priority="617" operator="equal">
      <formula>$U$1</formula>
    </cfRule>
    <cfRule type="cellIs" dxfId="81" priority="618" operator="equal">
      <formula>$S$1</formula>
    </cfRule>
  </conditionalFormatting>
  <conditionalFormatting sqref="D55">
    <cfRule type="cellIs" dxfId="80" priority="615" operator="equal">
      <formula>$S$1</formula>
    </cfRule>
    <cfRule type="cellIs" dxfId="79" priority="616" operator="equal">
      <formula>$U$1</formula>
    </cfRule>
  </conditionalFormatting>
  <conditionalFormatting sqref="C89">
    <cfRule type="cellIs" dxfId="78" priority="613" operator="equal">
      <formula>$U$1</formula>
    </cfRule>
    <cfRule type="cellIs" dxfId="77" priority="614" operator="equal">
      <formula>$S$1</formula>
    </cfRule>
  </conditionalFormatting>
  <conditionalFormatting sqref="D89">
    <cfRule type="cellIs" dxfId="76" priority="611" operator="equal">
      <formula>$S$1</formula>
    </cfRule>
    <cfRule type="cellIs" dxfId="75" priority="612" operator="equal">
      <formula>$U$1</formula>
    </cfRule>
  </conditionalFormatting>
  <conditionalFormatting sqref="C136">
    <cfRule type="cellIs" dxfId="74" priority="609" operator="equal">
      <formula>$U$1</formula>
    </cfRule>
    <cfRule type="cellIs" dxfId="73" priority="610" operator="equal">
      <formula>$S$1</formula>
    </cfRule>
  </conditionalFormatting>
  <conditionalFormatting sqref="D136">
    <cfRule type="cellIs" dxfId="72" priority="607" operator="equal">
      <formula>$S$1</formula>
    </cfRule>
    <cfRule type="cellIs" dxfId="71" priority="608" operator="equal">
      <formula>$U$1</formula>
    </cfRule>
  </conditionalFormatting>
  <conditionalFormatting sqref="C1">
    <cfRule type="cellIs" dxfId="70" priority="60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BN209" sqref="BN20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$A$208</v>
      </c>
      <c r="D111" s="1" t="str">
        <f>ADDRESS(C121-1,D121,1,1)</f>
        <v>$BN$208</v>
      </c>
      <c r="E111"/>
    </row>
    <row r="112" spans="1:5" x14ac:dyDescent="0.25">
      <c r="A112" s="30">
        <v>515.50191262726139</v>
      </c>
      <c r="C112" s="1" t="str">
        <f>ADDRESS(C121,1,1,1)</f>
        <v>$A$209</v>
      </c>
      <c r="D112" s="1" t="str">
        <f>ADDRESS(C121,D121-1,1,1)</f>
        <v>$BM$209</v>
      </c>
      <c r="E112"/>
    </row>
    <row r="113" spans="1:5" x14ac:dyDescent="0.25">
      <c r="A113" s="30">
        <v>490.95420250215363</v>
      </c>
      <c r="C113" s="1" t="str">
        <f>ADDRESS(C121+1,1,1,1)</f>
        <v>$A$210</v>
      </c>
      <c r="D113" s="1" t="str">
        <f>ADDRESS(C121-1,D121+1,1,1)</f>
        <v>$BO$208</v>
      </c>
    </row>
    <row r="114" spans="1:5" x14ac:dyDescent="0.25">
      <c r="A114" s="30">
        <v>467.57543095443202</v>
      </c>
      <c r="C114" s="1" t="str">
        <f>ADDRESS(C121,D121,1,1)</f>
        <v>$BN$209</v>
      </c>
      <c r="D114" s="1" t="str">
        <f>ADDRESS(C121+1,D121+1,1,1)</f>
        <v>$BO$210</v>
      </c>
    </row>
    <row r="115" spans="1:5" x14ac:dyDescent="0.25">
      <c r="A115" s="30">
        <v>445.30993424231622</v>
      </c>
      <c r="C115" s="1" t="str">
        <f>ADDRESS(C121+1,D121,1,1)</f>
        <v>$BN$210</v>
      </c>
    </row>
    <row r="116" spans="1:5" x14ac:dyDescent="0.25">
      <c r="A116" s="30">
        <v>424.10469927839637</v>
      </c>
      <c r="C116" s="1">
        <f>C117-1</f>
        <v>208</v>
      </c>
    </row>
    <row r="117" spans="1:5" x14ac:dyDescent="0.25">
      <c r="A117" s="30">
        <v>403.9092374079965</v>
      </c>
      <c r="C117" s="1">
        <f>C121</f>
        <v>209</v>
      </c>
      <c r="D117" s="1">
        <f>D121</f>
        <v>66</v>
      </c>
    </row>
    <row r="118" spans="1:5" x14ac:dyDescent="0.25">
      <c r="A118" s="30">
        <v>384.6754641980919</v>
      </c>
      <c r="C118" s="1">
        <f>C117+1</f>
        <v>210</v>
      </c>
      <c r="D118" s="1">
        <f>D117+1</f>
        <v>67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209</v>
      </c>
      <c r="D121" s="19">
        <v>66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R209</v>
      </c>
      <c r="D123" s="1" t="str">
        <f>"C"&amp;D121</f>
        <v>C66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4.5380394939082018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28" x14ac:dyDescent="0.25">
      <c r="A161" s="30">
        <v>47.201372444612005</v>
      </c>
      <c r="E161"/>
    </row>
    <row r="162" spans="1:28" x14ac:dyDescent="0.25">
      <c r="A162" s="30">
        <v>44.95368804248762</v>
      </c>
      <c r="E162"/>
    </row>
    <row r="163" spans="1:28" x14ac:dyDescent="0.25">
      <c r="A163" s="30">
        <v>42.81303623094059</v>
      </c>
      <c r="E163"/>
    </row>
    <row r="164" spans="1:28" x14ac:dyDescent="0.25">
      <c r="A164" s="30">
        <v>40.774320219943419</v>
      </c>
      <c r="E164"/>
    </row>
    <row r="165" spans="1:28" x14ac:dyDescent="0.25">
      <c r="A165" s="30">
        <v>38.832685923755633</v>
      </c>
      <c r="E165"/>
    </row>
    <row r="166" spans="1:28" x14ac:dyDescent="0.25">
      <c r="A166" s="30">
        <v>36.983510403576794</v>
      </c>
      <c r="E166"/>
    </row>
    <row r="167" spans="1:28" x14ac:dyDescent="0.25">
      <c r="A167" s="30">
        <v>35.222390860549325</v>
      </c>
      <c r="E167"/>
    </row>
    <row r="168" spans="1:28" x14ac:dyDescent="0.25">
      <c r="A168" s="30">
        <v>33.545134152904119</v>
      </c>
      <c r="E168"/>
    </row>
    <row r="169" spans="1:28" x14ac:dyDescent="0.25">
      <c r="A169" s="30">
        <v>31.947746812289637</v>
      </c>
      <c r="E169"/>
    </row>
    <row r="170" spans="1:28" x14ac:dyDescent="0.25">
      <c r="A170" s="30">
        <v>30.426425535513939</v>
      </c>
      <c r="E170"/>
    </row>
    <row r="171" spans="1:28" x14ac:dyDescent="0.25">
      <c r="A171" s="30">
        <v>28.977548129060892</v>
      </c>
      <c r="E171"/>
    </row>
    <row r="172" spans="1:28" x14ac:dyDescent="0.25">
      <c r="A172" s="30">
        <v>27.597664884819896</v>
      </c>
      <c r="E172"/>
    </row>
    <row r="173" spans="1:28" x14ac:dyDescent="0.25">
      <c r="A173" s="30">
        <v>26.283490366495137</v>
      </c>
      <c r="E173"/>
    </row>
    <row r="174" spans="1:28" x14ac:dyDescent="0.25">
      <c r="A174" s="30">
        <v>25.031895587138223</v>
      </c>
      <c r="E174"/>
    </row>
    <row r="175" spans="1:28" x14ac:dyDescent="0.25">
      <c r="A175" s="30">
        <v>23.839900559179259</v>
      </c>
      <c r="E175"/>
      <c r="AA175" s="27" t="s">
        <v>8</v>
      </c>
    </row>
    <row r="176" spans="1:28" x14ac:dyDescent="0.25">
      <c r="A176" s="30">
        <v>22.704667199218342</v>
      </c>
      <c r="E176"/>
      <c r="AA176" s="27" t="s">
        <v>8</v>
      </c>
      <c r="AB176" s="27" t="s">
        <v>7</v>
      </c>
    </row>
    <row r="177" spans="1:60" x14ac:dyDescent="0.25">
      <c r="A177" s="30">
        <v>21.623492570684135</v>
      </c>
      <c r="E177"/>
      <c r="AA177" s="27" t="s">
        <v>8</v>
      </c>
      <c r="AB177" s="27" t="s">
        <v>7</v>
      </c>
    </row>
    <row r="178" spans="1:60" x14ac:dyDescent="0.25">
      <c r="A178" s="30">
        <v>20.593802448270605</v>
      </c>
      <c r="C178" s="7"/>
      <c r="D178"/>
      <c r="E178"/>
      <c r="AA178" s="27" t="s">
        <v>8</v>
      </c>
      <c r="AB178" s="27" t="s">
        <v>7</v>
      </c>
    </row>
    <row r="179" spans="1:60" x14ac:dyDescent="0.25">
      <c r="A179" s="30">
        <v>19.613145188829147</v>
      </c>
      <c r="E179"/>
      <c r="AA179" s="27" t="s">
        <v>8</v>
      </c>
      <c r="AB179" s="27" t="s">
        <v>7</v>
      </c>
      <c r="AC179" s="27" t="s">
        <v>8</v>
      </c>
      <c r="AE179" s="27" t="s">
        <v>8</v>
      </c>
      <c r="AU179" s="27" t="s">
        <v>8</v>
      </c>
    </row>
    <row r="180" spans="1:60" x14ac:dyDescent="0.25">
      <c r="A180" s="30">
        <v>18.679185894122998</v>
      </c>
      <c r="E180"/>
      <c r="AA180" s="27" t="s">
        <v>8</v>
      </c>
      <c r="AB180" s="27" t="s">
        <v>7</v>
      </c>
      <c r="AC180" s="27" t="s">
        <v>8</v>
      </c>
      <c r="AD180" s="27" t="s">
        <v>7</v>
      </c>
      <c r="AE180" s="27" t="s">
        <v>8</v>
      </c>
      <c r="AF180" s="27" t="s">
        <v>7</v>
      </c>
      <c r="AU180" s="27" t="s">
        <v>8</v>
      </c>
      <c r="AV180" s="27" t="s">
        <v>7</v>
      </c>
    </row>
    <row r="181" spans="1:60" x14ac:dyDescent="0.25">
      <c r="A181" s="30">
        <v>17.78970085154571</v>
      </c>
      <c r="C181"/>
      <c r="D181"/>
      <c r="E181"/>
      <c r="AA181" s="27" t="s">
        <v>8</v>
      </c>
      <c r="AB181" s="27" t="s">
        <v>7</v>
      </c>
      <c r="AC181" s="27" t="s">
        <v>8</v>
      </c>
      <c r="AD181" s="27" t="s">
        <v>7</v>
      </c>
      <c r="AE181" s="27" t="s">
        <v>8</v>
      </c>
      <c r="AF181" s="27" t="s">
        <v>7</v>
      </c>
      <c r="AI181" s="27" t="s">
        <v>8</v>
      </c>
      <c r="AU181" s="27" t="s">
        <v>8</v>
      </c>
      <c r="AV181" s="27" t="s">
        <v>7</v>
      </c>
    </row>
    <row r="182" spans="1:60" x14ac:dyDescent="0.25">
      <c r="A182" s="30">
        <v>16.942572239567344</v>
      </c>
      <c r="E182"/>
      <c r="Y182" s="27" t="s">
        <v>8</v>
      </c>
      <c r="AA182" s="27" t="s">
        <v>8</v>
      </c>
      <c r="AB182" s="27" t="s">
        <v>7</v>
      </c>
      <c r="AC182" s="27" t="s">
        <v>8</v>
      </c>
      <c r="AD182" s="27" t="s">
        <v>7</v>
      </c>
      <c r="AE182" s="27" t="s">
        <v>8</v>
      </c>
      <c r="AF182" s="27" t="s">
        <v>7</v>
      </c>
      <c r="AI182" s="27" t="s">
        <v>8</v>
      </c>
      <c r="AJ182" s="27" t="s">
        <v>7</v>
      </c>
      <c r="AQ182" s="27" t="s">
        <v>8</v>
      </c>
      <c r="AS182" s="27" t="s">
        <v>8</v>
      </c>
      <c r="AU182" s="27" t="s">
        <v>8</v>
      </c>
      <c r="AV182" s="27" t="s">
        <v>7</v>
      </c>
      <c r="AW182" s="27" t="s">
        <v>8</v>
      </c>
    </row>
    <row r="183" spans="1:60" x14ac:dyDescent="0.25">
      <c r="A183" s="30">
        <v>16.135783085302233</v>
      </c>
      <c r="E183"/>
      <c r="Y183" s="27" t="s">
        <v>8</v>
      </c>
      <c r="Z183" s="27" t="s">
        <v>7</v>
      </c>
      <c r="AA183" s="27" t="s">
        <v>8</v>
      </c>
      <c r="AB183" s="27" t="s">
        <v>7</v>
      </c>
      <c r="AC183" s="27" t="s">
        <v>8</v>
      </c>
      <c r="AD183" s="27" t="s">
        <v>7</v>
      </c>
      <c r="AF183" s="27" t="s">
        <v>7</v>
      </c>
      <c r="AI183" s="27" t="s">
        <v>8</v>
      </c>
      <c r="AJ183" s="27" t="s">
        <v>7</v>
      </c>
      <c r="AQ183" s="27" t="s">
        <v>8</v>
      </c>
      <c r="AR183" s="27" t="s">
        <v>7</v>
      </c>
      <c r="AS183" s="27" t="s">
        <v>8</v>
      </c>
      <c r="AT183" s="27" t="s">
        <v>7</v>
      </c>
      <c r="AU183" s="27" t="s">
        <v>8</v>
      </c>
      <c r="AV183" s="27" t="s">
        <v>7</v>
      </c>
      <c r="AW183" s="27" t="s">
        <v>8</v>
      </c>
      <c r="AX183" s="27" t="s">
        <v>7</v>
      </c>
      <c r="AY183" s="27" t="s">
        <v>8</v>
      </c>
    </row>
    <row r="184" spans="1:60" x14ac:dyDescent="0.25">
      <c r="A184" s="30">
        <v>15.367412462192602</v>
      </c>
      <c r="E184"/>
      <c r="Y184" s="27" t="s">
        <v>8</v>
      </c>
      <c r="Z184" s="27" t="s">
        <v>7</v>
      </c>
      <c r="AA184" s="27" t="s">
        <v>8</v>
      </c>
      <c r="AB184" s="27" t="s">
        <v>7</v>
      </c>
      <c r="AF184" s="27" t="s">
        <v>7</v>
      </c>
      <c r="AG184" s="27" t="s">
        <v>8</v>
      </c>
      <c r="AI184" s="27" t="s">
        <v>8</v>
      </c>
      <c r="AJ184" s="27" t="s">
        <v>7</v>
      </c>
      <c r="AQ184" s="27" t="s">
        <v>8</v>
      </c>
      <c r="AR184" s="27" t="s">
        <v>7</v>
      </c>
      <c r="AS184" s="27" t="s">
        <v>8</v>
      </c>
      <c r="AT184" s="27" t="s">
        <v>7</v>
      </c>
      <c r="AU184" s="27" t="s">
        <v>8</v>
      </c>
      <c r="AV184" s="27" t="s">
        <v>7</v>
      </c>
      <c r="AW184" s="27" t="s">
        <v>8</v>
      </c>
      <c r="AX184" s="27" t="s">
        <v>7</v>
      </c>
      <c r="AY184" s="27" t="s">
        <v>8</v>
      </c>
      <c r="AZ184" s="27" t="s">
        <v>7</v>
      </c>
    </row>
    <row r="185" spans="1:60" x14ac:dyDescent="0.25">
      <c r="A185" s="30">
        <v>14.635630916373906</v>
      </c>
      <c r="C185"/>
      <c r="E185"/>
      <c r="U185" s="27" t="s">
        <v>8</v>
      </c>
      <c r="Y185" s="27" t="s">
        <v>8</v>
      </c>
      <c r="Z185" s="27" t="s">
        <v>7</v>
      </c>
      <c r="AF185" s="27" t="s">
        <v>7</v>
      </c>
      <c r="AG185" s="27" t="s">
        <v>8</v>
      </c>
      <c r="AH185" s="27" t="s">
        <v>7</v>
      </c>
      <c r="AI185" s="27" t="s">
        <v>8</v>
      </c>
      <c r="AJ185" s="27" t="s">
        <v>7</v>
      </c>
      <c r="AQ185" s="27" t="s">
        <v>8</v>
      </c>
      <c r="AR185" s="27" t="s">
        <v>7</v>
      </c>
      <c r="AS185" s="27" t="s">
        <v>8</v>
      </c>
      <c r="AT185" s="27" t="s">
        <v>7</v>
      </c>
      <c r="AU185" s="27" t="s">
        <v>8</v>
      </c>
      <c r="AV185" s="27" t="s">
        <v>7</v>
      </c>
      <c r="AX185" s="27" t="s">
        <v>7</v>
      </c>
      <c r="AY185" s="27" t="s">
        <v>8</v>
      </c>
      <c r="AZ185" s="27" t="s">
        <v>7</v>
      </c>
    </row>
    <row r="186" spans="1:60" x14ac:dyDescent="0.25">
      <c r="A186" s="30">
        <v>13.938696110832291</v>
      </c>
      <c r="E186"/>
      <c r="U186" s="27" t="s">
        <v>8</v>
      </c>
      <c r="V186" s="27" t="s">
        <v>7</v>
      </c>
      <c r="Y186" s="27" t="s">
        <v>8</v>
      </c>
      <c r="AF186" s="27" t="s">
        <v>7</v>
      </c>
      <c r="AG186" s="27" t="s">
        <v>8</v>
      </c>
      <c r="AH186" s="27" t="s">
        <v>7</v>
      </c>
      <c r="AI186" s="27" t="s">
        <v>8</v>
      </c>
      <c r="AJ186" s="27" t="s">
        <v>7</v>
      </c>
      <c r="AQ186" s="27" t="s">
        <v>8</v>
      </c>
      <c r="AR186" s="27" t="s">
        <v>7</v>
      </c>
      <c r="AS186" s="27" t="s">
        <v>8</v>
      </c>
      <c r="AT186" s="27" t="s">
        <v>7</v>
      </c>
      <c r="AU186" s="27" t="s">
        <v>8</v>
      </c>
      <c r="AX186" s="27" t="s">
        <v>7</v>
      </c>
      <c r="AY186" s="27" t="s">
        <v>8</v>
      </c>
      <c r="AZ186" s="27" t="s">
        <v>7</v>
      </c>
    </row>
    <row r="187" spans="1:60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U187" s="27" t="s">
        <v>8</v>
      </c>
      <c r="V187" s="27" t="s">
        <v>7</v>
      </c>
      <c r="W187" s="27" t="s">
        <v>8</v>
      </c>
      <c r="Y187" s="27" t="s">
        <v>8</v>
      </c>
      <c r="AF187" s="27" t="s">
        <v>7</v>
      </c>
      <c r="AG187" s="27" t="s">
        <v>8</v>
      </c>
      <c r="AH187" s="27" t="s">
        <v>7</v>
      </c>
      <c r="AI187" s="27" t="s">
        <v>8</v>
      </c>
      <c r="AJ187" s="27" t="s">
        <v>7</v>
      </c>
      <c r="AO187" s="27" t="s">
        <v>8</v>
      </c>
      <c r="AQ187" s="27" t="s">
        <v>8</v>
      </c>
      <c r="AR187" s="27" t="s">
        <v>7</v>
      </c>
      <c r="AS187" s="27" t="s">
        <v>8</v>
      </c>
      <c r="AT187" s="27" t="s">
        <v>7</v>
      </c>
      <c r="AX187" s="27" t="s">
        <v>7</v>
      </c>
      <c r="AZ187" s="27" t="s">
        <v>7</v>
      </c>
    </row>
    <row r="188" spans="1:60" x14ac:dyDescent="0.25">
      <c r="A188" s="30">
        <v>12.64280826379346</v>
      </c>
      <c r="E188"/>
      <c r="S188" s="27" t="s">
        <v>8</v>
      </c>
      <c r="U188" s="27" t="s">
        <v>8</v>
      </c>
      <c r="V188" s="27" t="s">
        <v>7</v>
      </c>
      <c r="W188" s="27" t="s">
        <v>8</v>
      </c>
      <c r="X188" s="27" t="s">
        <v>7</v>
      </c>
      <c r="Y188" s="27" t="s">
        <v>8</v>
      </c>
      <c r="AF188" s="27" t="s">
        <v>7</v>
      </c>
      <c r="AG188" s="27" t="s">
        <v>8</v>
      </c>
      <c r="AH188" s="27" t="s">
        <v>7</v>
      </c>
      <c r="AJ188" s="27" t="s">
        <v>7</v>
      </c>
      <c r="AM188" s="27" t="s">
        <v>8</v>
      </c>
      <c r="AO188" s="27" t="s">
        <v>8</v>
      </c>
      <c r="AP188" s="27" t="s">
        <v>7</v>
      </c>
      <c r="AQ188" s="27" t="s">
        <v>8</v>
      </c>
      <c r="AR188" s="27" t="s">
        <v>7</v>
      </c>
      <c r="AS188" s="27" t="s">
        <v>8</v>
      </c>
      <c r="AZ188" s="27" t="s">
        <v>7</v>
      </c>
    </row>
    <row r="189" spans="1:60" x14ac:dyDescent="0.25">
      <c r="A189" s="30">
        <v>12.04076977504139</v>
      </c>
      <c r="E189"/>
      <c r="S189" s="27" t="s">
        <v>8</v>
      </c>
      <c r="T189" s="27" t="s">
        <v>7</v>
      </c>
      <c r="U189" s="27" t="s">
        <v>8</v>
      </c>
      <c r="V189" s="27" t="s">
        <v>7</v>
      </c>
      <c r="W189" s="27" t="s">
        <v>8</v>
      </c>
      <c r="X189" s="27" t="s">
        <v>7</v>
      </c>
      <c r="Y189" s="27" t="s">
        <v>8</v>
      </c>
      <c r="AF189" s="27" t="s">
        <v>7</v>
      </c>
      <c r="AG189" s="27" t="s">
        <v>8</v>
      </c>
      <c r="AJ189" s="27" t="s">
        <v>7</v>
      </c>
      <c r="AM189" s="27" t="s">
        <v>8</v>
      </c>
      <c r="AN189" s="27" t="s">
        <v>7</v>
      </c>
      <c r="AO189" s="27" t="s">
        <v>8</v>
      </c>
      <c r="AP189" s="27" t="s">
        <v>7</v>
      </c>
      <c r="AQ189" s="27" t="s">
        <v>8</v>
      </c>
      <c r="AR189" s="27" t="s">
        <v>7</v>
      </c>
      <c r="AS189" s="27" t="s">
        <v>8</v>
      </c>
      <c r="AZ189" s="27" t="s">
        <v>7</v>
      </c>
      <c r="BA189" s="27" t="s">
        <v>8</v>
      </c>
    </row>
    <row r="190" spans="1:60" x14ac:dyDescent="0.25">
      <c r="A190" s="30">
        <v>11.467399785753704</v>
      </c>
      <c r="E190"/>
      <c r="S190" s="27" t="s">
        <v>8</v>
      </c>
      <c r="T190" s="27" t="s">
        <v>7</v>
      </c>
      <c r="U190" s="27" t="s">
        <v>8</v>
      </c>
      <c r="V190" s="27" t="s">
        <v>7</v>
      </c>
      <c r="X190" s="27" t="s">
        <v>7</v>
      </c>
      <c r="AF190" s="27" t="s">
        <v>7</v>
      </c>
      <c r="AG190" s="27" t="s">
        <v>8</v>
      </c>
      <c r="AJ190" s="27" t="s">
        <v>7</v>
      </c>
      <c r="AK190" s="27" t="s">
        <v>8</v>
      </c>
      <c r="AM190" s="27" t="s">
        <v>8</v>
      </c>
      <c r="AN190" s="27" t="s">
        <v>7</v>
      </c>
      <c r="AO190" s="27" t="s">
        <v>8</v>
      </c>
      <c r="AP190" s="27" t="s">
        <v>7</v>
      </c>
      <c r="AQ190" s="27" t="s">
        <v>8</v>
      </c>
      <c r="AR190" s="27" t="s">
        <v>7</v>
      </c>
      <c r="AS190" s="27" t="s">
        <v>8</v>
      </c>
      <c r="AZ190" s="27" t="s">
        <v>7</v>
      </c>
      <c r="BA190" s="27" t="s">
        <v>8</v>
      </c>
      <c r="BB190" s="27" t="s">
        <v>7</v>
      </c>
      <c r="BG190" s="27" t="s">
        <v>8</v>
      </c>
    </row>
    <row r="191" spans="1:60" x14ac:dyDescent="0.25">
      <c r="A191" s="30">
        <v>10.921333129289241</v>
      </c>
      <c r="E191"/>
      <c r="S191" s="27" t="s">
        <v>8</v>
      </c>
      <c r="T191" s="27" t="s">
        <v>7</v>
      </c>
      <c r="U191" s="27" t="s">
        <v>8</v>
      </c>
      <c r="AF191" s="27" t="s">
        <v>7</v>
      </c>
      <c r="AJ191" s="27" t="s">
        <v>7</v>
      </c>
      <c r="AK191" s="27" t="s">
        <v>8</v>
      </c>
      <c r="AL191" s="27" t="s">
        <v>7</v>
      </c>
      <c r="AM191" s="27" t="s">
        <v>8</v>
      </c>
      <c r="AN191" s="27" t="s">
        <v>7</v>
      </c>
      <c r="AP191" s="27" t="s">
        <v>7</v>
      </c>
      <c r="AQ191" s="27" t="s">
        <v>8</v>
      </c>
      <c r="AR191" s="27" t="s">
        <v>7</v>
      </c>
      <c r="AS191" s="27" t="s">
        <v>8</v>
      </c>
      <c r="AZ191" s="27" t="s">
        <v>7</v>
      </c>
      <c r="BA191" s="27" t="s">
        <v>8</v>
      </c>
      <c r="BB191" s="27" t="s">
        <v>7</v>
      </c>
      <c r="BE191" s="27" t="s">
        <v>8</v>
      </c>
      <c r="BG191" s="27" t="s">
        <v>8</v>
      </c>
      <c r="BH191" s="27" t="s">
        <v>7</v>
      </c>
    </row>
    <row r="192" spans="1:60" x14ac:dyDescent="0.25">
      <c r="A192" s="30">
        <v>10.401269646942135</v>
      </c>
      <c r="E192"/>
      <c r="M192" s="27" t="s">
        <v>8</v>
      </c>
      <c r="S192" s="27" t="s">
        <v>8</v>
      </c>
      <c r="T192" s="27" t="s">
        <v>7</v>
      </c>
      <c r="U192" s="27" t="s">
        <v>8</v>
      </c>
      <c r="AJ192" s="27" t="s">
        <v>7</v>
      </c>
      <c r="AK192" s="27" t="s">
        <v>8</v>
      </c>
      <c r="AL192" s="27" t="s">
        <v>7</v>
      </c>
      <c r="AM192" s="27" t="s">
        <v>8</v>
      </c>
      <c r="AP192" s="27" t="s">
        <v>7</v>
      </c>
      <c r="AR192" s="27" t="s">
        <v>7</v>
      </c>
      <c r="AS192" s="27" t="s">
        <v>8</v>
      </c>
      <c r="AZ192" s="27" t="s">
        <v>7</v>
      </c>
      <c r="BA192" s="27" t="s">
        <v>8</v>
      </c>
      <c r="BB192" s="27" t="s">
        <v>7</v>
      </c>
      <c r="BC192" s="27" t="s">
        <v>8</v>
      </c>
      <c r="BE192" s="27" t="s">
        <v>8</v>
      </c>
      <c r="BF192" s="27" t="s">
        <v>7</v>
      </c>
      <c r="BG192" s="27" t="s">
        <v>8</v>
      </c>
      <c r="BH192" s="27" t="s">
        <v>7</v>
      </c>
    </row>
    <row r="193" spans="1:66" x14ac:dyDescent="0.25">
      <c r="A193" s="30">
        <v>9.9059710923258422</v>
      </c>
      <c r="E193"/>
      <c r="M193" s="27" t="s">
        <v>8</v>
      </c>
      <c r="N193" s="27" t="s">
        <v>7</v>
      </c>
      <c r="S193" s="27" t="s">
        <v>8</v>
      </c>
      <c r="T193" s="27" t="s">
        <v>7</v>
      </c>
      <c r="AJ193" s="27" t="s">
        <v>7</v>
      </c>
      <c r="AL193" s="27" t="s">
        <v>7</v>
      </c>
      <c r="AM193" s="27" t="s">
        <v>8</v>
      </c>
      <c r="AR193" s="27" t="s">
        <v>7</v>
      </c>
      <c r="AZ193" s="27" t="s">
        <v>7</v>
      </c>
      <c r="BA193" s="27" t="s">
        <v>8</v>
      </c>
      <c r="BB193" s="27" t="s">
        <v>7</v>
      </c>
      <c r="BC193" s="27" t="s">
        <v>8</v>
      </c>
      <c r="BD193" s="27" t="s">
        <v>7</v>
      </c>
      <c r="BE193" s="27" t="s">
        <v>8</v>
      </c>
      <c r="BF193" s="27" t="s">
        <v>7</v>
      </c>
      <c r="BG193" s="27" t="s">
        <v>8</v>
      </c>
      <c r="BH193" s="27" t="s">
        <v>7</v>
      </c>
    </row>
    <row r="194" spans="1:66" x14ac:dyDescent="0.25">
      <c r="A194" s="30">
        <v>9.4342581831674686</v>
      </c>
      <c r="E194"/>
      <c r="M194" s="27" t="s">
        <v>8</v>
      </c>
      <c r="N194" s="27" t="s">
        <v>7</v>
      </c>
      <c r="Q194" s="27" t="s">
        <v>8</v>
      </c>
      <c r="S194" s="27" t="s">
        <v>8</v>
      </c>
      <c r="AL194" s="27" t="s">
        <v>7</v>
      </c>
      <c r="AM194" s="27" t="s">
        <v>8</v>
      </c>
      <c r="AZ194" s="27" t="s">
        <v>7</v>
      </c>
      <c r="BA194" s="27" t="s">
        <v>8</v>
      </c>
      <c r="BB194" s="27" t="s">
        <v>7</v>
      </c>
      <c r="BC194" s="27" t="s">
        <v>8</v>
      </c>
      <c r="BD194" s="27" t="s">
        <v>7</v>
      </c>
      <c r="BE194" s="27" t="s">
        <v>8</v>
      </c>
      <c r="BF194" s="27" t="s">
        <v>7</v>
      </c>
      <c r="BG194" s="27" t="s">
        <v>8</v>
      </c>
      <c r="BH194" s="27" t="s">
        <v>7</v>
      </c>
    </row>
    <row r="195" spans="1:66" x14ac:dyDescent="0.25">
      <c r="A195" s="30">
        <v>8.9850077934928265</v>
      </c>
      <c r="E195"/>
      <c r="M195" s="27" t="s">
        <v>8</v>
      </c>
      <c r="N195" s="27" t="s">
        <v>7</v>
      </c>
      <c r="Q195" s="27" t="s">
        <v>8</v>
      </c>
      <c r="R195" s="27" t="s">
        <v>7</v>
      </c>
      <c r="S195" s="27" t="s">
        <v>8</v>
      </c>
      <c r="AL195" s="27" t="s">
        <v>7</v>
      </c>
      <c r="AZ195" s="27" t="s">
        <v>7</v>
      </c>
      <c r="BB195" s="27" t="s">
        <v>7</v>
      </c>
      <c r="BD195" s="27" t="s">
        <v>7</v>
      </c>
      <c r="BF195" s="27" t="s">
        <v>7</v>
      </c>
      <c r="BH195" s="27" t="s">
        <v>7</v>
      </c>
      <c r="BI195" s="27" t="s">
        <v>8</v>
      </c>
    </row>
    <row r="196" spans="1:66" x14ac:dyDescent="0.25">
      <c r="A196" s="30">
        <v>8.5571502795169767</v>
      </c>
      <c r="E196"/>
      <c r="M196" s="27" t="s">
        <v>8</v>
      </c>
      <c r="N196" s="27" t="s">
        <v>7</v>
      </c>
      <c r="O196" s="27" t="s">
        <v>8</v>
      </c>
      <c r="Q196" s="27" t="s">
        <v>8</v>
      </c>
      <c r="R196" s="27" t="s">
        <v>7</v>
      </c>
      <c r="S196" s="27" t="s">
        <v>8</v>
      </c>
      <c r="BH196" s="27" t="s">
        <v>7</v>
      </c>
      <c r="BI196" s="27" t="s">
        <v>8</v>
      </c>
      <c r="BJ196" s="27" t="s">
        <v>7</v>
      </c>
    </row>
    <row r="197" spans="1:66" x14ac:dyDescent="0.25">
      <c r="A197" s="30">
        <v>8.1496669328733109</v>
      </c>
      <c r="E197"/>
      <c r="M197" s="27" t="s">
        <v>8</v>
      </c>
      <c r="N197" s="27" t="s">
        <v>7</v>
      </c>
      <c r="O197" s="27" t="s">
        <v>8</v>
      </c>
      <c r="P197" s="27" t="s">
        <v>7</v>
      </c>
      <c r="Q197" s="27" t="s">
        <v>8</v>
      </c>
      <c r="R197" s="27" t="s">
        <v>7</v>
      </c>
      <c r="S197" s="27" t="s">
        <v>8</v>
      </c>
      <c r="BH197" s="27" t="s">
        <v>7</v>
      </c>
      <c r="BI197" s="27" t="s">
        <v>8</v>
      </c>
      <c r="BJ197" s="27" t="s">
        <v>7</v>
      </c>
    </row>
    <row r="198" spans="1:66" x14ac:dyDescent="0.25">
      <c r="A198" s="30">
        <v>7.7615875551174378</v>
      </c>
      <c r="E198" t="s">
        <v>8</v>
      </c>
      <c r="M198" s="27" t="s">
        <v>8</v>
      </c>
      <c r="N198" s="27" t="s">
        <v>7</v>
      </c>
      <c r="O198" s="27" t="s">
        <v>8</v>
      </c>
      <c r="P198" s="27" t="s">
        <v>7</v>
      </c>
      <c r="Q198" s="27" t="s">
        <v>8</v>
      </c>
      <c r="R198" s="27" t="s">
        <v>7</v>
      </c>
      <c r="BH198" s="27" t="s">
        <v>7</v>
      </c>
      <c r="BJ198" s="27" t="s">
        <v>7</v>
      </c>
    </row>
    <row r="199" spans="1:66" x14ac:dyDescent="0.25">
      <c r="A199" s="30">
        <v>7.3919881477308929</v>
      </c>
      <c r="E199" t="s">
        <v>8</v>
      </c>
      <c r="F199" s="27" t="s">
        <v>7</v>
      </c>
      <c r="M199" s="27" t="s">
        <v>8</v>
      </c>
      <c r="N199" s="27" t="s">
        <v>7</v>
      </c>
      <c r="O199" s="27" t="s">
        <v>8</v>
      </c>
      <c r="P199" s="27" t="s">
        <v>7</v>
      </c>
      <c r="BJ199" s="27" t="s">
        <v>7</v>
      </c>
    </row>
    <row r="200" spans="1:66" x14ac:dyDescent="0.25">
      <c r="A200" s="30">
        <v>7.0399887121246598</v>
      </c>
      <c r="E200" t="s">
        <v>8</v>
      </c>
      <c r="F200" s="27" t="s">
        <v>7</v>
      </c>
      <c r="G200" s="27" t="s">
        <v>8</v>
      </c>
      <c r="I200" s="27" t="s">
        <v>8</v>
      </c>
      <c r="K200" s="27" t="s">
        <v>8</v>
      </c>
      <c r="M200" s="27" t="s">
        <v>8</v>
      </c>
      <c r="N200" s="27" t="s">
        <v>7</v>
      </c>
      <c r="O200" s="27" t="s">
        <v>8</v>
      </c>
      <c r="BJ200" s="27" t="s">
        <v>7</v>
      </c>
    </row>
    <row r="201" spans="1:66" x14ac:dyDescent="0.25">
      <c r="A201" s="30">
        <v>6.7047511544044376</v>
      </c>
      <c r="E201" t="s">
        <v>8</v>
      </c>
      <c r="F201" s="27" t="s">
        <v>7</v>
      </c>
      <c r="G201" s="27" t="s">
        <v>8</v>
      </c>
      <c r="H201" s="27" t="s">
        <v>7</v>
      </c>
      <c r="I201" s="27" t="s">
        <v>8</v>
      </c>
      <c r="J201" s="27" t="s">
        <v>7</v>
      </c>
      <c r="K201" s="27" t="s">
        <v>8</v>
      </c>
      <c r="L201" s="27" t="s">
        <v>7</v>
      </c>
      <c r="M201" s="27" t="s">
        <v>8</v>
      </c>
      <c r="N201" s="27" t="s">
        <v>7</v>
      </c>
      <c r="O201" s="27" t="s">
        <v>8</v>
      </c>
      <c r="BJ201" s="27" t="s">
        <v>7</v>
      </c>
    </row>
    <row r="202" spans="1:66" x14ac:dyDescent="0.25">
      <c r="A202" s="30">
        <v>6.3854772899089882</v>
      </c>
      <c r="E202" t="s">
        <v>8</v>
      </c>
      <c r="F202" s="27" t="s">
        <v>7</v>
      </c>
      <c r="G202" s="27" t="s">
        <v>8</v>
      </c>
      <c r="H202" s="27" t="s">
        <v>7</v>
      </c>
      <c r="I202" s="27" t="s">
        <v>8</v>
      </c>
      <c r="J202" s="27" t="s">
        <v>7</v>
      </c>
      <c r="K202" s="27" t="s">
        <v>8</v>
      </c>
      <c r="L202" s="27" t="s">
        <v>7</v>
      </c>
      <c r="M202" s="27" t="s">
        <v>8</v>
      </c>
      <c r="N202" s="27" t="s">
        <v>7</v>
      </c>
      <c r="O202" s="27" t="s">
        <v>8</v>
      </c>
      <c r="BJ202" s="27" t="s">
        <v>7</v>
      </c>
    </row>
    <row r="203" spans="1:66" x14ac:dyDescent="0.25">
      <c r="A203" s="30">
        <v>6.0814069427704647</v>
      </c>
      <c r="C203" s="7"/>
      <c r="D203"/>
      <c r="E203" t="s">
        <v>8</v>
      </c>
      <c r="F203" s="27" t="s">
        <v>7</v>
      </c>
      <c r="G203" s="27" t="s">
        <v>8</v>
      </c>
      <c r="H203" s="27" t="s">
        <v>7</v>
      </c>
      <c r="I203" s="27" t="s">
        <v>8</v>
      </c>
      <c r="J203" s="27" t="s">
        <v>7</v>
      </c>
      <c r="K203" s="27" t="s">
        <v>8</v>
      </c>
      <c r="L203" s="27" t="s">
        <v>7</v>
      </c>
      <c r="M203" s="27" t="s">
        <v>8</v>
      </c>
      <c r="N203" s="18" t="s">
        <v>7</v>
      </c>
      <c r="O203" s="27" t="s">
        <v>8</v>
      </c>
      <c r="BJ203" s="27" t="s">
        <v>7</v>
      </c>
    </row>
    <row r="204" spans="1:66" x14ac:dyDescent="0.25">
      <c r="A204" s="30">
        <v>5.7918161359718709</v>
      </c>
      <c r="E204" t="s">
        <v>8</v>
      </c>
      <c r="F204" s="27" t="s">
        <v>7</v>
      </c>
      <c r="G204" s="27" t="s">
        <v>8</v>
      </c>
      <c r="H204" s="27" t="s">
        <v>7</v>
      </c>
      <c r="I204" s="27" t="s">
        <v>8</v>
      </c>
      <c r="J204" s="27" t="s">
        <v>7</v>
      </c>
      <c r="L204" s="27" t="s">
        <v>7</v>
      </c>
      <c r="N204" s="27" t="s">
        <v>7</v>
      </c>
      <c r="BJ204" s="27" t="s">
        <v>7</v>
      </c>
      <c r="BK204" s="27" t="s">
        <v>8</v>
      </c>
    </row>
    <row r="205" spans="1:66" x14ac:dyDescent="0.25">
      <c r="A205" s="30">
        <v>5.5160153675922574</v>
      </c>
      <c r="E205" t="s">
        <v>8</v>
      </c>
      <c r="F205" s="27" t="s">
        <v>7</v>
      </c>
      <c r="H205" s="27" t="s">
        <v>7</v>
      </c>
      <c r="BJ205" s="27" t="s">
        <v>7</v>
      </c>
      <c r="BK205" s="27" t="s">
        <v>8</v>
      </c>
      <c r="BL205" s="27" t="s">
        <v>7</v>
      </c>
    </row>
    <row r="206" spans="1:66" x14ac:dyDescent="0.25">
      <c r="A206" s="30">
        <v>5.2533479691354827</v>
      </c>
      <c r="C206"/>
      <c r="D206"/>
      <c r="E206" t="s">
        <v>8</v>
      </c>
      <c r="BJ206" s="27" t="s">
        <v>7</v>
      </c>
      <c r="BK206" s="27" t="s">
        <v>8</v>
      </c>
      <c r="BL206" s="27" t="s">
        <v>7</v>
      </c>
      <c r="BM206" s="27" t="s">
        <v>8</v>
      </c>
    </row>
    <row r="207" spans="1:66" x14ac:dyDescent="0.25">
      <c r="A207" s="30">
        <v>5.0031885420337927</v>
      </c>
      <c r="E207" t="s">
        <v>8</v>
      </c>
      <c r="BJ207" s="27" t="s">
        <v>7</v>
      </c>
      <c r="BK207" s="27" t="s">
        <v>8</v>
      </c>
      <c r="BL207" s="27" t="s">
        <v>7</v>
      </c>
      <c r="BM207" s="27" t="s">
        <v>8</v>
      </c>
      <c r="BN207" s="27" t="s">
        <v>7</v>
      </c>
    </row>
    <row r="208" spans="1:66" x14ac:dyDescent="0.25">
      <c r="A208" s="30">
        <v>4.7649414686036122</v>
      </c>
      <c r="E208" t="s">
        <v>8</v>
      </c>
      <c r="BJ208" s="27" t="s">
        <v>7</v>
      </c>
      <c r="BL208" s="27" t="s">
        <v>7</v>
      </c>
      <c r="BM208" s="27" t="s">
        <v>8</v>
      </c>
      <c r="BN208" s="27" t="s">
        <v>7</v>
      </c>
    </row>
    <row r="209" spans="1:66" x14ac:dyDescent="0.25">
      <c r="A209" s="30">
        <v>4.5380394939082018</v>
      </c>
      <c r="E209" t="s">
        <v>8</v>
      </c>
      <c r="BL209" s="27" t="s">
        <v>7</v>
      </c>
      <c r="BM209" s="27" t="s">
        <v>8</v>
      </c>
      <c r="BN209" s="27" t="s">
        <v>7</v>
      </c>
    </row>
    <row r="210" spans="1:66" x14ac:dyDescent="0.25">
      <c r="A210" s="30">
        <v>4.3219423751506678</v>
      </c>
      <c r="C210"/>
      <c r="E210" t="s">
        <v>8</v>
      </c>
      <c r="BL210" s="27" t="s">
        <v>7</v>
      </c>
    </row>
    <row r="211" spans="1:66" x14ac:dyDescent="0.25">
      <c r="A211" s="30">
        <v>4.1161355953815884</v>
      </c>
      <c r="E211" t="s">
        <v>8</v>
      </c>
    </row>
    <row r="212" spans="1:66" x14ac:dyDescent="0.25">
      <c r="A212" s="30">
        <v>3.9201291384586554</v>
      </c>
      <c r="E212" t="s">
        <v>8</v>
      </c>
    </row>
    <row r="213" spans="1:66" x14ac:dyDescent="0.25">
      <c r="A213" s="30">
        <v>3.7334563223415764</v>
      </c>
      <c r="E213" t="s">
        <v>8</v>
      </c>
    </row>
    <row r="214" spans="1:66" x14ac:dyDescent="0.25">
      <c r="A214" s="30">
        <v>3.5556726879443583</v>
      </c>
      <c r="E214" t="s">
        <v>8</v>
      </c>
    </row>
    <row r="215" spans="1:66" x14ac:dyDescent="0.25">
      <c r="A215" s="30">
        <v>3.3863549408993889</v>
      </c>
      <c r="E215" t="s">
        <v>8</v>
      </c>
    </row>
    <row r="216" spans="1:66" x14ac:dyDescent="0.25">
      <c r="A216" s="30">
        <v>3.2250999437137038</v>
      </c>
      <c r="E216" t="s">
        <v>8</v>
      </c>
    </row>
    <row r="217" spans="1:66" x14ac:dyDescent="0.25">
      <c r="A217" s="30">
        <v>3.0715237559178128</v>
      </c>
      <c r="E217" t="s">
        <v>8</v>
      </c>
    </row>
    <row r="218" spans="1:66" x14ac:dyDescent="0.25">
      <c r="A218" s="30">
        <v>2.9252607199217264</v>
      </c>
      <c r="E218" t="s">
        <v>8</v>
      </c>
    </row>
    <row r="219" spans="1:66" x14ac:dyDescent="0.25">
      <c r="A219" s="30">
        <v>2.7859625904016441</v>
      </c>
      <c r="E219" t="s">
        <v>8</v>
      </c>
    </row>
    <row r="220" spans="1:66" x14ac:dyDescent="0.25">
      <c r="A220" s="30">
        <v>2.6532977051444226</v>
      </c>
      <c r="E220" t="s">
        <v>8</v>
      </c>
    </row>
    <row r="221" spans="1:66" x14ac:dyDescent="0.25">
      <c r="A221" s="30">
        <v>2.5269501953756404</v>
      </c>
      <c r="E221" t="s">
        <v>8</v>
      </c>
    </row>
    <row r="222" spans="1:66" x14ac:dyDescent="0.25">
      <c r="A222" s="30">
        <v>2.4066192336910861</v>
      </c>
      <c r="E222" t="s">
        <v>8</v>
      </c>
    </row>
    <row r="223" spans="1:66" x14ac:dyDescent="0.25">
      <c r="A223" s="30">
        <v>2.2920183178010345</v>
      </c>
      <c r="E223" t="s">
        <v>8</v>
      </c>
    </row>
    <row r="224" spans="1:66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40" operator="equal">
      <formula>$U$1</formula>
    </cfRule>
    <cfRule type="cellIs" dxfId="67" priority="641" operator="equal">
      <formula>$S$1</formula>
    </cfRule>
  </conditionalFormatting>
  <conditionalFormatting sqref="D136">
    <cfRule type="cellIs" dxfId="66" priority="638" operator="equal">
      <formula>$S$1</formula>
    </cfRule>
    <cfRule type="cellIs" dxfId="65" priority="639" operator="equal">
      <formula>$U$1</formula>
    </cfRule>
  </conditionalFormatting>
  <conditionalFormatting sqref="C162">
    <cfRule type="cellIs" dxfId="64" priority="636" operator="equal">
      <formula>$U$1</formula>
    </cfRule>
    <cfRule type="cellIs" dxfId="63" priority="637" operator="equal">
      <formula>$S$1</formula>
    </cfRule>
  </conditionalFormatting>
  <conditionalFormatting sqref="D162">
    <cfRule type="cellIs" dxfId="62" priority="634" operator="equal">
      <formula>$S$1</formula>
    </cfRule>
    <cfRule type="cellIs" dxfId="61" priority="635" operator="equal">
      <formula>$U$1</formula>
    </cfRule>
  </conditionalFormatting>
  <conditionalFormatting sqref="C187">
    <cfRule type="cellIs" dxfId="60" priority="632" operator="equal">
      <formula>$U$1</formula>
    </cfRule>
    <cfRule type="cellIs" dxfId="59" priority="633" operator="equal">
      <formula>$S$1</formula>
    </cfRule>
  </conditionalFormatting>
  <conditionalFormatting sqref="D187">
    <cfRule type="cellIs" dxfId="58" priority="630" operator="equal">
      <formula>$S$1</formula>
    </cfRule>
    <cfRule type="cellIs" dxfId="57" priority="631" operator="equal">
      <formula>$U$1</formula>
    </cfRule>
  </conditionalFormatting>
  <conditionalFormatting sqref="C212">
    <cfRule type="cellIs" dxfId="56" priority="628" operator="equal">
      <formula>$U$1</formula>
    </cfRule>
    <cfRule type="cellIs" dxfId="55" priority="629" operator="equal">
      <formula>$S$1</formula>
    </cfRule>
  </conditionalFormatting>
  <conditionalFormatting sqref="D212">
    <cfRule type="cellIs" dxfId="54" priority="626" operator="equal">
      <formula>$S$1</formula>
    </cfRule>
    <cfRule type="cellIs" dxfId="53" priority="627" operator="equal">
      <formula>$U$1</formula>
    </cfRule>
  </conditionalFormatting>
  <conditionalFormatting sqref="C237">
    <cfRule type="cellIs" dxfId="52" priority="624" operator="equal">
      <formula>$U$1</formula>
    </cfRule>
    <cfRule type="cellIs" dxfId="51" priority="625" operator="equal">
      <formula>$S$1</formula>
    </cfRule>
  </conditionalFormatting>
  <conditionalFormatting sqref="D237">
    <cfRule type="cellIs" dxfId="50" priority="622" operator="equal">
      <formula>$S$1</formula>
    </cfRule>
    <cfRule type="cellIs" dxfId="49" priority="623" operator="equal">
      <formula>$U$1</formula>
    </cfRule>
  </conditionalFormatting>
  <conditionalFormatting sqref="C106">
    <cfRule type="cellIs" dxfId="48" priority="620" operator="equal">
      <formula>$U$1</formula>
    </cfRule>
    <cfRule type="cellIs" dxfId="47" priority="621" operator="equal">
      <formula>$S$1</formula>
    </cfRule>
  </conditionalFormatting>
  <conditionalFormatting sqref="D106">
    <cfRule type="cellIs" dxfId="46" priority="618" operator="equal">
      <formula>$S$1</formula>
    </cfRule>
    <cfRule type="cellIs" dxfId="45" priority="619" operator="equal">
      <formula>$U$1</formula>
    </cfRule>
  </conditionalFormatting>
  <conditionalFormatting sqref="C81">
    <cfRule type="cellIs" dxfId="44" priority="616" operator="equal">
      <formula>$U$1</formula>
    </cfRule>
    <cfRule type="cellIs" dxfId="43" priority="617" operator="equal">
      <formula>$S$1</formula>
    </cfRule>
  </conditionalFormatting>
  <conditionalFormatting sqref="D81">
    <cfRule type="cellIs" dxfId="42" priority="614" operator="equal">
      <formula>$S$1</formula>
    </cfRule>
    <cfRule type="cellIs" dxfId="41" priority="615" operator="equal">
      <formula>$U$1</formula>
    </cfRule>
  </conditionalFormatting>
  <conditionalFormatting sqref="C56">
    <cfRule type="cellIs" dxfId="40" priority="612" operator="equal">
      <formula>$U$1</formula>
    </cfRule>
    <cfRule type="cellIs" dxfId="39" priority="613" operator="equal">
      <formula>$S$1</formula>
    </cfRule>
  </conditionalFormatting>
  <conditionalFormatting sqref="D56">
    <cfRule type="cellIs" dxfId="38" priority="610" operator="equal">
      <formula>$S$1</formula>
    </cfRule>
    <cfRule type="cellIs" dxfId="37" priority="611" operator="equal">
      <formula>$U$1</formula>
    </cfRule>
  </conditionalFormatting>
  <conditionalFormatting sqref="C31">
    <cfRule type="cellIs" dxfId="36" priority="608" operator="equal">
      <formula>$U$1</formula>
    </cfRule>
    <cfRule type="cellIs" dxfId="35" priority="609" operator="equal">
      <formula>$S$1</formula>
    </cfRule>
  </conditionalFormatting>
  <conditionalFormatting sqref="D31">
    <cfRule type="cellIs" dxfId="34" priority="606" operator="equal">
      <formula>$S$1</formula>
    </cfRule>
    <cfRule type="cellIs" dxfId="33" priority="60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R106" sqref="R10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18" x14ac:dyDescent="0.25">
      <c r="A81" s="30">
        <v>45.259255568176073</v>
      </c>
      <c r="E81"/>
    </row>
    <row r="82" spans="1:18" x14ac:dyDescent="0.25">
      <c r="A82" s="30">
        <v>41.144777789250973</v>
      </c>
      <c r="E82"/>
    </row>
    <row r="83" spans="1:18" x14ac:dyDescent="0.25">
      <c r="A83" s="30">
        <v>37.404343444773609</v>
      </c>
      <c r="E83"/>
    </row>
    <row r="84" spans="1:18" x14ac:dyDescent="0.25">
      <c r="A84" s="30">
        <v>34.003948586157826</v>
      </c>
      <c r="E84"/>
    </row>
    <row r="85" spans="1:18" x14ac:dyDescent="0.25">
      <c r="A85" s="30">
        <v>30.912680532870748</v>
      </c>
      <c r="E85"/>
    </row>
    <row r="86" spans="1:18" x14ac:dyDescent="0.25">
      <c r="A86" s="30">
        <v>28.102436848064315</v>
      </c>
      <c r="E86"/>
    </row>
    <row r="87" spans="1:18" x14ac:dyDescent="0.25">
      <c r="A87" s="30">
        <v>25.547669861876649</v>
      </c>
      <c r="E87"/>
    </row>
    <row r="88" spans="1:18" x14ac:dyDescent="0.25">
      <c r="A88" s="30">
        <v>23.225154419887861</v>
      </c>
      <c r="E88"/>
      <c r="I88" s="27" t="s">
        <v>8</v>
      </c>
    </row>
    <row r="89" spans="1:18" x14ac:dyDescent="0.25">
      <c r="A89" s="30">
        <v>21.113776745352599</v>
      </c>
      <c r="E89"/>
      <c r="I89" s="27" t="s">
        <v>8</v>
      </c>
      <c r="J89" s="27" t="s">
        <v>7</v>
      </c>
    </row>
    <row r="90" spans="1:18" x14ac:dyDescent="0.25">
      <c r="A90" s="30">
        <v>19.194342495775089</v>
      </c>
      <c r="E90"/>
      <c r="I90" s="27" t="s">
        <v>8</v>
      </c>
      <c r="J90" s="27" t="s">
        <v>7</v>
      </c>
      <c r="O90" s="27" t="s">
        <v>8</v>
      </c>
    </row>
    <row r="91" spans="1:18" x14ac:dyDescent="0.25">
      <c r="A91" s="30">
        <v>17.449402268886445</v>
      </c>
      <c r="E91"/>
      <c r="I91" s="27" t="s">
        <v>8</v>
      </c>
      <c r="J91" s="27" t="s">
        <v>7</v>
      </c>
      <c r="K91" s="27" t="s">
        <v>8</v>
      </c>
      <c r="M91" s="27" t="s">
        <v>8</v>
      </c>
      <c r="O91" s="27" t="s">
        <v>8</v>
      </c>
      <c r="P91" s="27" t="s">
        <v>7</v>
      </c>
    </row>
    <row r="92" spans="1:18" x14ac:dyDescent="0.25">
      <c r="A92" s="30">
        <v>15.863092971714948</v>
      </c>
      <c r="C92" s="1" t="s">
        <v>15</v>
      </c>
      <c r="E92"/>
      <c r="I92" s="27" t="s">
        <v>8</v>
      </c>
      <c r="J92" s="27" t="s">
        <v>7</v>
      </c>
      <c r="K92" s="27" t="s">
        <v>8</v>
      </c>
      <c r="L92" s="27" t="s">
        <v>7</v>
      </c>
      <c r="M92" s="27" t="s">
        <v>8</v>
      </c>
      <c r="N92" s="27" t="s">
        <v>7</v>
      </c>
      <c r="O92" s="27" t="s">
        <v>8</v>
      </c>
      <c r="P92" s="27" t="s">
        <v>7</v>
      </c>
    </row>
    <row r="93" spans="1:18" x14ac:dyDescent="0.25">
      <c r="A93" s="30">
        <v>14.420993610649951</v>
      </c>
      <c r="C93" s="7">
        <v>0.11167815779424731</v>
      </c>
      <c r="D93"/>
      <c r="E93"/>
      <c r="I93" s="27" t="s">
        <v>8</v>
      </c>
      <c r="J93" s="27" t="s">
        <v>7</v>
      </c>
      <c r="K93" s="27" t="s">
        <v>8</v>
      </c>
      <c r="L93" s="27" t="s">
        <v>7</v>
      </c>
      <c r="M93" s="27" t="s">
        <v>8</v>
      </c>
      <c r="N93" s="27" t="s">
        <v>7</v>
      </c>
      <c r="O93" s="27" t="s">
        <v>8</v>
      </c>
      <c r="P93" s="27" t="s">
        <v>7</v>
      </c>
    </row>
    <row r="94" spans="1:18" x14ac:dyDescent="0.25">
      <c r="A94" s="30">
        <v>13.109994191499954</v>
      </c>
      <c r="E94"/>
      <c r="I94" s="27" t="s">
        <v>8</v>
      </c>
      <c r="J94" s="27" t="s">
        <v>7</v>
      </c>
      <c r="K94" s="27" t="s">
        <v>8</v>
      </c>
      <c r="L94" s="27" t="s">
        <v>7</v>
      </c>
      <c r="M94" s="27" t="s">
        <v>8</v>
      </c>
      <c r="N94" s="27" t="s">
        <v>7</v>
      </c>
      <c r="O94" s="27" t="s">
        <v>8</v>
      </c>
      <c r="P94" s="27" t="s">
        <v>7</v>
      </c>
    </row>
    <row r="95" spans="1:18" x14ac:dyDescent="0.25">
      <c r="A95" s="30">
        <v>11.918176537727231</v>
      </c>
      <c r="C95" s="1" t="s">
        <v>11</v>
      </c>
      <c r="D95" s="1" t="s">
        <v>12</v>
      </c>
      <c r="E95"/>
      <c r="I95" s="27" t="s">
        <v>8</v>
      </c>
      <c r="J95" s="27" t="s">
        <v>7</v>
      </c>
      <c r="K95" s="27" t="s">
        <v>8</v>
      </c>
      <c r="L95" s="27" t="s">
        <v>7</v>
      </c>
      <c r="M95" s="27" t="s">
        <v>8</v>
      </c>
      <c r="N95" s="27" t="s">
        <v>7</v>
      </c>
      <c r="O95" s="27" t="s">
        <v>8</v>
      </c>
      <c r="P95" s="27" t="s">
        <v>7</v>
      </c>
      <c r="Q95" s="27" t="s">
        <v>8</v>
      </c>
    </row>
    <row r="96" spans="1:18" x14ac:dyDescent="0.25">
      <c r="A96" s="30">
        <v>10.834705943388391</v>
      </c>
      <c r="C96"/>
      <c r="D96"/>
      <c r="E96"/>
      <c r="I96" s="27" t="s">
        <v>8</v>
      </c>
      <c r="J96" s="27" t="s">
        <v>7</v>
      </c>
      <c r="L96" s="27" t="s">
        <v>7</v>
      </c>
      <c r="M96" s="27" t="s">
        <v>8</v>
      </c>
      <c r="N96" s="27" t="s">
        <v>7</v>
      </c>
      <c r="P96" s="27" t="s">
        <v>7</v>
      </c>
      <c r="Q96" s="27" t="s">
        <v>8</v>
      </c>
      <c r="R96" s="27" t="s">
        <v>7</v>
      </c>
    </row>
    <row r="97" spans="1:18" x14ac:dyDescent="0.25">
      <c r="A97" s="30">
        <v>9.849732675807628</v>
      </c>
      <c r="E97"/>
      <c r="G97" s="27" t="s">
        <v>8</v>
      </c>
      <c r="I97" s="27" t="s">
        <v>8</v>
      </c>
      <c r="L97" s="27" t="s">
        <v>7</v>
      </c>
      <c r="M97" s="27" t="s">
        <v>8</v>
      </c>
      <c r="P97" s="27" t="s">
        <v>7</v>
      </c>
      <c r="Q97" s="27" t="s">
        <v>8</v>
      </c>
      <c r="R97" s="27" t="s">
        <v>7</v>
      </c>
    </row>
    <row r="98" spans="1:18" x14ac:dyDescent="0.25">
      <c r="A98" s="30">
        <v>8.9543024325523888</v>
      </c>
      <c r="C98" s="1" t="s">
        <v>13</v>
      </c>
      <c r="E98"/>
      <c r="G98" s="27" t="s">
        <v>8</v>
      </c>
      <c r="H98" s="27" t="s">
        <v>7</v>
      </c>
      <c r="I98" s="27" t="s">
        <v>8</v>
      </c>
      <c r="L98" s="27" t="s">
        <v>7</v>
      </c>
      <c r="P98" s="27" t="s">
        <v>7</v>
      </c>
      <c r="R98" s="27" t="s">
        <v>7</v>
      </c>
    </row>
    <row r="99" spans="1:18" x14ac:dyDescent="0.25">
      <c r="A99" s="30">
        <v>8.140274938683989</v>
      </c>
      <c r="C99" s="1">
        <f>C88</f>
        <v>0</v>
      </c>
      <c r="E99"/>
      <c r="G99" s="27" t="s">
        <v>8</v>
      </c>
      <c r="H99" s="27" t="s">
        <v>7</v>
      </c>
      <c r="I99" s="27" t="s">
        <v>8</v>
      </c>
      <c r="R99" s="27" t="s">
        <v>7</v>
      </c>
    </row>
    <row r="100" spans="1:18" x14ac:dyDescent="0.25">
      <c r="A100" s="30">
        <v>7.4002499442581717</v>
      </c>
      <c r="C100"/>
      <c r="D100"/>
      <c r="E100" t="s">
        <v>8</v>
      </c>
      <c r="G100" s="27" t="s">
        <v>8</v>
      </c>
      <c r="H100" s="27" t="s">
        <v>7</v>
      </c>
      <c r="I100" s="27" t="s">
        <v>8</v>
      </c>
      <c r="R100" s="27" t="s">
        <v>7</v>
      </c>
    </row>
    <row r="101" spans="1:18" x14ac:dyDescent="0.25">
      <c r="A101" s="30">
        <v>6.72749994932561</v>
      </c>
      <c r="C101" s="1" t="s">
        <v>14</v>
      </c>
      <c r="E101" t="s">
        <v>8</v>
      </c>
      <c r="F101" s="27" t="s">
        <v>7</v>
      </c>
      <c r="G101" s="27" t="s">
        <v>8</v>
      </c>
      <c r="H101" s="27" t="s">
        <v>7</v>
      </c>
      <c r="I101" s="27" t="s">
        <v>8</v>
      </c>
      <c r="R101" s="27" t="s">
        <v>7</v>
      </c>
    </row>
    <row r="102" spans="1:1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  <c r="F102" s="27" t="s">
        <v>7</v>
      </c>
      <c r="G102" s="27" t="s">
        <v>8</v>
      </c>
      <c r="H102" s="18" t="s">
        <v>7</v>
      </c>
      <c r="R102" s="27" t="s">
        <v>7</v>
      </c>
    </row>
    <row r="103" spans="1:18" x14ac:dyDescent="0.25">
      <c r="A103" s="30">
        <v>5.5599173134922388</v>
      </c>
      <c r="E103" t="s">
        <v>8</v>
      </c>
      <c r="F103" s="27" t="s">
        <v>7</v>
      </c>
      <c r="R103" s="27" t="s">
        <v>7</v>
      </c>
    </row>
    <row r="104" spans="1:18" x14ac:dyDescent="0.25">
      <c r="A104" s="30">
        <v>5.0544702849929442</v>
      </c>
      <c r="E104" t="s">
        <v>8</v>
      </c>
      <c r="R104" s="27" t="s">
        <v>7</v>
      </c>
    </row>
    <row r="105" spans="1:18" x14ac:dyDescent="0.25">
      <c r="A105" s="30">
        <v>4.594972986357222</v>
      </c>
      <c r="E105" t="s">
        <v>8</v>
      </c>
      <c r="R105" s="27" t="s">
        <v>7</v>
      </c>
    </row>
    <row r="106" spans="1:18" x14ac:dyDescent="0.25">
      <c r="A106" s="30">
        <v>4.1772481694156562</v>
      </c>
      <c r="E106" t="s">
        <v>8</v>
      </c>
      <c r="R106" s="27" t="s">
        <v>7</v>
      </c>
    </row>
    <row r="107" spans="1:18" x14ac:dyDescent="0.25">
      <c r="A107" s="30">
        <v>3.7974983358324148</v>
      </c>
      <c r="E107" t="s">
        <v>8</v>
      </c>
    </row>
    <row r="108" spans="1:18" x14ac:dyDescent="0.25">
      <c r="A108" s="30">
        <v>3.4522712143931042</v>
      </c>
      <c r="E108" t="s">
        <v>8</v>
      </c>
    </row>
    <row r="109" spans="1:18" x14ac:dyDescent="0.25">
      <c r="A109" s="30">
        <v>3.1384283767210035</v>
      </c>
      <c r="E109" t="s">
        <v>8</v>
      </c>
    </row>
    <row r="110" spans="1:18" x14ac:dyDescent="0.25">
      <c r="A110" s="30">
        <v>2.8531167061100029</v>
      </c>
      <c r="E110" t="s">
        <v>8</v>
      </c>
    </row>
    <row r="111" spans="1:18" x14ac:dyDescent="0.25">
      <c r="A111" s="30">
        <v>2.5937424601000023</v>
      </c>
      <c r="C111" s="1" t="str">
        <f>ADDRESS(C121-1,1,1,1)</f>
        <v>$A$105</v>
      </c>
      <c r="D111" s="1" t="str">
        <f>ADDRESS(C121-1,D121,1,1)</f>
        <v>$R$105</v>
      </c>
      <c r="E111" t="s">
        <v>8</v>
      </c>
    </row>
    <row r="112" spans="1:18" x14ac:dyDescent="0.25">
      <c r="A112" s="30">
        <v>2.3579476910000019</v>
      </c>
      <c r="C112" s="1" t="str">
        <f>ADDRESS(C121,1,1,1)</f>
        <v>$A$106</v>
      </c>
      <c r="D112" s="1" t="str">
        <f>ADDRESS(C121,D121-1,1,1)</f>
        <v>$Q$106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$A$107</v>
      </c>
      <c r="D113" s="1" t="str">
        <f>ADDRESS(C121-1,D121+1,1,1)</f>
        <v>$S$105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$R$106</v>
      </c>
      <c r="D114" s="1" t="str">
        <f>ADDRESS(C121+1,D121+1,1,1)</f>
        <v>$S$107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$R$107</v>
      </c>
      <c r="E115" s="1" t="s">
        <v>8</v>
      </c>
    </row>
    <row r="116" spans="1:5" x14ac:dyDescent="0.25">
      <c r="A116" s="30">
        <v>1.6105100000000008</v>
      </c>
      <c r="C116" s="1">
        <f>C117-1</f>
        <v>105</v>
      </c>
      <c r="E116" s="1" t="s">
        <v>8</v>
      </c>
    </row>
    <row r="117" spans="1:5" x14ac:dyDescent="0.25">
      <c r="A117" s="30">
        <v>1.4641000000000006</v>
      </c>
      <c r="C117" s="1">
        <f>C121</f>
        <v>106</v>
      </c>
      <c r="D117" s="1">
        <f>D121</f>
        <v>18</v>
      </c>
      <c r="E117" s="1" t="s">
        <v>8</v>
      </c>
    </row>
    <row r="118" spans="1:5" x14ac:dyDescent="0.25">
      <c r="A118" s="30">
        <v>1.3310000000000004</v>
      </c>
      <c r="C118" s="1">
        <f>C117+1</f>
        <v>107</v>
      </c>
      <c r="D118" s="1">
        <f>D117+1</f>
        <v>19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106</v>
      </c>
      <c r="D121" s="19">
        <v>18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R106</v>
      </c>
      <c r="D123" s="1" t="str">
        <f>"C"&amp;D121</f>
        <v>C18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4.1772481694156562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24" operator="equal">
      <formula>$U$1</formula>
    </cfRule>
    <cfRule type="cellIs" dxfId="30" priority="625" operator="equal">
      <formula>$S$1</formula>
    </cfRule>
  </conditionalFormatting>
  <conditionalFormatting sqref="D136">
    <cfRule type="cellIs" dxfId="29" priority="622" operator="equal">
      <formula>$S$1</formula>
    </cfRule>
    <cfRule type="cellIs" dxfId="28" priority="623" operator="equal">
      <formula>$U$1</formula>
    </cfRule>
  </conditionalFormatting>
  <conditionalFormatting sqref="C102">
    <cfRule type="cellIs" dxfId="27" priority="620" operator="equal">
      <formula>$U$1</formula>
    </cfRule>
    <cfRule type="cellIs" dxfId="26" priority="621" operator="equal">
      <formula>$S$1</formula>
    </cfRule>
  </conditionalFormatting>
  <conditionalFormatting sqref="D102">
    <cfRule type="cellIs" dxfId="25" priority="618" operator="equal">
      <formula>$S$1</formula>
    </cfRule>
    <cfRule type="cellIs" dxfId="24" priority="619" operator="equal">
      <formula>$U$1</formula>
    </cfRule>
  </conditionalFormatting>
  <conditionalFormatting sqref="C77">
    <cfRule type="cellIs" dxfId="23" priority="616" operator="equal">
      <formula>$U$1</formula>
    </cfRule>
    <cfRule type="cellIs" dxfId="22" priority="617" operator="equal">
      <formula>$S$1</formula>
    </cfRule>
  </conditionalFormatting>
  <conditionalFormatting sqref="D77">
    <cfRule type="cellIs" dxfId="21" priority="614" operator="equal">
      <formula>$S$1</formula>
    </cfRule>
    <cfRule type="cellIs" dxfId="20" priority="615" operator="equal">
      <formula>$U$1</formula>
    </cfRule>
  </conditionalFormatting>
  <conditionalFormatting sqref="C52">
    <cfRule type="cellIs" dxfId="19" priority="612" operator="equal">
      <formula>$U$1</formula>
    </cfRule>
    <cfRule type="cellIs" dxfId="18" priority="613" operator="equal">
      <formula>$S$1</formula>
    </cfRule>
  </conditionalFormatting>
  <conditionalFormatting sqref="D52">
    <cfRule type="cellIs" dxfId="17" priority="610" operator="equal">
      <formula>$S$1</formula>
    </cfRule>
    <cfRule type="cellIs" dxfId="16" priority="611" operator="equal">
      <formula>$U$1</formula>
    </cfRule>
  </conditionalFormatting>
  <conditionalFormatting sqref="C26">
    <cfRule type="cellIs" dxfId="15" priority="608" operator="equal">
      <formula>$U$1</formula>
    </cfRule>
    <cfRule type="cellIs" dxfId="14" priority="609" operator="equal">
      <formula>$S$1</formula>
    </cfRule>
  </conditionalFormatting>
  <conditionalFormatting sqref="D26">
    <cfRule type="cellIs" dxfId="13" priority="606" operator="equal">
      <formula>$S$1</formula>
    </cfRule>
    <cfRule type="cellIs" dxfId="12" priority="60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2022-01-28T01:16:23Z</dcterms:modified>
</cp:coreProperties>
</file>