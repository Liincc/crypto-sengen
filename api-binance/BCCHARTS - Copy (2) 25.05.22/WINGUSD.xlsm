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2912CD8-03DE-4CD2-BAFA-7A3B0D8FB68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6" i="5"/>
  <c r="C116" i="4"/>
  <c r="R765" i="1"/>
  <c r="C122" i="3"/>
  <c r="C133" i="3" s="1"/>
  <c r="C136" i="3" s="1"/>
  <c r="C116" i="3"/>
  <c r="D136" i="4" l="1"/>
  <c r="C138" i="4" s="1"/>
  <c r="C136" i="5"/>
  <c r="C138" i="5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R559" i="1" l="1"/>
  <c r="S560" i="1"/>
  <c r="T560" i="1" s="1"/>
  <c r="S559" i="1" l="1"/>
  <c r="T559" i="1" s="1"/>
  <c r="R558" i="1"/>
  <c r="R557" i="1" l="1"/>
  <c r="S558" i="1"/>
  <c r="T558" i="1" s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S541" i="1" l="1"/>
  <c r="T541" i="1" s="1"/>
  <c r="R540" i="1"/>
  <c r="S540" i="1" l="1"/>
  <c r="T540" i="1" s="1"/>
  <c r="R539" i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S524" i="1" l="1"/>
  <c r="T524" i="1" s="1"/>
  <c r="R523" i="1"/>
  <c r="S523" i="1" l="1"/>
  <c r="T523" i="1" s="1"/>
  <c r="R522" i="1"/>
  <c r="S522" i="1" l="1"/>
  <c r="T522" i="1" s="1"/>
  <c r="R521" i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S487" i="1" l="1"/>
  <c r="T487" i="1" s="1"/>
  <c r="R486" i="1"/>
  <c r="R485" i="1" l="1"/>
  <c r="S486" i="1"/>
  <c r="T486" i="1" s="1"/>
  <c r="S485" i="1" l="1"/>
  <c r="T485" i="1" s="1"/>
  <c r="R484" i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S451" i="1" l="1"/>
  <c r="T451" i="1" s="1"/>
  <c r="R450" i="1"/>
  <c r="R449" i="1" l="1"/>
  <c r="S450" i="1"/>
  <c r="T450" i="1" s="1"/>
  <c r="S449" i="1" l="1"/>
  <c r="T449" i="1" s="1"/>
  <c r="R448" i="1"/>
  <c r="R447" i="1" l="1"/>
  <c r="S448" i="1"/>
  <c r="T448" i="1" s="1"/>
  <c r="S447" i="1" l="1"/>
  <c r="T447" i="1" s="1"/>
  <c r="R446" i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S261" i="1" l="1"/>
  <c r="T261" i="1" s="1"/>
  <c r="R260" i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<sst xmlns="http://schemas.openxmlformats.org/spreadsheetml/2006/main" count="6746" uniqueCount="34">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</sst>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8.6199999999999992</c:v>
                </c:pt>
                <c:pt idx="1">
                  <c:v>8.9</c:v>
                </c:pt>
                <c:pt idx="2">
                  <c:v>9.23</c:v>
                </c:pt>
                <c:pt idx="3">
                  <c:v>9.24</c:v>
                </c:pt>
                <c:pt idx="4">
                  <c:v>9.4700000000000006</c:v>
                </c:pt>
                <c:pt idx="5">
                  <c:v>9.0500000000000007</c:v>
                </c:pt>
                <c:pt idx="6">
                  <c:v>10.14</c:v>
                </c:pt>
                <c:pt idx="7">
                  <c:v>11.82</c:v>
                </c:pt>
                <c:pt idx="8">
                  <c:v>12.05</c:v>
                </c:pt>
                <c:pt idx="9">
                  <c:v>12.5</c:v>
                </c:pt>
                <c:pt idx="10">
                  <c:v>12.75</c:v>
                </c:pt>
                <c:pt idx="11">
                  <c:v>13.63</c:v>
                </c:pt>
                <c:pt idx="12">
                  <c:v>14.4</c:v>
                </c:pt>
                <c:pt idx="13">
                  <c:v>13.43</c:v>
                </c:pt>
                <c:pt idx="14">
                  <c:v>12.65</c:v>
                </c:pt>
                <c:pt idx="15">
                  <c:v>13.35</c:v>
                </c:pt>
                <c:pt idx="16">
                  <c:v>12.72</c:v>
                </c:pt>
                <c:pt idx="17">
                  <c:v>12.34</c:v>
                </c:pt>
                <c:pt idx="18">
                  <c:v>13.03</c:v>
                </c:pt>
                <c:pt idx="19">
                  <c:v>12.75</c:v>
                </c:pt>
                <c:pt idx="20">
                  <c:v>13.37</c:v>
                </c:pt>
                <c:pt idx="21">
                  <c:v>13.72</c:v>
                </c:pt>
                <c:pt idx="22">
                  <c:v>14.18</c:v>
                </c:pt>
                <c:pt idx="23">
                  <c:v>15.02</c:v>
                </c:pt>
                <c:pt idx="24">
                  <c:v>15.11</c:v>
                </c:pt>
                <c:pt idx="25">
                  <c:v>15.37</c:v>
                </c:pt>
                <c:pt idx="26">
                  <c:v>15.23</c:v>
                </c:pt>
                <c:pt idx="27">
                  <c:v>15.05</c:v>
                </c:pt>
                <c:pt idx="28">
                  <c:v>15.25</c:v>
                </c:pt>
                <c:pt idx="29">
                  <c:v>15.25</c:v>
                </c:pt>
                <c:pt idx="30">
                  <c:v>15.51</c:v>
                </c:pt>
                <c:pt idx="31">
                  <c:v>16.41</c:v>
                </c:pt>
                <c:pt idx="32">
                  <c:v>16.43</c:v>
                </c:pt>
                <c:pt idx="33">
                  <c:v>16.649999999999999</c:v>
                </c:pt>
                <c:pt idx="34">
                  <c:v>16.39</c:v>
                </c:pt>
                <c:pt idx="35">
                  <c:v>16.54</c:v>
                </c:pt>
                <c:pt idx="36">
                  <c:v>15.43</c:v>
                </c:pt>
                <c:pt idx="37">
                  <c:v>15.78</c:v>
                </c:pt>
                <c:pt idx="38">
                  <c:v>15.26</c:v>
                </c:pt>
                <c:pt idx="39">
                  <c:v>16.5</c:v>
                </c:pt>
                <c:pt idx="40">
                  <c:v>14.87</c:v>
                </c:pt>
                <c:pt idx="41">
                  <c:v>13.87</c:v>
                </c:pt>
                <c:pt idx="42">
                  <c:v>13.98</c:v>
                </c:pt>
                <c:pt idx="43">
                  <c:v>14.3</c:v>
                </c:pt>
                <c:pt idx="44">
                  <c:v>14.13</c:v>
                </c:pt>
                <c:pt idx="45">
                  <c:v>13.97</c:v>
                </c:pt>
                <c:pt idx="46">
                  <c:v>15.17</c:v>
                </c:pt>
                <c:pt idx="47">
                  <c:v>14.42</c:v>
                </c:pt>
                <c:pt idx="48">
                  <c:v>14.33</c:v>
                </c:pt>
                <c:pt idx="49">
                  <c:v>14.93</c:v>
                </c:pt>
                <c:pt idx="50">
                  <c:v>16.29</c:v>
                </c:pt>
                <c:pt idx="51">
                  <c:v>15.59</c:v>
                </c:pt>
                <c:pt idx="52">
                  <c:v>15.94</c:v>
                </c:pt>
                <c:pt idx="53">
                  <c:v>15.07</c:v>
                </c:pt>
                <c:pt idx="54">
                  <c:v>16.53</c:v>
                </c:pt>
                <c:pt idx="55">
                  <c:v>19.940000000000001</c:v>
                </c:pt>
                <c:pt idx="56">
                  <c:v>19.87</c:v>
                </c:pt>
                <c:pt idx="57">
                  <c:v>19.010000000000002</c:v>
                </c:pt>
                <c:pt idx="58">
                  <c:v>19.02</c:v>
                </c:pt>
                <c:pt idx="59">
                  <c:v>19.86</c:v>
                </c:pt>
                <c:pt idx="60">
                  <c:v>19.32</c:v>
                </c:pt>
                <c:pt idx="61">
                  <c:v>19.329999999999998</c:v>
                </c:pt>
                <c:pt idx="62">
                  <c:v>19.100000000000001</c:v>
                </c:pt>
                <c:pt idx="63">
                  <c:v>20.65</c:v>
                </c:pt>
                <c:pt idx="64">
                  <c:v>21.09</c:v>
                </c:pt>
                <c:pt idx="65">
                  <c:v>21.66</c:v>
                </c:pt>
                <c:pt idx="66">
                  <c:v>24.53</c:v>
                </c:pt>
                <c:pt idx="67">
                  <c:v>20.84</c:v>
                </c:pt>
                <c:pt idx="68">
                  <c:v>20.74</c:v>
                </c:pt>
                <c:pt idx="69">
                  <c:v>19.29</c:v>
                </c:pt>
                <c:pt idx="70">
                  <c:v>18.03</c:v>
                </c:pt>
                <c:pt idx="71">
                  <c:v>19.34</c:v>
                </c:pt>
                <c:pt idx="72">
                  <c:v>19.45</c:v>
                </c:pt>
                <c:pt idx="73">
                  <c:v>21.05</c:v>
                </c:pt>
                <c:pt idx="74">
                  <c:v>21.25</c:v>
                </c:pt>
                <c:pt idx="75">
                  <c:v>21.02</c:v>
                </c:pt>
                <c:pt idx="76">
                  <c:v>21.44</c:v>
                </c:pt>
                <c:pt idx="77">
                  <c:v>22.04</c:v>
                </c:pt>
                <c:pt idx="78">
                  <c:v>20.65</c:v>
                </c:pt>
                <c:pt idx="79">
                  <c:v>22.19</c:v>
                </c:pt>
                <c:pt idx="80">
                  <c:v>21.69</c:v>
                </c:pt>
                <c:pt idx="81">
                  <c:v>21.52</c:v>
                </c:pt>
                <c:pt idx="82">
                  <c:v>21.16</c:v>
                </c:pt>
                <c:pt idx="83">
                  <c:v>20.46</c:v>
                </c:pt>
                <c:pt idx="84">
                  <c:v>21.15</c:v>
                </c:pt>
                <c:pt idx="85">
                  <c:v>21.66</c:v>
                </c:pt>
                <c:pt idx="86">
                  <c:v>20.38</c:v>
                </c:pt>
                <c:pt idx="87">
                  <c:v>19.86</c:v>
                </c:pt>
                <c:pt idx="88">
                  <c:v>19.13</c:v>
                </c:pt>
                <c:pt idx="89">
                  <c:v>19.899999999999999</c:v>
                </c:pt>
                <c:pt idx="90">
                  <c:v>19.2</c:v>
                </c:pt>
                <c:pt idx="91">
                  <c:v>18.78</c:v>
                </c:pt>
                <c:pt idx="92">
                  <c:v>17.96</c:v>
                </c:pt>
                <c:pt idx="93">
                  <c:v>20.07</c:v>
                </c:pt>
                <c:pt idx="94">
                  <c:v>20.95</c:v>
                </c:pt>
                <c:pt idx="95">
                  <c:v>20.03</c:v>
                </c:pt>
                <c:pt idx="96">
                  <c:v>21.06</c:v>
                </c:pt>
                <c:pt idx="97">
                  <c:v>20.88</c:v>
                </c:pt>
                <c:pt idx="98">
                  <c:v>21.01</c:v>
                </c:pt>
                <c:pt idx="99">
                  <c:v>21.94</c:v>
                </c:pt>
                <c:pt idx="100">
                  <c:v>21.51</c:v>
                </c:pt>
                <c:pt idx="101">
                  <c:v>22.37</c:v>
                </c:pt>
                <c:pt idx="102">
                  <c:v>22.56</c:v>
                </c:pt>
                <c:pt idx="103">
                  <c:v>21.31</c:v>
                </c:pt>
                <c:pt idx="104">
                  <c:v>21.73</c:v>
                </c:pt>
                <c:pt idx="105">
                  <c:v>22.68</c:v>
                </c:pt>
                <c:pt idx="106">
                  <c:v>19.39</c:v>
                </c:pt>
                <c:pt idx="107">
                  <c:v>17.940000000000001</c:v>
                </c:pt>
                <c:pt idx="108">
                  <c:v>19.03</c:v>
                </c:pt>
                <c:pt idx="109">
                  <c:v>18.13</c:v>
                </c:pt>
                <c:pt idx="110">
                  <c:v>19.149999999999999</c:v>
                </c:pt>
                <c:pt idx="111">
                  <c:v>19.7</c:v>
                </c:pt>
                <c:pt idx="112">
                  <c:v>19.09</c:v>
                </c:pt>
                <c:pt idx="113">
                  <c:v>18.29</c:v>
                </c:pt>
                <c:pt idx="114">
                  <c:v>18.600000000000001</c:v>
                </c:pt>
                <c:pt idx="115">
                  <c:v>16.920000000000002</c:v>
                </c:pt>
                <c:pt idx="116">
                  <c:v>17.05</c:v>
                </c:pt>
                <c:pt idx="117">
                  <c:v>17.079999999999998</c:v>
                </c:pt>
                <c:pt idx="118">
                  <c:v>17.239999999999998</c:v>
                </c:pt>
                <c:pt idx="119">
                  <c:v>15.41</c:v>
                </c:pt>
                <c:pt idx="120">
                  <c:v>15.18</c:v>
                </c:pt>
                <c:pt idx="121">
                  <c:v>14.69</c:v>
                </c:pt>
                <c:pt idx="122">
                  <c:v>15.32</c:v>
                </c:pt>
                <c:pt idx="123">
                  <c:v>16.07</c:v>
                </c:pt>
                <c:pt idx="124">
                  <c:v>16.940000000000001</c:v>
                </c:pt>
                <c:pt idx="125">
                  <c:v>17.37</c:v>
                </c:pt>
                <c:pt idx="126">
                  <c:v>19.559999999999999</c:v>
                </c:pt>
                <c:pt idx="127">
                  <c:v>19.16</c:v>
                </c:pt>
                <c:pt idx="128">
                  <c:v>17.940000000000001</c:v>
                </c:pt>
                <c:pt idx="129">
                  <c:v>18.579999999999998</c:v>
                </c:pt>
                <c:pt idx="130">
                  <c:v>20.170000000000002</c:v>
                </c:pt>
                <c:pt idx="131">
                  <c:v>21.25</c:v>
                </c:pt>
                <c:pt idx="132">
                  <c:v>20.14</c:v>
                </c:pt>
                <c:pt idx="133">
                  <c:v>20.64</c:v>
                </c:pt>
                <c:pt idx="134">
                  <c:v>21.82</c:v>
                </c:pt>
                <c:pt idx="135">
                  <c:v>21.8</c:v>
                </c:pt>
                <c:pt idx="136">
                  <c:v>20.92</c:v>
                </c:pt>
                <c:pt idx="137">
                  <c:v>21.76</c:v>
                </c:pt>
                <c:pt idx="138">
                  <c:v>21.66</c:v>
                </c:pt>
                <c:pt idx="139">
                  <c:v>21</c:v>
                </c:pt>
                <c:pt idx="140">
                  <c:v>24.14</c:v>
                </c:pt>
                <c:pt idx="141">
                  <c:v>26.33</c:v>
                </c:pt>
                <c:pt idx="142">
                  <c:v>20.38</c:v>
                </c:pt>
                <c:pt idx="143">
                  <c:v>26.17</c:v>
                </c:pt>
                <c:pt idx="144">
                  <c:v>25.01</c:v>
                </c:pt>
                <c:pt idx="145">
                  <c:v>25.02</c:v>
                </c:pt>
                <c:pt idx="146">
                  <c:v>23.25</c:v>
                </c:pt>
                <c:pt idx="147">
                  <c:v>22.47</c:v>
                </c:pt>
                <c:pt idx="148">
                  <c:v>22.6</c:v>
                </c:pt>
                <c:pt idx="149">
                  <c:v>21.67</c:v>
                </c:pt>
                <c:pt idx="150">
                  <c:v>21.32</c:v>
                </c:pt>
                <c:pt idx="151">
                  <c:v>22.8</c:v>
                </c:pt>
                <c:pt idx="152">
                  <c:v>23.12</c:v>
                </c:pt>
                <c:pt idx="153">
                  <c:v>24.36</c:v>
                </c:pt>
                <c:pt idx="154">
                  <c:v>23.39</c:v>
                </c:pt>
                <c:pt idx="155">
                  <c:v>25.242999999999999</c:v>
                </c:pt>
                <c:pt idx="156">
                  <c:v>23.663</c:v>
                </c:pt>
                <c:pt idx="157">
                  <c:v>25.033999999999999</c:v>
                </c:pt>
                <c:pt idx="158">
                  <c:v>23.138000000000002</c:v>
                </c:pt>
                <c:pt idx="159">
                  <c:v>23.178999999999998</c:v>
                </c:pt>
                <c:pt idx="160">
                  <c:v>23.74</c:v>
                </c:pt>
                <c:pt idx="161">
                  <c:v>23.236999999999998</c:v>
                </c:pt>
                <c:pt idx="162">
                  <c:v>21.948</c:v>
                </c:pt>
                <c:pt idx="163">
                  <c:v>22.056000000000001</c:v>
                </c:pt>
                <c:pt idx="164">
                  <c:v>23.834</c:v>
                </c:pt>
                <c:pt idx="165">
                  <c:v>25.312999999999999</c:v>
                </c:pt>
                <c:pt idx="166">
                  <c:v>24.777999999999999</c:v>
                </c:pt>
                <c:pt idx="167">
                  <c:v>24.021999999999998</c:v>
                </c:pt>
                <c:pt idx="168">
                  <c:v>22.064</c:v>
                </c:pt>
                <c:pt idx="169">
                  <c:v>22.736000000000001</c:v>
                </c:pt>
                <c:pt idx="170">
                  <c:v>23</c:v>
                </c:pt>
                <c:pt idx="171">
                  <c:v>23.064</c:v>
                </c:pt>
                <c:pt idx="172">
                  <c:v>21.943999999999999</c:v>
                </c:pt>
                <c:pt idx="173">
                  <c:v>21.7</c:v>
                </c:pt>
                <c:pt idx="174">
                  <c:v>19.510000000000002</c:v>
                </c:pt>
                <c:pt idx="175">
                  <c:v>18.814</c:v>
                </c:pt>
                <c:pt idx="176">
                  <c:v>17.545999999999999</c:v>
                </c:pt>
                <c:pt idx="177">
                  <c:v>17.283999999999999</c:v>
                </c:pt>
                <c:pt idx="178">
                  <c:v>16.853999999999999</c:v>
                </c:pt>
                <c:pt idx="179">
                  <c:v>16.879000000000001</c:v>
                </c:pt>
                <c:pt idx="180">
                  <c:v>17.282</c:v>
                </c:pt>
                <c:pt idx="181">
                  <c:v>17.489999999999998</c:v>
                </c:pt>
                <c:pt idx="182">
                  <c:v>17.481999999999999</c:v>
                </c:pt>
                <c:pt idx="183">
                  <c:v>17.120999999999999</c:v>
                </c:pt>
                <c:pt idx="184">
                  <c:v>17.105</c:v>
                </c:pt>
                <c:pt idx="185">
                  <c:v>16.433</c:v>
                </c:pt>
                <c:pt idx="186">
                  <c:v>17.536000000000001</c:v>
                </c:pt>
                <c:pt idx="187">
                  <c:v>15.461</c:v>
                </c:pt>
                <c:pt idx="188">
                  <c:v>14.996</c:v>
                </c:pt>
                <c:pt idx="189">
                  <c:v>14.936</c:v>
                </c:pt>
                <c:pt idx="190">
                  <c:v>14.542999999999999</c:v>
                </c:pt>
                <c:pt idx="191">
                  <c:v>13.385</c:v>
                </c:pt>
                <c:pt idx="192">
                  <c:v>14.515000000000001</c:v>
                </c:pt>
                <c:pt idx="193">
                  <c:v>15.885999999999999</c:v>
                </c:pt>
                <c:pt idx="194">
                  <c:v>16.986999999999998</c:v>
                </c:pt>
                <c:pt idx="195">
                  <c:v>14.734</c:v>
                </c:pt>
                <c:pt idx="196">
                  <c:v>16.236999999999998</c:v>
                </c:pt>
                <c:pt idx="197">
                  <c:v>17.692</c:v>
                </c:pt>
                <c:pt idx="198">
                  <c:v>19.847999999999999</c:v>
                </c:pt>
                <c:pt idx="199">
                  <c:v>19.119</c:v>
                </c:pt>
                <c:pt idx="200">
                  <c:v>16.678999999999998</c:v>
                </c:pt>
                <c:pt idx="201">
                  <c:v>13.835000000000001</c:v>
                </c:pt>
                <c:pt idx="202">
                  <c:v>14.355</c:v>
                </c:pt>
                <c:pt idx="203">
                  <c:v>14.013999999999999</c:v>
                </c:pt>
                <c:pt idx="204">
                  <c:v>15.127000000000001</c:v>
                </c:pt>
                <c:pt idx="205">
                  <c:v>15.182</c:v>
                </c:pt>
                <c:pt idx="206">
                  <c:v>14.118</c:v>
                </c:pt>
                <c:pt idx="207">
                  <c:v>14.087999999999999</c:v>
                </c:pt>
                <c:pt idx="208">
                  <c:v>13.938000000000001</c:v>
                </c:pt>
                <c:pt idx="209">
                  <c:v>13.824</c:v>
                </c:pt>
                <c:pt idx="210">
                  <c:v>13.836</c:v>
                </c:pt>
                <c:pt idx="211">
                  <c:v>14.644</c:v>
                </c:pt>
                <c:pt idx="212">
                  <c:v>14.885</c:v>
                </c:pt>
                <c:pt idx="213">
                  <c:v>13.898999999999999</c:v>
                </c:pt>
                <c:pt idx="214">
                  <c:v>13.898999999999999</c:v>
                </c:pt>
                <c:pt idx="215">
                  <c:v>12.821</c:v>
                </c:pt>
                <c:pt idx="216">
                  <c:v>13.298</c:v>
                </c:pt>
                <c:pt idx="217">
                  <c:v>15.409000000000001</c:v>
                </c:pt>
                <c:pt idx="218">
                  <c:v>15.614000000000001</c:v>
                </c:pt>
                <c:pt idx="219">
                  <c:v>13.54</c:v>
                </c:pt>
                <c:pt idx="220">
                  <c:v>14.861000000000001</c:v>
                </c:pt>
                <c:pt idx="221">
                  <c:v>19.442</c:v>
                </c:pt>
                <c:pt idx="222">
                  <c:v>20</c:v>
                </c:pt>
                <c:pt idx="223">
                  <c:v>20.170000000000002</c:v>
                </c:pt>
                <c:pt idx="224">
                  <c:v>22.349</c:v>
                </c:pt>
                <c:pt idx="225">
                  <c:v>22.83</c:v>
                </c:pt>
                <c:pt idx="226">
                  <c:v>22.266999999999999</c:v>
                </c:pt>
                <c:pt idx="227">
                  <c:v>21.99</c:v>
                </c:pt>
                <c:pt idx="228">
                  <c:v>22.093</c:v>
                </c:pt>
                <c:pt idx="229">
                  <c:v>21.242000000000001</c:v>
                </c:pt>
                <c:pt idx="230">
                  <c:v>20.632999999999999</c:v>
                </c:pt>
                <c:pt idx="231">
                  <c:v>23.047000000000001</c:v>
                </c:pt>
                <c:pt idx="232">
                  <c:v>23</c:v>
                </c:pt>
                <c:pt idx="233">
                  <c:v>19.329999999999998</c:v>
                </c:pt>
                <c:pt idx="234">
                  <c:v>19.233000000000001</c:v>
                </c:pt>
                <c:pt idx="235">
                  <c:v>21.591999999999999</c:v>
                </c:pt>
                <c:pt idx="236">
                  <c:v>21.613</c:v>
                </c:pt>
                <c:pt idx="237">
                  <c:v>20.913</c:v>
                </c:pt>
                <c:pt idx="238">
                  <c:v>23.385000000000002</c:v>
                </c:pt>
                <c:pt idx="239">
                  <c:v>20.952000000000002</c:v>
                </c:pt>
                <c:pt idx="240">
                  <c:v>20</c:v>
                </c:pt>
                <c:pt idx="241">
                  <c:v>21.173999999999999</c:v>
                </c:pt>
                <c:pt idx="242">
                  <c:v>18.927</c:v>
                </c:pt>
                <c:pt idx="243">
                  <c:v>18.187999999999999</c:v>
                </c:pt>
                <c:pt idx="244">
                  <c:v>19.376000000000001</c:v>
                </c:pt>
                <c:pt idx="245">
                  <c:v>23.167999999999999</c:v>
                </c:pt>
                <c:pt idx="246">
                  <c:v>23.664000000000001</c:v>
                </c:pt>
                <c:pt idx="247">
                  <c:v>22.029</c:v>
                </c:pt>
                <c:pt idx="248">
                  <c:v>23.056000000000001</c:v>
                </c:pt>
                <c:pt idx="249">
                  <c:v>17.978999999999999</c:v>
                </c:pt>
                <c:pt idx="250">
                  <c:v>21.699000000000002</c:v>
                </c:pt>
                <c:pt idx="251">
                  <c:v>22.428000000000001</c:v>
                </c:pt>
                <c:pt idx="252">
                  <c:v>22.645</c:v>
                </c:pt>
                <c:pt idx="253">
                  <c:v>20.067</c:v>
                </c:pt>
                <c:pt idx="254">
                  <c:v>34.966999999999999</c:v>
                </c:pt>
                <c:pt idx="255">
                  <c:v>36.329000000000001</c:v>
                </c:pt>
                <c:pt idx="256">
                  <c:v>34.643000000000001</c:v>
                </c:pt>
                <c:pt idx="257">
                  <c:v>31.771999999999998</c:v>
                </c:pt>
                <c:pt idx="258">
                  <c:v>34.768999999999998</c:v>
                </c:pt>
                <c:pt idx="259">
                  <c:v>34.399000000000001</c:v>
                </c:pt>
                <c:pt idx="260">
                  <c:v>34.332000000000001</c:v>
                </c:pt>
                <c:pt idx="261">
                  <c:v>41.436</c:v>
                </c:pt>
                <c:pt idx="262">
                  <c:v>39.069000000000003</c:v>
                </c:pt>
                <c:pt idx="263">
                  <c:v>42.74</c:v>
                </c:pt>
                <c:pt idx="264">
                  <c:v>44.128</c:v>
                </c:pt>
                <c:pt idx="265">
                  <c:v>44.18</c:v>
                </c:pt>
                <c:pt idx="266">
                  <c:v>44.503</c:v>
                </c:pt>
                <c:pt idx="267">
                  <c:v>45.530999999999999</c:v>
                </c:pt>
                <c:pt idx="268">
                  <c:v>41.676000000000002</c:v>
                </c:pt>
                <c:pt idx="269">
                  <c:v>50.121000000000002</c:v>
                </c:pt>
                <c:pt idx="270">
                  <c:v>45.957999999999998</c:v>
                </c:pt>
                <c:pt idx="271">
                  <c:v>47.534999999999997</c:v>
                </c:pt>
                <c:pt idx="272">
                  <c:v>48.168999999999997</c:v>
                </c:pt>
                <c:pt idx="273">
                  <c:v>46.1</c:v>
                </c:pt>
                <c:pt idx="274">
                  <c:v>42.527999999999999</c:v>
                </c:pt>
                <c:pt idx="275">
                  <c:v>43.802</c:v>
                </c:pt>
                <c:pt idx="276">
                  <c:v>39.408999999999999</c:v>
                </c:pt>
                <c:pt idx="277">
                  <c:v>32.341000000000001</c:v>
                </c:pt>
                <c:pt idx="278">
                  <c:v>33.902999999999999</c:v>
                </c:pt>
                <c:pt idx="279">
                  <c:v>37.475000000000001</c:v>
                </c:pt>
                <c:pt idx="280">
                  <c:v>37.880000000000003</c:v>
                </c:pt>
                <c:pt idx="281">
                  <c:v>43.100999999999999</c:v>
                </c:pt>
                <c:pt idx="282">
                  <c:v>49.334000000000003</c:v>
                </c:pt>
                <c:pt idx="283">
                  <c:v>43.494</c:v>
                </c:pt>
                <c:pt idx="284">
                  <c:v>45.561</c:v>
                </c:pt>
                <c:pt idx="285">
                  <c:v>55.034999999999997</c:v>
                </c:pt>
                <c:pt idx="286">
                  <c:v>55.628999999999998</c:v>
                </c:pt>
                <c:pt idx="287">
                  <c:v>58.561999999999998</c:v>
                </c:pt>
                <c:pt idx="288">
                  <c:v>57.512999999999998</c:v>
                </c:pt>
                <c:pt idx="289">
                  <c:v>54.616999999999997</c:v>
                </c:pt>
                <c:pt idx="290">
                  <c:v>58.76</c:v>
                </c:pt>
                <c:pt idx="291">
                  <c:v>63.795999999999999</c:v>
                </c:pt>
                <c:pt idx="292">
                  <c:v>66.299000000000007</c:v>
                </c:pt>
                <c:pt idx="293">
                  <c:v>67.113</c:v>
                </c:pt>
                <c:pt idx="294">
                  <c:v>60.6</c:v>
                </c:pt>
                <c:pt idx="295">
                  <c:v>57.470999999999997</c:v>
                </c:pt>
                <c:pt idx="296">
                  <c:v>62.482999999999997</c:v>
                </c:pt>
                <c:pt idx="297">
                  <c:v>64.293000000000006</c:v>
                </c:pt>
                <c:pt idx="298">
                  <c:v>68.427999999999997</c:v>
                </c:pt>
                <c:pt idx="299">
                  <c:v>58.405000000000001</c:v>
                </c:pt>
                <c:pt idx="300">
                  <c:v>56.445999999999998</c:v>
                </c:pt>
                <c:pt idx="301">
                  <c:v>58.512999999999998</c:v>
                </c:pt>
                <c:pt idx="302">
                  <c:v>59.378</c:v>
                </c:pt>
                <c:pt idx="303">
                  <c:v>63.1</c:v>
                </c:pt>
                <c:pt idx="304">
                  <c:v>56.527999999999999</c:v>
                </c:pt>
                <c:pt idx="305">
                  <c:v>57.777000000000001</c:v>
                </c:pt>
                <c:pt idx="306">
                  <c:v>40.631999999999998</c:v>
                </c:pt>
                <c:pt idx="307">
                  <c:v>42.656999999999996</c:v>
                </c:pt>
                <c:pt idx="308">
                  <c:v>35.668999999999997</c:v>
                </c:pt>
                <c:pt idx="309">
                  <c:v>37.405000000000001</c:v>
                </c:pt>
                <c:pt idx="310">
                  <c:v>40</c:v>
                </c:pt>
                <c:pt idx="311">
                  <c:v>42.210999999999999</c:v>
                </c:pt>
                <c:pt idx="312">
                  <c:v>42.741999999999997</c:v>
                </c:pt>
                <c:pt idx="313">
                  <c:v>45.313000000000002</c:v>
                </c:pt>
                <c:pt idx="314">
                  <c:v>43.445999999999998</c:v>
                </c:pt>
                <c:pt idx="315">
                  <c:v>44.594999999999999</c:v>
                </c:pt>
                <c:pt idx="316">
                  <c:v>42.448999999999998</c:v>
                </c:pt>
                <c:pt idx="317">
                  <c:v>44.712000000000003</c:v>
                </c:pt>
                <c:pt idx="318">
                  <c:v>41.814</c:v>
                </c:pt>
                <c:pt idx="319">
                  <c:v>39.630000000000003</c:v>
                </c:pt>
                <c:pt idx="320">
                  <c:v>35.369</c:v>
                </c:pt>
                <c:pt idx="321">
                  <c:v>31.896000000000001</c:v>
                </c:pt>
                <c:pt idx="322">
                  <c:v>33.161000000000001</c:v>
                </c:pt>
                <c:pt idx="323">
                  <c:v>33.543999999999997</c:v>
                </c:pt>
                <c:pt idx="324">
                  <c:v>36.598999999999997</c:v>
                </c:pt>
                <c:pt idx="325">
                  <c:v>33.887</c:v>
                </c:pt>
                <c:pt idx="326">
                  <c:v>32.363</c:v>
                </c:pt>
                <c:pt idx="327">
                  <c:v>30.681000000000001</c:v>
                </c:pt>
                <c:pt idx="328">
                  <c:v>30.184999999999999</c:v>
                </c:pt>
                <c:pt idx="329">
                  <c:v>26.61</c:v>
                </c:pt>
                <c:pt idx="330">
                  <c:v>24.896999999999998</c:v>
                </c:pt>
                <c:pt idx="331">
                  <c:v>23.311</c:v>
                </c:pt>
                <c:pt idx="332">
                  <c:v>23.305</c:v>
                </c:pt>
                <c:pt idx="333">
                  <c:v>20.797000000000001</c:v>
                </c:pt>
                <c:pt idx="334">
                  <c:v>23.207000000000001</c:v>
                </c:pt>
                <c:pt idx="335">
                  <c:v>21.666</c:v>
                </c:pt>
                <c:pt idx="336">
                  <c:v>22.943000000000001</c:v>
                </c:pt>
                <c:pt idx="337">
                  <c:v>24.577000000000002</c:v>
                </c:pt>
                <c:pt idx="338">
                  <c:v>23.827999999999999</c:v>
                </c:pt>
                <c:pt idx="339">
                  <c:v>29.123000000000001</c:v>
                </c:pt>
                <c:pt idx="340">
                  <c:v>33.651000000000003</c:v>
                </c:pt>
                <c:pt idx="341">
                  <c:v>31.416</c:v>
                </c:pt>
                <c:pt idx="342">
                  <c:v>34.890999999999998</c:v>
                </c:pt>
                <c:pt idx="343">
                  <c:v>32.658000000000001</c:v>
                </c:pt>
                <c:pt idx="344">
                  <c:v>30.962</c:v>
                </c:pt>
                <c:pt idx="345">
                  <c:v>28.751999999999999</c:v>
                </c:pt>
                <c:pt idx="346">
                  <c:v>27.893000000000001</c:v>
                </c:pt>
                <c:pt idx="347">
                  <c:v>31.3</c:v>
                </c:pt>
                <c:pt idx="348">
                  <c:v>35.500999999999998</c:v>
                </c:pt>
                <c:pt idx="349">
                  <c:v>34.99</c:v>
                </c:pt>
                <c:pt idx="350">
                  <c:v>34.359000000000002</c:v>
                </c:pt>
                <c:pt idx="351">
                  <c:v>32.284999999999997</c:v>
                </c:pt>
                <c:pt idx="352">
                  <c:v>32.031999999999996</c:v>
                </c:pt>
                <c:pt idx="353">
                  <c:v>24.779</c:v>
                </c:pt>
                <c:pt idx="354">
                  <c:v>21.972999999999999</c:v>
                </c:pt>
                <c:pt idx="355">
                  <c:v>22.207999999999998</c:v>
                </c:pt>
                <c:pt idx="356">
                  <c:v>25.04</c:v>
                </c:pt>
                <c:pt idx="357">
                  <c:v>23.030999999999999</c:v>
                </c:pt>
                <c:pt idx="358">
                  <c:v>20.428999999999998</c:v>
                </c:pt>
                <c:pt idx="359">
                  <c:v>20.933</c:v>
                </c:pt>
                <c:pt idx="360">
                  <c:v>19.186</c:v>
                </c:pt>
                <c:pt idx="361">
                  <c:v>16.248000000000001</c:v>
                </c:pt>
                <c:pt idx="362">
                  <c:v>15.048</c:v>
                </c:pt>
                <c:pt idx="363">
                  <c:v>15.43</c:v>
                </c:pt>
                <c:pt idx="364">
                  <c:v>14.61</c:v>
                </c:pt>
                <c:pt idx="365">
                  <c:v>14.186</c:v>
                </c:pt>
                <c:pt idx="366">
                  <c:v>16.632000000000001</c:v>
                </c:pt>
                <c:pt idx="367">
                  <c:v>16.314</c:v>
                </c:pt>
                <c:pt idx="368">
                  <c:v>15.802</c:v>
                </c:pt>
                <c:pt idx="369">
                  <c:v>15.007999999999999</c:v>
                </c:pt>
                <c:pt idx="370">
                  <c:v>14.393000000000001</c:v>
                </c:pt>
                <c:pt idx="371">
                  <c:v>14.465</c:v>
                </c:pt>
                <c:pt idx="372">
                  <c:v>15.038</c:v>
                </c:pt>
                <c:pt idx="373">
                  <c:v>15.801</c:v>
                </c:pt>
                <c:pt idx="374">
                  <c:v>15.776999999999999</c:v>
                </c:pt>
                <c:pt idx="375">
                  <c:v>14.795</c:v>
                </c:pt>
                <c:pt idx="376">
                  <c:v>14.301</c:v>
                </c:pt>
                <c:pt idx="377">
                  <c:v>13.493</c:v>
                </c:pt>
                <c:pt idx="378">
                  <c:v>12.936999999999999</c:v>
                </c:pt>
                <c:pt idx="379">
                  <c:v>12.833</c:v>
                </c:pt>
                <c:pt idx="380">
                  <c:v>12.002000000000001</c:v>
                </c:pt>
                <c:pt idx="381">
                  <c:v>12.326000000000001</c:v>
                </c:pt>
                <c:pt idx="382">
                  <c:v>13.839</c:v>
                </c:pt>
                <c:pt idx="383">
                  <c:v>14.621</c:v>
                </c:pt>
                <c:pt idx="384">
                  <c:v>14.367000000000001</c:v>
                </c:pt>
                <c:pt idx="385">
                  <c:v>14.5</c:v>
                </c:pt>
                <c:pt idx="386">
                  <c:v>13.603</c:v>
                </c:pt>
                <c:pt idx="387">
                  <c:v>13.497</c:v>
                </c:pt>
                <c:pt idx="388">
                  <c:v>12.766999999999999</c:v>
                </c:pt>
                <c:pt idx="389">
                  <c:v>13.05</c:v>
                </c:pt>
                <c:pt idx="390">
                  <c:v>13.06</c:v>
                </c:pt>
                <c:pt idx="391">
                  <c:v>13.849</c:v>
                </c:pt>
                <c:pt idx="392">
                  <c:v>13.061999999999999</c:v>
                </c:pt>
                <c:pt idx="393">
                  <c:v>13.038</c:v>
                </c:pt>
                <c:pt idx="394">
                  <c:v>13.693</c:v>
                </c:pt>
                <c:pt idx="395">
                  <c:v>14.826000000000001</c:v>
                </c:pt>
                <c:pt idx="396">
                  <c:v>14.8</c:v>
                </c:pt>
                <c:pt idx="397">
                  <c:v>14.351000000000001</c:v>
                </c:pt>
                <c:pt idx="398">
                  <c:v>14.96</c:v>
                </c:pt>
                <c:pt idx="399">
                  <c:v>15.518000000000001</c:v>
                </c:pt>
                <c:pt idx="400">
                  <c:v>14.2</c:v>
                </c:pt>
                <c:pt idx="401">
                  <c:v>17.68</c:v>
                </c:pt>
                <c:pt idx="402">
                  <c:v>16.271999999999998</c:v>
                </c:pt>
                <c:pt idx="403">
                  <c:v>18.001999999999999</c:v>
                </c:pt>
                <c:pt idx="404">
                  <c:v>19.661999999999999</c:v>
                </c:pt>
                <c:pt idx="405">
                  <c:v>19.344999999999999</c:v>
                </c:pt>
                <c:pt idx="406">
                  <c:v>18.134</c:v>
                </c:pt>
                <c:pt idx="407">
                  <c:v>15.781000000000001</c:v>
                </c:pt>
                <c:pt idx="408">
                  <c:v>16.626999999999999</c:v>
                </c:pt>
                <c:pt idx="409">
                  <c:v>17.100999999999999</c:v>
                </c:pt>
                <c:pt idx="410">
                  <c:v>18.303000000000001</c:v>
                </c:pt>
                <c:pt idx="411">
                  <c:v>14.5</c:v>
                </c:pt>
                <c:pt idx="412">
                  <c:v>13.493</c:v>
                </c:pt>
                <c:pt idx="413">
                  <c:v>15.673999999999999</c:v>
                </c:pt>
                <c:pt idx="414">
                  <c:v>18.004999999999999</c:v>
                </c:pt>
                <c:pt idx="415">
                  <c:v>18.576000000000001</c:v>
                </c:pt>
                <c:pt idx="416">
                  <c:v>12.4</c:v>
                </c:pt>
                <c:pt idx="417">
                  <c:v>10.802</c:v>
                </c:pt>
                <c:pt idx="418">
                  <c:v>10.343999999999999</c:v>
                </c:pt>
                <c:pt idx="419">
                  <c:v>10.000999999999999</c:v>
                </c:pt>
                <c:pt idx="420">
                  <c:v>11.27</c:v>
                </c:pt>
                <c:pt idx="421">
                  <c:v>11.788</c:v>
                </c:pt>
                <c:pt idx="422">
                  <c:v>10.151999999999999</c:v>
                </c:pt>
                <c:pt idx="423">
                  <c:v>10.038</c:v>
                </c:pt>
                <c:pt idx="424">
                  <c:v>10.103999999999999</c:v>
                </c:pt>
                <c:pt idx="425">
                  <c:v>9.9030000000000005</c:v>
                </c:pt>
                <c:pt idx="426">
                  <c:v>9.24</c:v>
                </c:pt>
                <c:pt idx="427">
                  <c:v>9.109</c:v>
                </c:pt>
                <c:pt idx="428">
                  <c:v>10.272</c:v>
                </c:pt>
                <c:pt idx="429">
                  <c:v>10.973000000000001</c:v>
                </c:pt>
                <c:pt idx="430">
                  <c:v>11.042999999999999</c:v>
                </c:pt>
                <c:pt idx="431">
                  <c:v>10.96</c:v>
                </c:pt>
                <c:pt idx="432">
                  <c:v>12.032999999999999</c:v>
                </c:pt>
                <c:pt idx="433">
                  <c:v>12.202</c:v>
                </c:pt>
                <c:pt idx="434">
                  <c:v>11.856</c:v>
                </c:pt>
                <c:pt idx="435">
                  <c:v>11.849</c:v>
                </c:pt>
                <c:pt idx="436">
                  <c:v>12.446</c:v>
                </c:pt>
                <c:pt idx="437">
                  <c:v>14.709</c:v>
                </c:pt>
                <c:pt idx="438">
                  <c:v>12.63</c:v>
                </c:pt>
                <c:pt idx="439">
                  <c:v>10.366</c:v>
                </c:pt>
                <c:pt idx="440">
                  <c:v>9.8330000000000002</c:v>
                </c:pt>
                <c:pt idx="441">
                  <c:v>9.5120000000000005</c:v>
                </c:pt>
                <c:pt idx="442">
                  <c:v>9.4659999999999993</c:v>
                </c:pt>
                <c:pt idx="443">
                  <c:v>8.3650000000000002</c:v>
                </c:pt>
                <c:pt idx="444">
                  <c:v>7.9020000000000001</c:v>
                </c:pt>
                <c:pt idx="445">
                  <c:v>8.19</c:v>
                </c:pt>
                <c:pt idx="446">
                  <c:v>8.0869999999999997</c:v>
                </c:pt>
                <c:pt idx="447">
                  <c:v>8.35</c:v>
                </c:pt>
                <c:pt idx="448">
                  <c:v>7.9480000000000004</c:v>
                </c:pt>
                <c:pt idx="449">
                  <c:v>7.9109999999999996</c:v>
                </c:pt>
                <c:pt idx="450">
                  <c:v>8.8469999999999995</c:v>
                </c:pt>
                <c:pt idx="451">
                  <c:v>8.1509999999999998</c:v>
                </c:pt>
                <c:pt idx="452">
                  <c:v>9.1539999999999999</c:v>
                </c:pt>
                <c:pt idx="453">
                  <c:v>8.9960000000000004</c:v>
                </c:pt>
                <c:pt idx="454">
                  <c:v>8.4629999999999992</c:v>
                </c:pt>
                <c:pt idx="455">
                  <c:v>7.84</c:v>
                </c:pt>
                <c:pt idx="456">
                  <c:v>8.4359999999999999</c:v>
                </c:pt>
                <c:pt idx="457">
                  <c:v>9.4220000000000006</c:v>
                </c:pt>
                <c:pt idx="458">
                  <c:v>9.8870000000000005</c:v>
                </c:pt>
                <c:pt idx="459">
                  <c:v>12.298</c:v>
                </c:pt>
                <c:pt idx="460">
                  <c:v>12.701000000000001</c:v>
                </c:pt>
                <c:pt idx="461">
                  <c:v>13.762</c:v>
                </c:pt>
                <c:pt idx="462">
                  <c:v>14.592000000000001</c:v>
                </c:pt>
                <c:pt idx="463">
                  <c:v>14.602</c:v>
                </c:pt>
                <c:pt idx="464">
                  <c:v>14.628</c:v>
                </c:pt>
                <c:pt idx="465">
                  <c:v>16.475000000000001</c:v>
                </c:pt>
                <c:pt idx="466">
                  <c:v>16.297000000000001</c:v>
                </c:pt>
                <c:pt idx="467">
                  <c:v>16.161999999999999</c:v>
                </c:pt>
                <c:pt idx="468">
                  <c:v>16.488</c:v>
                </c:pt>
                <c:pt idx="469">
                  <c:v>17.579999999999998</c:v>
                </c:pt>
                <c:pt idx="470">
                  <c:v>17.545000000000002</c:v>
                </c:pt>
                <c:pt idx="471">
                  <c:v>18.579999999999998</c:v>
                </c:pt>
                <c:pt idx="472">
                  <c:v>18.655999999999999</c:v>
                </c:pt>
                <c:pt idx="473">
                  <c:v>19.437000000000001</c:v>
                </c:pt>
                <c:pt idx="474">
                  <c:v>18.8</c:v>
                </c:pt>
                <c:pt idx="475">
                  <c:v>21.024999999999999</c:v>
                </c:pt>
                <c:pt idx="476">
                  <c:v>22.9</c:v>
                </c:pt>
                <c:pt idx="477">
                  <c:v>18.728999999999999</c:v>
                </c:pt>
                <c:pt idx="478">
                  <c:v>21.667000000000002</c:v>
                </c:pt>
                <c:pt idx="479">
                  <c:v>19.251000000000001</c:v>
                </c:pt>
                <c:pt idx="480">
                  <c:v>19.484000000000002</c:v>
                </c:pt>
                <c:pt idx="481">
                  <c:v>24.81</c:v>
                </c:pt>
                <c:pt idx="482">
                  <c:v>24.545999999999999</c:v>
                </c:pt>
                <c:pt idx="483">
                  <c:v>17.344000000000001</c:v>
                </c:pt>
                <c:pt idx="484">
                  <c:v>16.547000000000001</c:v>
                </c:pt>
                <c:pt idx="485">
                  <c:v>16.3</c:v>
                </c:pt>
                <c:pt idx="486">
                  <c:v>17.885999999999999</c:v>
                </c:pt>
                <c:pt idx="487">
                  <c:v>21.773</c:v>
                </c:pt>
                <c:pt idx="488">
                  <c:v>24.683</c:v>
                </c:pt>
                <c:pt idx="489">
                  <c:v>25.518999999999998</c:v>
                </c:pt>
                <c:pt idx="490">
                  <c:v>28.559000000000001</c:v>
                </c:pt>
                <c:pt idx="491">
                  <c:v>24.507999999999999</c:v>
                </c:pt>
                <c:pt idx="492">
                  <c:v>33.613999999999997</c:v>
                </c:pt>
                <c:pt idx="493">
                  <c:v>41.3</c:v>
                </c:pt>
                <c:pt idx="494">
                  <c:v>56.000999999999998</c:v>
                </c:pt>
                <c:pt idx="495">
                  <c:v>66.561000000000007</c:v>
                </c:pt>
                <c:pt idx="496">
                  <c:v>52.523000000000003</c:v>
                </c:pt>
                <c:pt idx="497">
                  <c:v>62.652999999999999</c:v>
                </c:pt>
                <c:pt idx="498">
                  <c:v>92.495999999999995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28-40A3-A25B-265DDD8E3B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-0.12098316377993344</c:v>
                </c:pt>
                <c:pt idx="1">
                  <c:v>-0.12095207846564773</c:v>
                </c:pt>
                <c:pt idx="2">
                  <c:v>-0.12041148005493345</c:v>
                </c:pt>
                <c:pt idx="3">
                  <c:v>-0.12007196037493344</c:v>
                </c:pt>
                <c:pt idx="4">
                  <c:v>-0.12041206671799913</c:v>
                </c:pt>
                <c:pt idx="5">
                  <c:v>-0.12057194387589389</c:v>
                </c:pt>
                <c:pt idx="6">
                  <c:v>-0.11947779626129496</c:v>
                </c:pt>
                <c:pt idx="7">
                  <c:v>-0.11876836090129494</c:v>
                </c:pt>
                <c:pt idx="8">
                  <c:v>-0.1184967951727235</c:v>
                </c:pt>
                <c:pt idx="9">
                  <c:v>-0.1183584043486729</c:v>
                </c:pt>
                <c:pt idx="10">
                  <c:v>-0.11829373126751347</c:v>
                </c:pt>
                <c:pt idx="11">
                  <c:v>-0.11804097968783867</c:v>
                </c:pt>
                <c:pt idx="12">
                  <c:v>-0.11735979008783867</c:v>
                </c:pt>
                <c:pt idx="13">
                  <c:v>-0.11736834269460024</c:v>
                </c:pt>
                <c:pt idx="14">
                  <c:v>-0.1174796862582366</c:v>
                </c:pt>
                <c:pt idx="15">
                  <c:v>-0.11722448428764837</c:v>
                </c:pt>
                <c:pt idx="16">
                  <c:v>-0.11745134708764836</c:v>
                </c:pt>
                <c:pt idx="17">
                  <c:v>-0.11780187366264837</c:v>
                </c:pt>
                <c:pt idx="18">
                  <c:v>-0.11767752173139837</c:v>
                </c:pt>
                <c:pt idx="19">
                  <c:v>-0.11771658382599295</c:v>
                </c:pt>
                <c:pt idx="20">
                  <c:v>-0.11701641998973798</c:v>
                </c:pt>
                <c:pt idx="21">
                  <c:v>-0.11712113296926555</c:v>
                </c:pt>
                <c:pt idx="22">
                  <c:v>-0.11693931509279495</c:v>
                </c:pt>
                <c:pt idx="23">
                  <c:v>-0.11650941595765982</c:v>
                </c:pt>
                <c:pt idx="24">
                  <c:v>-0.11616161575571807</c:v>
                </c:pt>
                <c:pt idx="25">
                  <c:v>-0.11605176017924748</c:v>
                </c:pt>
                <c:pt idx="26">
                  <c:v>-0.11610482269761482</c:v>
                </c:pt>
                <c:pt idx="27">
                  <c:v>-0.11636250332042183</c:v>
                </c:pt>
                <c:pt idx="28">
                  <c:v>-0.11615464799726395</c:v>
                </c:pt>
                <c:pt idx="29">
                  <c:v>-0.11561245966601395</c:v>
                </c:pt>
                <c:pt idx="30">
                  <c:v>-0.11492886148018717</c:v>
                </c:pt>
                <c:pt idx="31">
                  <c:v>-0.11397774616052905</c:v>
                </c:pt>
                <c:pt idx="32">
                  <c:v>-0.11337911494433858</c:v>
                </c:pt>
                <c:pt idx="33">
                  <c:v>-0.11322689614859389</c:v>
                </c:pt>
                <c:pt idx="34">
                  <c:v>-0.11340958624859389</c:v>
                </c:pt>
                <c:pt idx="35">
                  <c:v>-0.11291515398919538</c:v>
                </c:pt>
                <c:pt idx="36">
                  <c:v>-0.11326418705398413</c:v>
                </c:pt>
                <c:pt idx="37">
                  <c:v>-0.11289577877137544</c:v>
                </c:pt>
                <c:pt idx="38">
                  <c:v>-0.11289577877137544</c:v>
                </c:pt>
                <c:pt idx="39">
                  <c:v>-0.11249534189304211</c:v>
                </c:pt>
                <c:pt idx="40">
                  <c:v>-0.1131383842487383</c:v>
                </c:pt>
                <c:pt idx="41">
                  <c:v>-0.11128776140442694</c:v>
                </c:pt>
                <c:pt idx="42">
                  <c:v>-0.11119456001906108</c:v>
                </c:pt>
                <c:pt idx="43">
                  <c:v>-0.11067050011906107</c:v>
                </c:pt>
                <c:pt idx="44">
                  <c:v>-0.11093602137123498</c:v>
                </c:pt>
                <c:pt idx="45">
                  <c:v>-0.11091207234046577</c:v>
                </c:pt>
                <c:pt idx="46">
                  <c:v>-0.11020147072126577</c:v>
                </c:pt>
                <c:pt idx="47">
                  <c:v>-0.11020147072126577</c:v>
                </c:pt>
                <c:pt idx="48">
                  <c:v>-0.11020901491726577</c:v>
                </c:pt>
                <c:pt idx="49">
                  <c:v>-0.10970095626666337</c:v>
                </c:pt>
                <c:pt idx="50">
                  <c:v>-0.10906133643991178</c:v>
                </c:pt>
                <c:pt idx="51">
                  <c:v>-0.10925673494754536</c:v>
                </c:pt>
                <c:pt idx="52">
                  <c:v>-0.10871202783912431</c:v>
                </c:pt>
                <c:pt idx="53">
                  <c:v>-0.10964258441707107</c:v>
                </c:pt>
                <c:pt idx="54">
                  <c:v>-0.10902693939250969</c:v>
                </c:pt>
                <c:pt idx="55">
                  <c:v>-0.1086309620167013</c:v>
                </c:pt>
                <c:pt idx="56">
                  <c:v>-0.10709394421516286</c:v>
                </c:pt>
                <c:pt idx="57">
                  <c:v>-0.10685635881645317</c:v>
                </c:pt>
                <c:pt idx="58">
                  <c:v>-0.10616152149168254</c:v>
                </c:pt>
                <c:pt idx="59">
                  <c:v>-0.1055443571583492</c:v>
                </c:pt>
                <c:pt idx="60">
                  <c:v>-0.10541335990052607</c:v>
                </c:pt>
                <c:pt idx="61">
                  <c:v>-0.10601378372142159</c:v>
                </c:pt>
                <c:pt idx="62">
                  <c:v>-0.10597804900323976</c:v>
                </c:pt>
                <c:pt idx="63">
                  <c:v>-0.10548359220250983</c:v>
                </c:pt>
                <c:pt idx="64">
                  <c:v>-0.10542517906448165</c:v>
                </c:pt>
                <c:pt idx="65">
                  <c:v>-0.10531438492983598</c:v>
                </c:pt>
                <c:pt idx="66">
                  <c:v>-0.10215866524725534</c:v>
                </c:pt>
                <c:pt idx="67">
                  <c:v>-0.10765277249855516</c:v>
                </c:pt>
                <c:pt idx="68">
                  <c:v>-0.10607299940469235</c:v>
                </c:pt>
                <c:pt idx="69">
                  <c:v>-0.10697920033600908</c:v>
                </c:pt>
                <c:pt idx="70">
                  <c:v>-0.10753797749461373</c:v>
                </c:pt>
                <c:pt idx="71">
                  <c:v>-0.10654486934581373</c:v>
                </c:pt>
                <c:pt idx="72">
                  <c:v>-0.10672068022445451</c:v>
                </c:pt>
                <c:pt idx="73">
                  <c:v>-0.10637391610537054</c:v>
                </c:pt>
                <c:pt idx="74">
                  <c:v>-0.10468454217075515</c:v>
                </c:pt>
                <c:pt idx="75">
                  <c:v>-0.10475467514555831</c:v>
                </c:pt>
                <c:pt idx="76">
                  <c:v>-0.10457848913906478</c:v>
                </c:pt>
                <c:pt idx="77">
                  <c:v>-0.10389945702648203</c:v>
                </c:pt>
                <c:pt idx="78">
                  <c:v>-0.10463341910148202</c:v>
                </c:pt>
                <c:pt idx="79">
                  <c:v>-0.10424222585937674</c:v>
                </c:pt>
                <c:pt idx="80">
                  <c:v>-0.10386242746050035</c:v>
                </c:pt>
                <c:pt idx="81">
                  <c:v>-0.1043019198549448</c:v>
                </c:pt>
                <c:pt idx="82">
                  <c:v>-0.10439930196364046</c:v>
                </c:pt>
                <c:pt idx="83">
                  <c:v>-0.1048584873560455</c:v>
                </c:pt>
                <c:pt idx="84">
                  <c:v>-0.10422996418888132</c:v>
                </c:pt>
                <c:pt idx="85">
                  <c:v>-0.10277528141388133</c:v>
                </c:pt>
                <c:pt idx="86">
                  <c:v>-0.10323163779220949</c:v>
                </c:pt>
                <c:pt idx="87">
                  <c:v>-0.10350756433632714</c:v>
                </c:pt>
                <c:pt idx="88">
                  <c:v>-0.10444022579770644</c:v>
                </c:pt>
                <c:pt idx="89">
                  <c:v>-0.10429128292180283</c:v>
                </c:pt>
                <c:pt idx="90">
                  <c:v>-0.10522482622522165</c:v>
                </c:pt>
                <c:pt idx="91">
                  <c:v>-0.1054074845428687</c:v>
                </c:pt>
                <c:pt idx="92">
                  <c:v>-0.10523785949891265</c:v>
                </c:pt>
                <c:pt idx="93">
                  <c:v>-0.10393024178898899</c:v>
                </c:pt>
                <c:pt idx="94">
                  <c:v>-0.10305754185784144</c:v>
                </c:pt>
                <c:pt idx="95">
                  <c:v>-0.10350440977700312</c:v>
                </c:pt>
                <c:pt idx="96">
                  <c:v>-0.100903716845591</c:v>
                </c:pt>
                <c:pt idx="97">
                  <c:v>-0.10088790723725768</c:v>
                </c:pt>
                <c:pt idx="98">
                  <c:v>-0.10042929418431649</c:v>
                </c:pt>
                <c:pt idx="99">
                  <c:v>-9.9510271100560141E-2</c:v>
                </c:pt>
                <c:pt idx="100">
                  <c:v>-9.8845948400560144E-2</c:v>
                </c:pt>
                <c:pt idx="101">
                  <c:v>-9.8004419047804242E-2</c:v>
                </c:pt>
                <c:pt idx="102">
                  <c:v>-9.7898970461458859E-2</c:v>
                </c:pt>
                <c:pt idx="103">
                  <c:v>-9.5134093562184815E-2</c:v>
                </c:pt>
                <c:pt idx="104">
                  <c:v>-9.2381888581362884E-2</c:v>
                </c:pt>
                <c:pt idx="105">
                  <c:v>-8.2341587028537333E-2</c:v>
                </c:pt>
                <c:pt idx="106">
                  <c:v>-7.6406569013997269E-2</c:v>
                </c:pt>
                <c:pt idx="107">
                  <c:v>-7.5971355816241648E-2</c:v>
                </c:pt>
                <c:pt idx="108">
                  <c:v>-7.5896495203198189E-2</c:v>
                </c:pt>
                <c:pt idx="109">
                  <c:v>-7.4525331991333793E-2</c:v>
                </c:pt>
                <c:pt idx="110">
                  <c:v>-7.3404428291333784E-2</c:v>
                </c:pt>
                <c:pt idx="111">
                  <c:v>-7.325490829133377E-2</c:v>
                </c:pt>
                <c:pt idx="112">
                  <c:v>-7.3894850993897893E-2</c:v>
                </c:pt>
                <c:pt idx="113">
                  <c:v>-7.3544317508281457E-2</c:v>
                </c:pt>
                <c:pt idx="114">
                  <c:v>-7.4180502067353188E-2</c:v>
                </c:pt>
                <c:pt idx="115">
                  <c:v>-7.5763918540712266E-2</c:v>
                </c:pt>
                <c:pt idx="116">
                  <c:v>-7.6369703471147049E-2</c:v>
                </c:pt>
                <c:pt idx="117">
                  <c:v>-7.5665968433172387E-2</c:v>
                </c:pt>
                <c:pt idx="118">
                  <c:v>-7.5275472937281956E-2</c:v>
                </c:pt>
                <c:pt idx="119">
                  <c:v>-7.6520726361581026E-2</c:v>
                </c:pt>
                <c:pt idx="120">
                  <c:v>-7.6533253243271163E-2</c:v>
                </c:pt>
                <c:pt idx="121">
                  <c:v>-7.6310745827163767E-2</c:v>
                </c:pt>
                <c:pt idx="122">
                  <c:v>-7.4986071639129598E-2</c:v>
                </c:pt>
                <c:pt idx="123">
                  <c:v>-7.3105025218076963E-2</c:v>
                </c:pt>
                <c:pt idx="124">
                  <c:v>-7.3138146296776146E-2</c:v>
                </c:pt>
                <c:pt idx="125">
                  <c:v>-7.2953711103543054E-2</c:v>
                </c:pt>
                <c:pt idx="126">
                  <c:v>-7.2350945378543058E-2</c:v>
                </c:pt>
                <c:pt idx="127">
                  <c:v>-7.0857823467970357E-2</c:v>
                </c:pt>
                <c:pt idx="128">
                  <c:v>-6.9941030952970371E-2</c:v>
                </c:pt>
                <c:pt idx="129">
                  <c:v>-6.9263201906032468E-2</c:v>
                </c:pt>
                <c:pt idx="130">
                  <c:v>-6.8923166401607686E-2</c:v>
                </c:pt>
                <c:pt idx="131">
                  <c:v>-6.8480196240601421E-2</c:v>
                </c:pt>
                <c:pt idx="132">
                  <c:v>-6.6907459297177604E-2</c:v>
                </c:pt>
                <c:pt idx="133">
                  <c:v>-6.6932583002672116E-2</c:v>
                </c:pt>
                <c:pt idx="134">
                  <c:v>-6.610596558218032E-2</c:v>
                </c:pt>
                <c:pt idx="135">
                  <c:v>-6.6836746606123973E-2</c:v>
                </c:pt>
                <c:pt idx="136">
                  <c:v>-6.5673981691400041E-2</c:v>
                </c:pt>
                <c:pt idx="137">
                  <c:v>-6.6063859360772734E-2</c:v>
                </c:pt>
                <c:pt idx="138">
                  <c:v>-6.6935993354050052E-2</c:v>
                </c:pt>
                <c:pt idx="139">
                  <c:v>-6.673088147081653E-2</c:v>
                </c:pt>
                <c:pt idx="140">
                  <c:v>-6.5194031677851705E-2</c:v>
                </c:pt>
                <c:pt idx="141">
                  <c:v>-6.2676934675208532E-2</c:v>
                </c:pt>
                <c:pt idx="142">
                  <c:v>-6.3646267274850635E-2</c:v>
                </c:pt>
                <c:pt idx="143">
                  <c:v>-6.252967649178133E-2</c:v>
                </c:pt>
                <c:pt idx="144">
                  <c:v>-6.3304027228704401E-2</c:v>
                </c:pt>
                <c:pt idx="145">
                  <c:v>-6.3712914020544895E-2</c:v>
                </c:pt>
                <c:pt idx="146">
                  <c:v>-6.4613383819412812E-2</c:v>
                </c:pt>
                <c:pt idx="147">
                  <c:v>-6.4567347262891095E-2</c:v>
                </c:pt>
                <c:pt idx="148">
                  <c:v>-6.4112622757627927E-2</c:v>
                </c:pt>
                <c:pt idx="149">
                  <c:v>-6.4822528810041719E-2</c:v>
                </c:pt>
                <c:pt idx="150">
                  <c:v>-6.3676044104159377E-2</c:v>
                </c:pt>
                <c:pt idx="151">
                  <c:v>-6.2669175693295179E-2</c:v>
                </c:pt>
                <c:pt idx="152">
                  <c:v>-6.2218027147014188E-2</c:v>
                </c:pt>
                <c:pt idx="153">
                  <c:v>-6.1254538495014187E-2</c:v>
                </c:pt>
                <c:pt idx="154">
                  <c:v>-6.2167556425389778E-2</c:v>
                </c:pt>
                <c:pt idx="155">
                  <c:v>-6.1630475197836369E-2</c:v>
                </c:pt>
                <c:pt idx="156">
                  <c:v>-6.3067855148658786E-2</c:v>
                </c:pt>
                <c:pt idx="157">
                  <c:v>-6.2504153881922792E-2</c:v>
                </c:pt>
                <c:pt idx="158">
                  <c:v>-6.3478096974614845E-2</c:v>
                </c:pt>
                <c:pt idx="159">
                  <c:v>-6.35025268255692E-2</c:v>
                </c:pt>
                <c:pt idx="160">
                  <c:v>-6.3117886413725038E-2</c:v>
                </c:pt>
                <c:pt idx="161">
                  <c:v>-6.2946048610001304E-2</c:v>
                </c:pt>
                <c:pt idx="162">
                  <c:v>-6.3731770709430938E-2</c:v>
                </c:pt>
                <c:pt idx="163">
                  <c:v>-6.3524564745509368E-2</c:v>
                </c:pt>
                <c:pt idx="164">
                  <c:v>-6.2767463659236231E-2</c:v>
                </c:pt>
                <c:pt idx="165">
                  <c:v>-6.1701258497308509E-2</c:v>
                </c:pt>
                <c:pt idx="166">
                  <c:v>-6.2802960968574587E-2</c:v>
                </c:pt>
                <c:pt idx="167">
                  <c:v>-6.2883023538841246E-2</c:v>
                </c:pt>
                <c:pt idx="168">
                  <c:v>-6.3674527020427349E-2</c:v>
                </c:pt>
                <c:pt idx="169">
                  <c:v>-6.3287282361271444E-2</c:v>
                </c:pt>
                <c:pt idx="170">
                  <c:v>-6.2058433863672512E-2</c:v>
                </c:pt>
                <c:pt idx="171">
                  <c:v>-6.2109353833924699E-2</c:v>
                </c:pt>
                <c:pt idx="172">
                  <c:v>-6.2943185400756052E-2</c:v>
                </c:pt>
                <c:pt idx="173">
                  <c:v>-6.2041665552013535E-2</c:v>
                </c:pt>
                <c:pt idx="174">
                  <c:v>-6.3147587566294364E-2</c:v>
                </c:pt>
                <c:pt idx="175">
                  <c:v>-6.2655945289603207E-2</c:v>
                </c:pt>
                <c:pt idx="176">
                  <c:v>-6.2953586766364533E-2</c:v>
                </c:pt>
                <c:pt idx="177">
                  <c:v>-6.3005178158465569E-2</c:v>
                </c:pt>
                <c:pt idx="178">
                  <c:v>-6.3363365089833867E-2</c:v>
                </c:pt>
                <c:pt idx="179">
                  <c:v>-6.3303588348072704E-2</c:v>
                </c:pt>
                <c:pt idx="180">
                  <c:v>-6.1935741414582156E-2</c:v>
                </c:pt>
                <c:pt idx="181">
                  <c:v>-6.1338069051834893E-2</c:v>
                </c:pt>
                <c:pt idx="182">
                  <c:v>-6.1723564521308581E-2</c:v>
                </c:pt>
                <c:pt idx="183">
                  <c:v>-6.1013176324489354E-2</c:v>
                </c:pt>
                <c:pt idx="184">
                  <c:v>-6.0864429360544953E-2</c:v>
                </c:pt>
                <c:pt idx="185">
                  <c:v>-6.2088324554921588E-2</c:v>
                </c:pt>
                <c:pt idx="186">
                  <c:v>-6.0102672190201246E-2</c:v>
                </c:pt>
                <c:pt idx="187">
                  <c:v>-6.1944124112634676E-2</c:v>
                </c:pt>
                <c:pt idx="188">
                  <c:v>-6.1535042008180031E-2</c:v>
                </c:pt>
                <c:pt idx="189">
                  <c:v>-6.170059745359039E-2</c:v>
                </c:pt>
                <c:pt idx="190">
                  <c:v>-6.1793794862344494E-2</c:v>
                </c:pt>
                <c:pt idx="191">
                  <c:v>-6.2153950766067487E-2</c:v>
                </c:pt>
                <c:pt idx="192">
                  <c:v>-6.1289679712481657E-2</c:v>
                </c:pt>
                <c:pt idx="193">
                  <c:v>-6.007782048391104E-2</c:v>
                </c:pt>
                <c:pt idx="194">
                  <c:v>-5.9080309327495022E-2</c:v>
                </c:pt>
                <c:pt idx="195">
                  <c:v>-5.9981080503380267E-2</c:v>
                </c:pt>
                <c:pt idx="196">
                  <c:v>-5.8696024294958168E-2</c:v>
                </c:pt>
                <c:pt idx="197">
                  <c:v>-5.6833253424572995E-2</c:v>
                </c:pt>
                <c:pt idx="198">
                  <c:v>-5.4911167661119663E-2</c:v>
                </c:pt>
                <c:pt idx="199">
                  <c:v>-4.9866654228642851E-2</c:v>
                </c:pt>
                <c:pt idx="200">
                  <c:v>-5.1121376835131967E-2</c:v>
                </c:pt>
                <c:pt idx="201">
                  <c:v>-5.2183761259862432E-2</c:v>
                </c:pt>
                <c:pt idx="202">
                  <c:v>-5.2081983506026809E-2</c:v>
                </c:pt>
                <c:pt idx="203">
                  <c:v>-5.2264438574417059E-2</c:v>
                </c:pt>
                <c:pt idx="204">
                  <c:v>-5.1941701759105258E-2</c:v>
                </c:pt>
                <c:pt idx="205">
                  <c:v>-5.1328869986076657E-2</c:v>
                </c:pt>
                <c:pt idx="206">
                  <c:v>-5.1994475179933226E-2</c:v>
                </c:pt>
                <c:pt idx="207">
                  <c:v>-5.2178455429535101E-2</c:v>
                </c:pt>
                <c:pt idx="208">
                  <c:v>-5.222533305844991E-2</c:v>
                </c:pt>
                <c:pt idx="209">
                  <c:v>-5.2387126304360959E-2</c:v>
                </c:pt>
                <c:pt idx="210">
                  <c:v>-5.2763536906666436E-2</c:v>
                </c:pt>
                <c:pt idx="211">
                  <c:v>-5.2663868200244671E-2</c:v>
                </c:pt>
                <c:pt idx="212">
                  <c:v>-5.286464302024467E-2</c:v>
                </c:pt>
                <c:pt idx="213">
                  <c:v>-5.261910610033483E-2</c:v>
                </c:pt>
                <c:pt idx="214">
                  <c:v>-5.2627882982694642E-2</c:v>
                </c:pt>
                <c:pt idx="215">
                  <c:v>-5.3051522279964305E-2</c:v>
                </c:pt>
                <c:pt idx="216">
                  <c:v>-5.2530149653647329E-2</c:v>
                </c:pt>
                <c:pt idx="217">
                  <c:v>-5.1818349648745751E-2</c:v>
                </c:pt>
                <c:pt idx="218">
                  <c:v>-5.1007771292998542E-2</c:v>
                </c:pt>
                <c:pt idx="219">
                  <c:v>-5.1733146977756786E-2</c:v>
                </c:pt>
                <c:pt idx="220">
                  <c:v>-5.1017472849238264E-2</c:v>
                </c:pt>
                <c:pt idx="221">
                  <c:v>-4.969509088031885E-2</c:v>
                </c:pt>
                <c:pt idx="222">
                  <c:v>-4.9964886550296177E-2</c:v>
                </c:pt>
                <c:pt idx="223">
                  <c:v>-5.0027521192640062E-2</c:v>
                </c:pt>
                <c:pt idx="224">
                  <c:v>-4.9551178136376321E-2</c:v>
                </c:pt>
                <c:pt idx="225">
                  <c:v>-4.8485412125697687E-2</c:v>
                </c:pt>
                <c:pt idx="226">
                  <c:v>-4.8553455714248031E-2</c:v>
                </c:pt>
                <c:pt idx="227">
                  <c:v>-4.8400906165458633E-2</c:v>
                </c:pt>
                <c:pt idx="228">
                  <c:v>-4.7969929650637788E-2</c:v>
                </c:pt>
                <c:pt idx="229">
                  <c:v>-4.8467357942077599E-2</c:v>
                </c:pt>
                <c:pt idx="230">
                  <c:v>-4.76417767839976E-2</c:v>
                </c:pt>
                <c:pt idx="231">
                  <c:v>-4.4215335292852653E-2</c:v>
                </c:pt>
                <c:pt idx="232">
                  <c:v>-4.5092290941424085E-2</c:v>
                </c:pt>
                <c:pt idx="233">
                  <c:v>-4.750546242037252E-2</c:v>
                </c:pt>
                <c:pt idx="234">
                  <c:v>-4.8197020874299751E-2</c:v>
                </c:pt>
                <c:pt idx="235">
                  <c:v>-4.7288039729467747E-2</c:v>
                </c:pt>
                <c:pt idx="236">
                  <c:v>-4.6460484647099745E-2</c:v>
                </c:pt>
                <c:pt idx="237">
                  <c:v>-4.3801297768672698E-2</c:v>
                </c:pt>
                <c:pt idx="238">
                  <c:v>-4.3539288377677468E-2</c:v>
                </c:pt>
                <c:pt idx="239">
                  <c:v>-4.2682147499449985E-2</c:v>
                </c:pt>
                <c:pt idx="240">
                  <c:v>-4.2975786822489988E-2</c:v>
                </c:pt>
                <c:pt idx="241">
                  <c:v>-4.2678472495578372E-2</c:v>
                </c:pt>
                <c:pt idx="242">
                  <c:v>-4.3596278247094881E-2</c:v>
                </c:pt>
                <c:pt idx="243">
                  <c:v>-4.3779559757295104E-2</c:v>
                </c:pt>
                <c:pt idx="244">
                  <c:v>-4.3446645527223639E-2</c:v>
                </c:pt>
                <c:pt idx="245">
                  <c:v>-4.2638171636672141E-2</c:v>
                </c:pt>
                <c:pt idx="246">
                  <c:v>-4.1988629313426007E-2</c:v>
                </c:pt>
                <c:pt idx="247">
                  <c:v>-4.2593288042064616E-2</c:v>
                </c:pt>
                <c:pt idx="248">
                  <c:v>-4.2697205946841822E-2</c:v>
                </c:pt>
                <c:pt idx="249">
                  <c:v>-4.4018245389459511E-2</c:v>
                </c:pt>
                <c:pt idx="250">
                  <c:v>-4.3940990585766622E-2</c:v>
                </c:pt>
                <c:pt idx="251">
                  <c:v>-4.3415651944178048E-2</c:v>
                </c:pt>
                <c:pt idx="252">
                  <c:v>-3.6934976757629571E-2</c:v>
                </c:pt>
                <c:pt idx="253">
                  <c:v>-3.7701543542802168E-2</c:v>
                </c:pt>
                <c:pt idx="254">
                  <c:v>-3.639369190667132E-2</c:v>
                </c:pt>
                <c:pt idx="255">
                  <c:v>-3.5927223167186467E-2</c:v>
                </c:pt>
                <c:pt idx="256">
                  <c:v>-3.5113144781085792E-2</c:v>
                </c:pt>
                <c:pt idx="257">
                  <c:v>-3.294076882678592E-2</c:v>
                </c:pt>
                <c:pt idx="258">
                  <c:v>-3.2396689880342312E-2</c:v>
                </c:pt>
                <c:pt idx="259">
                  <c:v>-3.2444198523385794E-2</c:v>
                </c:pt>
                <c:pt idx="260">
                  <c:v>-3.2483164229912369E-2</c:v>
                </c:pt>
                <c:pt idx="261">
                  <c:v>-3.1755818530740373E-2</c:v>
                </c:pt>
                <c:pt idx="262">
                  <c:v>-3.2063782426992191E-2</c:v>
                </c:pt>
                <c:pt idx="263">
                  <c:v>-3.1706386107279994E-2</c:v>
                </c:pt>
                <c:pt idx="264">
                  <c:v>-3.1310753195966004E-2</c:v>
                </c:pt>
                <c:pt idx="265">
                  <c:v>-3.1286429620023377E-2</c:v>
                </c:pt>
                <c:pt idx="266">
                  <c:v>-3.0939934347699764E-2</c:v>
                </c:pt>
                <c:pt idx="267">
                  <c:v>-3.0570033087095213E-2</c:v>
                </c:pt>
                <c:pt idx="268">
                  <c:v>-3.0791295919205559E-2</c:v>
                </c:pt>
                <c:pt idx="269">
                  <c:v>-2.955456358513521E-2</c:v>
                </c:pt>
                <c:pt idx="270">
                  <c:v>-2.9758196066023573E-2</c:v>
                </c:pt>
                <c:pt idx="271">
                  <c:v>-2.9248087933307524E-2</c:v>
                </c:pt>
                <c:pt idx="272">
                  <c:v>-2.9881794369975699E-2</c:v>
                </c:pt>
                <c:pt idx="273">
                  <c:v>-3.088066578538377E-2</c:v>
                </c:pt>
                <c:pt idx="274">
                  <c:v>-3.0920941080493879E-2</c:v>
                </c:pt>
                <c:pt idx="275">
                  <c:v>-3.0829682654200122E-2</c:v>
                </c:pt>
                <c:pt idx="276">
                  <c:v>-3.0829532749648433E-2</c:v>
                </c:pt>
                <c:pt idx="277">
                  <c:v>-3.1645653160388837E-2</c:v>
                </c:pt>
                <c:pt idx="278">
                  <c:v>-3.0752517226730166E-2</c:v>
                </c:pt>
                <c:pt idx="279">
                  <c:v>-3.0293096630810951E-2</c:v>
                </c:pt>
                <c:pt idx="280">
                  <c:v>-3.1032674730887243E-2</c:v>
                </c:pt>
                <c:pt idx="281">
                  <c:v>-3.0098332010891991E-2</c:v>
                </c:pt>
                <c:pt idx="282">
                  <c:v>-2.9455807405911361E-2</c:v>
                </c:pt>
                <c:pt idx="283">
                  <c:v>-3.114550431205592E-2</c:v>
                </c:pt>
                <c:pt idx="284">
                  <c:v>-3.0349003709112504E-2</c:v>
                </c:pt>
                <c:pt idx="285">
                  <c:v>-2.981312333188383E-2</c:v>
                </c:pt>
                <c:pt idx="286">
                  <c:v>-2.9575297102783733E-2</c:v>
                </c:pt>
                <c:pt idx="287">
                  <c:v>-2.9600020446950523E-2</c:v>
                </c:pt>
                <c:pt idx="288">
                  <c:v>-2.9638253770908021E-2</c:v>
                </c:pt>
                <c:pt idx="289">
                  <c:v>-3.0094362459664185E-2</c:v>
                </c:pt>
                <c:pt idx="290">
                  <c:v>-2.9563267465189988E-2</c:v>
                </c:pt>
                <c:pt idx="291">
                  <c:v>-2.9169796468363225E-2</c:v>
                </c:pt>
                <c:pt idx="292">
                  <c:v>-2.9373528082777493E-2</c:v>
                </c:pt>
                <c:pt idx="293">
                  <c:v>-2.8681306287233276E-2</c:v>
                </c:pt>
                <c:pt idx="294">
                  <c:v>-2.9681985820302684E-2</c:v>
                </c:pt>
                <c:pt idx="295">
                  <c:v>-2.9681985820302684E-2</c:v>
                </c:pt>
                <c:pt idx="296">
                  <c:v>-2.8951936831339068E-2</c:v>
                </c:pt>
                <c:pt idx="297">
                  <c:v>-2.8929634233700506E-2</c:v>
                </c:pt>
                <c:pt idx="298">
                  <c:v>-2.8103590310644348E-2</c:v>
                </c:pt>
                <c:pt idx="299">
                  <c:v>-2.9069181614418099E-2</c:v>
                </c:pt>
                <c:pt idx="300">
                  <c:v>-2.8487476098845183E-2</c:v>
                </c:pt>
                <c:pt idx="301">
                  <c:v>-2.8188947177056091E-2</c:v>
                </c:pt>
                <c:pt idx="302">
                  <c:v>-2.7593886966519956E-2</c:v>
                </c:pt>
                <c:pt idx="303">
                  <c:v>-2.7389771797772695E-2</c:v>
                </c:pt>
                <c:pt idx="304">
                  <c:v>-2.8525063777466452E-2</c:v>
                </c:pt>
                <c:pt idx="305">
                  <c:v>-2.9813742333708426E-2</c:v>
                </c:pt>
                <c:pt idx="306">
                  <c:v>-3.3454888945225067E-2</c:v>
                </c:pt>
                <c:pt idx="307">
                  <c:v>-3.3532130514827889E-2</c:v>
                </c:pt>
                <c:pt idx="308">
                  <c:v>-3.4437971218300979E-2</c:v>
                </c:pt>
                <c:pt idx="309">
                  <c:v>-3.3999873907337469E-2</c:v>
                </c:pt>
                <c:pt idx="310">
                  <c:v>-3.3192291057122625E-2</c:v>
                </c:pt>
                <c:pt idx="311">
                  <c:v>-3.2488984631766131E-2</c:v>
                </c:pt>
                <c:pt idx="312">
                  <c:v>-3.2558447873654674E-2</c:v>
                </c:pt>
                <c:pt idx="313">
                  <c:v>-3.2092151889878712E-2</c:v>
                </c:pt>
                <c:pt idx="314">
                  <c:v>-3.18826981855828E-2</c:v>
                </c:pt>
                <c:pt idx="315">
                  <c:v>-3.181320300750199E-2</c:v>
                </c:pt>
                <c:pt idx="316">
                  <c:v>-3.1644993057395036E-2</c:v>
                </c:pt>
                <c:pt idx="317">
                  <c:v>-3.1868569971650711E-2</c:v>
                </c:pt>
                <c:pt idx="318">
                  <c:v>-3.2541782692300451E-2</c:v>
                </c:pt>
                <c:pt idx="319">
                  <c:v>-3.1024472802660186E-2</c:v>
                </c:pt>
                <c:pt idx="320">
                  <c:v>-3.0851026052629411E-2</c:v>
                </c:pt>
                <c:pt idx="321">
                  <c:v>-3.1247653823476277E-2</c:v>
                </c:pt>
                <c:pt idx="322">
                  <c:v>-3.0415772468477209E-2</c:v>
                </c:pt>
                <c:pt idx="323">
                  <c:v>-3.0276303088997095E-2</c:v>
                </c:pt>
                <c:pt idx="324">
                  <c:v>-2.9906657101286833E-2</c:v>
                </c:pt>
                <c:pt idx="325">
                  <c:v>-2.9487416001886261E-2</c:v>
                </c:pt>
                <c:pt idx="326">
                  <c:v>-3.0294915035375489E-2</c:v>
                </c:pt>
                <c:pt idx="327">
                  <c:v>-3.0603844979182355E-2</c:v>
                </c:pt>
                <c:pt idx="328">
                  <c:v>-3.0046447768731787E-2</c:v>
                </c:pt>
                <c:pt idx="329">
                  <c:v>-3.0475476439639475E-2</c:v>
                </c:pt>
                <c:pt idx="330">
                  <c:v>-3.078610162701997E-2</c:v>
                </c:pt>
                <c:pt idx="331">
                  <c:v>-3.0718619424689723E-2</c:v>
                </c:pt>
                <c:pt idx="332">
                  <c:v>-3.0937609600618008E-2</c:v>
                </c:pt>
                <c:pt idx="333">
                  <c:v>-3.1246095841227003E-2</c:v>
                </c:pt>
                <c:pt idx="334">
                  <c:v>-3.0923039034857575E-2</c:v>
                </c:pt>
                <c:pt idx="335">
                  <c:v>-3.0015424715900518E-2</c:v>
                </c:pt>
                <c:pt idx="336">
                  <c:v>-2.9746461748261985E-2</c:v>
                </c:pt>
                <c:pt idx="337">
                  <c:v>-2.9046441785773904E-2</c:v>
                </c:pt>
                <c:pt idx="338">
                  <c:v>-2.8805251701322632E-2</c:v>
                </c:pt>
                <c:pt idx="339">
                  <c:v>-2.8769856481657249E-2</c:v>
                </c:pt>
                <c:pt idx="340">
                  <c:v>-2.8920943487949928E-2</c:v>
                </c:pt>
                <c:pt idx="341">
                  <c:v>-2.9121611620919211E-2</c:v>
                </c:pt>
                <c:pt idx="342">
                  <c:v>-2.8444742652438862E-2</c:v>
                </c:pt>
                <c:pt idx="343">
                  <c:v>-2.8874332584498865E-2</c:v>
                </c:pt>
                <c:pt idx="344">
                  <c:v>-2.9430334729497073E-2</c:v>
                </c:pt>
                <c:pt idx="345">
                  <c:v>-2.993704825807288E-2</c:v>
                </c:pt>
                <c:pt idx="346">
                  <c:v>-2.949395503235008E-2</c:v>
                </c:pt>
                <c:pt idx="347">
                  <c:v>-2.8929253808532705E-2</c:v>
                </c:pt>
                <c:pt idx="348">
                  <c:v>-2.8428619235814256E-2</c:v>
                </c:pt>
                <c:pt idx="349">
                  <c:v>-2.8532683187609126E-2</c:v>
                </c:pt>
                <c:pt idx="350">
                  <c:v>-2.855883561988504E-2</c:v>
                </c:pt>
                <c:pt idx="351">
                  <c:v>-2.8562301806804746E-2</c:v>
                </c:pt>
                <c:pt idx="352">
                  <c:v>-2.943262922976702E-2</c:v>
                </c:pt>
                <c:pt idx="353">
                  <c:v>-3.0585743788985997E-2</c:v>
                </c:pt>
                <c:pt idx="354">
                  <c:v>-3.111665209274269E-2</c:v>
                </c:pt>
                <c:pt idx="355">
                  <c:v>-3.0913227494278689E-2</c:v>
                </c:pt>
                <c:pt idx="356">
                  <c:v>-3.0078253137510096E-2</c:v>
                </c:pt>
                <c:pt idx="357">
                  <c:v>-3.1459622233664296E-2</c:v>
                </c:pt>
                <c:pt idx="358">
                  <c:v>-3.2715698121780733E-2</c:v>
                </c:pt>
                <c:pt idx="359">
                  <c:v>-3.2382363441256459E-2</c:v>
                </c:pt>
                <c:pt idx="360">
                  <c:v>-3.2301242416180313E-2</c:v>
                </c:pt>
                <c:pt idx="361">
                  <c:v>-3.4406354932122039E-2</c:v>
                </c:pt>
                <c:pt idx="362">
                  <c:v>-3.4749983532380159E-2</c:v>
                </c:pt>
                <c:pt idx="363">
                  <c:v>-3.4520378495180151E-2</c:v>
                </c:pt>
                <c:pt idx="364">
                  <c:v>-3.5318660326063525E-2</c:v>
                </c:pt>
                <c:pt idx="365">
                  <c:v>-3.5146046693959494E-2</c:v>
                </c:pt>
                <c:pt idx="366">
                  <c:v>-3.4420435599004533E-2</c:v>
                </c:pt>
                <c:pt idx="367">
                  <c:v>-3.4816257062904532E-2</c:v>
                </c:pt>
                <c:pt idx="368">
                  <c:v>-3.4761845621550373E-2</c:v>
                </c:pt>
                <c:pt idx="369">
                  <c:v>-3.4873402223284819E-2</c:v>
                </c:pt>
                <c:pt idx="370">
                  <c:v>-3.4929131085094753E-2</c:v>
                </c:pt>
                <c:pt idx="371">
                  <c:v>-3.5213537299565618E-2</c:v>
                </c:pt>
                <c:pt idx="372">
                  <c:v>-3.3997522435796741E-2</c:v>
                </c:pt>
                <c:pt idx="373">
                  <c:v>-3.423876460215234E-2</c:v>
                </c:pt>
                <c:pt idx="374">
                  <c:v>-3.3687750404431054E-2</c:v>
                </c:pt>
                <c:pt idx="375">
                  <c:v>-3.2733797907471059E-2</c:v>
                </c:pt>
                <c:pt idx="376">
                  <c:v>-3.3482440083756101E-2</c:v>
                </c:pt>
                <c:pt idx="377">
                  <c:v>-3.4105537379125937E-2</c:v>
                </c:pt>
                <c:pt idx="378">
                  <c:v>-3.4298870361988851E-2</c:v>
                </c:pt>
                <c:pt idx="379">
                  <c:v>-3.4344129977445674E-2</c:v>
                </c:pt>
                <c:pt idx="380">
                  <c:v>-3.45194988383285E-2</c:v>
                </c:pt>
                <c:pt idx="381">
                  <c:v>-3.3947510796739987E-2</c:v>
                </c:pt>
                <c:pt idx="382">
                  <c:v>-3.3707776088163909E-2</c:v>
                </c:pt>
                <c:pt idx="383">
                  <c:v>-3.3233348374764528E-2</c:v>
                </c:pt>
                <c:pt idx="384">
                  <c:v>-3.3179614637053212E-2</c:v>
                </c:pt>
                <c:pt idx="385">
                  <c:v>-3.3587446693486622E-2</c:v>
                </c:pt>
                <c:pt idx="386">
                  <c:v>-3.3284493593862131E-2</c:v>
                </c:pt>
                <c:pt idx="387">
                  <c:v>-3.2899550167156247E-2</c:v>
                </c:pt>
                <c:pt idx="388">
                  <c:v>-3.3184345896807042E-2</c:v>
                </c:pt>
                <c:pt idx="389">
                  <c:v>-3.2646077785024569E-2</c:v>
                </c:pt>
                <c:pt idx="390">
                  <c:v>-3.2646077785024569E-2</c:v>
                </c:pt>
                <c:pt idx="391">
                  <c:v>-3.2367233814817667E-2</c:v>
                </c:pt>
                <c:pt idx="392">
                  <c:v>-3.2646717628768286E-2</c:v>
                </c:pt>
                <c:pt idx="393">
                  <c:v>-3.2386027099189411E-2</c:v>
                </c:pt>
                <c:pt idx="394">
                  <c:v>-3.1952618302506369E-2</c:v>
                </c:pt>
                <c:pt idx="395">
                  <c:v>-3.1586540194845074E-2</c:v>
                </c:pt>
                <c:pt idx="396">
                  <c:v>-3.0742398075887335E-2</c:v>
                </c:pt>
                <c:pt idx="397">
                  <c:v>-3.118629706028693E-2</c:v>
                </c:pt>
                <c:pt idx="398">
                  <c:v>-3.0520097463254098E-2</c:v>
                </c:pt>
                <c:pt idx="399">
                  <c:v>-3.0089328868620362E-2</c:v>
                </c:pt>
                <c:pt idx="400">
                  <c:v>-3.0896837957866515E-2</c:v>
                </c:pt>
                <c:pt idx="401">
                  <c:v>-3.0069304732669742E-2</c:v>
                </c:pt>
                <c:pt idx="402">
                  <c:v>-3.0535019785726484E-2</c:v>
                </c:pt>
                <c:pt idx="403">
                  <c:v>-2.9180156040418018E-2</c:v>
                </c:pt>
                <c:pt idx="404">
                  <c:v>-2.8066900825162173E-2</c:v>
                </c:pt>
                <c:pt idx="405">
                  <c:v>-2.6556479807737343E-2</c:v>
                </c:pt>
                <c:pt idx="406">
                  <c:v>-2.7209298283118178E-2</c:v>
                </c:pt>
                <c:pt idx="407">
                  <c:v>-2.5577998545654276E-2</c:v>
                </c:pt>
                <c:pt idx="408">
                  <c:v>-2.6194728797790851E-2</c:v>
                </c:pt>
                <c:pt idx="409">
                  <c:v>-2.5257977421551069E-2</c:v>
                </c:pt>
                <c:pt idx="410">
                  <c:v>-2.267733928579764E-2</c:v>
                </c:pt>
                <c:pt idx="411">
                  <c:v>-2.5123890354341549E-2</c:v>
                </c:pt>
                <c:pt idx="412">
                  <c:v>-2.4217915965080467E-2</c:v>
                </c:pt>
                <c:pt idx="413">
                  <c:v>-2.2093617121600274E-2</c:v>
                </c:pt>
                <c:pt idx="414">
                  <c:v>-1.939372008471528E-2</c:v>
                </c:pt>
                <c:pt idx="415">
                  <c:v>-1.8692690646231139E-2</c:v>
                </c:pt>
                <c:pt idx="416">
                  <c:v>-1.9411895450919394E-2</c:v>
                </c:pt>
                <c:pt idx="417">
                  <c:v>-2.0451816926761266E-2</c:v>
                </c:pt>
                <c:pt idx="418">
                  <c:v>-2.0696856745794006E-2</c:v>
                </c:pt>
                <c:pt idx="419">
                  <c:v>-2.0809831223639667E-2</c:v>
                </c:pt>
                <c:pt idx="420">
                  <c:v>-2.0011865440892597E-2</c:v>
                </c:pt>
                <c:pt idx="421">
                  <c:v>-1.9773857175278107E-2</c:v>
                </c:pt>
                <c:pt idx="422">
                  <c:v>-2.1579999177629209E-2</c:v>
                </c:pt>
                <c:pt idx="423">
                  <c:v>-2.1104025159799214E-2</c:v>
                </c:pt>
                <c:pt idx="424">
                  <c:v>-2.1088921405438815E-2</c:v>
                </c:pt>
                <c:pt idx="425">
                  <c:v>-2.1196575657333763E-2</c:v>
                </c:pt>
                <c:pt idx="426">
                  <c:v>-2.1087876346409819E-2</c:v>
                </c:pt>
                <c:pt idx="427">
                  <c:v>-2.1322534601641609E-2</c:v>
                </c:pt>
                <c:pt idx="428">
                  <c:v>-2.0963710494623734E-2</c:v>
                </c:pt>
                <c:pt idx="429">
                  <c:v>-2.0024341133280138E-2</c:v>
                </c:pt>
                <c:pt idx="430">
                  <c:v>-1.9703265748123949E-2</c:v>
                </c:pt>
                <c:pt idx="431">
                  <c:v>-1.9554271738539408E-2</c:v>
                </c:pt>
                <c:pt idx="432">
                  <c:v>-1.9030780755682264E-2</c:v>
                </c:pt>
                <c:pt idx="433">
                  <c:v>-1.8875752936240282E-2</c:v>
                </c:pt>
                <c:pt idx="434">
                  <c:v>-1.8548900670051022E-2</c:v>
                </c:pt>
                <c:pt idx="435">
                  <c:v>-1.772327087999867E-2</c:v>
                </c:pt>
                <c:pt idx="436">
                  <c:v>-1.8273474413922075E-2</c:v>
                </c:pt>
                <c:pt idx="437">
                  <c:v>-1.6767585237830732E-2</c:v>
                </c:pt>
                <c:pt idx="438">
                  <c:v>-2.1263527247830732E-2</c:v>
                </c:pt>
                <c:pt idx="439">
                  <c:v>-2.4191518847830731E-2</c:v>
                </c:pt>
                <c:pt idx="440">
                  <c:v>-2.5527005828115922E-2</c:v>
                </c:pt>
                <c:pt idx="441">
                  <c:v>-2.5953405906564198E-2</c:v>
                </c:pt>
                <c:pt idx="442">
                  <c:v>-2.3913804757502686E-2</c:v>
                </c:pt>
                <c:pt idx="443">
                  <c:v>-2.4239899604000865E-2</c:v>
                </c:pt>
                <c:pt idx="444">
                  <c:v>-2.478641247656059E-2</c:v>
                </c:pt>
                <c:pt idx="445">
                  <c:v>-2.4835233339977808E-2</c:v>
                </c:pt>
                <c:pt idx="446">
                  <c:v>-2.4835233339977808E-2</c:v>
                </c:pt>
                <c:pt idx="447">
                  <c:v>-2.4063229952271833E-2</c:v>
                </c:pt>
                <c:pt idx="448">
                  <c:v>-2.4159755323004222E-2</c:v>
                </c:pt>
                <c:pt idx="449">
                  <c:v>-2.4472518736109752E-2</c:v>
                </c:pt>
                <c:pt idx="450">
                  <c:v>-2.3707473063032829E-2</c:v>
                </c:pt>
                <c:pt idx="451">
                  <c:v>-2.3913410285582828E-2</c:v>
                </c:pt>
                <c:pt idx="452">
                  <c:v>-2.3077186451148993E-2</c:v>
                </c:pt>
                <c:pt idx="453">
                  <c:v>-2.3334421665987384E-2</c:v>
                </c:pt>
                <c:pt idx="454">
                  <c:v>-2.1452072728282472E-2</c:v>
                </c:pt>
                <c:pt idx="455">
                  <c:v>-2.2226962042094563E-2</c:v>
                </c:pt>
                <c:pt idx="456">
                  <c:v>-2.1585304481027894E-2</c:v>
                </c:pt>
                <c:pt idx="457">
                  <c:v>-2.074166046278578E-2</c:v>
                </c:pt>
                <c:pt idx="458">
                  <c:v>-1.952000160127397E-2</c:v>
                </c:pt>
                <c:pt idx="459">
                  <c:v>-1.8508017430476652E-2</c:v>
                </c:pt>
                <c:pt idx="460">
                  <c:v>-1.8526038049932594E-2</c:v>
                </c:pt>
                <c:pt idx="461">
                  <c:v>-1.7604069732679341E-2</c:v>
                </c:pt>
                <c:pt idx="462">
                  <c:v>-1.7028314331954182E-2</c:v>
                </c:pt>
                <c:pt idx="463">
                  <c:v>-1.6258072068285612E-2</c:v>
                </c:pt>
                <c:pt idx="464">
                  <c:v>-1.5943054486082221E-2</c:v>
                </c:pt>
                <c:pt idx="465">
                  <c:v>-1.5195344441944288E-2</c:v>
                </c:pt>
                <c:pt idx="466">
                  <c:v>-1.4315604509505267E-2</c:v>
                </c:pt>
                <c:pt idx="467">
                  <c:v>-1.4153144035322961E-2</c:v>
                </c:pt>
                <c:pt idx="468">
                  <c:v>-1.4220876975810766E-2</c:v>
                </c:pt>
                <c:pt idx="469">
                  <c:v>-1.415412905319538E-2</c:v>
                </c:pt>
                <c:pt idx="470">
                  <c:v>-1.3963862603022029E-2</c:v>
                </c:pt>
                <c:pt idx="471">
                  <c:v>-1.3258350866343752E-2</c:v>
                </c:pt>
                <c:pt idx="472">
                  <c:v>-1.3152574657152999E-2</c:v>
                </c:pt>
                <c:pt idx="473">
                  <c:v>-1.299317237423126E-2</c:v>
                </c:pt>
                <c:pt idx="474">
                  <c:v>-1.3130658576563361E-2</c:v>
                </c:pt>
                <c:pt idx="475">
                  <c:v>-1.2176380898886084E-2</c:v>
                </c:pt>
                <c:pt idx="476">
                  <c:v>-1.1760903952598616E-2</c:v>
                </c:pt>
                <c:pt idx="477">
                  <c:v>-1.3026575355257058E-2</c:v>
                </c:pt>
                <c:pt idx="478">
                  <c:v>-1.1813588153199382E-2</c:v>
                </c:pt>
                <c:pt idx="479">
                  <c:v>-1.0991937723632057E-2</c:v>
                </c:pt>
                <c:pt idx="480">
                  <c:v>-1.1817304064708467E-2</c:v>
                </c:pt>
                <c:pt idx="481">
                  <c:v>-1.035454059024914E-2</c:v>
                </c:pt>
                <c:pt idx="482">
                  <c:v>-8.7076403177687219E-3</c:v>
                </c:pt>
                <c:pt idx="483">
                  <c:v>-1.2124375593193848E-2</c:v>
                </c:pt>
                <c:pt idx="484">
                  <c:v>-1.1465673314567134E-2</c:v>
                </c:pt>
                <c:pt idx="485">
                  <c:v>-1.1935210594917051E-2</c:v>
                </c:pt>
                <c:pt idx="486">
                  <c:v>-1.1496341563219209E-2</c:v>
                </c:pt>
                <c:pt idx="487">
                  <c:v>-1.0135871774554776E-2</c:v>
                </c:pt>
                <c:pt idx="488">
                  <c:v>-9.5440337159989549E-3</c:v>
                </c:pt>
                <c:pt idx="489">
                  <c:v>-9.2397379725089532E-3</c:v>
                </c:pt>
                <c:pt idx="490">
                  <c:v>-8.8176355862639496E-3</c:v>
                </c:pt>
                <c:pt idx="491">
                  <c:v>-8.8462221661922136E-3</c:v>
                </c:pt>
                <c:pt idx="492">
                  <c:v>-7.4817965102507503E-3</c:v>
                </c:pt>
                <c:pt idx="493">
                  <c:v>-6.8572263393469023E-3</c:v>
                </c:pt>
                <c:pt idx="494">
                  <c:v>-6.2984474222869229E-3</c:v>
                </c:pt>
                <c:pt idx="495">
                  <c:v>-5.7725982119032557E-3</c:v>
                </c:pt>
                <c:pt idx="496">
                  <c:v>-5.9580099982547759E-3</c:v>
                </c:pt>
                <c:pt idx="497">
                  <c:v>-4.9120164811924617E-3</c:v>
                </c:pt>
                <c:pt idx="498">
                  <c:v>-2.8217645938068583E-3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28-40A3-A25B-265DDD8E3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391423"/>
        <c:axId val="243389343"/>
      </c:lineChart>
      <c:dateAx>
        <c:axId val="2433914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389343"/>
        <c:crosses val="autoZero"/>
        <c:auto val="1"/>
        <c:lblOffset val="100"/>
        <c:baseTimeUnit val="days"/>
      </c:dateAx>
      <c:valAx>
        <c:axId val="24338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39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7C38C7-8643-4F91-A255-CC2872940DD3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10A5A3-9CED-4808-8580-CA5A7E1401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300</v>
      </c>
      <c r="D2" s="4">
        <f>MIN(D3:D1912)</f>
        <v>7.048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8.92</v>
      </c>
      <c r="C5">
        <v>9.01</v>
      </c>
      <c r="D5">
        <v>8.59</v>
      </c>
      <c r="E5">
        <v>8.6199999999999992</v>
      </c>
      <c r="F5">
        <v>3626.62</v>
      </c>
      <c r="G5">
        <v>8.6199999999999992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-0.8571428571428602</v>
      </c>
      <c r="Q5">
        <f t="shared" ref="Q5" si="1">F5*P5</f>
        <v>-3108.5314285714394</v>
      </c>
      <c r="R5">
        <f t="shared" ref="R5" si="2">R6+Q5</f>
        <v>-12098316.377993345</v>
      </c>
      <c r="S5">
        <f t="shared" ref="S5" si="3">R5/100000</f>
        <v>-120.98316377993345</v>
      </c>
      <c r="T5">
        <f t="shared" ref="T5" si="4">S5/1000</f>
        <v>-0.12098316377993344</v>
      </c>
    </row>
    <row r="6" spans="1:20" x14ac:dyDescent="0.25">
      <c r="A6" s="5">
        <v>44587</v>
      </c>
      <c r="B6">
        <v>9.24</v>
      </c>
      <c r="C6">
        <v>9.83</v>
      </c>
      <c r="D6">
        <v>8.7100000000000009</v>
      </c>
      <c r="E6">
        <v>8.9</v>
      </c>
      <c r="F6">
        <v>81820.3</v>
      </c>
      <c r="G6">
        <v>8.9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-0.66071428571428636</v>
      </c>
      <c r="Q6">
        <f t="shared" ref="Q6" si="6">F6*P6</f>
        <v>-54059.841071428629</v>
      </c>
      <c r="R6">
        <f t="shared" ref="R6" si="7">R7+Q6</f>
        <v>-12095207.846564773</v>
      </c>
      <c r="S6">
        <f t="shared" ref="S6" si="8">R6/100000</f>
        <v>-120.95207846564773</v>
      </c>
      <c r="T6">
        <f t="shared" ref="T6" si="9">S6/1000</f>
        <v>-0.12095207846564773</v>
      </c>
    </row>
    <row r="7" spans="1:20" x14ac:dyDescent="0.25">
      <c r="A7" s="5">
        <v>44586</v>
      </c>
      <c r="B7">
        <v>9.24</v>
      </c>
      <c r="C7">
        <v>10</v>
      </c>
      <c r="D7">
        <v>8.9</v>
      </c>
      <c r="E7">
        <v>9.23</v>
      </c>
      <c r="F7">
        <v>84879.92</v>
      </c>
      <c r="G7">
        <v>9.23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-0.39999999999999969</v>
      </c>
      <c r="Q7">
        <f t="shared" ref="Q7" si="11">F7*P7</f>
        <v>-33951.967999999972</v>
      </c>
      <c r="R7">
        <f t="shared" ref="R7" si="12">R8+Q7</f>
        <v>-12041148.005493345</v>
      </c>
      <c r="S7">
        <f t="shared" ref="S7" si="13">R7/100000</f>
        <v>-120.41148005493345</v>
      </c>
      <c r="T7">
        <f t="shared" ref="T7" si="14">S7/1000</f>
        <v>-0.12041148005493345</v>
      </c>
    </row>
    <row r="8" spans="1:20" x14ac:dyDescent="0.25">
      <c r="A8" s="5">
        <v>44585</v>
      </c>
      <c r="B8">
        <v>9.48</v>
      </c>
      <c r="C8">
        <v>9.5</v>
      </c>
      <c r="D8">
        <v>8.1300000000000008</v>
      </c>
      <c r="E8">
        <v>9.24</v>
      </c>
      <c r="F8">
        <v>54817.14</v>
      </c>
      <c r="G8">
        <v>9.24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0.62043795620437969</v>
      </c>
      <c r="Q8">
        <f t="shared" ref="Q8" si="16">F8*P8</f>
        <v>34010.634306569351</v>
      </c>
      <c r="R8">
        <f t="shared" ref="R8" si="17">R9+Q8</f>
        <v>-12007196.037493344</v>
      </c>
      <c r="S8">
        <f t="shared" ref="S8" si="18">R8/100000</f>
        <v>-120.07196037493344</v>
      </c>
      <c r="T8">
        <f t="shared" ref="T8" si="19">S8/1000</f>
        <v>-0.12007196037493344</v>
      </c>
    </row>
    <row r="9" spans="1:20" x14ac:dyDescent="0.25">
      <c r="A9" s="5">
        <v>44584</v>
      </c>
      <c r="B9">
        <v>9.09</v>
      </c>
      <c r="C9">
        <v>9.75</v>
      </c>
      <c r="D9">
        <v>8.99</v>
      </c>
      <c r="E9">
        <v>9.4700000000000006</v>
      </c>
      <c r="F9">
        <v>60753.32</v>
      </c>
      <c r="G9">
        <v>9.4700000000000006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0.26315789473684359</v>
      </c>
      <c r="Q9">
        <f t="shared" ref="Q9" si="21">F9*P9</f>
        <v>15987.715789473774</v>
      </c>
      <c r="R9">
        <f t="shared" ref="R9" si="22">R10+Q9</f>
        <v>-12041206.671799913</v>
      </c>
      <c r="S9">
        <f t="shared" ref="S9" si="23">R9/100000</f>
        <v>-120.41206671799912</v>
      </c>
      <c r="T9">
        <f t="shared" ref="T9" si="24">S9/1000</f>
        <v>-0.12041206671799913</v>
      </c>
    </row>
    <row r="10" spans="1:20" x14ac:dyDescent="0.25">
      <c r="A10" s="5">
        <v>44583</v>
      </c>
      <c r="B10">
        <v>10.119999999999999</v>
      </c>
      <c r="C10">
        <v>10.44</v>
      </c>
      <c r="D10">
        <v>8.57</v>
      </c>
      <c r="E10">
        <v>9.0500000000000007</v>
      </c>
      <c r="F10">
        <v>224841.323</v>
      </c>
      <c r="G10">
        <v>9.0500000000000007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-0.48663101604278008</v>
      </c>
      <c r="Q10">
        <f t="shared" ref="Q10" si="26">F10*P10</f>
        <v>-109414.76145989291</v>
      </c>
      <c r="R10">
        <f t="shared" ref="R10" si="27">R11+Q10</f>
        <v>-12057194.387589388</v>
      </c>
      <c r="S10">
        <f t="shared" ref="S10" si="28">R10/100000</f>
        <v>-120.57194387589388</v>
      </c>
      <c r="T10">
        <f t="shared" ref="T10" si="29">S10/1000</f>
        <v>-0.12057194387589389</v>
      </c>
    </row>
    <row r="11" spans="1:20" x14ac:dyDescent="0.25">
      <c r="A11" s="5">
        <v>44582</v>
      </c>
      <c r="B11">
        <v>11.82</v>
      </c>
      <c r="C11">
        <v>12.01</v>
      </c>
      <c r="D11">
        <v>10.029999999999999</v>
      </c>
      <c r="E11">
        <v>10.14</v>
      </c>
      <c r="F11">
        <v>79811.478000000003</v>
      </c>
      <c r="G11">
        <v>10.14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-0.88888888888888773</v>
      </c>
      <c r="Q11">
        <f t="shared" ref="Q11" si="31">F11*P11</f>
        <v>-70943.535999999905</v>
      </c>
      <c r="R11">
        <f t="shared" ref="R11" si="32">R12+Q11</f>
        <v>-11947779.626129495</v>
      </c>
      <c r="S11">
        <f t="shared" ref="S11" si="33">R11/100000</f>
        <v>-119.47779626129496</v>
      </c>
      <c r="T11">
        <f t="shared" ref="T11" si="34">S11/1000</f>
        <v>-0.11947779626129496</v>
      </c>
    </row>
    <row r="12" spans="1:20" x14ac:dyDescent="0.25">
      <c r="A12" s="5">
        <v>44581</v>
      </c>
      <c r="B12">
        <v>12.11</v>
      </c>
      <c r="C12">
        <v>12.68</v>
      </c>
      <c r="D12">
        <v>11.7</v>
      </c>
      <c r="E12">
        <v>11.82</v>
      </c>
      <c r="F12">
        <v>35964.11</v>
      </c>
      <c r="G12">
        <v>11.82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-0.75510204081632459</v>
      </c>
      <c r="Q12">
        <f t="shared" ref="Q12" si="36">F12*P12</f>
        <v>-27156.572857142786</v>
      </c>
      <c r="R12">
        <f t="shared" ref="R12" si="37">R13+Q12</f>
        <v>-11876836.090129495</v>
      </c>
      <c r="S12">
        <f t="shared" ref="S12" si="38">R12/100000</f>
        <v>-118.76836090129494</v>
      </c>
      <c r="T12">
        <f t="shared" ref="T12" si="39">S12/1000</f>
        <v>-0.11876836090129494</v>
      </c>
    </row>
    <row r="13" spans="1:20" x14ac:dyDescent="0.25">
      <c r="A13" s="5">
        <v>44580</v>
      </c>
      <c r="B13">
        <v>12.5</v>
      </c>
      <c r="C13">
        <v>12.58</v>
      </c>
      <c r="D13">
        <v>11.79</v>
      </c>
      <c r="E13">
        <v>12.05</v>
      </c>
      <c r="F13">
        <v>40492.129999999997</v>
      </c>
      <c r="G13">
        <v>12.05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-0.341772151898731</v>
      </c>
      <c r="Q13">
        <f t="shared" ref="Q13" si="41">F13*P13</f>
        <v>-13839.082405063162</v>
      </c>
      <c r="R13">
        <f t="shared" ref="R13" si="42">R14+Q13</f>
        <v>-11849679.517272351</v>
      </c>
      <c r="S13">
        <f t="shared" ref="S13" si="43">R13/100000</f>
        <v>-118.49679517272351</v>
      </c>
      <c r="T13">
        <f t="shared" ref="T13" si="44">S13/1000</f>
        <v>-0.1184967951727235</v>
      </c>
    </row>
    <row r="14" spans="1:20" x14ac:dyDescent="0.25">
      <c r="A14" s="5">
        <v>44579</v>
      </c>
      <c r="B14">
        <v>12.76</v>
      </c>
      <c r="C14">
        <v>12.9</v>
      </c>
      <c r="D14">
        <v>12.21</v>
      </c>
      <c r="E14">
        <v>12.5</v>
      </c>
      <c r="F14">
        <v>40567.660000000003</v>
      </c>
      <c r="G14">
        <v>12.5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-0.15942028985507434</v>
      </c>
      <c r="Q14">
        <f t="shared" ref="Q14" si="46">F14*P14</f>
        <v>-6467.3081159421054</v>
      </c>
      <c r="R14">
        <f t="shared" ref="R14" si="47">R15+Q14</f>
        <v>-11835840.434867289</v>
      </c>
      <c r="S14">
        <f t="shared" ref="S14" si="48">R14/100000</f>
        <v>-118.35840434867289</v>
      </c>
      <c r="T14">
        <f t="shared" ref="T14" si="49">S14/1000</f>
        <v>-0.1183584043486729</v>
      </c>
    </row>
    <row r="15" spans="1:20" x14ac:dyDescent="0.25">
      <c r="A15" s="5">
        <v>44578</v>
      </c>
      <c r="B15">
        <v>13.63</v>
      </c>
      <c r="C15">
        <v>13.73</v>
      </c>
      <c r="D15">
        <v>12.5</v>
      </c>
      <c r="E15">
        <v>12.75</v>
      </c>
      <c r="F15">
        <v>42586.91</v>
      </c>
      <c r="G15">
        <v>12.75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-0.59349593495934971</v>
      </c>
      <c r="Q15">
        <f t="shared" ref="Q15" si="51">F15*P15</f>
        <v>-25275.157967479681</v>
      </c>
      <c r="R15">
        <f t="shared" ref="R15" si="52">R16+Q15</f>
        <v>-11829373.126751347</v>
      </c>
      <c r="S15">
        <f t="shared" ref="S15" si="53">R15/100000</f>
        <v>-118.29373126751346</v>
      </c>
      <c r="T15">
        <f t="shared" ref="T15" si="54">S15/1000</f>
        <v>-0.11829373126751347</v>
      </c>
    </row>
    <row r="16" spans="1:20" x14ac:dyDescent="0.25">
      <c r="A16" s="5">
        <v>44577</v>
      </c>
      <c r="B16">
        <v>14.41</v>
      </c>
      <c r="C16">
        <v>14.63</v>
      </c>
      <c r="D16">
        <v>13.54</v>
      </c>
      <c r="E16">
        <v>13.63</v>
      </c>
      <c r="F16">
        <v>81593.039999999994</v>
      </c>
      <c r="G16">
        <v>13.63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-0.83486238532109813</v>
      </c>
      <c r="Q16">
        <f t="shared" ref="Q16" si="56">F16*P16</f>
        <v>-68118.959999999774</v>
      </c>
      <c r="R16">
        <f t="shared" ref="R16" si="57">R17+Q16</f>
        <v>-11804097.968783867</v>
      </c>
      <c r="S16">
        <f t="shared" ref="S16" si="58">R16/100000</f>
        <v>-118.04097968783867</v>
      </c>
      <c r="T16">
        <f t="shared" ref="T16" si="59">S16/1000</f>
        <v>-0.11804097968783867</v>
      </c>
    </row>
    <row r="17" spans="1:20" x14ac:dyDescent="0.25">
      <c r="A17" s="5">
        <v>44576</v>
      </c>
      <c r="B17">
        <v>13.43</v>
      </c>
      <c r="C17">
        <v>15.8</v>
      </c>
      <c r="D17">
        <v>12.99</v>
      </c>
      <c r="E17">
        <v>14.4</v>
      </c>
      <c r="F17">
        <v>240328.25</v>
      </c>
      <c r="G17">
        <v>14.4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3.5587188612098879E-3</v>
      </c>
      <c r="Q17">
        <f t="shared" ref="Q17" si="61">F17*P17</f>
        <v>855.2606761565653</v>
      </c>
      <c r="R17">
        <f t="shared" ref="R17" si="62">R18+Q17</f>
        <v>-11735979.008783868</v>
      </c>
      <c r="S17">
        <f t="shared" ref="S17" si="63">R17/100000</f>
        <v>-117.35979008783868</v>
      </c>
      <c r="T17">
        <f t="shared" ref="T17" si="64">S17/1000</f>
        <v>-0.11735979008783867</v>
      </c>
    </row>
    <row r="18" spans="1:20" x14ac:dyDescent="0.25">
      <c r="A18" s="5">
        <v>44575</v>
      </c>
      <c r="B18">
        <v>12.67</v>
      </c>
      <c r="C18">
        <v>14.13</v>
      </c>
      <c r="D18">
        <v>12.59</v>
      </c>
      <c r="E18">
        <v>13.43</v>
      </c>
      <c r="F18">
        <v>122477.92</v>
      </c>
      <c r="G18">
        <v>13.43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9.0909090909090065E-2</v>
      </c>
      <c r="Q18">
        <f t="shared" ref="Q18" si="66">F18*P18</f>
        <v>11134.35636363626</v>
      </c>
      <c r="R18">
        <f t="shared" ref="R18" si="67">R19+Q18</f>
        <v>-11736834.269460024</v>
      </c>
      <c r="S18">
        <f t="shared" ref="S18" si="68">R18/100000</f>
        <v>-117.36834269460024</v>
      </c>
      <c r="T18">
        <f t="shared" ref="T18" si="69">S18/1000</f>
        <v>-0.11736834269460024</v>
      </c>
    </row>
    <row r="19" spans="1:20" x14ac:dyDescent="0.25">
      <c r="A19" s="5">
        <v>44574</v>
      </c>
      <c r="B19">
        <v>13.35</v>
      </c>
      <c r="C19">
        <v>13.45</v>
      </c>
      <c r="D19">
        <v>12.6</v>
      </c>
      <c r="E19">
        <v>12.65</v>
      </c>
      <c r="F19">
        <v>28922.89</v>
      </c>
      <c r="G19">
        <v>12.65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-0.8823529411764689</v>
      </c>
      <c r="Q19">
        <f t="shared" ref="Q19" si="71">F19*P19</f>
        <v>-25520.19705882348</v>
      </c>
      <c r="R19">
        <f t="shared" ref="R19" si="72">R20+Q19</f>
        <v>-11747968.62582366</v>
      </c>
      <c r="S19">
        <f t="shared" ref="S19" si="73">R19/100000</f>
        <v>-117.4796862582366</v>
      </c>
      <c r="T19">
        <f t="shared" ref="T19" si="74">S19/1000</f>
        <v>-0.1174796862582366</v>
      </c>
    </row>
    <row r="20" spans="1:20" x14ac:dyDescent="0.25">
      <c r="A20" s="5">
        <v>44573</v>
      </c>
      <c r="B20">
        <v>12.72</v>
      </c>
      <c r="C20">
        <v>13.44</v>
      </c>
      <c r="D20">
        <v>12.57</v>
      </c>
      <c r="E20">
        <v>13.35</v>
      </c>
      <c r="F20">
        <v>28604.44</v>
      </c>
      <c r="G20">
        <v>13.35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0.79310344827586221</v>
      </c>
      <c r="Q20">
        <f t="shared" ref="Q20" si="76">F20*P20</f>
        <v>22686.280000000002</v>
      </c>
      <c r="R20">
        <f t="shared" ref="R20" si="77">R21+Q20</f>
        <v>-11722448.428764837</v>
      </c>
      <c r="S20">
        <f t="shared" ref="S20" si="78">R20/100000</f>
        <v>-117.22448428764837</v>
      </c>
      <c r="T20">
        <f t="shared" ref="T20" si="79">S20/1000</f>
        <v>-0.11722448428764837</v>
      </c>
    </row>
    <row r="21" spans="1:20" x14ac:dyDescent="0.25">
      <c r="A21" s="5">
        <v>44572</v>
      </c>
      <c r="B21">
        <v>12.35</v>
      </c>
      <c r="C21">
        <v>12.87</v>
      </c>
      <c r="D21">
        <v>12.15</v>
      </c>
      <c r="E21">
        <v>12.72</v>
      </c>
      <c r="F21">
        <v>60090.27</v>
      </c>
      <c r="G21">
        <v>12.72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0.58333333333333659</v>
      </c>
      <c r="Q21">
        <f t="shared" ref="Q21" si="81">F21*P21</f>
        <v>35052.65750000019</v>
      </c>
      <c r="R21">
        <f t="shared" ref="R21" si="82">R22+Q21</f>
        <v>-11745134.708764836</v>
      </c>
      <c r="S21">
        <f t="shared" ref="S21" si="83">R21/100000</f>
        <v>-117.45134708764836</v>
      </c>
      <c r="T21">
        <f t="shared" ref="T21" si="84">S21/1000</f>
        <v>-0.11745134708764836</v>
      </c>
    </row>
    <row r="22" spans="1:20" x14ac:dyDescent="0.25">
      <c r="A22" s="5">
        <v>44571</v>
      </c>
      <c r="B22">
        <v>13</v>
      </c>
      <c r="C22">
        <v>13.16</v>
      </c>
      <c r="D22">
        <v>11.88</v>
      </c>
      <c r="E22">
        <v>12.34</v>
      </c>
      <c r="F22">
        <v>44214.02</v>
      </c>
      <c r="G22">
        <v>12.34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-0.28125000000000111</v>
      </c>
      <c r="Q22">
        <f t="shared" ref="Q22" si="86">F22*P22</f>
        <v>-12435.193125000049</v>
      </c>
      <c r="R22">
        <f t="shared" ref="R22" si="87">R23+Q22</f>
        <v>-11780187.366264837</v>
      </c>
      <c r="S22">
        <f t="shared" ref="S22" si="88">R22/100000</f>
        <v>-117.80187366264836</v>
      </c>
      <c r="T22">
        <f t="shared" ref="T22" si="89">S22/1000</f>
        <v>-0.11780187366264837</v>
      </c>
    </row>
    <row r="23" spans="1:20" x14ac:dyDescent="0.25">
      <c r="A23" s="5">
        <v>44570</v>
      </c>
      <c r="B23">
        <v>12.75</v>
      </c>
      <c r="C23">
        <v>13.35</v>
      </c>
      <c r="D23">
        <v>12.61</v>
      </c>
      <c r="E23">
        <v>13.03</v>
      </c>
      <c r="F23">
        <v>28905.95</v>
      </c>
      <c r="G23">
        <v>13.03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0.13513513513513462</v>
      </c>
      <c r="Q23">
        <f t="shared" ref="Q23" si="91">F23*P23</f>
        <v>3906.2094594594446</v>
      </c>
      <c r="R23">
        <f t="shared" ref="R23" si="92">R24+Q23</f>
        <v>-11767752.173139837</v>
      </c>
      <c r="S23">
        <f t="shared" ref="S23" si="93">R23/100000</f>
        <v>-117.67752173139837</v>
      </c>
      <c r="T23">
        <f t="shared" ref="T23" si="94">S23/1000</f>
        <v>-0.11767752173139837</v>
      </c>
    </row>
    <row r="24" spans="1:20" x14ac:dyDescent="0.25">
      <c r="A24" s="5">
        <v>44569</v>
      </c>
      <c r="B24">
        <v>13.36</v>
      </c>
      <c r="C24">
        <v>14.89</v>
      </c>
      <c r="D24">
        <v>12.38</v>
      </c>
      <c r="E24">
        <v>12.75</v>
      </c>
      <c r="F24">
        <v>99288.77</v>
      </c>
      <c r="G24">
        <v>12.75</v>
      </c>
      <c r="L24" t="s">
        <v>7</v>
      </c>
      <c r="M24" t="s">
        <v>8</v>
      </c>
      <c r="N24" t="s">
        <v>7</v>
      </c>
      <c r="P24">
        <f t="shared" ref="P24" si="95">IF(C24=D24,0,((E24-D24)-(C24-E24))/(C24-D24))</f>
        <v>-0.70517928286852649</v>
      </c>
      <c r="Q24">
        <f t="shared" ref="Q24" si="96">F24*P24</f>
        <v>-70016.383625498071</v>
      </c>
      <c r="R24">
        <f t="shared" ref="R24" si="97">R25+Q24</f>
        <v>-11771658.382599296</v>
      </c>
      <c r="S24">
        <f t="shared" ref="S24" si="98">R24/100000</f>
        <v>-117.71658382599296</v>
      </c>
      <c r="T24">
        <f t="shared" ref="T24" si="99">S24/1000</f>
        <v>-0.11771658382599295</v>
      </c>
    </row>
    <row r="25" spans="1:20" x14ac:dyDescent="0.25">
      <c r="A25" s="5">
        <v>44568</v>
      </c>
      <c r="B25">
        <v>13.75</v>
      </c>
      <c r="C25">
        <v>13.91</v>
      </c>
      <c r="D25">
        <v>12.64</v>
      </c>
      <c r="E25">
        <v>13.37</v>
      </c>
      <c r="F25">
        <v>69992.36</v>
      </c>
      <c r="G25">
        <v>13.37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0.14960629921259669</v>
      </c>
      <c r="Q25">
        <f t="shared" ref="Q25" si="101">F25*P25</f>
        <v>10471.297952755784</v>
      </c>
      <c r="R25">
        <f t="shared" ref="R25" si="102">R26+Q25</f>
        <v>-11701641.998973798</v>
      </c>
      <c r="S25">
        <f t="shared" ref="S25" si="103">R25/100000</f>
        <v>-117.01641998973798</v>
      </c>
      <c r="T25">
        <f t="shared" ref="T25" si="104">S25/1000</f>
        <v>-0.11701641998973798</v>
      </c>
    </row>
    <row r="26" spans="1:20" x14ac:dyDescent="0.25">
      <c r="A26" s="5">
        <v>44567</v>
      </c>
      <c r="B26">
        <v>14.12</v>
      </c>
      <c r="C26">
        <v>14.35</v>
      </c>
      <c r="D26">
        <v>13.5</v>
      </c>
      <c r="E26">
        <v>13.72</v>
      </c>
      <c r="F26">
        <v>37693.949999999997</v>
      </c>
      <c r="G26">
        <v>13.72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-0.48235294117646887</v>
      </c>
      <c r="Q26">
        <f t="shared" ref="Q26" si="106">F26*P26</f>
        <v>-18181.787647058758</v>
      </c>
      <c r="R26">
        <f t="shared" ref="R26" si="107">R27+Q26</f>
        <v>-11712113.296926554</v>
      </c>
      <c r="S26">
        <f t="shared" ref="S26" si="108">R26/100000</f>
        <v>-117.12113296926555</v>
      </c>
      <c r="T26">
        <f t="shared" ref="T26" si="109">S26/1000</f>
        <v>-0.11712113296926555</v>
      </c>
    </row>
    <row r="27" spans="1:20" x14ac:dyDescent="0.25">
      <c r="A27" s="5">
        <v>44566</v>
      </c>
      <c r="B27">
        <v>15.02</v>
      </c>
      <c r="C27">
        <v>15.48</v>
      </c>
      <c r="D27">
        <v>14</v>
      </c>
      <c r="E27">
        <v>14.18</v>
      </c>
      <c r="F27">
        <v>56808.1</v>
      </c>
      <c r="G27">
        <v>14.18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-0.75675675675675724</v>
      </c>
      <c r="Q27">
        <f t="shared" ref="Q27" si="111">F27*P27</f>
        <v>-42989.913513513537</v>
      </c>
      <c r="R27">
        <f t="shared" ref="R27" si="112">R28+Q27</f>
        <v>-11693931.509279495</v>
      </c>
      <c r="S27">
        <f t="shared" ref="S27" si="113">R27/100000</f>
        <v>-116.93931509279496</v>
      </c>
      <c r="T27">
        <f t="shared" ref="T27" si="114">S27/1000</f>
        <v>-0.11693931509279495</v>
      </c>
    </row>
    <row r="28" spans="1:20" x14ac:dyDescent="0.25">
      <c r="A28" s="5">
        <v>44565</v>
      </c>
      <c r="B28">
        <v>15.13</v>
      </c>
      <c r="C28">
        <v>15.8</v>
      </c>
      <c r="D28">
        <v>14.77</v>
      </c>
      <c r="E28">
        <v>15.02</v>
      </c>
      <c r="F28">
        <v>67591.360000000001</v>
      </c>
      <c r="G28">
        <v>15.02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-0.51456310679611705</v>
      </c>
      <c r="Q28">
        <f t="shared" ref="Q28" si="116">F28*P28</f>
        <v>-34780.020194174795</v>
      </c>
      <c r="R28">
        <f t="shared" ref="R28" si="117">R29+Q28</f>
        <v>-11650941.595765982</v>
      </c>
      <c r="S28">
        <f t="shared" ref="S28" si="118">R28/100000</f>
        <v>-116.50941595765981</v>
      </c>
      <c r="T28">
        <f t="shared" ref="T28" si="119">S28/1000</f>
        <v>-0.11650941595765982</v>
      </c>
    </row>
    <row r="29" spans="1:20" x14ac:dyDescent="0.25">
      <c r="A29" s="5">
        <v>44564</v>
      </c>
      <c r="B29">
        <v>15.37</v>
      </c>
      <c r="C29">
        <v>15.65</v>
      </c>
      <c r="D29">
        <v>14.8</v>
      </c>
      <c r="E29">
        <v>15.11</v>
      </c>
      <c r="F29">
        <v>40598.800000000003</v>
      </c>
      <c r="G29">
        <v>15.11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-0.27058823529412035</v>
      </c>
      <c r="Q29">
        <f t="shared" ref="Q29" si="121">F29*P29</f>
        <v>-10985.557647058935</v>
      </c>
      <c r="R29">
        <f t="shared" ref="R29" si="122">R30+Q29</f>
        <v>-11616161.575571807</v>
      </c>
      <c r="S29">
        <f t="shared" ref="S29" si="123">R29/100000</f>
        <v>-116.16161575571807</v>
      </c>
      <c r="T29">
        <f t="shared" ref="T29" si="124">S29/1000</f>
        <v>-0.11616161575571807</v>
      </c>
    </row>
    <row r="30" spans="1:20" x14ac:dyDescent="0.25">
      <c r="A30" s="5">
        <v>44563</v>
      </c>
      <c r="B30">
        <v>15.23</v>
      </c>
      <c r="C30">
        <v>15.8</v>
      </c>
      <c r="D30">
        <v>14.82</v>
      </c>
      <c r="E30">
        <v>15.37</v>
      </c>
      <c r="F30">
        <v>43334.39</v>
      </c>
      <c r="G30">
        <v>15.37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0.12244897959183407</v>
      </c>
      <c r="Q30">
        <f t="shared" ref="Q30" si="126">F30*P30</f>
        <v>5306.2518367345783</v>
      </c>
      <c r="R30">
        <f t="shared" ref="R30" si="127">R31+Q30</f>
        <v>-11605176.017924748</v>
      </c>
      <c r="S30">
        <f t="shared" ref="S30" si="128">R30/100000</f>
        <v>-116.05176017924748</v>
      </c>
      <c r="T30">
        <f t="shared" ref="T30" si="129">S30/1000</f>
        <v>-0.11605176017924748</v>
      </c>
    </row>
    <row r="31" spans="1:20" x14ac:dyDescent="0.25">
      <c r="A31" s="5">
        <v>44562</v>
      </c>
      <c r="B31">
        <v>15.05</v>
      </c>
      <c r="C31">
        <v>15.34</v>
      </c>
      <c r="D31">
        <v>14.77</v>
      </c>
      <c r="E31">
        <v>15.23</v>
      </c>
      <c r="F31">
        <v>41965.13</v>
      </c>
      <c r="G31">
        <v>15.23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0.61403508771930049</v>
      </c>
      <c r="Q31">
        <f t="shared" ref="Q31" si="131">F31*P31</f>
        <v>25768.062280701848</v>
      </c>
      <c r="R31">
        <f t="shared" ref="R31" si="132">R32+Q31</f>
        <v>-11610482.269761482</v>
      </c>
      <c r="S31">
        <f t="shared" ref="S31" si="133">R31/100000</f>
        <v>-116.10482269761482</v>
      </c>
      <c r="T31">
        <f t="shared" ref="T31" si="134">S31/1000</f>
        <v>-0.11610482269761482</v>
      </c>
    </row>
    <row r="32" spans="1:20" x14ac:dyDescent="0.25">
      <c r="A32" s="5">
        <v>44561</v>
      </c>
      <c r="B32">
        <v>15.29</v>
      </c>
      <c r="C32">
        <v>15.82</v>
      </c>
      <c r="D32">
        <v>14.87</v>
      </c>
      <c r="E32">
        <v>15.05</v>
      </c>
      <c r="F32">
        <v>33468.230000000003</v>
      </c>
      <c r="G32">
        <v>15.05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-0.62105263157894464</v>
      </c>
      <c r="Q32">
        <f t="shared" ref="Q32" si="136">F32*P32</f>
        <v>-20785.532315789384</v>
      </c>
      <c r="R32">
        <f t="shared" ref="R32" si="137">R33+Q32</f>
        <v>-11636250.332042184</v>
      </c>
      <c r="S32">
        <f t="shared" ref="S32" si="138">R32/100000</f>
        <v>-116.36250332042184</v>
      </c>
      <c r="T32">
        <f t="shared" ref="T32" si="139">S32/1000</f>
        <v>-0.11636250332042183</v>
      </c>
    </row>
    <row r="33" spans="1:20" x14ac:dyDescent="0.25">
      <c r="A33" s="5">
        <v>44560</v>
      </c>
      <c r="B33">
        <v>15.25</v>
      </c>
      <c r="C33">
        <v>16.559999999999999</v>
      </c>
      <c r="D33">
        <v>14.96</v>
      </c>
      <c r="E33">
        <v>15.25</v>
      </c>
      <c r="F33">
        <v>85049.15</v>
      </c>
      <c r="G33">
        <v>15.25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-0.63750000000000062</v>
      </c>
      <c r="Q33">
        <f t="shared" ref="Q33" si="141">F33*P33</f>
        <v>-54218.833125000048</v>
      </c>
      <c r="R33">
        <f t="shared" ref="R33" si="142">R34+Q33</f>
        <v>-11615464.799726395</v>
      </c>
      <c r="S33">
        <f t="shared" ref="S33" si="143">R33/100000</f>
        <v>-116.15464799726395</v>
      </c>
      <c r="T33">
        <f t="shared" ref="T33" si="144">S33/1000</f>
        <v>-0.11615464799726395</v>
      </c>
    </row>
    <row r="34" spans="1:20" x14ac:dyDescent="0.25">
      <c r="A34" s="5">
        <v>44559</v>
      </c>
      <c r="B34">
        <v>15.51</v>
      </c>
      <c r="C34">
        <v>16.399999999999999</v>
      </c>
      <c r="D34">
        <v>15.13</v>
      </c>
      <c r="E34">
        <v>15.25</v>
      </c>
      <c r="F34">
        <v>84288.320000000007</v>
      </c>
      <c r="G34">
        <v>15.25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-0.81102362204724499</v>
      </c>
      <c r="Q34">
        <f t="shared" ref="Q34" si="146">F34*P34</f>
        <v>-68359.818582677253</v>
      </c>
      <c r="R34">
        <f t="shared" ref="R34" si="147">R35+Q34</f>
        <v>-11561245.966601394</v>
      </c>
      <c r="S34">
        <f t="shared" ref="S34" si="148">R34/100000</f>
        <v>-115.61245966601395</v>
      </c>
      <c r="T34">
        <f t="shared" ref="T34" si="149">S34/1000</f>
        <v>-0.11561245966601395</v>
      </c>
    </row>
    <row r="35" spans="1:20" x14ac:dyDescent="0.25">
      <c r="A35" s="5">
        <v>44558</v>
      </c>
      <c r="B35">
        <v>16.41</v>
      </c>
      <c r="C35">
        <v>17.45</v>
      </c>
      <c r="D35">
        <v>15.11</v>
      </c>
      <c r="E35">
        <v>15.51</v>
      </c>
      <c r="F35">
        <v>144520.12</v>
      </c>
      <c r="G35">
        <v>15.51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-0.65811965811965778</v>
      </c>
      <c r="Q35">
        <f t="shared" ref="Q35" si="151">F35*P35</f>
        <v>-95111.531965811912</v>
      </c>
      <c r="R35">
        <f t="shared" ref="R35" si="152">R36+Q35</f>
        <v>-11492886.148018718</v>
      </c>
      <c r="S35">
        <f t="shared" ref="S35" si="153">R35/100000</f>
        <v>-114.92886148018718</v>
      </c>
      <c r="T35">
        <f t="shared" ref="T35" si="154">S35/1000</f>
        <v>-0.11492886148018717</v>
      </c>
    </row>
    <row r="36" spans="1:20" x14ac:dyDescent="0.25">
      <c r="A36" s="5">
        <v>44557</v>
      </c>
      <c r="B36">
        <v>16.45</v>
      </c>
      <c r="C36">
        <v>17.3</v>
      </c>
      <c r="D36">
        <v>16.25</v>
      </c>
      <c r="E36">
        <v>16.41</v>
      </c>
      <c r="F36">
        <v>86104.49</v>
      </c>
      <c r="G36">
        <v>16.41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-0.69523809523809521</v>
      </c>
      <c r="Q36">
        <f t="shared" ref="Q36" si="156">F36*P36</f>
        <v>-59863.121619047619</v>
      </c>
      <c r="R36">
        <f t="shared" ref="R36" si="157">R37+Q36</f>
        <v>-11397774.616052905</v>
      </c>
      <c r="S36">
        <f t="shared" ref="S36" si="158">R36/100000</f>
        <v>-113.97774616052905</v>
      </c>
      <c r="T36">
        <f t="shared" ref="T36" si="159">S36/1000</f>
        <v>-0.11397774616052905</v>
      </c>
    </row>
    <row r="37" spans="1:20" x14ac:dyDescent="0.25">
      <c r="A37" s="5">
        <v>44556</v>
      </c>
      <c r="B37">
        <v>16.71</v>
      </c>
      <c r="C37">
        <v>17.010000000000002</v>
      </c>
      <c r="D37">
        <v>16.07</v>
      </c>
      <c r="E37">
        <v>16.43</v>
      </c>
      <c r="F37">
        <v>65038.94</v>
      </c>
      <c r="G37">
        <v>16.43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-0.23404255319149161</v>
      </c>
      <c r="Q37">
        <f t="shared" ref="Q37" si="161">F37*P37</f>
        <v>-15221.879574468232</v>
      </c>
      <c r="R37">
        <f t="shared" ref="R37" si="162">R38+Q37</f>
        <v>-11337911.494433858</v>
      </c>
      <c r="S37">
        <f t="shared" ref="S37" si="163">R37/100000</f>
        <v>-113.37911494433858</v>
      </c>
      <c r="T37">
        <f t="shared" ref="T37" si="164">S37/1000</f>
        <v>-0.11337911494433858</v>
      </c>
    </row>
    <row r="38" spans="1:20" x14ac:dyDescent="0.25">
      <c r="A38" s="5">
        <v>44555</v>
      </c>
      <c r="B38">
        <v>16.41</v>
      </c>
      <c r="C38">
        <v>16.899999999999999</v>
      </c>
      <c r="D38">
        <v>16.149999999999999</v>
      </c>
      <c r="E38">
        <v>16.649999999999999</v>
      </c>
      <c r="F38">
        <v>54807.03</v>
      </c>
      <c r="G38">
        <v>16.649999999999999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0.33333333333333331</v>
      </c>
      <c r="Q38">
        <f t="shared" ref="Q38" si="166">F38*P38</f>
        <v>18269.009999999998</v>
      </c>
      <c r="R38">
        <f t="shared" ref="R38" si="167">R39+Q38</f>
        <v>-11322689.614859389</v>
      </c>
      <c r="S38">
        <f t="shared" ref="S38" si="168">R38/100000</f>
        <v>-113.22689614859389</v>
      </c>
      <c r="T38">
        <f t="shared" ref="T38" si="169">S38/1000</f>
        <v>-0.11322689614859389</v>
      </c>
    </row>
    <row r="39" spans="1:20" x14ac:dyDescent="0.25">
      <c r="A39" s="5">
        <v>44554</v>
      </c>
      <c r="B39">
        <v>16.55</v>
      </c>
      <c r="C39">
        <v>17.329999999999998</v>
      </c>
      <c r="D39">
        <v>16</v>
      </c>
      <c r="E39">
        <v>16.39</v>
      </c>
      <c r="F39">
        <v>119562.71</v>
      </c>
      <c r="G39">
        <v>16.39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-0.41353383458646453</v>
      </c>
      <c r="Q39">
        <f t="shared" ref="Q39" si="171">F39*P39</f>
        <v>-49443.225939849428</v>
      </c>
      <c r="R39">
        <f t="shared" ref="R39" si="172">R40+Q39</f>
        <v>-11340958.624859389</v>
      </c>
      <c r="S39">
        <f t="shared" ref="S39" si="173">R39/100000</f>
        <v>-113.40958624859388</v>
      </c>
      <c r="T39">
        <f t="shared" ref="T39" si="174">S39/1000</f>
        <v>-0.11340958624859389</v>
      </c>
    </row>
    <row r="40" spans="1:20" x14ac:dyDescent="0.25">
      <c r="A40" s="5">
        <v>44553</v>
      </c>
      <c r="B40">
        <v>15.43</v>
      </c>
      <c r="C40">
        <v>17.3</v>
      </c>
      <c r="D40">
        <v>15.17</v>
      </c>
      <c r="E40">
        <v>16.54</v>
      </c>
      <c r="F40">
        <v>121875.48</v>
      </c>
      <c r="G40">
        <v>16.54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0.2863849765258204</v>
      </c>
      <c r="Q40">
        <f t="shared" ref="Q40" si="176">F40*P40</f>
        <v>34903.306478873092</v>
      </c>
      <c r="R40">
        <f t="shared" ref="R40" si="177">R41+Q40</f>
        <v>-11291515.39891954</v>
      </c>
      <c r="S40">
        <f t="shared" ref="S40" si="178">R40/100000</f>
        <v>-112.91515398919539</v>
      </c>
      <c r="T40">
        <f t="shared" ref="T40" si="179">S40/1000</f>
        <v>-0.11291515398919538</v>
      </c>
    </row>
    <row r="41" spans="1:20" x14ac:dyDescent="0.25">
      <c r="A41" s="5">
        <v>44552</v>
      </c>
      <c r="B41">
        <v>15.78</v>
      </c>
      <c r="C41">
        <v>16.190000000000001</v>
      </c>
      <c r="D41">
        <v>15.27</v>
      </c>
      <c r="E41">
        <v>15.43</v>
      </c>
      <c r="F41">
        <v>56489.27</v>
      </c>
      <c r="G41">
        <v>15.43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-0.6521739130434786</v>
      </c>
      <c r="Q41">
        <f t="shared" ref="Q41" si="181">F41*P41</f>
        <v>-36840.828260869581</v>
      </c>
      <c r="R41">
        <f t="shared" ref="R41" si="182">R42+Q41</f>
        <v>-11326418.705398412</v>
      </c>
      <c r="S41">
        <f t="shared" ref="S41" si="183">R41/100000</f>
        <v>-113.26418705398413</v>
      </c>
      <c r="T41">
        <f t="shared" ref="T41" si="184">S41/1000</f>
        <v>-0.11326418705398413</v>
      </c>
    </row>
    <row r="42" spans="1:20" x14ac:dyDescent="0.25">
      <c r="A42" s="5">
        <v>44551</v>
      </c>
      <c r="B42">
        <v>15.26</v>
      </c>
      <c r="C42">
        <v>16.64</v>
      </c>
      <c r="D42">
        <v>14.92</v>
      </c>
      <c r="E42">
        <v>15.78</v>
      </c>
      <c r="F42">
        <v>99188.99</v>
      </c>
      <c r="G42">
        <v>15.78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-1.0327656043024709E-15</v>
      </c>
      <c r="Q42">
        <f t="shared" ref="Q42" si="186">F42*P42</f>
        <v>-1.0243897719750175E-10</v>
      </c>
      <c r="R42">
        <f t="shared" ref="R42" si="187">R43+Q42</f>
        <v>-11289577.877137544</v>
      </c>
      <c r="S42">
        <f t="shared" ref="S42" si="188">R42/100000</f>
        <v>-112.89577877137543</v>
      </c>
      <c r="T42">
        <f t="shared" ref="T42" si="189">S42/1000</f>
        <v>-0.11289577877137544</v>
      </c>
    </row>
    <row r="43" spans="1:20" x14ac:dyDescent="0.25">
      <c r="A43" s="5">
        <v>44550</v>
      </c>
      <c r="B43">
        <v>16.47</v>
      </c>
      <c r="C43">
        <v>16.829999999999998</v>
      </c>
      <c r="D43">
        <v>14.43</v>
      </c>
      <c r="E43">
        <v>15.26</v>
      </c>
      <c r="F43">
        <v>129871.42</v>
      </c>
      <c r="G43">
        <v>15.26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-0.30833333333333285</v>
      </c>
      <c r="Q43">
        <f t="shared" ref="Q43" si="191">F43*P43</f>
        <v>-40043.687833333272</v>
      </c>
      <c r="R43">
        <f t="shared" ref="R43" si="192">R44+Q43</f>
        <v>-11289577.877137544</v>
      </c>
      <c r="S43">
        <f t="shared" ref="S43" si="193">R43/100000</f>
        <v>-112.89577877137543</v>
      </c>
      <c r="T43">
        <f t="shared" ref="T43" si="194">S43/1000</f>
        <v>-0.11289577877137544</v>
      </c>
    </row>
    <row r="44" spans="1:20" x14ac:dyDescent="0.25">
      <c r="A44" s="5">
        <v>44549</v>
      </c>
      <c r="B44">
        <v>14.88</v>
      </c>
      <c r="C44">
        <v>17.809999999999999</v>
      </c>
      <c r="D44">
        <v>14.65</v>
      </c>
      <c r="E44">
        <v>16.5</v>
      </c>
      <c r="F44">
        <v>376298.86</v>
      </c>
      <c r="G44">
        <v>16.5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0.17088607594936747</v>
      </c>
      <c r="Q44">
        <f t="shared" ref="Q44" si="196">F44*P44</f>
        <v>64304.235569620396</v>
      </c>
      <c r="R44">
        <f t="shared" ref="R44" si="197">R45+Q44</f>
        <v>-11249534.18930421</v>
      </c>
      <c r="S44">
        <f t="shared" ref="S44" si="198">R44/100000</f>
        <v>-112.49534189304211</v>
      </c>
      <c r="T44">
        <f t="shared" ref="T44" si="199">S44/1000</f>
        <v>-0.11249534189304211</v>
      </c>
    </row>
    <row r="45" spans="1:20" x14ac:dyDescent="0.25">
      <c r="A45" s="5">
        <v>44548</v>
      </c>
      <c r="B45">
        <v>13.87</v>
      </c>
      <c r="C45">
        <v>18.68</v>
      </c>
      <c r="D45">
        <v>13.67</v>
      </c>
      <c r="E45">
        <v>14.87</v>
      </c>
      <c r="F45">
        <v>355234.5</v>
      </c>
      <c r="G45">
        <v>14.87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-0.52095808383233555</v>
      </c>
      <c r="Q45">
        <f t="shared" ref="Q45" si="201">F45*P45</f>
        <v>-185062.28443113781</v>
      </c>
      <c r="R45">
        <f t="shared" ref="R45" si="202">R46+Q45</f>
        <v>-11313838.424873831</v>
      </c>
      <c r="S45">
        <f t="shared" ref="S45" si="203">R45/100000</f>
        <v>-113.1383842487383</v>
      </c>
      <c r="T45">
        <f t="shared" ref="T45" si="204">S45/1000</f>
        <v>-0.1131383842487383</v>
      </c>
    </row>
    <row r="46" spans="1:20" x14ac:dyDescent="0.25">
      <c r="A46" s="5">
        <v>44547</v>
      </c>
      <c r="B46">
        <v>13.99</v>
      </c>
      <c r="C46">
        <v>14.36</v>
      </c>
      <c r="D46">
        <v>13.54</v>
      </c>
      <c r="E46">
        <v>13.87</v>
      </c>
      <c r="F46">
        <v>47765.71</v>
      </c>
      <c r="G46">
        <v>13.87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-0.19512195121951231</v>
      </c>
      <c r="Q46">
        <f t="shared" ref="Q46" si="206">F46*P46</f>
        <v>-9320.1385365853712</v>
      </c>
      <c r="R46">
        <f t="shared" ref="R46" si="207">R47+Q46</f>
        <v>-11128776.140442694</v>
      </c>
      <c r="S46">
        <f t="shared" ref="S46" si="208">R46/100000</f>
        <v>-111.28776140442693</v>
      </c>
      <c r="T46">
        <f t="shared" ref="T46" si="209">S46/1000</f>
        <v>-0.11128776140442694</v>
      </c>
    </row>
    <row r="47" spans="1:20" x14ac:dyDescent="0.25">
      <c r="A47" s="5">
        <v>44546</v>
      </c>
      <c r="B47">
        <v>14.3</v>
      </c>
      <c r="C47">
        <v>15.03</v>
      </c>
      <c r="D47">
        <v>13.98</v>
      </c>
      <c r="E47">
        <v>13.98</v>
      </c>
      <c r="F47">
        <v>52405.99</v>
      </c>
      <c r="G47">
        <v>13.98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-52405.99</v>
      </c>
      <c r="R47">
        <f t="shared" ref="R47" si="212">R48+Q47</f>
        <v>-11119456.001906108</v>
      </c>
      <c r="S47">
        <f t="shared" ref="S47" si="213">R47/100000</f>
        <v>-111.19456001906109</v>
      </c>
      <c r="T47">
        <f t="shared" ref="T47" si="214">S47/1000</f>
        <v>-0.11119456001906108</v>
      </c>
    </row>
    <row r="48" spans="1:20" x14ac:dyDescent="0.25">
      <c r="A48" s="5">
        <v>44545</v>
      </c>
      <c r="B48">
        <v>14.16</v>
      </c>
      <c r="C48">
        <v>14.6</v>
      </c>
      <c r="D48">
        <v>13.45</v>
      </c>
      <c r="E48">
        <v>14.3</v>
      </c>
      <c r="F48">
        <v>55518.080000000002</v>
      </c>
      <c r="G48">
        <v>14.3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0.4782608695652194</v>
      </c>
      <c r="Q48">
        <f t="shared" ref="Q48" si="216">F48*P48</f>
        <v>26552.125217391418</v>
      </c>
      <c r="R48">
        <f t="shared" ref="R48" si="217">R49+Q48</f>
        <v>-11067050.011906108</v>
      </c>
      <c r="S48">
        <f t="shared" ref="S48" si="218">R48/100000</f>
        <v>-110.67050011906107</v>
      </c>
      <c r="T48">
        <f t="shared" ref="T48" si="219">S48/1000</f>
        <v>-0.11067050011906107</v>
      </c>
    </row>
    <row r="49" spans="1:20" x14ac:dyDescent="0.25">
      <c r="A49" s="5">
        <v>44544</v>
      </c>
      <c r="B49">
        <v>13.97</v>
      </c>
      <c r="C49">
        <v>14.8</v>
      </c>
      <c r="D49">
        <v>13.5</v>
      </c>
      <c r="E49">
        <v>14.13</v>
      </c>
      <c r="F49">
        <v>77834.350000000006</v>
      </c>
      <c r="G49">
        <v>14.13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-3.0769230769230098E-2</v>
      </c>
      <c r="Q49">
        <f t="shared" ref="Q49" si="221">F49*P49</f>
        <v>-2394.9030769230249</v>
      </c>
      <c r="R49">
        <f t="shared" ref="R49" si="222">R50+Q49</f>
        <v>-11093602.137123499</v>
      </c>
      <c r="S49">
        <f t="shared" ref="S49" si="223">R49/100000</f>
        <v>-110.93602137123499</v>
      </c>
      <c r="T49">
        <f t="shared" ref="T49" si="224">S49/1000</f>
        <v>-0.11093602137123498</v>
      </c>
    </row>
    <row r="50" spans="1:20" x14ac:dyDescent="0.25">
      <c r="A50" s="5">
        <v>44543</v>
      </c>
      <c r="B50">
        <v>15.18</v>
      </c>
      <c r="C50">
        <v>16.100000000000001</v>
      </c>
      <c r="D50">
        <v>13.6</v>
      </c>
      <c r="E50">
        <v>13.97</v>
      </c>
      <c r="F50">
        <v>100937.73</v>
      </c>
      <c r="G50">
        <v>13.97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-0.7039999999999994</v>
      </c>
      <c r="Q50">
        <f t="shared" ref="Q50" si="226">F50*P50</f>
        <v>-71060.16191999994</v>
      </c>
      <c r="R50">
        <f t="shared" ref="R50" si="227">R51+Q50</f>
        <v>-11091207.234046577</v>
      </c>
      <c r="S50">
        <f t="shared" ref="S50" si="228">R50/100000</f>
        <v>-110.91207234046577</v>
      </c>
      <c r="T50">
        <f t="shared" ref="T50" si="229">S50/1000</f>
        <v>-0.11091207234046577</v>
      </c>
    </row>
    <row r="51" spans="1:20" x14ac:dyDescent="0.25">
      <c r="A51" s="5">
        <v>44542</v>
      </c>
      <c r="B51">
        <v>14.96</v>
      </c>
      <c r="C51">
        <v>15.87</v>
      </c>
      <c r="D51">
        <v>14.47</v>
      </c>
      <c r="E51">
        <v>15.17</v>
      </c>
      <c r="F51">
        <v>82100.53</v>
      </c>
      <c r="G51">
        <v>15.17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</v>
      </c>
      <c r="Q51">
        <f t="shared" ref="Q51" si="231">F51*P51</f>
        <v>0</v>
      </c>
      <c r="R51">
        <f t="shared" ref="R51" si="232">R52+Q51</f>
        <v>-11020147.072126577</v>
      </c>
      <c r="S51">
        <f t="shared" ref="S51" si="233">R51/100000</f>
        <v>-110.20147072126576</v>
      </c>
      <c r="T51">
        <f t="shared" ref="T51" si="234">S51/1000</f>
        <v>-0.11020147072126577</v>
      </c>
    </row>
    <row r="52" spans="1:20" x14ac:dyDescent="0.25">
      <c r="A52" s="5">
        <v>44541</v>
      </c>
      <c r="B52">
        <v>14.24</v>
      </c>
      <c r="C52">
        <v>14.58</v>
      </c>
      <c r="D52">
        <v>14.08</v>
      </c>
      <c r="E52">
        <v>14.42</v>
      </c>
      <c r="F52">
        <v>2095.61</v>
      </c>
      <c r="G52">
        <v>14.42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0.35999999999999943</v>
      </c>
      <c r="Q52">
        <f t="shared" ref="Q52" si="236">F52*P52</f>
        <v>754.41959999999881</v>
      </c>
      <c r="R52">
        <f t="shared" ref="R52" si="237">R53+Q52</f>
        <v>-11020147.072126577</v>
      </c>
      <c r="S52">
        <f t="shared" ref="S52" si="238">R52/100000</f>
        <v>-110.20147072126576</v>
      </c>
      <c r="T52">
        <f t="shared" ref="T52" si="239">S52/1000</f>
        <v>-0.11020147072126577</v>
      </c>
    </row>
    <row r="53" spans="1:20" x14ac:dyDescent="0.25">
      <c r="A53" s="5">
        <v>44540</v>
      </c>
      <c r="B53">
        <v>14.95</v>
      </c>
      <c r="C53">
        <v>15.86</v>
      </c>
      <c r="D53">
        <v>14.2</v>
      </c>
      <c r="E53">
        <v>14.33</v>
      </c>
      <c r="F53">
        <v>60241.24</v>
      </c>
      <c r="G53">
        <v>14.33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-0.84337349397590267</v>
      </c>
      <c r="Q53">
        <f t="shared" ref="Q53" si="241">F53*P53</f>
        <v>-50805.865060240903</v>
      </c>
      <c r="R53">
        <f t="shared" ref="R53" si="242">R54+Q53</f>
        <v>-11020901.491726577</v>
      </c>
      <c r="S53">
        <f t="shared" ref="S53" si="243">R53/100000</f>
        <v>-110.20901491726578</v>
      </c>
      <c r="T53">
        <f t="shared" ref="T53" si="244">S53/1000</f>
        <v>-0.11020901491726577</v>
      </c>
    </row>
    <row r="54" spans="1:20" x14ac:dyDescent="0.25">
      <c r="A54" s="5">
        <v>44539</v>
      </c>
      <c r="B54">
        <v>16.239999999999998</v>
      </c>
      <c r="C54">
        <v>16.420000000000002</v>
      </c>
      <c r="D54">
        <v>14.85</v>
      </c>
      <c r="E54">
        <v>14.93</v>
      </c>
      <c r="F54">
        <v>71220.08</v>
      </c>
      <c r="G54">
        <v>14.93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-0.89808917197452232</v>
      </c>
      <c r="Q54">
        <f t="shared" ref="Q54" si="246">F54*P54</f>
        <v>-63961.982675159241</v>
      </c>
      <c r="R54">
        <f t="shared" ref="R54" si="247">R55+Q54</f>
        <v>-10970095.626666337</v>
      </c>
      <c r="S54">
        <f t="shared" ref="S54" si="248">R54/100000</f>
        <v>-109.70095626666337</v>
      </c>
      <c r="T54">
        <f t="shared" ref="T54" si="249">S54/1000</f>
        <v>-0.10970095626666337</v>
      </c>
    </row>
    <row r="55" spans="1:20" x14ac:dyDescent="0.25">
      <c r="A55" s="5">
        <v>44538</v>
      </c>
      <c r="B55">
        <v>15.6</v>
      </c>
      <c r="C55">
        <v>17.45</v>
      </c>
      <c r="D55">
        <v>14.83</v>
      </c>
      <c r="E55">
        <v>16.29</v>
      </c>
      <c r="F55">
        <v>170648.03</v>
      </c>
      <c r="G55">
        <v>16.29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0.11450381679389275</v>
      </c>
      <c r="Q55">
        <f t="shared" ref="Q55" si="251">F55*P55</f>
        <v>19539.850763358714</v>
      </c>
      <c r="R55">
        <f t="shared" ref="R55" si="252">R56+Q55</f>
        <v>-10906133.643991178</v>
      </c>
      <c r="S55">
        <f t="shared" ref="S55" si="253">R55/100000</f>
        <v>-109.06133643991178</v>
      </c>
      <c r="T55">
        <f t="shared" ref="T55" si="254">S55/1000</f>
        <v>-0.10906133643991178</v>
      </c>
    </row>
    <row r="56" spans="1:20" x14ac:dyDescent="0.25">
      <c r="A56" s="5">
        <v>44537</v>
      </c>
      <c r="B56">
        <v>15.96</v>
      </c>
      <c r="C56">
        <v>16.399999999999999</v>
      </c>
      <c r="D56">
        <v>15.45</v>
      </c>
      <c r="E56">
        <v>15.59</v>
      </c>
      <c r="F56">
        <v>77234.59</v>
      </c>
      <c r="G56">
        <v>15.59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-0.70526315789473537</v>
      </c>
      <c r="Q56">
        <f t="shared" ref="Q56" si="256">F56*P56</f>
        <v>-54470.710842105145</v>
      </c>
      <c r="R56">
        <f t="shared" ref="R56" si="257">R57+Q56</f>
        <v>-10925673.494754536</v>
      </c>
      <c r="S56">
        <f t="shared" ref="S56" si="258">R56/100000</f>
        <v>-109.25673494754535</v>
      </c>
      <c r="T56">
        <f t="shared" ref="T56" si="259">S56/1000</f>
        <v>-0.10925673494754536</v>
      </c>
    </row>
    <row r="57" spans="1:20" x14ac:dyDescent="0.25">
      <c r="A57" s="5">
        <v>44536</v>
      </c>
      <c r="B57">
        <v>15.12</v>
      </c>
      <c r="C57">
        <v>16.38</v>
      </c>
      <c r="D57">
        <v>13.75</v>
      </c>
      <c r="E57">
        <v>15.94</v>
      </c>
      <c r="F57">
        <v>139849.35999999999</v>
      </c>
      <c r="G57">
        <v>15.94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0.66539923954372648</v>
      </c>
      <c r="Q57">
        <f t="shared" ref="Q57" si="261">F57*P57</f>
        <v>93055.657794676838</v>
      </c>
      <c r="R57">
        <f t="shared" ref="R57" si="262">R58+Q57</f>
        <v>-10871202.783912431</v>
      </c>
      <c r="S57">
        <f t="shared" ref="S57" si="263">R57/100000</f>
        <v>-108.71202783912432</v>
      </c>
      <c r="T57">
        <f t="shared" ref="T57" si="264">S57/1000</f>
        <v>-0.10871202783912431</v>
      </c>
    </row>
    <row r="58" spans="1:20" x14ac:dyDescent="0.25">
      <c r="A58" s="5">
        <v>44535</v>
      </c>
      <c r="B58">
        <v>16.510000000000002</v>
      </c>
      <c r="C58">
        <v>16.850000000000001</v>
      </c>
      <c r="D58">
        <v>14.57</v>
      </c>
      <c r="E58">
        <v>15.07</v>
      </c>
      <c r="F58">
        <v>109661.77</v>
      </c>
      <c r="G58">
        <v>15.07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-0.56140350877193002</v>
      </c>
      <c r="Q58">
        <f t="shared" ref="Q58" si="266">F58*P58</f>
        <v>-61564.502456140377</v>
      </c>
      <c r="R58">
        <f t="shared" ref="R58" si="267">R59+Q58</f>
        <v>-10964258.441707108</v>
      </c>
      <c r="S58">
        <f t="shared" ref="S58" si="268">R58/100000</f>
        <v>-109.64258441707108</v>
      </c>
      <c r="T58">
        <f t="shared" ref="T58" si="269">S58/1000</f>
        <v>-0.10964258441707107</v>
      </c>
    </row>
    <row r="59" spans="1:20" x14ac:dyDescent="0.25">
      <c r="A59" s="5">
        <v>44534</v>
      </c>
      <c r="B59">
        <v>19.96</v>
      </c>
      <c r="C59">
        <v>20.51</v>
      </c>
      <c r="D59">
        <v>13.83</v>
      </c>
      <c r="E59">
        <v>16.53</v>
      </c>
      <c r="F59">
        <v>206650.693</v>
      </c>
      <c r="G59">
        <v>16.53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-0.19161676646706574</v>
      </c>
      <c r="Q59">
        <f t="shared" ref="Q59" si="271">F59*P59</f>
        <v>-39597.7375808383</v>
      </c>
      <c r="R59">
        <f t="shared" ref="R59" si="272">R60+Q59</f>
        <v>-10902693.939250968</v>
      </c>
      <c r="S59">
        <f t="shared" ref="S59" si="273">R59/100000</f>
        <v>-109.02693939250969</v>
      </c>
      <c r="T59">
        <f t="shared" ref="T59" si="274">S59/1000</f>
        <v>-0.10902693939250969</v>
      </c>
    </row>
    <row r="60" spans="1:20" x14ac:dyDescent="0.25">
      <c r="A60" s="5">
        <v>44533</v>
      </c>
      <c r="B60">
        <v>19.86</v>
      </c>
      <c r="C60">
        <v>21.35</v>
      </c>
      <c r="D60">
        <v>19.399999999999999</v>
      </c>
      <c r="E60">
        <v>19.940000000000001</v>
      </c>
      <c r="F60">
        <v>344503.99</v>
      </c>
      <c r="G60">
        <v>19.940000000000001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-0.44615384615384418</v>
      </c>
      <c r="Q60">
        <f t="shared" ref="Q60" si="276">F60*P60</f>
        <v>-153701.78015384547</v>
      </c>
      <c r="R60">
        <f t="shared" ref="R60" si="277">R61+Q60</f>
        <v>-10863096.201670131</v>
      </c>
      <c r="S60">
        <f t="shared" ref="S60" si="278">R60/100000</f>
        <v>-108.6309620167013</v>
      </c>
      <c r="T60">
        <f t="shared" ref="T60" si="279">S60/1000</f>
        <v>-0.1086309620167013</v>
      </c>
    </row>
    <row r="61" spans="1:20" x14ac:dyDescent="0.25">
      <c r="A61" s="5">
        <v>44532</v>
      </c>
      <c r="B61">
        <v>19.03</v>
      </c>
      <c r="C61">
        <v>21.5</v>
      </c>
      <c r="D61">
        <v>18.399999999999999</v>
      </c>
      <c r="E61">
        <v>19.87</v>
      </c>
      <c r="F61">
        <v>460321.71</v>
      </c>
      <c r="G61">
        <v>19.87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-5.1612903225805327E-2</v>
      </c>
      <c r="Q61">
        <f t="shared" ref="Q61" si="281">F61*P61</f>
        <v>-23758.539870967226</v>
      </c>
      <c r="R61">
        <f t="shared" ref="R61" si="282">R62+Q61</f>
        <v>-10709394.421516284</v>
      </c>
      <c r="S61">
        <f t="shared" ref="S61" si="283">R61/100000</f>
        <v>-107.09394421516285</v>
      </c>
      <c r="T61">
        <f t="shared" ref="T61" si="284">S61/1000</f>
        <v>-0.10709394421516286</v>
      </c>
    </row>
    <row r="62" spans="1:20" x14ac:dyDescent="0.25">
      <c r="A62" s="5">
        <v>44531</v>
      </c>
      <c r="B62">
        <v>19</v>
      </c>
      <c r="C62">
        <v>20.84</v>
      </c>
      <c r="D62">
        <v>18.66</v>
      </c>
      <c r="E62">
        <v>19.010000000000002</v>
      </c>
      <c r="F62">
        <v>102347.66</v>
      </c>
      <c r="G62">
        <v>19.010000000000002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-0.67889908256880604</v>
      </c>
      <c r="Q62">
        <f t="shared" ref="Q62" si="286">F62*P62</f>
        <v>-69483.732477064084</v>
      </c>
      <c r="R62">
        <f t="shared" ref="R62" si="287">R63+Q62</f>
        <v>-10685635.881645316</v>
      </c>
      <c r="S62">
        <f t="shared" ref="S62" si="288">R62/100000</f>
        <v>-106.85635881645317</v>
      </c>
      <c r="T62">
        <f t="shared" ref="T62" si="289">S62/1000</f>
        <v>-0.10685635881645317</v>
      </c>
    </row>
    <row r="63" spans="1:20" x14ac:dyDescent="0.25">
      <c r="A63" s="5">
        <v>44530</v>
      </c>
      <c r="B63">
        <v>19.86</v>
      </c>
      <c r="C63">
        <v>19.899999999999999</v>
      </c>
      <c r="D63">
        <v>18.91</v>
      </c>
      <c r="E63">
        <v>19.02</v>
      </c>
      <c r="F63">
        <v>79349.7</v>
      </c>
      <c r="G63">
        <v>19.02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-0.77777777777777857</v>
      </c>
      <c r="Q63">
        <f t="shared" ref="Q63" si="291">F63*P63</f>
        <v>-61716.433333333393</v>
      </c>
      <c r="R63">
        <f t="shared" ref="R63" si="292">R64+Q63</f>
        <v>-10616152.149168253</v>
      </c>
      <c r="S63">
        <f t="shared" ref="S63" si="293">R63/100000</f>
        <v>-106.16152149168254</v>
      </c>
      <c r="T63">
        <f t="shared" ref="T63" si="294">S63/1000</f>
        <v>-0.10616152149168254</v>
      </c>
    </row>
    <row r="64" spans="1:20" x14ac:dyDescent="0.25">
      <c r="A64" s="5">
        <v>44529</v>
      </c>
      <c r="B64">
        <v>19.329999999999998</v>
      </c>
      <c r="C64">
        <v>20.69</v>
      </c>
      <c r="D64">
        <v>19.22</v>
      </c>
      <c r="E64">
        <v>19.86</v>
      </c>
      <c r="F64">
        <v>101350.51</v>
      </c>
      <c r="G64">
        <v>19.86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-0.12925170068027278</v>
      </c>
      <c r="Q64">
        <f t="shared" ref="Q64" si="296">F64*P64</f>
        <v>-13099.725782312993</v>
      </c>
      <c r="R64">
        <f t="shared" ref="R64" si="297">R65+Q64</f>
        <v>-10554435.715834919</v>
      </c>
      <c r="S64">
        <f t="shared" ref="S64" si="298">R64/100000</f>
        <v>-105.5443571583492</v>
      </c>
      <c r="T64">
        <f t="shared" ref="T64" si="299">S64/1000</f>
        <v>-0.1055443571583492</v>
      </c>
    </row>
    <row r="65" spans="1:20" x14ac:dyDescent="0.25">
      <c r="A65" s="5">
        <v>44528</v>
      </c>
      <c r="B65">
        <v>19.32</v>
      </c>
      <c r="C65">
        <v>19.34</v>
      </c>
      <c r="D65">
        <v>18</v>
      </c>
      <c r="E65">
        <v>19.32</v>
      </c>
      <c r="F65">
        <v>61889.84</v>
      </c>
      <c r="G65">
        <v>19.32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0.97014925373134386</v>
      </c>
      <c r="Q65">
        <f t="shared" ref="Q65" si="301">F65*P65</f>
        <v>60042.382089552273</v>
      </c>
      <c r="R65">
        <f t="shared" ref="R65" si="302">R66+Q65</f>
        <v>-10541335.990052607</v>
      </c>
      <c r="S65">
        <f t="shared" ref="S65" si="303">R65/100000</f>
        <v>-105.41335990052607</v>
      </c>
      <c r="T65">
        <f t="shared" ref="T65" si="304">S65/1000</f>
        <v>-0.10541335990052607</v>
      </c>
    </row>
    <row r="66" spans="1:20" x14ac:dyDescent="0.25">
      <c r="A66" s="5">
        <v>44527</v>
      </c>
      <c r="B66">
        <v>19.05</v>
      </c>
      <c r="C66">
        <v>20.2</v>
      </c>
      <c r="D66">
        <v>18.55</v>
      </c>
      <c r="E66">
        <v>19.329999999999998</v>
      </c>
      <c r="F66">
        <v>65513.65</v>
      </c>
      <c r="G66">
        <v>19.329999999999998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-5.4545454545456659E-2</v>
      </c>
      <c r="Q66">
        <f t="shared" ref="Q66" si="306">F66*P66</f>
        <v>-3573.4718181819567</v>
      </c>
      <c r="R66">
        <f t="shared" ref="R66" si="307">R67+Q66</f>
        <v>-10601378.372142158</v>
      </c>
      <c r="S66">
        <f t="shared" ref="S66" si="308">R66/100000</f>
        <v>-106.01378372142159</v>
      </c>
      <c r="T66">
        <f t="shared" ref="T66" si="309">S66/1000</f>
        <v>-0.10601378372142159</v>
      </c>
    </row>
    <row r="67" spans="1:20" x14ac:dyDescent="0.25">
      <c r="A67" s="5">
        <v>44526</v>
      </c>
      <c r="B67">
        <v>20.73</v>
      </c>
      <c r="C67">
        <v>21.18</v>
      </c>
      <c r="D67">
        <v>18.440000000000001</v>
      </c>
      <c r="E67">
        <v>19.100000000000001</v>
      </c>
      <c r="F67">
        <v>95409.27</v>
      </c>
      <c r="G67">
        <v>19.100000000000001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-0.51824817518248134</v>
      </c>
      <c r="Q67">
        <f t="shared" ref="Q67" si="311">F67*P67</f>
        <v>-49445.680072992662</v>
      </c>
      <c r="R67">
        <f t="shared" ref="R67" si="312">R68+Q67</f>
        <v>-10597804.900323976</v>
      </c>
      <c r="S67">
        <f t="shared" ref="S67" si="313">R67/100000</f>
        <v>-105.97804900323976</v>
      </c>
      <c r="T67">
        <f t="shared" ref="T67" si="314">S67/1000</f>
        <v>-0.10597804900323976</v>
      </c>
    </row>
    <row r="68" spans="1:20" x14ac:dyDescent="0.25">
      <c r="A68" s="5">
        <v>44525</v>
      </c>
      <c r="B68">
        <v>20.47</v>
      </c>
      <c r="C68">
        <v>21.4</v>
      </c>
      <c r="D68">
        <v>19.98</v>
      </c>
      <c r="E68">
        <v>20.65</v>
      </c>
      <c r="F68">
        <v>103683.32</v>
      </c>
      <c r="G68">
        <v>20.65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-5.633802816901546E-2</v>
      </c>
      <c r="Q68">
        <f t="shared" ref="Q68" si="316">F68*P68</f>
        <v>-5841.3138028170442</v>
      </c>
      <c r="R68">
        <f t="shared" ref="R68" si="317">R69+Q68</f>
        <v>-10548359.220250983</v>
      </c>
      <c r="S68">
        <f t="shared" ref="S68" si="318">R68/100000</f>
        <v>-105.48359220250983</v>
      </c>
      <c r="T68">
        <f t="shared" ref="T68" si="319">S68/1000</f>
        <v>-0.10548359220250983</v>
      </c>
    </row>
    <row r="69" spans="1:20" x14ac:dyDescent="0.25">
      <c r="A69" s="5">
        <v>44524</v>
      </c>
      <c r="B69">
        <v>21.66</v>
      </c>
      <c r="C69">
        <v>21.87</v>
      </c>
      <c r="D69">
        <v>20.6</v>
      </c>
      <c r="E69">
        <v>21.09</v>
      </c>
      <c r="F69">
        <v>48520.19</v>
      </c>
      <c r="G69">
        <v>21.09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-0.22834645669291559</v>
      </c>
      <c r="Q69">
        <f t="shared" ref="Q69" si="321">F69*P69</f>
        <v>-11079.413464567036</v>
      </c>
      <c r="R69">
        <f t="shared" ref="R69" si="322">R70+Q69</f>
        <v>-10542517.906448165</v>
      </c>
      <c r="S69">
        <f t="shared" ref="S69" si="323">R69/100000</f>
        <v>-105.42517906448165</v>
      </c>
      <c r="T69">
        <f t="shared" ref="T69" si="324">S69/1000</f>
        <v>-0.10542517906448165</v>
      </c>
    </row>
    <row r="70" spans="1:20" x14ac:dyDescent="0.25">
      <c r="A70" s="5">
        <v>44523</v>
      </c>
      <c r="B70">
        <v>24.49</v>
      </c>
      <c r="C70">
        <v>25.95</v>
      </c>
      <c r="D70">
        <v>21.3</v>
      </c>
      <c r="E70">
        <v>21.66</v>
      </c>
      <c r="F70">
        <v>373386.68</v>
      </c>
      <c r="G70">
        <v>21.66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-0.8451612903225808</v>
      </c>
      <c r="Q70">
        <f t="shared" ref="Q70" si="326">F70*P70</f>
        <v>-315571.96825806459</v>
      </c>
      <c r="R70">
        <f t="shared" ref="R70" si="327">R71+Q70</f>
        <v>-10531438.492983598</v>
      </c>
      <c r="S70">
        <f t="shared" ref="S70" si="328">R70/100000</f>
        <v>-105.31438492983598</v>
      </c>
      <c r="T70">
        <f t="shared" ref="T70" si="329">S70/1000</f>
        <v>-0.10531438492983598</v>
      </c>
    </row>
    <row r="71" spans="1:20" x14ac:dyDescent="0.25">
      <c r="A71" s="5">
        <v>44522</v>
      </c>
      <c r="B71">
        <v>20.79</v>
      </c>
      <c r="C71">
        <v>25.1</v>
      </c>
      <c r="D71">
        <v>19.329999999999998</v>
      </c>
      <c r="E71">
        <v>24.53</v>
      </c>
      <c r="F71">
        <v>684686.8</v>
      </c>
      <c r="G71">
        <v>24.53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0.8024263431542461</v>
      </c>
      <c r="Q71">
        <f t="shared" ref="Q71" si="331">F71*P71</f>
        <v>549410.72512998269</v>
      </c>
      <c r="R71">
        <f t="shared" ref="R71" si="332">R72+Q71</f>
        <v>-10215866.524725534</v>
      </c>
      <c r="S71">
        <f t="shared" ref="S71" si="333">R71/100000</f>
        <v>-102.15866524725534</v>
      </c>
      <c r="T71">
        <f t="shared" ref="T71" si="334">S71/1000</f>
        <v>-0.10215866524725534</v>
      </c>
    </row>
    <row r="72" spans="1:20" x14ac:dyDescent="0.25">
      <c r="A72" s="5">
        <v>44521</v>
      </c>
      <c r="B72">
        <v>20.73</v>
      </c>
      <c r="C72">
        <v>23</v>
      </c>
      <c r="D72">
        <v>20.23</v>
      </c>
      <c r="E72">
        <v>20.84</v>
      </c>
      <c r="F72">
        <v>282320.74</v>
      </c>
      <c r="G72">
        <v>20.84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-0.5595667870036104</v>
      </c>
      <c r="Q72">
        <f t="shared" ref="Q72" si="336">F72*P72</f>
        <v>-157977.30938628167</v>
      </c>
      <c r="R72">
        <f t="shared" ref="R72" si="337">R73+Q72</f>
        <v>-10765277.249855516</v>
      </c>
      <c r="S72">
        <f t="shared" ref="S72" si="338">R72/100000</f>
        <v>-107.65277249855517</v>
      </c>
      <c r="T72">
        <f t="shared" ref="T72" si="339">S72/1000</f>
        <v>-0.10765277249855516</v>
      </c>
    </row>
    <row r="73" spans="1:20" x14ac:dyDescent="0.25">
      <c r="A73" s="5">
        <v>44520</v>
      </c>
      <c r="B73">
        <v>19.29</v>
      </c>
      <c r="C73">
        <v>21.46</v>
      </c>
      <c r="D73">
        <v>18.649999999999999</v>
      </c>
      <c r="E73">
        <v>20.74</v>
      </c>
      <c r="F73">
        <v>185870.41</v>
      </c>
      <c r="G73">
        <v>20.74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0.48754448398576383</v>
      </c>
      <c r="Q73">
        <f t="shared" ref="Q73" si="341">F73*P73</f>
        <v>90620.093131672358</v>
      </c>
      <c r="R73">
        <f t="shared" ref="R73" si="342">R74+Q73</f>
        <v>-10607299.940469235</v>
      </c>
      <c r="S73">
        <f t="shared" ref="S73" si="343">R73/100000</f>
        <v>-106.07299940469235</v>
      </c>
      <c r="T73">
        <f t="shared" ref="T73" si="344">S73/1000</f>
        <v>-0.10607299940469235</v>
      </c>
    </row>
    <row r="74" spans="1:20" x14ac:dyDescent="0.25">
      <c r="A74" s="5">
        <v>44519</v>
      </c>
      <c r="B74">
        <v>18</v>
      </c>
      <c r="C74">
        <v>19.559999999999999</v>
      </c>
      <c r="D74">
        <v>17.41</v>
      </c>
      <c r="E74">
        <v>19.29</v>
      </c>
      <c r="F74">
        <v>74619.31</v>
      </c>
      <c r="G74">
        <v>19.29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0.74883720930232578</v>
      </c>
      <c r="Q74">
        <f t="shared" ref="Q74" si="346">F74*P74</f>
        <v>55877.715860465127</v>
      </c>
      <c r="R74">
        <f t="shared" ref="R74" si="347">R75+Q74</f>
        <v>-10697920.033600908</v>
      </c>
      <c r="S74">
        <f t="shared" ref="S74" si="348">R74/100000</f>
        <v>-106.97920033600907</v>
      </c>
      <c r="T74">
        <f t="shared" ref="T74" si="349">S74/1000</f>
        <v>-0.10697920033600908</v>
      </c>
    </row>
    <row r="75" spans="1:20" x14ac:dyDescent="0.25">
      <c r="A75" s="5">
        <v>44518</v>
      </c>
      <c r="B75">
        <v>19.32</v>
      </c>
      <c r="C75">
        <v>20.3</v>
      </c>
      <c r="D75">
        <v>17.8</v>
      </c>
      <c r="E75">
        <v>18.03</v>
      </c>
      <c r="F75">
        <v>121704.43</v>
      </c>
      <c r="G75">
        <v>18.03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-0.81599999999999961</v>
      </c>
      <c r="Q75">
        <f t="shared" ref="Q75" si="351">F75*P75</f>
        <v>-99310.814879999947</v>
      </c>
      <c r="R75">
        <f t="shared" ref="R75" si="352">R76+Q75</f>
        <v>-10753797.749461373</v>
      </c>
      <c r="S75">
        <f t="shared" ref="S75" si="353">R75/100000</f>
        <v>-107.53797749461373</v>
      </c>
      <c r="T75">
        <f t="shared" ref="T75" si="354">S75/1000</f>
        <v>-0.10753797749461373</v>
      </c>
    </row>
    <row r="76" spans="1:20" x14ac:dyDescent="0.25">
      <c r="A76" s="5">
        <v>44517</v>
      </c>
      <c r="B76">
        <v>19.41</v>
      </c>
      <c r="C76">
        <v>19.68</v>
      </c>
      <c r="D76">
        <v>18.649999999999999</v>
      </c>
      <c r="E76">
        <v>19.34</v>
      </c>
      <c r="F76">
        <v>51738.63</v>
      </c>
      <c r="G76">
        <v>19.34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0.33980582524271946</v>
      </c>
      <c r="Q76">
        <f t="shared" ref="Q76" si="356">F76*P76</f>
        <v>17581.087864077723</v>
      </c>
      <c r="R76">
        <f t="shared" ref="R76" si="357">R77+Q76</f>
        <v>-10654486.934581373</v>
      </c>
      <c r="S76">
        <f t="shared" ref="S76" si="358">R76/100000</f>
        <v>-106.54486934581372</v>
      </c>
      <c r="T76">
        <f t="shared" ref="T76" si="359">S76/1000</f>
        <v>-0.10654486934581373</v>
      </c>
    </row>
    <row r="77" spans="1:20" x14ac:dyDescent="0.25">
      <c r="A77" s="5">
        <v>44516</v>
      </c>
      <c r="B77">
        <v>21.12</v>
      </c>
      <c r="C77">
        <v>21.12</v>
      </c>
      <c r="D77">
        <v>18.5</v>
      </c>
      <c r="E77">
        <v>19.45</v>
      </c>
      <c r="F77">
        <v>126183.61</v>
      </c>
      <c r="G77">
        <v>19.45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-0.2748091603053443</v>
      </c>
      <c r="Q77">
        <f t="shared" ref="Q77" si="361">F77*P77</f>
        <v>-34676.411908397044</v>
      </c>
      <c r="R77">
        <f t="shared" ref="R77" si="362">R78+Q77</f>
        <v>-10672068.022445451</v>
      </c>
      <c r="S77">
        <f t="shared" ref="S77" si="363">R77/100000</f>
        <v>-106.72068022445451</v>
      </c>
      <c r="T77">
        <f t="shared" ref="T77" si="364">S77/1000</f>
        <v>-0.10672068022445451</v>
      </c>
    </row>
    <row r="78" spans="1:20" x14ac:dyDescent="0.25">
      <c r="A78" s="5">
        <v>44515</v>
      </c>
      <c r="B78">
        <v>21.3</v>
      </c>
      <c r="C78">
        <v>22.91</v>
      </c>
      <c r="D78">
        <v>20.83</v>
      </c>
      <c r="E78">
        <v>21.05</v>
      </c>
      <c r="F78">
        <v>214262.06</v>
      </c>
      <c r="G78">
        <v>21.05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-0.78846153846153633</v>
      </c>
      <c r="Q78">
        <f t="shared" ref="Q78" si="366">F78*P78</f>
        <v>-168937.39346153801</v>
      </c>
      <c r="R78">
        <f t="shared" ref="R78" si="367">R79+Q78</f>
        <v>-10637391.610537054</v>
      </c>
      <c r="S78">
        <f t="shared" ref="S78" si="368">R78/100000</f>
        <v>-106.37391610537054</v>
      </c>
      <c r="T78">
        <f t="shared" ref="T78" si="369">S78/1000</f>
        <v>-0.10637391610537054</v>
      </c>
    </row>
    <row r="79" spans="1:20" x14ac:dyDescent="0.25">
      <c r="A79" s="5">
        <v>44514</v>
      </c>
      <c r="B79">
        <v>21.02</v>
      </c>
      <c r="C79">
        <v>21.84</v>
      </c>
      <c r="D79">
        <v>20.57</v>
      </c>
      <c r="E79">
        <v>21.25</v>
      </c>
      <c r="F79">
        <v>98965.42</v>
      </c>
      <c r="G79">
        <v>21.25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7.086614173228338E-2</v>
      </c>
      <c r="Q79">
        <f t="shared" ref="Q79" si="371">F79*P79</f>
        <v>7013.2974803149518</v>
      </c>
      <c r="R79">
        <f t="shared" ref="R79" si="372">R80+Q79</f>
        <v>-10468454.217075516</v>
      </c>
      <c r="S79">
        <f t="shared" ref="S79" si="373">R79/100000</f>
        <v>-104.68454217075515</v>
      </c>
      <c r="T79">
        <f t="shared" ref="T79" si="374">S79/1000</f>
        <v>-0.10468454217075515</v>
      </c>
    </row>
    <row r="80" spans="1:20" x14ac:dyDescent="0.25">
      <c r="A80" s="5">
        <v>44513</v>
      </c>
      <c r="B80">
        <v>21.4</v>
      </c>
      <c r="C80">
        <v>21.53</v>
      </c>
      <c r="D80">
        <v>20.76</v>
      </c>
      <c r="E80">
        <v>21.02</v>
      </c>
      <c r="F80">
        <v>54265.29</v>
      </c>
      <c r="G80">
        <v>21.02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-0.32467532467532945</v>
      </c>
      <c r="Q80">
        <f t="shared" ref="Q80" si="376">F80*P80</f>
        <v>-17618.600649350908</v>
      </c>
      <c r="R80">
        <f t="shared" ref="R80" si="377">R81+Q80</f>
        <v>-10475467.514555831</v>
      </c>
      <c r="S80">
        <f t="shared" ref="S80" si="378">R80/100000</f>
        <v>-104.75467514555831</v>
      </c>
      <c r="T80">
        <f t="shared" ref="T80" si="379">S80/1000</f>
        <v>-0.10475467514555831</v>
      </c>
    </row>
    <row r="81" spans="1:20" x14ac:dyDescent="0.25">
      <c r="A81" s="5">
        <v>44512</v>
      </c>
      <c r="B81">
        <v>22.04</v>
      </c>
      <c r="C81">
        <v>23.5</v>
      </c>
      <c r="D81">
        <v>20.48</v>
      </c>
      <c r="E81">
        <v>21.44</v>
      </c>
      <c r="F81">
        <v>186425.18</v>
      </c>
      <c r="G81">
        <v>21.44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-0.36423841059602585</v>
      </c>
      <c r="Q81">
        <f t="shared" ref="Q81" si="381">F81*P81</f>
        <v>-67903.211258278025</v>
      </c>
      <c r="R81">
        <f t="shared" ref="R81" si="382">R82+Q81</f>
        <v>-10457848.913906479</v>
      </c>
      <c r="S81">
        <f t="shared" ref="S81" si="383">R81/100000</f>
        <v>-104.57848913906479</v>
      </c>
      <c r="T81">
        <f t="shared" ref="T81" si="384">S81/1000</f>
        <v>-0.10457848913906478</v>
      </c>
    </row>
    <row r="82" spans="1:20" x14ac:dyDescent="0.25">
      <c r="A82" s="5">
        <v>44511</v>
      </c>
      <c r="B82">
        <v>20.59</v>
      </c>
      <c r="C82">
        <v>22.49</v>
      </c>
      <c r="D82">
        <v>20.329999999999998</v>
      </c>
      <c r="E82">
        <v>22.04</v>
      </c>
      <c r="F82">
        <v>125822.07</v>
      </c>
      <c r="G82">
        <v>22.04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0.58333333333333404</v>
      </c>
      <c r="Q82">
        <f t="shared" ref="Q82" si="386">F82*P82</f>
        <v>73396.207500000091</v>
      </c>
      <c r="R82">
        <f t="shared" ref="R82" si="387">R83+Q82</f>
        <v>-10389945.702648202</v>
      </c>
      <c r="S82">
        <f t="shared" ref="S82" si="388">R82/100000</f>
        <v>-103.89945702648203</v>
      </c>
      <c r="T82">
        <f t="shared" ref="T82" si="389">S82/1000</f>
        <v>-0.10389945702648203</v>
      </c>
    </row>
    <row r="83" spans="1:20" x14ac:dyDescent="0.25">
      <c r="A83" s="5">
        <v>44510</v>
      </c>
      <c r="B83">
        <v>22.17</v>
      </c>
      <c r="C83">
        <v>22.73</v>
      </c>
      <c r="D83">
        <v>19.5</v>
      </c>
      <c r="E83">
        <v>20.65</v>
      </c>
      <c r="F83">
        <v>135866.04</v>
      </c>
      <c r="G83">
        <v>20.65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-0.28792569659442824</v>
      </c>
      <c r="Q83">
        <f t="shared" ref="Q83" si="391">F83*P83</f>
        <v>-39119.324210526451</v>
      </c>
      <c r="R83">
        <f t="shared" ref="R83" si="392">R84+Q83</f>
        <v>-10463341.910148202</v>
      </c>
      <c r="S83">
        <f t="shared" ref="S83" si="393">R83/100000</f>
        <v>-104.63341910148202</v>
      </c>
      <c r="T83">
        <f t="shared" ref="T83" si="394">S83/1000</f>
        <v>-0.10463341910148202</v>
      </c>
    </row>
    <row r="84" spans="1:20" x14ac:dyDescent="0.25">
      <c r="A84" s="5">
        <v>44509</v>
      </c>
      <c r="B84">
        <v>21.71</v>
      </c>
      <c r="C84">
        <v>23.33</v>
      </c>
      <c r="D84">
        <v>21.55</v>
      </c>
      <c r="E84">
        <v>22.19</v>
      </c>
      <c r="F84">
        <v>135208.23000000001</v>
      </c>
      <c r="G84">
        <v>22.19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-0.28089887640449279</v>
      </c>
      <c r="Q84">
        <f t="shared" ref="Q84" si="396">F84*P84</f>
        <v>-37979.839887640235</v>
      </c>
      <c r="R84">
        <f t="shared" ref="R84" si="397">R85+Q84</f>
        <v>-10424222.585937675</v>
      </c>
      <c r="S84">
        <f t="shared" ref="S84" si="398">R84/100000</f>
        <v>-104.24222585937675</v>
      </c>
      <c r="T84">
        <f t="shared" ref="T84" si="399">S84/1000</f>
        <v>-0.10424222585937674</v>
      </c>
    </row>
    <row r="85" spans="1:20" x14ac:dyDescent="0.25">
      <c r="A85" s="5">
        <v>44508</v>
      </c>
      <c r="B85">
        <v>21.53</v>
      </c>
      <c r="C85">
        <v>22.02</v>
      </c>
      <c r="D85">
        <v>20.94</v>
      </c>
      <c r="E85">
        <v>21.69</v>
      </c>
      <c r="F85">
        <v>113012.33</v>
      </c>
      <c r="G85">
        <v>21.69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0.38888888888889106</v>
      </c>
      <c r="Q85">
        <f t="shared" ref="Q85" si="401">F85*P85</f>
        <v>43949.239444444691</v>
      </c>
      <c r="R85">
        <f t="shared" ref="R85" si="402">R86+Q85</f>
        <v>-10386242.746050036</v>
      </c>
      <c r="S85">
        <f t="shared" ref="S85" si="403">R85/100000</f>
        <v>-103.86242746050036</v>
      </c>
      <c r="T85">
        <f t="shared" ref="T85" si="404">S85/1000</f>
        <v>-0.10386242746050035</v>
      </c>
    </row>
    <row r="86" spans="1:20" x14ac:dyDescent="0.25">
      <c r="A86" s="5">
        <v>44507</v>
      </c>
      <c r="B86">
        <v>21.12</v>
      </c>
      <c r="C86">
        <v>22.34</v>
      </c>
      <c r="D86">
        <v>20.5</v>
      </c>
      <c r="E86">
        <v>21.52</v>
      </c>
      <c r="F86">
        <v>89591.54</v>
      </c>
      <c r="G86">
        <v>21.52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0.10869565217391267</v>
      </c>
      <c r="Q86">
        <f t="shared" ref="Q86" si="406">F86*P86</f>
        <v>9738.2108695651823</v>
      </c>
      <c r="R86">
        <f t="shared" ref="R86" si="407">R87+Q86</f>
        <v>-10430191.98549448</v>
      </c>
      <c r="S86">
        <f t="shared" ref="S86" si="408">R86/100000</f>
        <v>-104.3019198549448</v>
      </c>
      <c r="T86">
        <f t="shared" ref="T86" si="409">S86/1000</f>
        <v>-0.1043019198549448</v>
      </c>
    </row>
    <row r="87" spans="1:20" x14ac:dyDescent="0.25">
      <c r="A87" s="5">
        <v>44506</v>
      </c>
      <c r="B87">
        <v>20.420000000000002</v>
      </c>
      <c r="C87">
        <v>21.29</v>
      </c>
      <c r="D87">
        <v>19.71</v>
      </c>
      <c r="E87">
        <v>21.16</v>
      </c>
      <c r="F87">
        <v>54963.1</v>
      </c>
      <c r="G87">
        <v>21.16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0.83544303797468467</v>
      </c>
      <c r="Q87">
        <f t="shared" ref="Q87" si="411">F87*P87</f>
        <v>45918.53924050639</v>
      </c>
      <c r="R87">
        <f t="shared" ref="R87" si="412">R88+Q87</f>
        <v>-10439930.196364045</v>
      </c>
      <c r="S87">
        <f t="shared" ref="S87" si="413">R87/100000</f>
        <v>-104.39930196364045</v>
      </c>
      <c r="T87">
        <f t="shared" ref="T87" si="414">S87/1000</f>
        <v>-0.10439930196364046</v>
      </c>
    </row>
    <row r="88" spans="1:20" x14ac:dyDescent="0.25">
      <c r="A88" s="5">
        <v>44505</v>
      </c>
      <c r="B88">
        <v>21.16</v>
      </c>
      <c r="C88">
        <v>21.67</v>
      </c>
      <c r="D88">
        <v>20.329999999999998</v>
      </c>
      <c r="E88">
        <v>20.46</v>
      </c>
      <c r="F88">
        <v>77983.429999999993</v>
      </c>
      <c r="G88">
        <v>20.46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-0.80597014925372801</v>
      </c>
      <c r="Q88">
        <f t="shared" ref="Q88" si="416">F88*P88</f>
        <v>-62852.316716417641</v>
      </c>
      <c r="R88">
        <f t="shared" ref="R88" si="417">R89+Q88</f>
        <v>-10485848.735604551</v>
      </c>
      <c r="S88">
        <f t="shared" ref="S88" si="418">R88/100000</f>
        <v>-104.8584873560455</v>
      </c>
      <c r="T88">
        <f t="shared" ref="T88" si="419">S88/1000</f>
        <v>-0.1048584873560455</v>
      </c>
    </row>
    <row r="89" spans="1:20" x14ac:dyDescent="0.25">
      <c r="A89" s="5">
        <v>44504</v>
      </c>
      <c r="B89">
        <v>21.66</v>
      </c>
      <c r="C89">
        <v>24.07</v>
      </c>
      <c r="D89">
        <v>20.55</v>
      </c>
      <c r="E89">
        <v>21.15</v>
      </c>
      <c r="F89">
        <v>220710.49</v>
      </c>
      <c r="G89">
        <v>21.15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-0.65909090909091028</v>
      </c>
      <c r="Q89">
        <f t="shared" ref="Q89" si="421">F89*P89</f>
        <v>-145468.27750000026</v>
      </c>
      <c r="R89">
        <f t="shared" ref="R89" si="422">R90+Q89</f>
        <v>-10422996.418888133</v>
      </c>
      <c r="S89">
        <f t="shared" ref="S89" si="423">R89/100000</f>
        <v>-104.22996418888133</v>
      </c>
      <c r="T89">
        <f t="shared" ref="T89" si="424">S89/1000</f>
        <v>-0.10422996418888132</v>
      </c>
    </row>
    <row r="90" spans="1:20" x14ac:dyDescent="0.25">
      <c r="A90" s="5">
        <v>44503</v>
      </c>
      <c r="B90">
        <v>20.38</v>
      </c>
      <c r="C90">
        <v>22.98</v>
      </c>
      <c r="D90">
        <v>19.75</v>
      </c>
      <c r="E90">
        <v>21.66</v>
      </c>
      <c r="F90">
        <v>249835.78</v>
      </c>
      <c r="G90">
        <v>21.66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0.18266253869969035</v>
      </c>
      <c r="Q90">
        <f t="shared" ref="Q90" si="426">F90*P90</f>
        <v>45635.637832817323</v>
      </c>
      <c r="R90">
        <f t="shared" ref="R90" si="427">R91+Q90</f>
        <v>-10277528.141388133</v>
      </c>
      <c r="S90">
        <f t="shared" ref="S90" si="428">R90/100000</f>
        <v>-102.77528141388133</v>
      </c>
      <c r="T90">
        <f t="shared" ref="T90" si="429">S90/1000</f>
        <v>-0.10277528141388133</v>
      </c>
    </row>
    <row r="91" spans="1:20" x14ac:dyDescent="0.25">
      <c r="A91" s="5">
        <v>44502</v>
      </c>
      <c r="B91">
        <v>19.850000000000001</v>
      </c>
      <c r="C91">
        <v>20.91</v>
      </c>
      <c r="D91">
        <v>19.55</v>
      </c>
      <c r="E91">
        <v>20.38</v>
      </c>
      <c r="F91">
        <v>125086.7</v>
      </c>
      <c r="G91">
        <v>20.38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0.22058823529411564</v>
      </c>
      <c r="Q91">
        <f t="shared" ref="Q91" si="431">F91*P91</f>
        <v>27592.654411764455</v>
      </c>
      <c r="R91">
        <f t="shared" ref="R91" si="432">R92+Q91</f>
        <v>-10323163.77922095</v>
      </c>
      <c r="S91">
        <f t="shared" ref="S91" si="433">R91/100000</f>
        <v>-103.2316377922095</v>
      </c>
      <c r="T91">
        <f t="shared" ref="T91" si="434">S91/1000</f>
        <v>-0.10323163779220949</v>
      </c>
    </row>
    <row r="92" spans="1:20" x14ac:dyDescent="0.25">
      <c r="A92" s="5">
        <v>44501</v>
      </c>
      <c r="B92">
        <v>19.13</v>
      </c>
      <c r="C92">
        <v>19.95</v>
      </c>
      <c r="D92">
        <v>18.5</v>
      </c>
      <c r="E92">
        <v>19.86</v>
      </c>
      <c r="F92">
        <v>106484.97</v>
      </c>
      <c r="G92">
        <v>19.86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0.87586206896551733</v>
      </c>
      <c r="Q92">
        <f t="shared" ref="Q92" si="436">F92*P92</f>
        <v>93266.146137931049</v>
      </c>
      <c r="R92">
        <f t="shared" ref="R92" si="437">R93+Q92</f>
        <v>-10350756.433632715</v>
      </c>
      <c r="S92">
        <f t="shared" ref="S92" si="438">R92/100000</f>
        <v>-103.50756433632715</v>
      </c>
      <c r="T92">
        <f t="shared" ref="T92" si="439">S92/1000</f>
        <v>-0.10350756433632714</v>
      </c>
    </row>
    <row r="93" spans="1:20" x14ac:dyDescent="0.25">
      <c r="A93" s="5">
        <v>44500</v>
      </c>
      <c r="B93">
        <v>19.95</v>
      </c>
      <c r="C93">
        <v>20.07</v>
      </c>
      <c r="D93">
        <v>18.41</v>
      </c>
      <c r="E93">
        <v>19.13</v>
      </c>
      <c r="F93">
        <v>112384.17</v>
      </c>
      <c r="G93">
        <v>19.13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-0.13253012048192916</v>
      </c>
      <c r="Q93">
        <f t="shared" ref="Q93" si="441">F93*P93</f>
        <v>-14894.28759036161</v>
      </c>
      <c r="R93">
        <f t="shared" ref="R93" si="442">R94+Q93</f>
        <v>-10444022.579770645</v>
      </c>
      <c r="S93">
        <f t="shared" ref="S93" si="443">R93/100000</f>
        <v>-104.44022579770645</v>
      </c>
      <c r="T93">
        <f t="shared" ref="T93" si="444">S93/1000</f>
        <v>-0.10444022579770644</v>
      </c>
    </row>
    <row r="94" spans="1:20" x14ac:dyDescent="0.25">
      <c r="A94" s="5">
        <v>44499</v>
      </c>
      <c r="B94">
        <v>19.21</v>
      </c>
      <c r="C94">
        <v>20.059999999999999</v>
      </c>
      <c r="D94">
        <v>18.89</v>
      </c>
      <c r="E94">
        <v>19.899999999999999</v>
      </c>
      <c r="F94">
        <v>128499.49</v>
      </c>
      <c r="G94">
        <v>19.899999999999999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0.7264957264957258</v>
      </c>
      <c r="Q94">
        <f t="shared" ref="Q94" si="446">F94*P94</f>
        <v>93354.330341880253</v>
      </c>
      <c r="R94">
        <f t="shared" ref="R94" si="447">R95+Q94</f>
        <v>-10429128.292180283</v>
      </c>
      <c r="S94">
        <f t="shared" ref="S94" si="448">R94/100000</f>
        <v>-104.29128292180283</v>
      </c>
      <c r="T94">
        <f t="shared" ref="T94" si="449">S94/1000</f>
        <v>-0.10429128292180283</v>
      </c>
    </row>
    <row r="95" spans="1:20" x14ac:dyDescent="0.25">
      <c r="A95" s="5">
        <v>44498</v>
      </c>
      <c r="B95">
        <v>18.760000000000002</v>
      </c>
      <c r="C95">
        <v>19.55</v>
      </c>
      <c r="D95">
        <v>18.7</v>
      </c>
      <c r="E95">
        <v>19.2</v>
      </c>
      <c r="F95">
        <v>103506.38</v>
      </c>
      <c r="G95">
        <v>19.2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0.17647058823529216</v>
      </c>
      <c r="Q95">
        <f t="shared" ref="Q95" si="451">F95*P95</f>
        <v>18265.831764705679</v>
      </c>
      <c r="R95">
        <f t="shared" ref="R95" si="452">R96+Q95</f>
        <v>-10522482.622522164</v>
      </c>
      <c r="S95">
        <f t="shared" ref="S95" si="453">R95/100000</f>
        <v>-105.22482622522165</v>
      </c>
      <c r="T95">
        <f t="shared" ref="T95" si="454">S95/1000</f>
        <v>-0.10522482622522165</v>
      </c>
    </row>
    <row r="96" spans="1:20" x14ac:dyDescent="0.25">
      <c r="A96" s="5">
        <v>44497</v>
      </c>
      <c r="B96">
        <v>17.97</v>
      </c>
      <c r="C96">
        <v>19.739999999999998</v>
      </c>
      <c r="D96">
        <v>17.920000000000002</v>
      </c>
      <c r="E96">
        <v>18.78</v>
      </c>
      <c r="F96">
        <v>308717.58</v>
      </c>
      <c r="G96">
        <v>18.78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-5.4945054945053876E-2</v>
      </c>
      <c r="Q96">
        <f t="shared" ref="Q96" si="456">F96*P96</f>
        <v>-16962.504395604068</v>
      </c>
      <c r="R96">
        <f t="shared" ref="R96" si="457">R97+Q96</f>
        <v>-10540748.45428687</v>
      </c>
      <c r="S96">
        <f t="shared" ref="S96" si="458">R96/100000</f>
        <v>-105.4074845428687</v>
      </c>
      <c r="T96">
        <f t="shared" ref="T96" si="459">S96/1000</f>
        <v>-0.1054074845428687</v>
      </c>
    </row>
    <row r="97" spans="1:20" x14ac:dyDescent="0.25">
      <c r="A97" s="5">
        <v>44496</v>
      </c>
      <c r="B97">
        <v>20.07</v>
      </c>
      <c r="C97">
        <v>20.55</v>
      </c>
      <c r="D97">
        <v>17.93</v>
      </c>
      <c r="E97">
        <v>17.96</v>
      </c>
      <c r="F97">
        <v>133826.5</v>
      </c>
      <c r="G97">
        <v>17.96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-0.97709923664122056</v>
      </c>
      <c r="Q97">
        <f t="shared" ref="Q97" si="461">F97*P97</f>
        <v>-130761.77099236631</v>
      </c>
      <c r="R97">
        <f t="shared" ref="R97" si="462">R98+Q97</f>
        <v>-10523785.949891265</v>
      </c>
      <c r="S97">
        <f t="shared" ref="S97" si="463">R97/100000</f>
        <v>-105.23785949891266</v>
      </c>
      <c r="T97">
        <f t="shared" ref="T97" si="464">S97/1000</f>
        <v>-0.10523785949891265</v>
      </c>
    </row>
    <row r="98" spans="1:20" x14ac:dyDescent="0.25">
      <c r="A98" s="5">
        <v>44495</v>
      </c>
      <c r="B98">
        <v>20.94</v>
      </c>
      <c r="C98">
        <v>21.22</v>
      </c>
      <c r="D98">
        <v>20</v>
      </c>
      <c r="E98">
        <v>20.07</v>
      </c>
      <c r="F98">
        <v>98582.77</v>
      </c>
      <c r="G98">
        <v>20.07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-0.88524590163934369</v>
      </c>
      <c r="Q98">
        <f t="shared" ref="Q98" si="466">F98*P98</f>
        <v>-87269.993114754048</v>
      </c>
      <c r="R98">
        <f t="shared" ref="R98" si="467">R99+Q98</f>
        <v>-10393024.178898899</v>
      </c>
      <c r="S98">
        <f t="shared" ref="S98" si="468">R98/100000</f>
        <v>-103.93024178898899</v>
      </c>
      <c r="T98">
        <f t="shared" ref="T98" si="469">S98/1000</f>
        <v>-0.10393024178898899</v>
      </c>
    </row>
    <row r="99" spans="1:20" x14ac:dyDescent="0.25">
      <c r="A99" s="5">
        <v>44494</v>
      </c>
      <c r="B99">
        <v>20</v>
      </c>
      <c r="C99">
        <v>21.62</v>
      </c>
      <c r="D99">
        <v>19.95</v>
      </c>
      <c r="E99">
        <v>20.95</v>
      </c>
      <c r="F99">
        <v>226142.25</v>
      </c>
      <c r="G99">
        <v>20.95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0.19760479041916046</v>
      </c>
      <c r="Q99">
        <f t="shared" ref="Q99" si="471">F99*P99</f>
        <v>44686.791916167393</v>
      </c>
      <c r="R99">
        <f t="shared" ref="R99" si="472">R100+Q99</f>
        <v>-10305754.185784144</v>
      </c>
      <c r="S99">
        <f t="shared" ref="S99" si="473">R99/100000</f>
        <v>-103.05754185784144</v>
      </c>
      <c r="T99">
        <f t="shared" ref="T99" si="474">S99/1000</f>
        <v>-0.10305754185784144</v>
      </c>
    </row>
    <row r="100" spans="1:20" x14ac:dyDescent="0.25">
      <c r="A100" s="5">
        <v>44493</v>
      </c>
      <c r="B100">
        <v>21.07</v>
      </c>
      <c r="C100">
        <v>22.95</v>
      </c>
      <c r="D100">
        <v>19.48</v>
      </c>
      <c r="E100">
        <v>20.03</v>
      </c>
      <c r="F100">
        <v>380776.56</v>
      </c>
      <c r="G100">
        <v>20.03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-0.68299711815561903</v>
      </c>
      <c r="Q100">
        <f t="shared" ref="Q100" si="476">F100*P100</f>
        <v>-260069.29314121016</v>
      </c>
      <c r="R100">
        <f t="shared" ref="R100" si="477">R101+Q100</f>
        <v>-10350440.977700312</v>
      </c>
      <c r="S100">
        <f t="shared" ref="S100" si="478">R100/100000</f>
        <v>-103.50440977700312</v>
      </c>
      <c r="T100">
        <f t="shared" ref="T100" si="479">S100/1000</f>
        <v>-0.10350440977700312</v>
      </c>
    </row>
    <row r="101" spans="1:20" x14ac:dyDescent="0.25">
      <c r="A101" s="5">
        <v>44492</v>
      </c>
      <c r="B101">
        <v>20.87</v>
      </c>
      <c r="C101">
        <v>21.43</v>
      </c>
      <c r="D101">
        <v>20.71</v>
      </c>
      <c r="E101">
        <v>21.06</v>
      </c>
      <c r="F101">
        <v>56914.59</v>
      </c>
      <c r="G101">
        <v>21.06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-2.7777777777782165E-2</v>
      </c>
      <c r="Q101">
        <f t="shared" ref="Q101" si="481">F101*P101</f>
        <v>-1580.960833333583</v>
      </c>
      <c r="R101">
        <f t="shared" ref="R101" si="482">R102+Q101</f>
        <v>-10090371.684559101</v>
      </c>
      <c r="S101">
        <f t="shared" ref="S101" si="483">R101/100000</f>
        <v>-100.90371684559101</v>
      </c>
      <c r="T101">
        <f t="shared" ref="T101" si="484">S101/1000</f>
        <v>-0.100903716845591</v>
      </c>
    </row>
    <row r="102" spans="1:20" x14ac:dyDescent="0.25">
      <c r="A102" s="5">
        <v>44491</v>
      </c>
      <c r="B102">
        <v>21</v>
      </c>
      <c r="C102">
        <v>21.79</v>
      </c>
      <c r="D102">
        <v>20.6</v>
      </c>
      <c r="E102">
        <v>20.88</v>
      </c>
      <c r="F102">
        <v>86626.91</v>
      </c>
      <c r="G102">
        <v>20.88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-0.52941176470588547</v>
      </c>
      <c r="Q102">
        <f t="shared" ref="Q102" si="486">F102*P102</f>
        <v>-45861.305294117919</v>
      </c>
      <c r="R102">
        <f t="shared" ref="R102" si="487">R103+Q102</f>
        <v>-10088790.723725768</v>
      </c>
      <c r="S102">
        <f t="shared" ref="S102" si="488">R102/100000</f>
        <v>-100.88790723725768</v>
      </c>
      <c r="T102">
        <f t="shared" ref="T102" si="489">S102/1000</f>
        <v>-0.10088790723725768</v>
      </c>
    </row>
    <row r="103" spans="1:20" x14ac:dyDescent="0.25">
      <c r="A103" s="5">
        <v>44490</v>
      </c>
      <c r="B103">
        <v>21.95</v>
      </c>
      <c r="C103">
        <v>22.57</v>
      </c>
      <c r="D103">
        <v>20.6</v>
      </c>
      <c r="E103">
        <v>21.01</v>
      </c>
      <c r="F103">
        <v>157432.65</v>
      </c>
      <c r="G103">
        <v>21.01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-0.58375634517766462</v>
      </c>
      <c r="Q103">
        <f t="shared" ref="Q103" si="491">F103*P103</f>
        <v>-91902.308375634457</v>
      </c>
      <c r="R103">
        <f t="shared" ref="R103" si="492">R104+Q103</f>
        <v>-10042929.418431649</v>
      </c>
      <c r="S103">
        <f t="shared" ref="S103" si="493">R103/100000</f>
        <v>-100.42929418431649</v>
      </c>
      <c r="T103">
        <f t="shared" ref="T103" si="494">S103/1000</f>
        <v>-0.10042929418431649</v>
      </c>
    </row>
    <row r="104" spans="1:20" x14ac:dyDescent="0.25">
      <c r="A104" s="5">
        <v>44489</v>
      </c>
      <c r="B104">
        <v>21.51</v>
      </c>
      <c r="C104">
        <v>23.59</v>
      </c>
      <c r="D104">
        <v>21.18</v>
      </c>
      <c r="E104">
        <v>21.94</v>
      </c>
      <c r="F104">
        <v>179889.63</v>
      </c>
      <c r="G104">
        <v>21.94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-0.36929460580912737</v>
      </c>
      <c r="Q104">
        <f t="shared" ref="Q104" si="496">F104*P104</f>
        <v>-66432.269999999771</v>
      </c>
      <c r="R104">
        <f t="shared" ref="R104" si="497">R105+Q104</f>
        <v>-9951027.1100560147</v>
      </c>
      <c r="S104">
        <f t="shared" ref="S104" si="498">R104/100000</f>
        <v>-99.510271100560146</v>
      </c>
      <c r="T104">
        <f t="shared" ref="T104" si="499">S104/1000</f>
        <v>-9.9510271100560141E-2</v>
      </c>
    </row>
    <row r="105" spans="1:20" x14ac:dyDescent="0.25">
      <c r="A105" s="5">
        <v>44488</v>
      </c>
      <c r="B105">
        <v>22.36</v>
      </c>
      <c r="C105">
        <v>22.58</v>
      </c>
      <c r="D105">
        <v>21.31</v>
      </c>
      <c r="E105">
        <v>21.51</v>
      </c>
      <c r="F105">
        <v>122843.94</v>
      </c>
      <c r="G105">
        <v>21.51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-0.68503937007873561</v>
      </c>
      <c r="Q105">
        <f t="shared" ref="Q105" si="501">F105*P105</f>
        <v>-84152.935275589989</v>
      </c>
      <c r="R105">
        <f t="shared" ref="R105" si="502">R106+Q105</f>
        <v>-9884594.8400560152</v>
      </c>
      <c r="S105">
        <f t="shared" ref="S105" si="503">R105/100000</f>
        <v>-98.845948400560147</v>
      </c>
      <c r="T105">
        <f t="shared" ref="T105" si="504">S105/1000</f>
        <v>-9.8845948400560144E-2</v>
      </c>
    </row>
    <row r="106" spans="1:20" x14ac:dyDescent="0.25">
      <c r="A106" s="5">
        <v>44487</v>
      </c>
      <c r="B106">
        <v>22.56</v>
      </c>
      <c r="C106">
        <v>23.68</v>
      </c>
      <c r="D106">
        <v>21.19</v>
      </c>
      <c r="E106">
        <v>22.37</v>
      </c>
      <c r="F106">
        <v>201974.6</v>
      </c>
      <c r="G106">
        <v>22.37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-5.2208835341365098E-2</v>
      </c>
      <c r="Q106">
        <f t="shared" ref="Q106" si="506">F106*P106</f>
        <v>-10544.858634538079</v>
      </c>
      <c r="R106">
        <f t="shared" ref="R106" si="507">R107+Q106</f>
        <v>-9800441.9047804251</v>
      </c>
      <c r="S106">
        <f t="shared" ref="S106" si="508">R106/100000</f>
        <v>-98.004419047804248</v>
      </c>
      <c r="T106">
        <f t="shared" ref="T106" si="509">S106/1000</f>
        <v>-9.8004419047804242E-2</v>
      </c>
    </row>
    <row r="107" spans="1:20" x14ac:dyDescent="0.25">
      <c r="A107" s="5">
        <v>44486</v>
      </c>
      <c r="B107">
        <v>21.31</v>
      </c>
      <c r="C107">
        <v>26.76</v>
      </c>
      <c r="D107">
        <v>21.25</v>
      </c>
      <c r="E107">
        <v>22.56</v>
      </c>
      <c r="F107">
        <v>527144.35</v>
      </c>
      <c r="G107">
        <v>22.56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-0.52450090744101696</v>
      </c>
      <c r="Q107">
        <f t="shared" ref="Q107" si="511">F107*P107</f>
        <v>-276487.68992740504</v>
      </c>
      <c r="R107">
        <f t="shared" ref="R107" si="512">R108+Q107</f>
        <v>-9789897.0461458862</v>
      </c>
      <c r="S107">
        <f t="shared" ref="S107" si="513">R107/100000</f>
        <v>-97.898970461458859</v>
      </c>
      <c r="T107">
        <f t="shared" ref="T107" si="514">S107/1000</f>
        <v>-9.7898970461458859E-2</v>
      </c>
    </row>
    <row r="108" spans="1:20" x14ac:dyDescent="0.25">
      <c r="A108" s="5">
        <v>44485</v>
      </c>
      <c r="B108">
        <v>21.73</v>
      </c>
      <c r="C108">
        <v>23.85</v>
      </c>
      <c r="D108">
        <v>20.93</v>
      </c>
      <c r="E108">
        <v>21.31</v>
      </c>
      <c r="F108">
        <v>372057.34</v>
      </c>
      <c r="G108">
        <v>21.31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-0.73972602739726112</v>
      </c>
      <c r="Q108">
        <f t="shared" ref="Q108" si="516">F108*P108</f>
        <v>-275220.49808219209</v>
      </c>
      <c r="R108">
        <f t="shared" ref="R108" si="517">R109+Q108</f>
        <v>-9513409.3562184814</v>
      </c>
      <c r="S108">
        <f t="shared" ref="S108" si="518">R108/100000</f>
        <v>-95.134093562184816</v>
      </c>
      <c r="T108">
        <f t="shared" ref="T108" si="519">S108/1000</f>
        <v>-9.5134093562184815E-2</v>
      </c>
    </row>
    <row r="109" spans="1:20" x14ac:dyDescent="0.25">
      <c r="A109" s="5">
        <v>44484</v>
      </c>
      <c r="B109">
        <v>22.67</v>
      </c>
      <c r="C109">
        <v>29.22</v>
      </c>
      <c r="D109">
        <v>21.08</v>
      </c>
      <c r="E109">
        <v>21.73</v>
      </c>
      <c r="F109">
        <v>1194854.6000000001</v>
      </c>
      <c r="G109">
        <v>21.73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-0.84029484029483981</v>
      </c>
      <c r="Q109">
        <f t="shared" ref="Q109" si="521">F109*P109</f>
        <v>-1004030.1552825548</v>
      </c>
      <c r="R109">
        <f t="shared" ref="R109" si="522">R110+Q109</f>
        <v>-9238188.8581362888</v>
      </c>
      <c r="S109">
        <f t="shared" ref="S109" si="523">R109/100000</f>
        <v>-92.381888581362887</v>
      </c>
      <c r="T109">
        <f t="shared" ref="T109" si="524">S109/1000</f>
        <v>-9.2381888581362884E-2</v>
      </c>
    </row>
    <row r="110" spans="1:20" x14ac:dyDescent="0.25">
      <c r="A110" s="5">
        <v>44483</v>
      </c>
      <c r="B110">
        <v>19.399999999999999</v>
      </c>
      <c r="C110">
        <v>29.25</v>
      </c>
      <c r="D110">
        <v>19.14</v>
      </c>
      <c r="E110">
        <v>22.68</v>
      </c>
      <c r="F110">
        <v>1980298.09</v>
      </c>
      <c r="G110">
        <v>22.68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-0.29970326409495562</v>
      </c>
      <c r="Q110">
        <f t="shared" ref="Q110" si="526">F110*P110</f>
        <v>-593501.80145400623</v>
      </c>
      <c r="R110">
        <f t="shared" ref="R110" si="527">R111+Q110</f>
        <v>-8234158.7028537337</v>
      </c>
      <c r="S110">
        <f t="shared" ref="S110" si="528">R110/100000</f>
        <v>-82.341587028537333</v>
      </c>
      <c r="T110">
        <f t="shared" ref="T110" si="529">S110/1000</f>
        <v>-8.2341587028537333E-2</v>
      </c>
    </row>
    <row r="111" spans="1:20" x14ac:dyDescent="0.25">
      <c r="A111" s="5">
        <v>44482</v>
      </c>
      <c r="B111">
        <v>17.91</v>
      </c>
      <c r="C111">
        <v>21.64</v>
      </c>
      <c r="D111">
        <v>17.63</v>
      </c>
      <c r="E111">
        <v>19.39</v>
      </c>
      <c r="F111">
        <v>356164.27</v>
      </c>
      <c r="G111">
        <v>19.39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-0.12219451371571029</v>
      </c>
      <c r="Q111">
        <f t="shared" ref="Q111" si="531">F111*P111</f>
        <v>-43521.319775560944</v>
      </c>
      <c r="R111">
        <f t="shared" ref="R111" si="532">R112+Q111</f>
        <v>-7640656.901399727</v>
      </c>
      <c r="S111">
        <f t="shared" ref="S111" si="533">R111/100000</f>
        <v>-76.40656901399727</v>
      </c>
      <c r="T111">
        <f t="shared" ref="T111" si="534">S111/1000</f>
        <v>-7.6406569013997269E-2</v>
      </c>
    </row>
    <row r="112" spans="1:20" x14ac:dyDescent="0.25">
      <c r="A112" s="5">
        <v>44481</v>
      </c>
      <c r="B112">
        <v>19.02</v>
      </c>
      <c r="C112">
        <v>19.02</v>
      </c>
      <c r="D112">
        <v>16.95</v>
      </c>
      <c r="E112">
        <v>17.940000000000001</v>
      </c>
      <c r="F112">
        <v>172179.41</v>
      </c>
      <c r="G112">
        <v>17.940000000000001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-4.3478260869563426E-2</v>
      </c>
      <c r="Q112">
        <f t="shared" ref="Q112" si="536">F112*P112</f>
        <v>-7486.0613043475178</v>
      </c>
      <c r="R112">
        <f t="shared" ref="R112" si="537">R113+Q112</f>
        <v>-7597135.5816241661</v>
      </c>
      <c r="S112">
        <f t="shared" ref="S112" si="538">R112/100000</f>
        <v>-75.971355816241655</v>
      </c>
      <c r="T112">
        <f t="shared" ref="T112" si="539">S112/1000</f>
        <v>-7.5971355816241648E-2</v>
      </c>
    </row>
    <row r="113" spans="1:20" x14ac:dyDescent="0.25">
      <c r="A113" s="5">
        <v>44480</v>
      </c>
      <c r="B113">
        <v>18.13</v>
      </c>
      <c r="C113">
        <v>21.45</v>
      </c>
      <c r="D113">
        <v>17.91</v>
      </c>
      <c r="E113">
        <v>19.03</v>
      </c>
      <c r="F113">
        <v>373378.29</v>
      </c>
      <c r="G113">
        <v>19.03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-0.36723163841807838</v>
      </c>
      <c r="Q113">
        <f t="shared" ref="Q113" si="541">F113*P113</f>
        <v>-137116.32118644041</v>
      </c>
      <c r="R113">
        <f t="shared" ref="R113" si="542">R114+Q113</f>
        <v>-7589649.5203198185</v>
      </c>
      <c r="S113">
        <f t="shared" ref="S113" si="543">R113/100000</f>
        <v>-75.896495203198185</v>
      </c>
      <c r="T113">
        <f t="shared" ref="T113" si="544">S113/1000</f>
        <v>-7.5896495203198189E-2</v>
      </c>
    </row>
    <row r="114" spans="1:20" x14ac:dyDescent="0.25">
      <c r="A114" s="5">
        <v>44479</v>
      </c>
      <c r="B114">
        <v>19.14</v>
      </c>
      <c r="C114">
        <v>19.489999999999998</v>
      </c>
      <c r="D114">
        <v>17.96</v>
      </c>
      <c r="E114">
        <v>18.13</v>
      </c>
      <c r="F114">
        <v>144116.19</v>
      </c>
      <c r="G114">
        <v>18.13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-0.77777777777777979</v>
      </c>
      <c r="Q114">
        <f t="shared" ref="Q114" si="546">F114*P114</f>
        <v>-112090.37000000029</v>
      </c>
      <c r="R114">
        <f t="shared" ref="R114" si="547">R115+Q114</f>
        <v>-7452533.1991333785</v>
      </c>
      <c r="S114">
        <f t="shared" ref="S114" si="548">R114/100000</f>
        <v>-74.525331991333786</v>
      </c>
      <c r="T114">
        <f t="shared" ref="T114" si="549">S114/1000</f>
        <v>-7.4525331991333793E-2</v>
      </c>
    </row>
    <row r="115" spans="1:20" x14ac:dyDescent="0.25">
      <c r="A115" s="5">
        <v>44478</v>
      </c>
      <c r="B115">
        <v>19.7</v>
      </c>
      <c r="C115">
        <v>19.940000000000001</v>
      </c>
      <c r="D115">
        <v>18.57</v>
      </c>
      <c r="E115">
        <v>19.149999999999999</v>
      </c>
      <c r="F115">
        <v>97544</v>
      </c>
      <c r="G115">
        <v>19.149999999999999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-0.15328467153284983</v>
      </c>
      <c r="Q115">
        <f t="shared" ref="Q115" si="551">F115*P115</f>
        <v>-14952.000000000304</v>
      </c>
      <c r="R115">
        <f t="shared" ref="R115" si="552">R116+Q115</f>
        <v>-7340442.8291333783</v>
      </c>
      <c r="S115">
        <f t="shared" ref="S115" si="553">R115/100000</f>
        <v>-73.404428291333787</v>
      </c>
      <c r="T115">
        <f t="shared" ref="T115" si="554">S115/1000</f>
        <v>-7.3404428291333784E-2</v>
      </c>
    </row>
    <row r="116" spans="1:20" x14ac:dyDescent="0.25">
      <c r="A116" s="5">
        <v>44477</v>
      </c>
      <c r="B116">
        <v>19.04</v>
      </c>
      <c r="C116">
        <v>19.850000000000001</v>
      </c>
      <c r="D116">
        <v>18.68</v>
      </c>
      <c r="E116">
        <v>19.7</v>
      </c>
      <c r="F116">
        <v>86061.26</v>
      </c>
      <c r="G116">
        <v>19.7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0.74358974358974028</v>
      </c>
      <c r="Q116">
        <f t="shared" ref="Q116" si="556">F116*P116</f>
        <v>63994.270256409967</v>
      </c>
      <c r="R116">
        <f t="shared" ref="R116" si="557">R117+Q116</f>
        <v>-7325490.8291333783</v>
      </c>
      <c r="S116">
        <f t="shared" ref="S116" si="558">R116/100000</f>
        <v>-73.254908291333777</v>
      </c>
      <c r="T116">
        <f t="shared" ref="T116" si="559">S116/1000</f>
        <v>-7.325490829133377E-2</v>
      </c>
    </row>
    <row r="117" spans="1:20" x14ac:dyDescent="0.25">
      <c r="A117" s="5">
        <v>44476</v>
      </c>
      <c r="B117">
        <v>18.29</v>
      </c>
      <c r="C117">
        <v>20.74</v>
      </c>
      <c r="D117">
        <v>17.82</v>
      </c>
      <c r="E117">
        <v>19.09</v>
      </c>
      <c r="F117">
        <v>269357.31</v>
      </c>
      <c r="G117">
        <v>19.09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-0.13013698630136961</v>
      </c>
      <c r="Q117">
        <f t="shared" ref="Q117" si="561">F117*P117</f>
        <v>-35053.348561643768</v>
      </c>
      <c r="R117">
        <f t="shared" ref="R117" si="562">R118+Q117</f>
        <v>-7389485.0993897887</v>
      </c>
      <c r="S117">
        <f t="shared" ref="S117" si="563">R117/100000</f>
        <v>-73.89485099389789</v>
      </c>
      <c r="T117">
        <f t="shared" ref="T117" si="564">S117/1000</f>
        <v>-7.3894850993897893E-2</v>
      </c>
    </row>
    <row r="118" spans="1:20" x14ac:dyDescent="0.25">
      <c r="A118" s="5">
        <v>44475</v>
      </c>
      <c r="B118">
        <v>18.59</v>
      </c>
      <c r="C118">
        <v>19.2</v>
      </c>
      <c r="D118">
        <v>16.829999999999998</v>
      </c>
      <c r="E118">
        <v>18.29</v>
      </c>
      <c r="F118">
        <v>274137.71000000002</v>
      </c>
      <c r="G118">
        <v>18.29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0.2320675105485234</v>
      </c>
      <c r="Q118">
        <f t="shared" ref="Q118" si="566">F118*P118</f>
        <v>63618.455907173055</v>
      </c>
      <c r="R118">
        <f t="shared" ref="R118" si="567">R119+Q118</f>
        <v>-7354431.7508281451</v>
      </c>
      <c r="S118">
        <f t="shared" ref="S118" si="568">R118/100000</f>
        <v>-73.544317508281452</v>
      </c>
      <c r="T118">
        <f t="shared" ref="T118" si="569">S118/1000</f>
        <v>-7.3544317508281457E-2</v>
      </c>
    </row>
    <row r="119" spans="1:20" x14ac:dyDescent="0.25">
      <c r="A119" s="5">
        <v>44474</v>
      </c>
      <c r="B119">
        <v>16.940000000000001</v>
      </c>
      <c r="C119">
        <v>19.309999999999999</v>
      </c>
      <c r="D119">
        <v>16.72</v>
      </c>
      <c r="E119">
        <v>18.600000000000001</v>
      </c>
      <c r="F119">
        <v>350516.98</v>
      </c>
      <c r="G119">
        <v>18.600000000000001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0.45173745173745378</v>
      </c>
      <c r="Q119">
        <f t="shared" ref="Q119" si="571">F119*P119</f>
        <v>158341.64733590806</v>
      </c>
      <c r="R119">
        <f t="shared" ref="R119" si="572">R120+Q119</f>
        <v>-7418050.2067353185</v>
      </c>
      <c r="S119">
        <f t="shared" ref="S119" si="573">R119/100000</f>
        <v>-74.180502067353189</v>
      </c>
      <c r="T119">
        <f t="shared" ref="T119" si="574">S119/1000</f>
        <v>-7.4180502067353188E-2</v>
      </c>
    </row>
    <row r="120" spans="1:20" x14ac:dyDescent="0.25">
      <c r="A120" s="5">
        <v>44473</v>
      </c>
      <c r="B120">
        <v>17.149999999999999</v>
      </c>
      <c r="C120">
        <v>17.23</v>
      </c>
      <c r="D120">
        <v>16.079999999999998</v>
      </c>
      <c r="E120">
        <v>16.920000000000002</v>
      </c>
      <c r="F120">
        <v>131443.9</v>
      </c>
      <c r="G120">
        <v>16.920000000000002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0.46086956521739453</v>
      </c>
      <c r="Q120">
        <f t="shared" ref="Q120" si="576">F120*P120</f>
        <v>60578.49304347868</v>
      </c>
      <c r="R120">
        <f t="shared" ref="R120" si="577">R121+Q120</f>
        <v>-7576391.8540712269</v>
      </c>
      <c r="S120">
        <f t="shared" ref="S120" si="578">R120/100000</f>
        <v>-75.763918540712268</v>
      </c>
      <c r="T120">
        <f t="shared" ref="T120" si="579">S120/1000</f>
        <v>-7.5763918540712266E-2</v>
      </c>
    </row>
    <row r="121" spans="1:20" x14ac:dyDescent="0.25">
      <c r="A121" s="5">
        <v>44472</v>
      </c>
      <c r="B121">
        <v>17.09</v>
      </c>
      <c r="C121">
        <v>18.239999999999998</v>
      </c>
      <c r="D121">
        <v>16.66</v>
      </c>
      <c r="E121">
        <v>17.05</v>
      </c>
      <c r="F121">
        <v>138987.67000000001</v>
      </c>
      <c r="G121">
        <v>17.05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-0.50632911392404933</v>
      </c>
      <c r="Q121">
        <f t="shared" ref="Q121" si="581">F121*P121</f>
        <v>-70373.503797468176</v>
      </c>
      <c r="R121">
        <f t="shared" ref="R121" si="582">R122+Q121</f>
        <v>-7636970.3471147055</v>
      </c>
      <c r="S121">
        <f t="shared" ref="S121" si="583">R121/100000</f>
        <v>-76.369703471147048</v>
      </c>
      <c r="T121">
        <f t="shared" ref="T121" si="584">S121/1000</f>
        <v>-7.6369703471147049E-2</v>
      </c>
    </row>
    <row r="122" spans="1:20" x14ac:dyDescent="0.25">
      <c r="A122" s="5">
        <v>44471</v>
      </c>
      <c r="B122">
        <v>17.23</v>
      </c>
      <c r="C122">
        <v>18</v>
      </c>
      <c r="D122">
        <v>16.54</v>
      </c>
      <c r="E122">
        <v>17.079999999999998</v>
      </c>
      <c r="F122">
        <v>150032.48000000001</v>
      </c>
      <c r="G122">
        <v>17.079999999999998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-0.26027397260274132</v>
      </c>
      <c r="Q122">
        <f t="shared" ref="Q122" si="586">F122*P122</f>
        <v>-39049.549589041337</v>
      </c>
      <c r="R122">
        <f t="shared" ref="R122" si="587">R123+Q122</f>
        <v>-7566596.8433172377</v>
      </c>
      <c r="S122">
        <f t="shared" ref="S122" si="588">R122/100000</f>
        <v>-75.665968433172381</v>
      </c>
      <c r="T122">
        <f t="shared" ref="T122" si="589">S122/1000</f>
        <v>-7.5665968433172387E-2</v>
      </c>
    </row>
    <row r="123" spans="1:20" x14ac:dyDescent="0.25">
      <c r="A123" s="5">
        <v>44470</v>
      </c>
      <c r="B123">
        <v>15.43</v>
      </c>
      <c r="C123">
        <v>17.5</v>
      </c>
      <c r="D123">
        <v>15.36</v>
      </c>
      <c r="E123">
        <v>17.239999999999998</v>
      </c>
      <c r="F123">
        <v>164496.44</v>
      </c>
      <c r="G123">
        <v>17.239999999999998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0.75700934579439116</v>
      </c>
      <c r="Q123">
        <f t="shared" ref="Q123" si="591">F123*P123</f>
        <v>124525.34242990632</v>
      </c>
      <c r="R123">
        <f t="shared" ref="R123" si="592">R124+Q123</f>
        <v>-7527547.2937281961</v>
      </c>
      <c r="S123">
        <f t="shared" ref="S123" si="593">R123/100000</f>
        <v>-75.275472937281961</v>
      </c>
      <c r="T123">
        <f t="shared" ref="T123" si="594">S123/1000</f>
        <v>-7.5275472937281956E-2</v>
      </c>
    </row>
    <row r="124" spans="1:20" x14ac:dyDescent="0.25">
      <c r="A124" s="5">
        <v>44469</v>
      </c>
      <c r="B124">
        <v>15.18</v>
      </c>
      <c r="C124">
        <v>15.76</v>
      </c>
      <c r="D124">
        <v>15.05</v>
      </c>
      <c r="E124">
        <v>15.41</v>
      </c>
      <c r="F124">
        <v>88940.86</v>
      </c>
      <c r="G124">
        <v>15.41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1.4084507042253239E-2</v>
      </c>
      <c r="Q124">
        <f t="shared" ref="Q124" si="596">F124*P124</f>
        <v>1252.6881690140594</v>
      </c>
      <c r="R124">
        <f t="shared" ref="R124" si="597">R125+Q124</f>
        <v>-7652072.6361581022</v>
      </c>
      <c r="S124">
        <f t="shared" ref="S124" si="598">R124/100000</f>
        <v>-76.520726361581026</v>
      </c>
      <c r="T124">
        <f t="shared" ref="T124" si="599">S124/1000</f>
        <v>-7.6520726361581026E-2</v>
      </c>
    </row>
    <row r="125" spans="1:20" x14ac:dyDescent="0.25">
      <c r="A125" s="5">
        <v>44468</v>
      </c>
      <c r="B125">
        <v>14.74</v>
      </c>
      <c r="C125">
        <v>16.05</v>
      </c>
      <c r="D125">
        <v>14.56</v>
      </c>
      <c r="E125">
        <v>15.18</v>
      </c>
      <c r="F125">
        <v>132614.42000000001</v>
      </c>
      <c r="G125">
        <v>15.18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-0.16778523489933003</v>
      </c>
      <c r="Q125">
        <f t="shared" ref="Q125" si="601">F125*P125</f>
        <v>-22250.741610738412</v>
      </c>
      <c r="R125">
        <f t="shared" ref="R125" si="602">R126+Q125</f>
        <v>-7653325.3243271159</v>
      </c>
      <c r="S125">
        <f t="shared" ref="S125" si="603">R125/100000</f>
        <v>-76.533253243271162</v>
      </c>
      <c r="T125">
        <f t="shared" ref="T125" si="604">S125/1000</f>
        <v>-7.6533253243271163E-2</v>
      </c>
    </row>
    <row r="126" spans="1:20" x14ac:dyDescent="0.25">
      <c r="A126" s="5">
        <v>44467</v>
      </c>
      <c r="B126">
        <v>15.35</v>
      </c>
      <c r="C126">
        <v>15.85</v>
      </c>
      <c r="D126">
        <v>14.68</v>
      </c>
      <c r="E126">
        <v>14.69</v>
      </c>
      <c r="F126">
        <v>134771.20000000001</v>
      </c>
      <c r="G126">
        <v>14.69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-0.9829059829059833</v>
      </c>
      <c r="Q126">
        <f t="shared" ref="Q126" si="606">F126*P126</f>
        <v>-132467.41880341887</v>
      </c>
      <c r="R126">
        <f t="shared" ref="R126" si="607">R127+Q126</f>
        <v>-7631074.5827163775</v>
      </c>
      <c r="S126">
        <f t="shared" ref="S126" si="608">R126/100000</f>
        <v>-76.310745827163771</v>
      </c>
      <c r="T126">
        <f t="shared" ref="T126" si="609">S126/1000</f>
        <v>-7.6310745827163767E-2</v>
      </c>
    </row>
    <row r="127" spans="1:20" x14ac:dyDescent="0.25">
      <c r="A127" s="5">
        <v>44466</v>
      </c>
      <c r="B127">
        <v>16.079999999999998</v>
      </c>
      <c r="C127">
        <v>17.48</v>
      </c>
      <c r="D127">
        <v>15.2</v>
      </c>
      <c r="E127">
        <v>15.32</v>
      </c>
      <c r="F127">
        <v>210234.6</v>
      </c>
      <c r="G127">
        <v>15.32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-0.89473684210526239</v>
      </c>
      <c r="Q127">
        <f t="shared" ref="Q127" si="611">F127*P127</f>
        <v>-188104.64210526299</v>
      </c>
      <c r="R127">
        <f t="shared" ref="R127" si="612">R128+Q127</f>
        <v>-7498607.1639129585</v>
      </c>
      <c r="S127">
        <f t="shared" ref="S127" si="613">R127/100000</f>
        <v>-74.986071639129591</v>
      </c>
      <c r="T127">
        <f t="shared" ref="T127" si="614">S127/1000</f>
        <v>-7.4986071639129598E-2</v>
      </c>
    </row>
    <row r="128" spans="1:20" x14ac:dyDescent="0.25">
      <c r="A128" s="5">
        <v>44465</v>
      </c>
      <c r="B128">
        <v>16.93</v>
      </c>
      <c r="C128">
        <v>17.28</v>
      </c>
      <c r="D128">
        <v>14.82</v>
      </c>
      <c r="E128">
        <v>16.07</v>
      </c>
      <c r="F128">
        <v>203694.63399999999</v>
      </c>
      <c r="G128">
        <v>16.07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1.6260162601625664E-2</v>
      </c>
      <c r="Q128">
        <f t="shared" ref="Q128" si="616">F128*P128</f>
        <v>3312.1078699186273</v>
      </c>
      <c r="R128">
        <f t="shared" ref="R128" si="617">R129+Q128</f>
        <v>-7310502.5218076957</v>
      </c>
      <c r="S128">
        <f t="shared" ref="S128" si="618">R128/100000</f>
        <v>-73.10502521807696</v>
      </c>
      <c r="T128">
        <f t="shared" ref="T128" si="619">S128/1000</f>
        <v>-7.3105025218076963E-2</v>
      </c>
    </row>
    <row r="129" spans="1:20" x14ac:dyDescent="0.25">
      <c r="A129" s="5">
        <v>44464</v>
      </c>
      <c r="B129">
        <v>17.37</v>
      </c>
      <c r="C129">
        <v>17.739999999999998</v>
      </c>
      <c r="D129">
        <v>16.41</v>
      </c>
      <c r="E129">
        <v>16.940000000000001</v>
      </c>
      <c r="F129">
        <v>90851.41</v>
      </c>
      <c r="G129">
        <v>16.940000000000001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-0.20300751879698975</v>
      </c>
      <c r="Q129">
        <f t="shared" ref="Q129" si="621">F129*P129</f>
        <v>-18443.519323308024</v>
      </c>
      <c r="R129">
        <f t="shared" ref="R129" si="622">R130+Q129</f>
        <v>-7313814.6296776142</v>
      </c>
      <c r="S129">
        <f t="shared" ref="S129" si="623">R129/100000</f>
        <v>-73.138146296776142</v>
      </c>
      <c r="T129">
        <f t="shared" ref="T129" si="624">S129/1000</f>
        <v>-7.3138146296776146E-2</v>
      </c>
    </row>
    <row r="130" spans="1:20" x14ac:dyDescent="0.25">
      <c r="A130" s="5">
        <v>44463</v>
      </c>
      <c r="B130">
        <v>19.57</v>
      </c>
      <c r="C130">
        <v>19.79</v>
      </c>
      <c r="D130">
        <v>16.11</v>
      </c>
      <c r="E130">
        <v>17.37</v>
      </c>
      <c r="F130">
        <v>191222.23</v>
      </c>
      <c r="G130">
        <v>17.37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-0.31521739130434695</v>
      </c>
      <c r="Q130">
        <f t="shared" ref="Q130" si="626">F130*P130</f>
        <v>-60276.572499999835</v>
      </c>
      <c r="R130">
        <f t="shared" ref="R130" si="627">R131+Q130</f>
        <v>-7295371.1103543062</v>
      </c>
      <c r="S130">
        <f t="shared" ref="S130" si="628">R130/100000</f>
        <v>-72.953711103543057</v>
      </c>
      <c r="T130">
        <f t="shared" ref="T130" si="629">S130/1000</f>
        <v>-7.2953711103543054E-2</v>
      </c>
    </row>
    <row r="131" spans="1:20" x14ac:dyDescent="0.25">
      <c r="A131" s="5">
        <v>44462</v>
      </c>
      <c r="B131">
        <v>19.14</v>
      </c>
      <c r="C131">
        <v>21</v>
      </c>
      <c r="D131">
        <v>18.73</v>
      </c>
      <c r="E131">
        <v>19.559999999999999</v>
      </c>
      <c r="F131">
        <v>555637.17000000004</v>
      </c>
      <c r="G131">
        <v>19.559999999999999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-0.26872246696035379</v>
      </c>
      <c r="Q131">
        <f t="shared" ref="Q131" si="631">F131*P131</f>
        <v>-149312.19105726949</v>
      </c>
      <c r="R131">
        <f t="shared" ref="R131" si="632">R132+Q131</f>
        <v>-7235094.5378543064</v>
      </c>
      <c r="S131">
        <f t="shared" ref="S131" si="633">R131/100000</f>
        <v>-72.350945378543059</v>
      </c>
      <c r="T131">
        <f t="shared" ref="T131" si="634">S131/1000</f>
        <v>-7.2350945378543058E-2</v>
      </c>
    </row>
    <row r="132" spans="1:20" x14ac:dyDescent="0.25">
      <c r="A132" s="5">
        <v>44461</v>
      </c>
      <c r="B132">
        <v>17.91</v>
      </c>
      <c r="C132">
        <v>21.61</v>
      </c>
      <c r="D132">
        <v>17.61</v>
      </c>
      <c r="E132">
        <v>19.16</v>
      </c>
      <c r="F132">
        <v>407463.34</v>
      </c>
      <c r="G132">
        <v>19.16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-0.22499999999999964</v>
      </c>
      <c r="Q132">
        <f t="shared" ref="Q132" si="636">F132*P132</f>
        <v>-91679.251499999868</v>
      </c>
      <c r="R132">
        <f t="shared" ref="R132" si="637">R133+Q132</f>
        <v>-7085782.3467970369</v>
      </c>
      <c r="S132">
        <f t="shared" ref="S132" si="638">R132/100000</f>
        <v>-70.857823467970363</v>
      </c>
      <c r="T132">
        <f t="shared" ref="T132" si="639">S132/1000</f>
        <v>-7.0857823467970357E-2</v>
      </c>
    </row>
    <row r="133" spans="1:20" x14ac:dyDescent="0.25">
      <c r="A133" s="5">
        <v>44460</v>
      </c>
      <c r="B133">
        <v>17.07</v>
      </c>
      <c r="C133">
        <v>20.67</v>
      </c>
      <c r="D133">
        <v>16</v>
      </c>
      <c r="E133">
        <v>17.940000000000001</v>
      </c>
      <c r="F133">
        <v>400691.348</v>
      </c>
      <c r="G133">
        <v>17.940000000000001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-0.16916488222698048</v>
      </c>
      <c r="Q133">
        <f t="shared" ref="Q133" si="641">F133*P133</f>
        <v>-67782.904693790057</v>
      </c>
      <c r="R133">
        <f t="shared" ref="R133" si="642">R134+Q133</f>
        <v>-6994103.0952970367</v>
      </c>
      <c r="S133">
        <f t="shared" ref="S133" si="643">R133/100000</f>
        <v>-69.941030952970365</v>
      </c>
      <c r="T133">
        <f t="shared" ref="T133" si="644">S133/1000</f>
        <v>-6.9941030952970371E-2</v>
      </c>
    </row>
    <row r="134" spans="1:20" x14ac:dyDescent="0.25">
      <c r="A134" s="5">
        <v>44459</v>
      </c>
      <c r="B134">
        <v>20.25</v>
      </c>
      <c r="C134">
        <v>20.260000000000002</v>
      </c>
      <c r="D134">
        <v>18</v>
      </c>
      <c r="E134">
        <v>18.579999999999998</v>
      </c>
      <c r="F134">
        <v>69861.84</v>
      </c>
      <c r="G134">
        <v>18.579999999999998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-0.48672566371681603</v>
      </c>
      <c r="Q134">
        <f t="shared" ref="Q134" si="646">F134*P134</f>
        <v>-34003.550442478008</v>
      </c>
      <c r="R134">
        <f t="shared" ref="R134" si="647">R135+Q134</f>
        <v>-6926320.1906032469</v>
      </c>
      <c r="S134">
        <f t="shared" ref="S134" si="648">R134/100000</f>
        <v>-69.263201906032464</v>
      </c>
      <c r="T134">
        <f t="shared" ref="T134" si="649">S134/1000</f>
        <v>-6.9263201906032468E-2</v>
      </c>
    </row>
    <row r="135" spans="1:20" x14ac:dyDescent="0.25">
      <c r="A135" s="5">
        <v>44458</v>
      </c>
      <c r="B135">
        <v>21.28</v>
      </c>
      <c r="C135">
        <v>21.32</v>
      </c>
      <c r="D135">
        <v>19.73</v>
      </c>
      <c r="E135">
        <v>20.170000000000002</v>
      </c>
      <c r="F135">
        <v>99200.36</v>
      </c>
      <c r="G135">
        <v>20.170000000000002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-0.446540880503143</v>
      </c>
      <c r="Q135">
        <f t="shared" ref="Q135" si="651">F135*P135</f>
        <v>-44297.016100628767</v>
      </c>
      <c r="R135">
        <f t="shared" ref="R135" si="652">R136+Q135</f>
        <v>-6892316.6401607692</v>
      </c>
      <c r="S135">
        <f t="shared" ref="S135" si="653">R135/100000</f>
        <v>-68.923166401607688</v>
      </c>
      <c r="T135">
        <f t="shared" ref="T135" si="654">S135/1000</f>
        <v>-6.8923166401607686E-2</v>
      </c>
    </row>
    <row r="136" spans="1:20" x14ac:dyDescent="0.25">
      <c r="A136" s="5">
        <v>44457</v>
      </c>
      <c r="B136">
        <v>20.170000000000002</v>
      </c>
      <c r="C136">
        <v>24.5</v>
      </c>
      <c r="D136">
        <v>19.71</v>
      </c>
      <c r="E136">
        <v>21.25</v>
      </c>
      <c r="F136">
        <v>440550.29</v>
      </c>
      <c r="G136">
        <v>21.25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-0.35699373695198355</v>
      </c>
      <c r="Q136">
        <f t="shared" ref="Q136" si="656">F136*P136</f>
        <v>-157273.69434238007</v>
      </c>
      <c r="R136">
        <f t="shared" ref="R136" si="657">R137+Q136</f>
        <v>-6848019.6240601409</v>
      </c>
      <c r="S136">
        <f t="shared" ref="S136" si="658">R136/100000</f>
        <v>-68.480196240601416</v>
      </c>
      <c r="T136">
        <f t="shared" ref="T136" si="659">S136/1000</f>
        <v>-6.8480196240601421E-2</v>
      </c>
    </row>
    <row r="137" spans="1:20" x14ac:dyDescent="0.25">
      <c r="A137" s="5">
        <v>44456</v>
      </c>
      <c r="B137">
        <v>20.66</v>
      </c>
      <c r="C137">
        <v>21.03</v>
      </c>
      <c r="D137">
        <v>19.21</v>
      </c>
      <c r="E137">
        <v>20.14</v>
      </c>
      <c r="F137">
        <v>114312.86</v>
      </c>
      <c r="G137">
        <v>20.14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2.1978021978021504E-2</v>
      </c>
      <c r="Q137">
        <f t="shared" ref="Q137" si="661">F137*P137</f>
        <v>2512.3705494504952</v>
      </c>
      <c r="R137">
        <f t="shared" ref="R137" si="662">R138+Q137</f>
        <v>-6690745.9297177605</v>
      </c>
      <c r="S137">
        <f t="shared" ref="S137" si="663">R137/100000</f>
        <v>-66.90745929717761</v>
      </c>
      <c r="T137">
        <f t="shared" ref="T137" si="664">S137/1000</f>
        <v>-6.6907459297177604E-2</v>
      </c>
    </row>
    <row r="138" spans="1:20" x14ac:dyDescent="0.25">
      <c r="A138" s="5">
        <v>44455</v>
      </c>
      <c r="B138">
        <v>21.82</v>
      </c>
      <c r="C138">
        <v>22.45</v>
      </c>
      <c r="D138">
        <v>20.010000000000002</v>
      </c>
      <c r="E138">
        <v>20.64</v>
      </c>
      <c r="F138">
        <v>170927.67</v>
      </c>
      <c r="G138">
        <v>20.64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-0.4836065573770495</v>
      </c>
      <c r="Q138">
        <f t="shared" ref="Q138" si="666">F138*P138</f>
        <v>-82661.742049180393</v>
      </c>
      <c r="R138">
        <f t="shared" ref="R138" si="667">R139+Q138</f>
        <v>-6693258.3002672112</v>
      </c>
      <c r="S138">
        <f t="shared" ref="S138" si="668">R138/100000</f>
        <v>-66.932583002672118</v>
      </c>
      <c r="T138">
        <f t="shared" ref="T138" si="669">S138/1000</f>
        <v>-6.6932583002672116E-2</v>
      </c>
    </row>
    <row r="139" spans="1:20" x14ac:dyDescent="0.25">
      <c r="A139" s="5">
        <v>44454</v>
      </c>
      <c r="B139">
        <v>21.81</v>
      </c>
      <c r="C139">
        <v>21.89</v>
      </c>
      <c r="D139">
        <v>21.18</v>
      </c>
      <c r="E139">
        <v>21.82</v>
      </c>
      <c r="F139">
        <v>91027.11</v>
      </c>
      <c r="G139">
        <v>21.82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0.80281690140845019</v>
      </c>
      <c r="Q139">
        <f t="shared" ref="Q139" si="671">F139*P139</f>
        <v>73078.102394366157</v>
      </c>
      <c r="R139">
        <f t="shared" ref="R139" si="672">R140+Q139</f>
        <v>-6610596.5582180312</v>
      </c>
      <c r="S139">
        <f t="shared" ref="S139" si="673">R139/100000</f>
        <v>-66.105965582180318</v>
      </c>
      <c r="T139">
        <f t="shared" ref="T139" si="674">S139/1000</f>
        <v>-6.610596558218032E-2</v>
      </c>
    </row>
    <row r="140" spans="1:20" x14ac:dyDescent="0.25">
      <c r="A140" s="5">
        <v>44453</v>
      </c>
      <c r="B140">
        <v>20.89</v>
      </c>
      <c r="C140">
        <v>25.34</v>
      </c>
      <c r="D140">
        <v>20.45</v>
      </c>
      <c r="E140">
        <v>21.8</v>
      </c>
      <c r="F140">
        <v>259631.07</v>
      </c>
      <c r="G140">
        <v>21.8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-0.44785276073619579</v>
      </c>
      <c r="Q140">
        <f t="shared" ref="Q140" si="676">F140*P140</f>
        <v>-116276.4914723925</v>
      </c>
      <c r="R140">
        <f t="shared" ref="R140" si="677">R141+Q140</f>
        <v>-6683674.6606123969</v>
      </c>
      <c r="S140">
        <f t="shared" ref="S140" si="678">R140/100000</f>
        <v>-66.836746606123967</v>
      </c>
      <c r="T140">
        <f t="shared" ref="T140" si="679">S140/1000</f>
        <v>-6.6836746606123973E-2</v>
      </c>
    </row>
    <row r="141" spans="1:20" x14ac:dyDescent="0.25">
      <c r="A141" s="5">
        <v>44452</v>
      </c>
      <c r="B141">
        <v>21.71</v>
      </c>
      <c r="C141">
        <v>21.83</v>
      </c>
      <c r="D141">
        <v>19.12</v>
      </c>
      <c r="E141">
        <v>20.92</v>
      </c>
      <c r="F141">
        <v>118715.56</v>
      </c>
      <c r="G141">
        <v>20.92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0.32841328413284315</v>
      </c>
      <c r="Q141">
        <f t="shared" ref="Q141" si="681">F141*P141</f>
        <v>38987.766937269589</v>
      </c>
      <c r="R141">
        <f t="shared" ref="R141" si="682">R142+Q141</f>
        <v>-6567398.1691400046</v>
      </c>
      <c r="S141">
        <f t="shared" ref="S141" si="683">R141/100000</f>
        <v>-65.673981691400044</v>
      </c>
      <c r="T141">
        <f t="shared" ref="T141" si="684">S141/1000</f>
        <v>-6.5673981691400041E-2</v>
      </c>
    </row>
    <row r="142" spans="1:20" x14ac:dyDescent="0.25">
      <c r="A142" s="5">
        <v>44451</v>
      </c>
      <c r="B142">
        <v>21.61</v>
      </c>
      <c r="C142">
        <v>21.89</v>
      </c>
      <c r="D142">
        <v>20.7</v>
      </c>
      <c r="E142">
        <v>21.76</v>
      </c>
      <c r="F142">
        <v>111595.64</v>
      </c>
      <c r="G142">
        <v>21.76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0.78151260504201869</v>
      </c>
      <c r="Q142">
        <f t="shared" ref="Q142" si="686">F142*P142</f>
        <v>87213.399327731298</v>
      </c>
      <c r="R142">
        <f t="shared" ref="R142" si="687">R143+Q142</f>
        <v>-6606385.9360772744</v>
      </c>
      <c r="S142">
        <f t="shared" ref="S142" si="688">R142/100000</f>
        <v>-66.063859360772739</v>
      </c>
      <c r="T142">
        <f t="shared" ref="T142" si="689">S142/1000</f>
        <v>-6.6063859360772734E-2</v>
      </c>
    </row>
    <row r="143" spans="1:20" x14ac:dyDescent="0.25">
      <c r="A143" s="5">
        <v>44450</v>
      </c>
      <c r="B143">
        <v>21</v>
      </c>
      <c r="C143">
        <v>22.67</v>
      </c>
      <c r="D143">
        <v>21</v>
      </c>
      <c r="E143">
        <v>21.66</v>
      </c>
      <c r="F143">
        <v>97867.67</v>
      </c>
      <c r="G143">
        <v>21.66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-0.20958083832335392</v>
      </c>
      <c r="Q143">
        <f t="shared" ref="Q143" si="691">F143*P143</f>
        <v>-20511.188323353355</v>
      </c>
      <c r="R143">
        <f t="shared" ref="R143" si="692">R144+Q143</f>
        <v>-6693599.3354050061</v>
      </c>
      <c r="S143">
        <f t="shared" ref="S143" si="693">R143/100000</f>
        <v>-66.935993354050055</v>
      </c>
      <c r="T143">
        <f t="shared" ref="T143" si="694">S143/1000</f>
        <v>-6.6935993354050052E-2</v>
      </c>
    </row>
    <row r="144" spans="1:20" x14ac:dyDescent="0.25">
      <c r="A144" s="5">
        <v>44449</v>
      </c>
      <c r="B144">
        <v>24.14</v>
      </c>
      <c r="C144">
        <v>24.48</v>
      </c>
      <c r="D144">
        <v>20.5</v>
      </c>
      <c r="E144">
        <v>21</v>
      </c>
      <c r="F144">
        <v>205257.12</v>
      </c>
      <c r="G144">
        <v>21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-0.74874371859296485</v>
      </c>
      <c r="Q144">
        <f t="shared" ref="Q144" si="696">F144*P144</f>
        <v>-153684.9792964824</v>
      </c>
      <c r="R144">
        <f t="shared" ref="R144" si="697">R145+Q144</f>
        <v>-6673088.1470816527</v>
      </c>
      <c r="S144">
        <f t="shared" ref="S144" si="698">R144/100000</f>
        <v>-66.730881470816527</v>
      </c>
      <c r="T144">
        <f t="shared" ref="T144" si="699">S144/1000</f>
        <v>-6.673088147081653E-2</v>
      </c>
    </row>
    <row r="145" spans="1:20" x14ac:dyDescent="0.25">
      <c r="A145" s="5">
        <v>44448</v>
      </c>
      <c r="B145">
        <v>26.36</v>
      </c>
      <c r="C145">
        <v>27.54</v>
      </c>
      <c r="D145">
        <v>23</v>
      </c>
      <c r="E145">
        <v>24.14</v>
      </c>
      <c r="F145">
        <v>505646.92</v>
      </c>
      <c r="G145">
        <v>24.14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-0.49779735682819348</v>
      </c>
      <c r="Q145">
        <f t="shared" ref="Q145" si="701">F145*P145</f>
        <v>-251709.70026431698</v>
      </c>
      <c r="R145">
        <f t="shared" ref="R145" si="702">R146+Q145</f>
        <v>-6519403.1677851705</v>
      </c>
      <c r="S145">
        <f t="shared" ref="S145" si="703">R145/100000</f>
        <v>-65.194031677851711</v>
      </c>
      <c r="T145">
        <f t="shared" ref="T145" si="704">S145/1000</f>
        <v>-6.5194031677851705E-2</v>
      </c>
    </row>
    <row r="146" spans="1:20" x14ac:dyDescent="0.25">
      <c r="A146" s="5">
        <v>44447</v>
      </c>
      <c r="B146">
        <v>20.399999999999999</v>
      </c>
      <c r="C146">
        <v>33</v>
      </c>
      <c r="D146">
        <v>18.75</v>
      </c>
      <c r="E146">
        <v>26.33</v>
      </c>
      <c r="F146">
        <v>1517910.939</v>
      </c>
      <c r="G146">
        <v>26.33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6.3859649122806783E-2</v>
      </c>
      <c r="Q146">
        <f t="shared" ref="Q146" si="706">F146*P146</f>
        <v>96933.25996421017</v>
      </c>
      <c r="R146">
        <f t="shared" ref="R146" si="707">R147+Q146</f>
        <v>-6267693.4675208535</v>
      </c>
      <c r="S146">
        <f t="shared" ref="S146" si="708">R146/100000</f>
        <v>-62.676934675208535</v>
      </c>
      <c r="T146">
        <f t="shared" ref="T146" si="709">S146/1000</f>
        <v>-6.2676934675208532E-2</v>
      </c>
    </row>
    <row r="147" spans="1:20" x14ac:dyDescent="0.25">
      <c r="A147" s="5">
        <v>44446</v>
      </c>
      <c r="B147">
        <v>26.16</v>
      </c>
      <c r="C147">
        <v>27.97</v>
      </c>
      <c r="D147">
        <v>16.658000000000001</v>
      </c>
      <c r="E147">
        <v>20.38</v>
      </c>
      <c r="F147">
        <v>326547.95600000001</v>
      </c>
      <c r="G147">
        <v>20.38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-0.34193776520509217</v>
      </c>
      <c r="Q147">
        <f t="shared" ref="Q147" si="711">F147*P147</f>
        <v>-111659.07830693077</v>
      </c>
      <c r="R147">
        <f t="shared" ref="R147" si="712">R148+Q147</f>
        <v>-6364626.7274850635</v>
      </c>
      <c r="S147">
        <f t="shared" ref="S147" si="713">R147/100000</f>
        <v>-63.646267274850636</v>
      </c>
      <c r="T147">
        <f t="shared" ref="T147" si="714">S147/1000</f>
        <v>-6.3646267274850635E-2</v>
      </c>
    </row>
    <row r="148" spans="1:20" x14ac:dyDescent="0.25">
      <c r="A148" s="5">
        <v>44445</v>
      </c>
      <c r="B148">
        <v>25.03</v>
      </c>
      <c r="C148">
        <v>26.68</v>
      </c>
      <c r="D148">
        <v>24.47</v>
      </c>
      <c r="E148">
        <v>26.17</v>
      </c>
      <c r="F148">
        <v>143807.99400000001</v>
      </c>
      <c r="G148">
        <v>26.17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0.53846153846154043</v>
      </c>
      <c r="Q148">
        <f t="shared" ref="Q148" si="716">F148*P148</f>
        <v>77435.073692307982</v>
      </c>
      <c r="R148">
        <f t="shared" ref="R148" si="717">R149+Q148</f>
        <v>-6252967.6491781324</v>
      </c>
      <c r="S148">
        <f t="shared" ref="S148" si="718">R148/100000</f>
        <v>-62.529676491781323</v>
      </c>
      <c r="T148">
        <f t="shared" ref="T148" si="719">S148/1000</f>
        <v>-6.252967649178133E-2</v>
      </c>
    </row>
    <row r="149" spans="1:20" x14ac:dyDescent="0.25">
      <c r="A149" s="5">
        <v>44444</v>
      </c>
      <c r="B149">
        <v>25.07</v>
      </c>
      <c r="C149">
        <v>25.58</v>
      </c>
      <c r="D149">
        <v>23.95</v>
      </c>
      <c r="E149">
        <v>25.01</v>
      </c>
      <c r="F149">
        <v>136017.443</v>
      </c>
      <c r="G149">
        <v>25.01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0.30061349693251893</v>
      </c>
      <c r="Q149">
        <f t="shared" ref="Q149" si="721">F149*P149</f>
        <v>40888.679184049572</v>
      </c>
      <c r="R149">
        <f t="shared" ref="R149" si="722">R150+Q149</f>
        <v>-6330402.7228704402</v>
      </c>
      <c r="S149">
        <f t="shared" ref="S149" si="723">R149/100000</f>
        <v>-63.304027228704399</v>
      </c>
      <c r="T149">
        <f t="shared" ref="T149" si="724">S149/1000</f>
        <v>-6.3304027228704401E-2</v>
      </c>
    </row>
    <row r="150" spans="1:20" x14ac:dyDescent="0.25">
      <c r="A150" s="5">
        <v>44443</v>
      </c>
      <c r="B150">
        <v>23.25</v>
      </c>
      <c r="C150">
        <v>25.22</v>
      </c>
      <c r="D150">
        <v>23.1</v>
      </c>
      <c r="E150">
        <v>25.02</v>
      </c>
      <c r="F150">
        <v>110988.13800000001</v>
      </c>
      <c r="G150">
        <v>25.02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0.81132075471698162</v>
      </c>
      <c r="Q150">
        <f t="shared" ref="Q150" si="726">F150*P150</f>
        <v>90046.979886792513</v>
      </c>
      <c r="R150">
        <f t="shared" ref="R150" si="727">R151+Q150</f>
        <v>-6371291.4020544896</v>
      </c>
      <c r="S150">
        <f t="shared" ref="S150" si="728">R150/100000</f>
        <v>-63.712914020544893</v>
      </c>
      <c r="T150">
        <f t="shared" ref="T150" si="729">S150/1000</f>
        <v>-6.3712914020544895E-2</v>
      </c>
    </row>
    <row r="151" spans="1:20" x14ac:dyDescent="0.25">
      <c r="A151" s="5">
        <v>44442</v>
      </c>
      <c r="B151">
        <v>22.47</v>
      </c>
      <c r="C151">
        <v>24.44</v>
      </c>
      <c r="D151">
        <v>22.14</v>
      </c>
      <c r="E151">
        <v>23.25</v>
      </c>
      <c r="F151">
        <v>132355.1</v>
      </c>
      <c r="G151">
        <v>23.25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-3.4782608695652965E-2</v>
      </c>
      <c r="Q151">
        <f t="shared" ref="Q151" si="731">F151*P151</f>
        <v>-4603.6556521740176</v>
      </c>
      <c r="R151">
        <f t="shared" ref="R151" si="732">R152+Q151</f>
        <v>-6461338.3819412822</v>
      </c>
      <c r="S151">
        <f t="shared" ref="S151" si="733">R151/100000</f>
        <v>-64.613383819412817</v>
      </c>
      <c r="T151">
        <f t="shared" ref="T151" si="734">S151/1000</f>
        <v>-6.4613383819412812E-2</v>
      </c>
    </row>
    <row r="152" spans="1:20" x14ac:dyDescent="0.25">
      <c r="A152" s="5">
        <v>44441</v>
      </c>
      <c r="B152">
        <v>22.59</v>
      </c>
      <c r="C152">
        <v>23.18</v>
      </c>
      <c r="D152">
        <v>22.23</v>
      </c>
      <c r="E152">
        <v>22.47</v>
      </c>
      <c r="F152">
        <v>91912.4</v>
      </c>
      <c r="G152">
        <v>22.47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-0.49473684210526608</v>
      </c>
      <c r="Q152">
        <f t="shared" ref="Q152" si="736">F152*P152</f>
        <v>-45472.450526316054</v>
      </c>
      <c r="R152">
        <f t="shared" ref="R152" si="737">R153+Q152</f>
        <v>-6456734.7262891084</v>
      </c>
      <c r="S152">
        <f t="shared" ref="S152" si="738">R152/100000</f>
        <v>-64.56734726289109</v>
      </c>
      <c r="T152">
        <f t="shared" ref="T152" si="739">S152/1000</f>
        <v>-6.4567347262891095E-2</v>
      </c>
    </row>
    <row r="153" spans="1:20" x14ac:dyDescent="0.25">
      <c r="A153" s="5">
        <v>44440</v>
      </c>
      <c r="B153">
        <v>21.67</v>
      </c>
      <c r="C153">
        <v>22.83</v>
      </c>
      <c r="D153">
        <v>21.09</v>
      </c>
      <c r="E153">
        <v>22.6</v>
      </c>
      <c r="F153">
        <v>96502.854000000007</v>
      </c>
      <c r="G153">
        <v>22.6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0.7356321839080493</v>
      </c>
      <c r="Q153">
        <f t="shared" ref="Q153" si="741">F153*P153</f>
        <v>70990.605241379642</v>
      </c>
      <c r="R153">
        <f t="shared" ref="R153" si="742">R154+Q153</f>
        <v>-6411262.2757627927</v>
      </c>
      <c r="S153">
        <f t="shared" ref="S153" si="743">R153/100000</f>
        <v>-64.112622757627932</v>
      </c>
      <c r="T153">
        <f t="shared" ref="T153" si="744">S153/1000</f>
        <v>-6.4112622757627927E-2</v>
      </c>
    </row>
    <row r="154" spans="1:20" x14ac:dyDescent="0.25">
      <c r="A154" s="5">
        <v>44439</v>
      </c>
      <c r="B154">
        <v>21.38</v>
      </c>
      <c r="C154">
        <v>23.17</v>
      </c>
      <c r="D154">
        <v>21.3</v>
      </c>
      <c r="E154">
        <v>21.67</v>
      </c>
      <c r="F154">
        <v>189728</v>
      </c>
      <c r="G154">
        <v>21.67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-0.60427807486630936</v>
      </c>
      <c r="Q154">
        <f t="shared" ref="Q154" si="746">F154*P154</f>
        <v>-114648.47058823514</v>
      </c>
      <c r="R154">
        <f t="shared" ref="R154" si="747">R155+Q154</f>
        <v>-6482252.8810041724</v>
      </c>
      <c r="S154">
        <f t="shared" ref="S154" si="748">R154/100000</f>
        <v>-64.822528810041717</v>
      </c>
      <c r="T154">
        <f t="shared" ref="T154" si="749">S154/1000</f>
        <v>-6.4822528810041719E-2</v>
      </c>
    </row>
    <row r="155" spans="1:20" x14ac:dyDescent="0.25">
      <c r="A155" s="5">
        <v>44438</v>
      </c>
      <c r="B155">
        <v>22.83</v>
      </c>
      <c r="C155">
        <v>22.87</v>
      </c>
      <c r="D155">
        <v>21.25</v>
      </c>
      <c r="E155">
        <v>21.32</v>
      </c>
      <c r="F155">
        <v>110211.272</v>
      </c>
      <c r="G155">
        <v>21.32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-0.91358024691357997</v>
      </c>
      <c r="Q155">
        <f t="shared" ref="Q155" si="751">F155*P155</f>
        <v>-100686.84108641972</v>
      </c>
      <c r="R155">
        <f t="shared" ref="R155" si="752">R156+Q155</f>
        <v>-6367604.4104159372</v>
      </c>
      <c r="S155">
        <f t="shared" ref="S155" si="753">R155/100000</f>
        <v>-63.676044104159374</v>
      </c>
      <c r="T155">
        <f t="shared" ref="T155" si="754">S155/1000</f>
        <v>-6.3676044104159377E-2</v>
      </c>
    </row>
    <row r="156" spans="1:20" x14ac:dyDescent="0.25">
      <c r="A156" s="5">
        <v>44437</v>
      </c>
      <c r="B156">
        <v>23.19</v>
      </c>
      <c r="C156">
        <v>23.69</v>
      </c>
      <c r="D156">
        <v>22.48</v>
      </c>
      <c r="E156">
        <v>22.8</v>
      </c>
      <c r="F156">
        <v>95770.13</v>
      </c>
      <c r="G156">
        <v>22.8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-0.47107438016528919</v>
      </c>
      <c r="Q156">
        <f t="shared" ref="Q156" si="756">F156*P156</f>
        <v>-45114.854628099172</v>
      </c>
      <c r="R156">
        <f t="shared" ref="R156" si="757">R157+Q156</f>
        <v>-6266917.5693295179</v>
      </c>
      <c r="S156">
        <f t="shared" ref="S156" si="758">R156/100000</f>
        <v>-62.66917569329518</v>
      </c>
      <c r="T156">
        <f t="shared" ref="T156" si="759">S156/1000</f>
        <v>-6.2669175693295179E-2</v>
      </c>
    </row>
    <row r="157" spans="1:20" x14ac:dyDescent="0.25">
      <c r="A157" s="5">
        <v>44436</v>
      </c>
      <c r="B157">
        <v>24.36</v>
      </c>
      <c r="C157">
        <v>24.5</v>
      </c>
      <c r="D157">
        <v>23</v>
      </c>
      <c r="E157">
        <v>23.12</v>
      </c>
      <c r="F157">
        <v>114701.03</v>
      </c>
      <c r="G157">
        <v>23.12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-0.83999999999999864</v>
      </c>
      <c r="Q157">
        <f t="shared" ref="Q157" si="761">F157*P157</f>
        <v>-96348.86519999984</v>
      </c>
      <c r="R157">
        <f t="shared" ref="R157" si="762">R158+Q157</f>
        <v>-6221802.7147014188</v>
      </c>
      <c r="S157">
        <f t="shared" ref="S157" si="763">R157/100000</f>
        <v>-62.21802714701419</v>
      </c>
      <c r="T157">
        <f t="shared" ref="T157" si="764">S157/1000</f>
        <v>-6.2218027147014188E-2</v>
      </c>
    </row>
    <row r="158" spans="1:20" x14ac:dyDescent="0.25">
      <c r="A158" s="5">
        <v>44435</v>
      </c>
      <c r="B158">
        <v>23.36</v>
      </c>
      <c r="C158">
        <v>24.73</v>
      </c>
      <c r="D158">
        <v>22.6</v>
      </c>
      <c r="E158">
        <v>24.36</v>
      </c>
      <c r="F158">
        <v>139908.503</v>
      </c>
      <c r="G158">
        <v>24.36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0.65258215962441202</v>
      </c>
      <c r="Q158">
        <f t="shared" ref="Q158" si="766">F158*P158</f>
        <v>91301.793037558527</v>
      </c>
      <c r="R158">
        <f t="shared" ref="R158" si="767">R159+Q158</f>
        <v>-6125453.8495014189</v>
      </c>
      <c r="S158">
        <f t="shared" ref="S158" si="768">R158/100000</f>
        <v>-61.254538495014188</v>
      </c>
      <c r="T158">
        <f t="shared" ref="T158" si="769">S158/1000</f>
        <v>-6.1254538495014187E-2</v>
      </c>
    </row>
    <row r="159" spans="1:20" x14ac:dyDescent="0.25">
      <c r="A159" s="5">
        <v>44434</v>
      </c>
      <c r="B159">
        <v>25.29</v>
      </c>
      <c r="C159">
        <v>25.722999999999999</v>
      </c>
      <c r="D159">
        <v>22.4</v>
      </c>
      <c r="E159">
        <v>23.39</v>
      </c>
      <c r="F159">
        <v>132890.61199999999</v>
      </c>
      <c r="G159">
        <v>23.39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-0.40415287390911714</v>
      </c>
      <c r="Q159">
        <f t="shared" ref="Q159" si="771">F159*P159</f>
        <v>-53708.122755341406</v>
      </c>
      <c r="R159">
        <f t="shared" ref="R159" si="772">R160+Q159</f>
        <v>-6216755.6425389778</v>
      </c>
      <c r="S159">
        <f t="shared" ref="S159" si="773">R159/100000</f>
        <v>-62.167556425389776</v>
      </c>
      <c r="T159">
        <f t="shared" ref="T159" si="774">S159/1000</f>
        <v>-6.2167556425389778E-2</v>
      </c>
    </row>
    <row r="160" spans="1:20" x14ac:dyDescent="0.25">
      <c r="A160" s="5">
        <v>44433</v>
      </c>
      <c r="B160">
        <v>23.661999999999999</v>
      </c>
      <c r="C160">
        <v>25.488</v>
      </c>
      <c r="D160">
        <v>21.901</v>
      </c>
      <c r="E160">
        <v>25.242999999999999</v>
      </c>
      <c r="F160">
        <v>166479.88</v>
      </c>
      <c r="G160">
        <v>25.242999999999999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0.86339559520490605</v>
      </c>
      <c r="Q160">
        <f t="shared" ref="Q160" si="776">F160*P160</f>
        <v>143737.99508224134</v>
      </c>
      <c r="R160">
        <f t="shared" ref="R160" si="777">R161+Q160</f>
        <v>-6163047.5197836366</v>
      </c>
      <c r="S160">
        <f t="shared" ref="S160" si="778">R160/100000</f>
        <v>-61.630475197836368</v>
      </c>
      <c r="T160">
        <f t="shared" ref="T160" si="779">S160/1000</f>
        <v>-6.1630475197836369E-2</v>
      </c>
    </row>
    <row r="161" spans="1:20" x14ac:dyDescent="0.25">
      <c r="A161" s="5">
        <v>44432</v>
      </c>
      <c r="B161">
        <v>25.006</v>
      </c>
      <c r="C161">
        <v>25.698</v>
      </c>
      <c r="D161">
        <v>22.861000000000001</v>
      </c>
      <c r="E161">
        <v>23.663</v>
      </c>
      <c r="F161">
        <v>129701.58100000001</v>
      </c>
      <c r="G161">
        <v>23.663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-0.43461402890377182</v>
      </c>
      <c r="Q161">
        <f t="shared" ref="Q161" si="781">F161*P161</f>
        <v>-56370.126673598905</v>
      </c>
      <c r="R161">
        <f t="shared" ref="R161" si="782">R162+Q161</f>
        <v>-6306785.514865878</v>
      </c>
      <c r="S161">
        <f t="shared" ref="S161" si="783">R161/100000</f>
        <v>-63.067855148658779</v>
      </c>
      <c r="T161">
        <f t="shared" ref="T161" si="784">S161/1000</f>
        <v>-6.3067855148658786E-2</v>
      </c>
    </row>
    <row r="162" spans="1:20" x14ac:dyDescent="0.25">
      <c r="A162" s="5">
        <v>44431</v>
      </c>
      <c r="B162">
        <v>23.472999999999999</v>
      </c>
      <c r="C162">
        <v>26</v>
      </c>
      <c r="D162">
        <v>23.058</v>
      </c>
      <c r="E162">
        <v>25.033999999999999</v>
      </c>
      <c r="F162">
        <v>283697.087</v>
      </c>
      <c r="G162">
        <v>25.033999999999999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0.34330387491502312</v>
      </c>
      <c r="Q162">
        <f t="shared" ref="Q162" si="786">F162*P162</f>
        <v>97394.30926920443</v>
      </c>
      <c r="R162">
        <f t="shared" ref="R162" si="787">R163+Q162</f>
        <v>-6250415.3881922793</v>
      </c>
      <c r="S162">
        <f t="shared" ref="S162" si="788">R162/100000</f>
        <v>-62.50415388192279</v>
      </c>
      <c r="T162">
        <f t="shared" ref="T162" si="789">S162/1000</f>
        <v>-6.2504153881922792E-2</v>
      </c>
    </row>
    <row r="163" spans="1:20" x14ac:dyDescent="0.25">
      <c r="A163" s="5">
        <v>44430</v>
      </c>
      <c r="B163">
        <v>23.125</v>
      </c>
      <c r="C163">
        <v>23.331</v>
      </c>
      <c r="D163">
        <v>22.849</v>
      </c>
      <c r="E163">
        <v>23.138000000000002</v>
      </c>
      <c r="F163">
        <v>12265.821</v>
      </c>
      <c r="G163">
        <v>23.138000000000002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0.19917012448133564</v>
      </c>
      <c r="Q163">
        <f t="shared" ref="Q163" si="791">F163*P163</f>
        <v>2442.9850954357807</v>
      </c>
      <c r="R163">
        <f t="shared" ref="R163" si="792">R164+Q163</f>
        <v>-6347809.697461484</v>
      </c>
      <c r="S163">
        <f t="shared" ref="S163" si="793">R163/100000</f>
        <v>-63.478096974614843</v>
      </c>
      <c r="T163">
        <f t="shared" ref="T163" si="794">S163/1000</f>
        <v>-6.3478096974614845E-2</v>
      </c>
    </row>
    <row r="164" spans="1:20" x14ac:dyDescent="0.25">
      <c r="A164" s="5">
        <v>44429</v>
      </c>
      <c r="B164">
        <v>23.757999999999999</v>
      </c>
      <c r="C164">
        <v>24.196999999999999</v>
      </c>
      <c r="D164">
        <v>22.657</v>
      </c>
      <c r="E164">
        <v>23.178999999999998</v>
      </c>
      <c r="F164">
        <v>119424.644</v>
      </c>
      <c r="G164">
        <v>23.178999999999998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-0.32207792207792368</v>
      </c>
      <c r="Q164">
        <f t="shared" ref="Q164" si="796">F164*P164</f>
        <v>-38464.041184415779</v>
      </c>
      <c r="R164">
        <f t="shared" ref="R164" si="797">R165+Q164</f>
        <v>-6350252.6825569198</v>
      </c>
      <c r="S164">
        <f t="shared" ref="S164" si="798">R164/100000</f>
        <v>-63.502526825569198</v>
      </c>
      <c r="T164">
        <f t="shared" ref="T164" si="799">S164/1000</f>
        <v>-6.35025268255692E-2</v>
      </c>
    </row>
    <row r="165" spans="1:20" x14ac:dyDescent="0.25">
      <c r="A165" s="5">
        <v>44428</v>
      </c>
      <c r="B165">
        <v>23.294</v>
      </c>
      <c r="C165">
        <v>24.5</v>
      </c>
      <c r="D165">
        <v>23.167999999999999</v>
      </c>
      <c r="E165">
        <v>23.74</v>
      </c>
      <c r="F165">
        <v>121748.912</v>
      </c>
      <c r="G165">
        <v>23.74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-0.14114114114114285</v>
      </c>
      <c r="Q165">
        <f t="shared" ref="Q165" si="801">F165*P165</f>
        <v>-17183.780372372581</v>
      </c>
      <c r="R165">
        <f t="shared" ref="R165" si="802">R166+Q165</f>
        <v>-6311788.6413725037</v>
      </c>
      <c r="S165">
        <f t="shared" ref="S165" si="803">R165/100000</f>
        <v>-63.117886413725039</v>
      </c>
      <c r="T165">
        <f t="shared" ref="T165" si="804">S165/1000</f>
        <v>-6.3117886413725038E-2</v>
      </c>
    </row>
    <row r="166" spans="1:20" x14ac:dyDescent="0.25">
      <c r="A166" s="5">
        <v>44427</v>
      </c>
      <c r="B166">
        <v>21.992999999999999</v>
      </c>
      <c r="C166">
        <v>23.4</v>
      </c>
      <c r="D166">
        <v>21.225999999999999</v>
      </c>
      <c r="E166">
        <v>23.236999999999998</v>
      </c>
      <c r="F166">
        <v>92432.892000000007</v>
      </c>
      <c r="G166">
        <v>23.236999999999998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0.85004599816007331</v>
      </c>
      <c r="Q166">
        <f t="shared" ref="Q166" si="806">F166*P166</f>
        <v>78572.209942962261</v>
      </c>
      <c r="R166">
        <f t="shared" ref="R166" si="807">R167+Q166</f>
        <v>-6294604.8610001309</v>
      </c>
      <c r="S166">
        <f t="shared" ref="S166" si="808">R166/100000</f>
        <v>-62.946048610001306</v>
      </c>
      <c r="T166">
        <f t="shared" ref="T166" si="809">S166/1000</f>
        <v>-6.2946048610001304E-2</v>
      </c>
    </row>
    <row r="167" spans="1:20" x14ac:dyDescent="0.25">
      <c r="A167" s="5">
        <v>44426</v>
      </c>
      <c r="B167">
        <v>22.015999999999998</v>
      </c>
      <c r="C167">
        <v>23</v>
      </c>
      <c r="D167">
        <v>21.367999999999999</v>
      </c>
      <c r="E167">
        <v>21.948</v>
      </c>
      <c r="F167">
        <v>71644.096000000005</v>
      </c>
      <c r="G167">
        <v>21.948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-0.28921568627450817</v>
      </c>
      <c r="Q167">
        <f t="shared" ref="Q167" si="811">F167*P167</f>
        <v>-20720.596392156745</v>
      </c>
      <c r="R167">
        <f t="shared" ref="R167" si="812">R168+Q167</f>
        <v>-6373177.0709430929</v>
      </c>
      <c r="S167">
        <f t="shared" ref="S167" si="813">R167/100000</f>
        <v>-63.731770709430933</v>
      </c>
      <c r="T167">
        <f t="shared" ref="T167" si="814">S167/1000</f>
        <v>-6.3731770709430938E-2</v>
      </c>
    </row>
    <row r="168" spans="1:20" x14ac:dyDescent="0.25">
      <c r="A168" s="5">
        <v>44425</v>
      </c>
      <c r="B168">
        <v>23.852</v>
      </c>
      <c r="C168">
        <v>24.363</v>
      </c>
      <c r="D168">
        <v>21.5</v>
      </c>
      <c r="E168">
        <v>22.056000000000001</v>
      </c>
      <c r="F168">
        <v>123791</v>
      </c>
      <c r="G168">
        <v>22.056000000000001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-0.61159622773314637</v>
      </c>
      <c r="Q168">
        <f t="shared" ref="Q168" si="816">F168*P168</f>
        <v>-75710.108627313923</v>
      </c>
      <c r="R168">
        <f t="shared" ref="R168" si="817">R169+Q168</f>
        <v>-6352456.4745509364</v>
      </c>
      <c r="S168">
        <f t="shared" ref="S168" si="818">R168/100000</f>
        <v>-63.524564745509366</v>
      </c>
      <c r="T168">
        <f t="shared" ref="T168" si="819">S168/1000</f>
        <v>-6.3524564745509368E-2</v>
      </c>
    </row>
    <row r="169" spans="1:20" x14ac:dyDescent="0.25">
      <c r="A169" s="5">
        <v>44424</v>
      </c>
      <c r="B169">
        <v>25.300999999999998</v>
      </c>
      <c r="C169">
        <v>25.989000000000001</v>
      </c>
      <c r="D169">
        <v>23.498999999999999</v>
      </c>
      <c r="E169">
        <v>23.834</v>
      </c>
      <c r="F169">
        <v>145870.92600000001</v>
      </c>
      <c r="G169">
        <v>23.834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-0.73092369477911601</v>
      </c>
      <c r="Q169">
        <f t="shared" ref="Q169" si="821">F169*P169</f>
        <v>-106620.51619277103</v>
      </c>
      <c r="R169">
        <f t="shared" ref="R169" si="822">R170+Q169</f>
        <v>-6276746.3659236226</v>
      </c>
      <c r="S169">
        <f t="shared" ref="S169" si="823">R169/100000</f>
        <v>-62.767463659236228</v>
      </c>
      <c r="T169">
        <f t="shared" ref="T169" si="824">S169/1000</f>
        <v>-6.2767463659236231E-2</v>
      </c>
    </row>
    <row r="170" spans="1:20" x14ac:dyDescent="0.25">
      <c r="A170" s="5">
        <v>44423</v>
      </c>
      <c r="B170">
        <v>24.748999999999999</v>
      </c>
      <c r="C170">
        <v>25.9</v>
      </c>
      <c r="D170">
        <v>23.332999999999998</v>
      </c>
      <c r="E170">
        <v>25.312999999999999</v>
      </c>
      <c r="F170">
        <v>203020.11799999999</v>
      </c>
      <c r="G170">
        <v>25.312999999999999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0.54265679781846532</v>
      </c>
      <c r="Q170">
        <f t="shared" ref="Q170" si="826">F170*P170</f>
        <v>110170.24712660696</v>
      </c>
      <c r="R170">
        <f t="shared" ref="R170" si="827">R171+Q170</f>
        <v>-6170125.8497308511</v>
      </c>
      <c r="S170">
        <f t="shared" ref="S170" si="828">R170/100000</f>
        <v>-61.701258497308508</v>
      </c>
      <c r="T170">
        <f t="shared" ref="T170" si="829">S170/1000</f>
        <v>-6.1701258497308509E-2</v>
      </c>
    </row>
    <row r="171" spans="1:20" x14ac:dyDescent="0.25">
      <c r="A171" s="5">
        <v>44422</v>
      </c>
      <c r="B171">
        <v>24.021000000000001</v>
      </c>
      <c r="C171">
        <v>26</v>
      </c>
      <c r="D171">
        <v>23.45</v>
      </c>
      <c r="E171">
        <v>24.777999999999999</v>
      </c>
      <c r="F171">
        <v>192603.353</v>
      </c>
      <c r="G171">
        <v>24.777999999999999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4.1568627450979632E-2</v>
      </c>
      <c r="Q171">
        <f t="shared" ref="Q171" si="831">F171*P171</f>
        <v>8006.2570266665207</v>
      </c>
      <c r="R171">
        <f t="shared" ref="R171" si="832">R172+Q171</f>
        <v>-6280296.0968574584</v>
      </c>
      <c r="S171">
        <f t="shared" ref="S171" si="833">R171/100000</f>
        <v>-62.802960968574581</v>
      </c>
      <c r="T171">
        <f t="shared" ref="T171" si="834">S171/1000</f>
        <v>-6.2802960968574587E-2</v>
      </c>
    </row>
    <row r="172" spans="1:20" x14ac:dyDescent="0.25">
      <c r="A172" s="5">
        <v>44421</v>
      </c>
      <c r="B172">
        <v>22.064</v>
      </c>
      <c r="C172">
        <v>24.355</v>
      </c>
      <c r="D172">
        <v>21.707000000000001</v>
      </c>
      <c r="E172">
        <v>24.021999999999998</v>
      </c>
      <c r="F172">
        <v>105746.78200000001</v>
      </c>
      <c r="G172">
        <v>24.021999999999998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0.74848942598187163</v>
      </c>
      <c r="Q172">
        <f t="shared" ref="Q172" si="836">F172*P172</f>
        <v>79150.348158610126</v>
      </c>
      <c r="R172">
        <f t="shared" ref="R172" si="837">R173+Q172</f>
        <v>-6288302.3538841251</v>
      </c>
      <c r="S172">
        <f t="shared" ref="S172" si="838">R172/100000</f>
        <v>-62.88302353884125</v>
      </c>
      <c r="T172">
        <f t="shared" ref="T172" si="839">S172/1000</f>
        <v>-6.2883023538841246E-2</v>
      </c>
    </row>
    <row r="173" spans="1:20" x14ac:dyDescent="0.25">
      <c r="A173" s="5">
        <v>44420</v>
      </c>
      <c r="B173">
        <v>22.728000000000002</v>
      </c>
      <c r="C173">
        <v>23.876999999999999</v>
      </c>
      <c r="D173">
        <v>21.01</v>
      </c>
      <c r="E173">
        <v>22.064</v>
      </c>
      <c r="F173">
        <v>146275.42000000001</v>
      </c>
      <c r="G173">
        <v>22.064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-0.26473665852807848</v>
      </c>
      <c r="Q173">
        <f t="shared" ref="Q173" si="841">F173*P173</f>
        <v>-38724.465915591267</v>
      </c>
      <c r="R173">
        <f t="shared" ref="R173" si="842">R174+Q173</f>
        <v>-6367452.7020427352</v>
      </c>
      <c r="S173">
        <f t="shared" ref="S173" si="843">R173/100000</f>
        <v>-63.674527020427355</v>
      </c>
      <c r="T173">
        <f t="shared" ref="T173" si="844">S173/1000</f>
        <v>-6.3674527020427349E-2</v>
      </c>
    </row>
    <row r="174" spans="1:20" x14ac:dyDescent="0.25">
      <c r="A174" s="5">
        <v>44419</v>
      </c>
      <c r="B174">
        <v>23.018000000000001</v>
      </c>
      <c r="C174">
        <v>24.8</v>
      </c>
      <c r="D174">
        <v>22.196999999999999</v>
      </c>
      <c r="E174">
        <v>22.736000000000001</v>
      </c>
      <c r="F174">
        <v>209750.337</v>
      </c>
      <c r="G174">
        <v>22.736000000000001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-0.58586246638493955</v>
      </c>
      <c r="Q174">
        <f t="shared" ref="Q174" si="846">F174*P174</f>
        <v>-122884.84975989224</v>
      </c>
      <c r="R174">
        <f t="shared" ref="R174" si="847">R175+Q174</f>
        <v>-6328728.2361271437</v>
      </c>
      <c r="S174">
        <f t="shared" ref="S174" si="848">R174/100000</f>
        <v>-63.287282361271437</v>
      </c>
      <c r="T174">
        <f t="shared" ref="T174" si="849">S174/1000</f>
        <v>-6.3287282361271444E-2</v>
      </c>
    </row>
    <row r="175" spans="1:20" x14ac:dyDescent="0.25">
      <c r="A175" s="5">
        <v>44418</v>
      </c>
      <c r="B175">
        <v>23.100999999999999</v>
      </c>
      <c r="C175">
        <v>23.994</v>
      </c>
      <c r="D175">
        <v>21.931999999999999</v>
      </c>
      <c r="E175">
        <v>23</v>
      </c>
      <c r="F175">
        <v>141887.80900000001</v>
      </c>
      <c r="G175">
        <v>23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3.5887487875849458E-2</v>
      </c>
      <c r="Q175">
        <f t="shared" ref="Q175" si="851">F175*P175</f>
        <v>5091.9970252183439</v>
      </c>
      <c r="R175">
        <f t="shared" ref="R175" si="852">R176+Q175</f>
        <v>-6205843.3863672512</v>
      </c>
      <c r="S175">
        <f t="shared" ref="S175" si="853">R175/100000</f>
        <v>-62.058433863672512</v>
      </c>
      <c r="T175">
        <f t="shared" ref="T175" si="854">S175/1000</f>
        <v>-6.2058433863672512E-2</v>
      </c>
    </row>
    <row r="176" spans="1:20" x14ac:dyDescent="0.25">
      <c r="A176" s="5">
        <v>44417</v>
      </c>
      <c r="B176">
        <v>21.936</v>
      </c>
      <c r="C176">
        <v>24.600999999999999</v>
      </c>
      <c r="D176">
        <v>20.634</v>
      </c>
      <c r="E176">
        <v>23.064</v>
      </c>
      <c r="F176">
        <v>370415.43400000001</v>
      </c>
      <c r="G176">
        <v>23.064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0.2251071338542982</v>
      </c>
      <c r="Q176">
        <f t="shared" ref="Q176" si="856">F176*P176</f>
        <v>83383.156683135967</v>
      </c>
      <c r="R176">
        <f t="shared" ref="R176" si="857">R177+Q176</f>
        <v>-6210935.38339247</v>
      </c>
      <c r="S176">
        <f t="shared" ref="S176" si="858">R176/100000</f>
        <v>-62.1093538339247</v>
      </c>
      <c r="T176">
        <f t="shared" ref="T176" si="859">S176/1000</f>
        <v>-6.2109353833924699E-2</v>
      </c>
    </row>
    <row r="177" spans="1:20" x14ac:dyDescent="0.25">
      <c r="A177" s="5">
        <v>44416</v>
      </c>
      <c r="B177">
        <v>21.664999999999999</v>
      </c>
      <c r="C177">
        <v>24.596</v>
      </c>
      <c r="D177">
        <v>20.254000000000001</v>
      </c>
      <c r="E177">
        <v>21.943999999999999</v>
      </c>
      <c r="F177">
        <v>406902.20199999999</v>
      </c>
      <c r="G177">
        <v>21.943999999999999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-0.22155688622754574</v>
      </c>
      <c r="Q177">
        <f t="shared" ref="Q177" si="861">F177*P177</f>
        <v>-90151.984874251837</v>
      </c>
      <c r="R177">
        <f t="shared" ref="R177" si="862">R178+Q177</f>
        <v>-6294318.5400756057</v>
      </c>
      <c r="S177">
        <f t="shared" ref="S177" si="863">R177/100000</f>
        <v>-62.943185400756057</v>
      </c>
      <c r="T177">
        <f t="shared" ref="T177" si="864">S177/1000</f>
        <v>-6.2943185400756052E-2</v>
      </c>
    </row>
    <row r="178" spans="1:20" x14ac:dyDescent="0.25">
      <c r="A178" s="5">
        <v>44415</v>
      </c>
      <c r="B178">
        <v>19.553999999999998</v>
      </c>
      <c r="C178">
        <v>22.898</v>
      </c>
      <c r="D178">
        <v>19.38</v>
      </c>
      <c r="E178">
        <v>21.7</v>
      </c>
      <c r="F178">
        <v>346758.79200000002</v>
      </c>
      <c r="G178">
        <v>21.7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0.3189312109152927</v>
      </c>
      <c r="Q178">
        <f t="shared" ref="Q178" si="866">F178*P178</f>
        <v>110592.20142808411</v>
      </c>
      <c r="R178">
        <f t="shared" ref="R178" si="867">R179+Q178</f>
        <v>-6204166.5552013535</v>
      </c>
      <c r="S178">
        <f t="shared" ref="S178" si="868">R178/100000</f>
        <v>-62.041665552013534</v>
      </c>
      <c r="T178">
        <f t="shared" ref="T178" si="869">S178/1000</f>
        <v>-6.2041665552013535E-2</v>
      </c>
    </row>
    <row r="179" spans="1:20" x14ac:dyDescent="0.25">
      <c r="A179" s="5">
        <v>44414</v>
      </c>
      <c r="B179">
        <v>18.884</v>
      </c>
      <c r="C179">
        <v>21.2</v>
      </c>
      <c r="D179">
        <v>18.48</v>
      </c>
      <c r="E179">
        <v>19.510000000000002</v>
      </c>
      <c r="F179">
        <v>202616.21100000001</v>
      </c>
      <c r="G179">
        <v>19.510000000000002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-0.24264705882352827</v>
      </c>
      <c r="Q179">
        <f t="shared" ref="Q179" si="871">F179*P179</f>
        <v>-49164.227669117419</v>
      </c>
      <c r="R179">
        <f t="shared" ref="R179" si="872">R180+Q179</f>
        <v>-6314758.7566294372</v>
      </c>
      <c r="S179">
        <f t="shared" ref="S179" si="873">R179/100000</f>
        <v>-63.147587566294369</v>
      </c>
      <c r="T179">
        <f t="shared" ref="T179" si="874">S179/1000</f>
        <v>-6.3147587566294364E-2</v>
      </c>
    </row>
    <row r="180" spans="1:20" x14ac:dyDescent="0.25">
      <c r="A180" s="5">
        <v>44413</v>
      </c>
      <c r="B180">
        <v>17.559000000000001</v>
      </c>
      <c r="C180">
        <v>19.803000000000001</v>
      </c>
      <c r="D180">
        <v>17.443999999999999</v>
      </c>
      <c r="E180">
        <v>18.814</v>
      </c>
      <c r="F180">
        <v>184287.728</v>
      </c>
      <c r="G180">
        <v>18.814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0.16150911403136919</v>
      </c>
      <c r="Q180">
        <f t="shared" ref="Q180" si="876">F180*P180</f>
        <v>29764.147676133951</v>
      </c>
      <c r="R180">
        <f t="shared" ref="R180" si="877">R181+Q180</f>
        <v>-6265594.5289603202</v>
      </c>
      <c r="S180">
        <f t="shared" ref="S180" si="878">R180/100000</f>
        <v>-62.655945289603203</v>
      </c>
      <c r="T180">
        <f t="shared" ref="T180" si="879">S180/1000</f>
        <v>-6.2655945289603207E-2</v>
      </c>
    </row>
    <row r="181" spans="1:20" x14ac:dyDescent="0.25">
      <c r="A181" s="5">
        <v>44412</v>
      </c>
      <c r="B181">
        <v>17.344999999999999</v>
      </c>
      <c r="C181">
        <v>18.126999999999999</v>
      </c>
      <c r="D181">
        <v>16.88</v>
      </c>
      <c r="E181">
        <v>17.545999999999999</v>
      </c>
      <c r="F181">
        <v>75687.607000000004</v>
      </c>
      <c r="G181">
        <v>17.545999999999999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6.8163592622294197E-2</v>
      </c>
      <c r="Q181">
        <f t="shared" ref="Q181" si="881">F181*P181</f>
        <v>5159.1392101043029</v>
      </c>
      <c r="R181">
        <f t="shared" ref="R181" si="882">R182+Q181</f>
        <v>-6295358.6766364537</v>
      </c>
      <c r="S181">
        <f t="shared" ref="S181" si="883">R181/100000</f>
        <v>-62.953586766364538</v>
      </c>
      <c r="T181">
        <f t="shared" ref="T181" si="884">S181/1000</f>
        <v>-6.2953586766364533E-2</v>
      </c>
    </row>
    <row r="182" spans="1:20" x14ac:dyDescent="0.25">
      <c r="A182" s="5">
        <v>44411</v>
      </c>
      <c r="B182">
        <v>16.832000000000001</v>
      </c>
      <c r="C182">
        <v>17.835000000000001</v>
      </c>
      <c r="D182">
        <v>16.175999999999998</v>
      </c>
      <c r="E182">
        <v>17.283999999999999</v>
      </c>
      <c r="F182">
        <v>106684.402</v>
      </c>
      <c r="G182">
        <v>17.283999999999999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0.33574442435201796</v>
      </c>
      <c r="Q182">
        <f t="shared" ref="Q182" si="886">F182*P182</f>
        <v>35818.693136829272</v>
      </c>
      <c r="R182">
        <f t="shared" ref="R182" si="887">R183+Q182</f>
        <v>-6300517.8158465577</v>
      </c>
      <c r="S182">
        <f t="shared" ref="S182" si="888">R182/100000</f>
        <v>-63.005178158465576</v>
      </c>
      <c r="T182">
        <f t="shared" ref="T182" si="889">S182/1000</f>
        <v>-6.3005178158465569E-2</v>
      </c>
    </row>
    <row r="183" spans="1:20" x14ac:dyDescent="0.25">
      <c r="A183" s="5">
        <v>44410</v>
      </c>
      <c r="B183">
        <v>16.867000000000001</v>
      </c>
      <c r="C183">
        <v>17.298999999999999</v>
      </c>
      <c r="D183">
        <v>16.47</v>
      </c>
      <c r="E183">
        <v>16.853999999999999</v>
      </c>
      <c r="F183">
        <v>81237.572</v>
      </c>
      <c r="G183">
        <v>16.853999999999999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-7.3582629674306274E-2</v>
      </c>
      <c r="Q183">
        <f t="shared" ref="Q183" si="891">F183*P183</f>
        <v>-5977.6741761157928</v>
      </c>
      <c r="R183">
        <f t="shared" ref="R183" si="892">R184+Q183</f>
        <v>-6336336.5089833867</v>
      </c>
      <c r="S183">
        <f t="shared" ref="S183" si="893">R183/100000</f>
        <v>-63.36336508983387</v>
      </c>
      <c r="T183">
        <f t="shared" ref="T183" si="894">S183/1000</f>
        <v>-6.3363365089833867E-2</v>
      </c>
    </row>
    <row r="184" spans="1:20" x14ac:dyDescent="0.25">
      <c r="A184" s="5">
        <v>44409</v>
      </c>
      <c r="B184">
        <v>17.312999999999999</v>
      </c>
      <c r="C184">
        <v>18.387</v>
      </c>
      <c r="D184">
        <v>16.690999999999999</v>
      </c>
      <c r="E184">
        <v>16.879000000000001</v>
      </c>
      <c r="F184">
        <v>175747.606</v>
      </c>
      <c r="G184">
        <v>16.879000000000001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-0.77830188679245016</v>
      </c>
      <c r="Q184">
        <f t="shared" ref="Q184" si="896">F184*P184</f>
        <v>-136784.69334905612</v>
      </c>
      <c r="R184">
        <f t="shared" ref="R184" si="897">R185+Q184</f>
        <v>-6330358.8348072711</v>
      </c>
      <c r="S184">
        <f t="shared" ref="S184" si="898">R184/100000</f>
        <v>-63.303588348072708</v>
      </c>
      <c r="T184">
        <f t="shared" ref="T184" si="899">S184/1000</f>
        <v>-6.3303588348072704E-2</v>
      </c>
    </row>
    <row r="185" spans="1:20" x14ac:dyDescent="0.25">
      <c r="A185" s="5">
        <v>44408</v>
      </c>
      <c r="B185">
        <v>17.5</v>
      </c>
      <c r="C185">
        <v>17.786000000000001</v>
      </c>
      <c r="D185">
        <v>17.149000000000001</v>
      </c>
      <c r="E185">
        <v>17.282</v>
      </c>
      <c r="F185">
        <v>102619.217</v>
      </c>
      <c r="G185">
        <v>17.282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-0.58241758241758546</v>
      </c>
      <c r="Q185">
        <f t="shared" ref="Q185" si="901">F185*P185</f>
        <v>-59767.23627472559</v>
      </c>
      <c r="R185">
        <f t="shared" ref="R185" si="902">R186+Q185</f>
        <v>-6193574.1414582152</v>
      </c>
      <c r="S185">
        <f t="shared" ref="S185" si="903">R185/100000</f>
        <v>-61.935741414582154</v>
      </c>
      <c r="T185">
        <f t="shared" ref="T185" si="904">S185/1000</f>
        <v>-6.1935741414582156E-2</v>
      </c>
    </row>
    <row r="186" spans="1:20" x14ac:dyDescent="0.25">
      <c r="A186" s="5">
        <v>44407</v>
      </c>
      <c r="B186">
        <v>17.478999999999999</v>
      </c>
      <c r="C186">
        <v>17.919</v>
      </c>
      <c r="D186">
        <v>16.437000000000001</v>
      </c>
      <c r="E186">
        <v>17.489999999999998</v>
      </c>
      <c r="F186">
        <v>91555.173999999999</v>
      </c>
      <c r="G186">
        <v>17.489999999999998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0.42105263157894435</v>
      </c>
      <c r="Q186">
        <f t="shared" ref="Q186" si="906">F186*P186</f>
        <v>38549.546947368144</v>
      </c>
      <c r="R186">
        <f t="shared" ref="R186" si="907">R187+Q186</f>
        <v>-6133806.9051834894</v>
      </c>
      <c r="S186">
        <f t="shared" ref="S186" si="908">R186/100000</f>
        <v>-61.338069051834893</v>
      </c>
      <c r="T186">
        <f t="shared" ref="T186" si="909">S186/1000</f>
        <v>-6.1338069051834893E-2</v>
      </c>
    </row>
    <row r="187" spans="1:20" x14ac:dyDescent="0.25">
      <c r="A187" s="5">
        <v>44406</v>
      </c>
      <c r="B187">
        <v>17.146999999999998</v>
      </c>
      <c r="C187">
        <v>18.61</v>
      </c>
      <c r="D187">
        <v>16.861999999999998</v>
      </c>
      <c r="E187">
        <v>17.481999999999999</v>
      </c>
      <c r="F187">
        <v>244440.663</v>
      </c>
      <c r="G187">
        <v>17.481999999999999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-0.290617848970251</v>
      </c>
      <c r="Q187">
        <f t="shared" ref="Q187" si="911">F187*P187</f>
        <v>-71038.819681922017</v>
      </c>
      <c r="R187">
        <f t="shared" ref="R187" si="912">R188+Q187</f>
        <v>-6172356.4521308579</v>
      </c>
      <c r="S187">
        <f t="shared" ref="S187" si="913">R187/100000</f>
        <v>-61.723564521308582</v>
      </c>
      <c r="T187">
        <f t="shared" ref="T187" si="914">S187/1000</f>
        <v>-6.1723564521308581E-2</v>
      </c>
    </row>
    <row r="188" spans="1:20" x14ac:dyDescent="0.25">
      <c r="A188" s="5">
        <v>44405</v>
      </c>
      <c r="B188">
        <v>17.126999999999999</v>
      </c>
      <c r="C188">
        <v>17.960999999999999</v>
      </c>
      <c r="D188">
        <v>16.45</v>
      </c>
      <c r="E188">
        <v>17.120999999999999</v>
      </c>
      <c r="F188">
        <v>132992.10800000001</v>
      </c>
      <c r="G188">
        <v>17.120999999999999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-0.11184645929847821</v>
      </c>
      <c r="Q188">
        <f t="shared" ref="Q188" si="916">F188*P188</f>
        <v>-14874.69639444082</v>
      </c>
      <c r="R188">
        <f t="shared" ref="R188" si="917">R189+Q188</f>
        <v>-6101317.6324489359</v>
      </c>
      <c r="S188">
        <f t="shared" ref="S188" si="918">R188/100000</f>
        <v>-61.013176324489358</v>
      </c>
      <c r="T188">
        <f t="shared" ref="T188" si="919">S188/1000</f>
        <v>-6.1013176324489354E-2</v>
      </c>
    </row>
    <row r="189" spans="1:20" x14ac:dyDescent="0.25">
      <c r="A189" s="5">
        <v>44404</v>
      </c>
      <c r="B189">
        <v>16.433</v>
      </c>
      <c r="C189">
        <v>17.501000000000001</v>
      </c>
      <c r="D189">
        <v>15.6</v>
      </c>
      <c r="E189">
        <v>17.105</v>
      </c>
      <c r="F189">
        <v>209794.83900000001</v>
      </c>
      <c r="G189">
        <v>17.105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0.58337716991057287</v>
      </c>
      <c r="Q189">
        <f t="shared" ref="Q189" si="921">F189*P189</f>
        <v>122389.51943766429</v>
      </c>
      <c r="R189">
        <f t="shared" ref="R189" si="922">R190+Q189</f>
        <v>-6086442.9360544952</v>
      </c>
      <c r="S189">
        <f t="shared" ref="S189" si="923">R189/100000</f>
        <v>-60.864429360544953</v>
      </c>
      <c r="T189">
        <f t="shared" ref="T189" si="924">S189/1000</f>
        <v>-6.0864429360544953E-2</v>
      </c>
    </row>
    <row r="190" spans="1:20" x14ac:dyDescent="0.25">
      <c r="A190" s="5">
        <v>44403</v>
      </c>
      <c r="B190">
        <v>17.536000000000001</v>
      </c>
      <c r="C190">
        <v>19.399999999999999</v>
      </c>
      <c r="D190">
        <v>16.146000000000001</v>
      </c>
      <c r="E190">
        <v>16.433</v>
      </c>
      <c r="F190">
        <v>241093.761</v>
      </c>
      <c r="G190">
        <v>16.433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-0.82360172095882034</v>
      </c>
      <c r="Q190">
        <f t="shared" ref="Q190" si="926">F190*P190</f>
        <v>-198565.23647203451</v>
      </c>
      <c r="R190">
        <f t="shared" ref="R190" si="927">R191+Q190</f>
        <v>-6208832.4554921594</v>
      </c>
      <c r="S190">
        <f t="shared" ref="S190" si="928">R190/100000</f>
        <v>-62.088324554921591</v>
      </c>
      <c r="T190">
        <f t="shared" ref="T190" si="929">S190/1000</f>
        <v>-6.2088324554921588E-2</v>
      </c>
    </row>
    <row r="191" spans="1:20" x14ac:dyDescent="0.25">
      <c r="A191" s="5">
        <v>44402</v>
      </c>
      <c r="B191">
        <v>15.433</v>
      </c>
      <c r="C191">
        <v>17.786999999999999</v>
      </c>
      <c r="D191">
        <v>15.083</v>
      </c>
      <c r="E191">
        <v>17.536000000000001</v>
      </c>
      <c r="F191">
        <v>226125.61300000001</v>
      </c>
      <c r="G191">
        <v>17.536000000000001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0.81434911242603714</v>
      </c>
      <c r="Q191">
        <f t="shared" ref="Q191" si="931">F191*P191</f>
        <v>184145.19224334357</v>
      </c>
      <c r="R191">
        <f t="shared" ref="R191" si="932">R192+Q191</f>
        <v>-6010267.2190201245</v>
      </c>
      <c r="S191">
        <f t="shared" ref="S191" si="933">R191/100000</f>
        <v>-60.102672190201247</v>
      </c>
      <c r="T191">
        <f t="shared" ref="T191:T197" si="934">S191/1000</f>
        <v>-6.0102672190201246E-2</v>
      </c>
    </row>
    <row r="192" spans="1:20" x14ac:dyDescent="0.25">
      <c r="A192" s="5">
        <v>44401</v>
      </c>
      <c r="B192">
        <v>15.000999999999999</v>
      </c>
      <c r="C192">
        <v>16.594000000000001</v>
      </c>
      <c r="D192">
        <v>14.852</v>
      </c>
      <c r="E192">
        <v>15.461</v>
      </c>
      <c r="F192">
        <v>135996.37899999999</v>
      </c>
      <c r="G192">
        <v>15.461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-0.30080367393800267</v>
      </c>
      <c r="Q192">
        <f t="shared" ref="Q192" si="936">F192*P192</f>
        <v>-40908.210445465033</v>
      </c>
      <c r="R192">
        <f t="shared" ref="R192" si="937">R193+Q192</f>
        <v>-6194412.4112634677</v>
      </c>
      <c r="S192">
        <f t="shared" ref="S192" si="938">R192/100000</f>
        <v>-61.944124112634675</v>
      </c>
      <c r="T192">
        <f t="shared" si="934"/>
        <v>-6.1944124112634676E-2</v>
      </c>
    </row>
    <row r="193" spans="1:20" x14ac:dyDescent="0.25">
      <c r="A193" s="5">
        <v>44400</v>
      </c>
      <c r="B193">
        <v>14.895</v>
      </c>
      <c r="C193">
        <v>15.484</v>
      </c>
      <c r="D193">
        <v>14.228999999999999</v>
      </c>
      <c r="E193">
        <v>14.996</v>
      </c>
      <c r="F193">
        <v>74470.281000000003</v>
      </c>
      <c r="G193">
        <v>14.996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0.22231075697211275</v>
      </c>
      <c r="Q193">
        <f t="shared" ref="Q193" si="940">F193*P193</f>
        <v>16555.544541035946</v>
      </c>
      <c r="R193">
        <f t="shared" ref="R193" si="941">R194+Q193</f>
        <v>-6153504.2008180032</v>
      </c>
      <c r="S193">
        <f t="shared" ref="S193" si="942">R193/100000</f>
        <v>-61.535042008180028</v>
      </c>
      <c r="T193">
        <f t="shared" si="934"/>
        <v>-6.1535042008180031E-2</v>
      </c>
    </row>
    <row r="194" spans="1:20" x14ac:dyDescent="0.25">
      <c r="A194" s="5">
        <v>44399</v>
      </c>
      <c r="B194">
        <v>14.497</v>
      </c>
      <c r="C194">
        <v>15.48</v>
      </c>
      <c r="D194">
        <v>14.26</v>
      </c>
      <c r="E194">
        <v>14.936</v>
      </c>
      <c r="F194">
        <v>86136.998999999996</v>
      </c>
      <c r="G194">
        <v>14.936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0.10819672131147509</v>
      </c>
      <c r="Q194">
        <f t="shared" ref="Q194" si="944">F194*P194</f>
        <v>9319.7408754098087</v>
      </c>
      <c r="R194">
        <f t="shared" ref="R194" si="945">R195+Q194</f>
        <v>-6170059.7453590389</v>
      </c>
      <c r="S194">
        <f t="shared" ref="S194" si="946">R194/100000</f>
        <v>-61.70059745359039</v>
      </c>
      <c r="T194">
        <f t="shared" si="934"/>
        <v>-6.170059745359039E-2</v>
      </c>
    </row>
    <row r="195" spans="1:20" x14ac:dyDescent="0.25">
      <c r="A195" s="5">
        <v>44398</v>
      </c>
      <c r="B195">
        <v>13.351000000000001</v>
      </c>
      <c r="C195">
        <v>15.518000000000001</v>
      </c>
      <c r="D195">
        <v>13.157</v>
      </c>
      <c r="E195">
        <v>14.542999999999999</v>
      </c>
      <c r="F195">
        <v>206892.47899999999</v>
      </c>
      <c r="G195">
        <v>14.542999999999999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0.17407878017788975</v>
      </c>
      <c r="Q195">
        <f t="shared" ref="Q195" si="948">F195*P195</f>
        <v>36015.590372299666</v>
      </c>
      <c r="R195">
        <f t="shared" ref="R195" si="949">R196+Q195</f>
        <v>-6179379.4862344489</v>
      </c>
      <c r="S195">
        <f t="shared" ref="S195" si="950">R195/100000</f>
        <v>-61.793794862344491</v>
      </c>
      <c r="T195">
        <f t="shared" si="934"/>
        <v>-6.1793794862344494E-2</v>
      </c>
    </row>
    <row r="196" spans="1:20" x14ac:dyDescent="0.25">
      <c r="A196" s="5">
        <v>44397</v>
      </c>
      <c r="B196">
        <v>14.515000000000001</v>
      </c>
      <c r="C196">
        <v>14.659000000000001</v>
      </c>
      <c r="D196">
        <v>13.022</v>
      </c>
      <c r="E196">
        <v>13.385</v>
      </c>
      <c r="F196">
        <v>155303.152</v>
      </c>
      <c r="G196">
        <v>13.385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-0.55650580329871779</v>
      </c>
      <c r="Q196">
        <f t="shared" ref="Q196" si="952">F196*P196</f>
        <v>-86427.105358582878</v>
      </c>
      <c r="R196">
        <f t="shared" ref="R196" si="953">R197+Q196</f>
        <v>-6215395.0766067486</v>
      </c>
      <c r="S196">
        <f t="shared" ref="S196" si="954">R196/100000</f>
        <v>-62.153950766067489</v>
      </c>
      <c r="T196">
        <f t="shared" si="934"/>
        <v>-6.2153950766067487E-2</v>
      </c>
    </row>
    <row r="197" spans="1:20" x14ac:dyDescent="0.25">
      <c r="A197" s="5">
        <v>44396</v>
      </c>
      <c r="B197">
        <v>15.885999999999999</v>
      </c>
      <c r="C197">
        <v>15.898</v>
      </c>
      <c r="D197">
        <v>14.121</v>
      </c>
      <c r="E197">
        <v>14.515000000000001</v>
      </c>
      <c r="F197">
        <v>217742.55300000001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-0.5565559932470453</v>
      </c>
      <c r="Q197">
        <f t="shared" ref="Q197" si="956">F197*P197</f>
        <v>-121185.92285706241</v>
      </c>
      <c r="R197">
        <f t="shared" ref="R197" si="957">R198+Q197</f>
        <v>-6128967.9712481657</v>
      </c>
      <c r="S197">
        <f t="shared" ref="S197" si="958">R197/100000</f>
        <v>-61.289679712481657</v>
      </c>
      <c r="T197">
        <f t="shared" si="934"/>
        <v>-6.1289679712481657E-2</v>
      </c>
    </row>
    <row r="198" spans="1:20" x14ac:dyDescent="0.25">
      <c r="A198" s="5">
        <v>44395</v>
      </c>
      <c r="B198">
        <v>16.969000000000001</v>
      </c>
      <c r="C198">
        <v>17.2</v>
      </c>
      <c r="D198">
        <v>15.551</v>
      </c>
      <c r="E198">
        <v>15.885999999999999</v>
      </c>
      <c r="F198">
        <v>168017.967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-0.59369314736203849</v>
      </c>
      <c r="Q198">
        <f t="shared" ref="Q198:Q261" si="960">F198*P198</f>
        <v>-99751.115641601122</v>
      </c>
      <c r="R198">
        <f t="shared" ref="R198:R261" si="961">R199+Q198</f>
        <v>-6007782.0483911037</v>
      </c>
      <c r="S198">
        <f t="shared" ref="S198:S261" si="962">R198/100000</f>
        <v>-60.07782048391104</v>
      </c>
      <c r="T198">
        <f t="shared" ref="T198:T261" si="963">S198/1000</f>
        <v>-6.007782048391104E-2</v>
      </c>
    </row>
    <row r="199" spans="1:20" x14ac:dyDescent="0.25">
      <c r="A199" s="5">
        <v>44394</v>
      </c>
      <c r="B199">
        <v>14.734</v>
      </c>
      <c r="C199">
        <v>18.899999999999999</v>
      </c>
      <c r="D199">
        <v>14.438000000000001</v>
      </c>
      <c r="E199">
        <v>16.986999999999998</v>
      </c>
      <c r="F199">
        <v>631956.13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0.14253697893321329</v>
      </c>
      <c r="Q199">
        <f t="shared" si="960"/>
        <v>90077.117588524998</v>
      </c>
      <c r="R199">
        <f t="shared" si="961"/>
        <v>-5908030.9327495024</v>
      </c>
      <c r="S199">
        <f t="shared" si="962"/>
        <v>-59.080309327495023</v>
      </c>
      <c r="T199">
        <f t="shared" si="963"/>
        <v>-5.9080309327495022E-2</v>
      </c>
    </row>
    <row r="200" spans="1:20" x14ac:dyDescent="0.25">
      <c r="A200" s="5">
        <v>44393</v>
      </c>
      <c r="B200">
        <v>16.236999999999998</v>
      </c>
      <c r="C200">
        <v>17.431999999999999</v>
      </c>
      <c r="D200">
        <v>14.409000000000001</v>
      </c>
      <c r="E200">
        <v>14.734</v>
      </c>
      <c r="F200">
        <v>163705.22200000001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-0.78498180615282864</v>
      </c>
      <c r="Q200">
        <f t="shared" si="960"/>
        <v>-128505.62084220978</v>
      </c>
      <c r="R200">
        <f t="shared" si="961"/>
        <v>-5998108.0503380271</v>
      </c>
      <c r="S200">
        <f t="shared" si="962"/>
        <v>-59.981080503380269</v>
      </c>
      <c r="T200">
        <f t="shared" si="963"/>
        <v>-5.9981080503380267E-2</v>
      </c>
    </row>
    <row r="201" spans="1:20" x14ac:dyDescent="0.25">
      <c r="A201" s="5">
        <v>44392</v>
      </c>
      <c r="B201">
        <v>17.652000000000001</v>
      </c>
      <c r="C201">
        <v>19.899999999999999</v>
      </c>
      <c r="D201">
        <v>15.798</v>
      </c>
      <c r="E201">
        <v>16.236999999999998</v>
      </c>
      <c r="F201">
        <v>237006.39300000001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-0.7859580692345205</v>
      </c>
      <c r="Q201">
        <f t="shared" si="960"/>
        <v>-186277.08703851799</v>
      </c>
      <c r="R201">
        <f t="shared" si="961"/>
        <v>-5869602.4294958171</v>
      </c>
      <c r="S201">
        <f t="shared" si="962"/>
        <v>-58.696024294958171</v>
      </c>
      <c r="T201">
        <f t="shared" si="963"/>
        <v>-5.8696024294958168E-2</v>
      </c>
    </row>
    <row r="202" spans="1:20" x14ac:dyDescent="0.25">
      <c r="A202" s="5">
        <v>44391</v>
      </c>
      <c r="B202">
        <v>19.847999999999999</v>
      </c>
      <c r="C202">
        <v>19.901</v>
      </c>
      <c r="D202">
        <v>16.623000000000001</v>
      </c>
      <c r="E202">
        <v>17.692</v>
      </c>
      <c r="F202">
        <v>552683.95900000003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-0.34777303233679102</v>
      </c>
      <c r="Q202">
        <f t="shared" si="960"/>
        <v>-192208.57634533269</v>
      </c>
      <c r="R202">
        <f t="shared" si="961"/>
        <v>-5683325.3424572991</v>
      </c>
      <c r="S202">
        <f t="shared" si="962"/>
        <v>-56.833253424572995</v>
      </c>
      <c r="T202">
        <f t="shared" si="963"/>
        <v>-5.6833253424572995E-2</v>
      </c>
    </row>
    <row r="203" spans="1:20" x14ac:dyDescent="0.25">
      <c r="A203" s="5">
        <v>44390</v>
      </c>
      <c r="B203">
        <v>19.120999999999999</v>
      </c>
      <c r="C203">
        <v>23.3</v>
      </c>
      <c r="D203">
        <v>18.664999999999999</v>
      </c>
      <c r="E203">
        <v>19.847999999999999</v>
      </c>
      <c r="F203">
        <v>1030468.037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-0.48953613807982765</v>
      </c>
      <c r="Q203">
        <f t="shared" si="960"/>
        <v>-504451.34324768098</v>
      </c>
      <c r="R203">
        <f t="shared" si="961"/>
        <v>-5491116.7661119662</v>
      </c>
      <c r="S203">
        <f t="shared" si="962"/>
        <v>-54.911167661119663</v>
      </c>
      <c r="T203">
        <f t="shared" si="963"/>
        <v>-5.4911167661119663E-2</v>
      </c>
    </row>
    <row r="204" spans="1:20" x14ac:dyDescent="0.25">
      <c r="A204" s="5">
        <v>44389</v>
      </c>
      <c r="B204">
        <v>16.713000000000001</v>
      </c>
      <c r="C204">
        <v>21.5</v>
      </c>
      <c r="D204">
        <v>16.167999999999999</v>
      </c>
      <c r="E204">
        <v>19.119</v>
      </c>
      <c r="F204">
        <v>1173715.9539999999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0.10690172543135788</v>
      </c>
      <c r="Q204">
        <f t="shared" si="960"/>
        <v>125472.26064891227</v>
      </c>
      <c r="R204">
        <f t="shared" si="961"/>
        <v>-4986665.4228642853</v>
      </c>
      <c r="S204">
        <f t="shared" si="962"/>
        <v>-49.866654228642851</v>
      </c>
      <c r="T204">
        <f t="shared" si="963"/>
        <v>-4.9866654228642851E-2</v>
      </c>
    </row>
    <row r="205" spans="1:20" x14ac:dyDescent="0.25">
      <c r="A205" s="5">
        <v>44388</v>
      </c>
      <c r="B205">
        <v>13.835000000000001</v>
      </c>
      <c r="C205">
        <v>18</v>
      </c>
      <c r="D205">
        <v>13.715</v>
      </c>
      <c r="E205">
        <v>16.678999999999998</v>
      </c>
      <c r="F205">
        <v>277073.47899999999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0.38343057176195966</v>
      </c>
      <c r="Q205">
        <f t="shared" si="960"/>
        <v>106238.44247304532</v>
      </c>
      <c r="R205">
        <f t="shared" si="961"/>
        <v>-5112137.6835131971</v>
      </c>
      <c r="S205">
        <f t="shared" si="962"/>
        <v>-51.121376835131969</v>
      </c>
      <c r="T205">
        <f t="shared" si="963"/>
        <v>-5.1121376835131967E-2</v>
      </c>
    </row>
    <row r="206" spans="1:20" x14ac:dyDescent="0.25">
      <c r="A206" s="5">
        <v>44387</v>
      </c>
      <c r="B206">
        <v>14.452999999999999</v>
      </c>
      <c r="C206">
        <v>14.589</v>
      </c>
      <c r="D206">
        <v>13.567</v>
      </c>
      <c r="E206">
        <v>13.835000000000001</v>
      </c>
      <c r="F206">
        <v>21402.647000000001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-0.47553816046966613</v>
      </c>
      <c r="Q206">
        <f t="shared" si="960"/>
        <v>-10177.775383561619</v>
      </c>
      <c r="R206">
        <f t="shared" si="961"/>
        <v>-5218376.1259862427</v>
      </c>
      <c r="S206">
        <f t="shared" si="962"/>
        <v>-52.183761259862429</v>
      </c>
      <c r="T206">
        <f t="shared" si="963"/>
        <v>-5.2183761259862432E-2</v>
      </c>
    </row>
    <row r="207" spans="1:20" x14ac:dyDescent="0.25">
      <c r="A207" s="5">
        <v>44386</v>
      </c>
      <c r="B207">
        <v>14.051</v>
      </c>
      <c r="C207">
        <v>14.688000000000001</v>
      </c>
      <c r="D207">
        <v>13.458</v>
      </c>
      <c r="E207">
        <v>14.355</v>
      </c>
      <c r="F207">
        <v>39790.733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0.45853658536585357</v>
      </c>
      <c r="Q207">
        <f t="shared" si="960"/>
        <v>18245.506839024387</v>
      </c>
      <c r="R207">
        <f t="shared" si="961"/>
        <v>-5208198.3506026808</v>
      </c>
      <c r="S207">
        <f t="shared" si="962"/>
        <v>-52.081983506026809</v>
      </c>
      <c r="T207">
        <f t="shared" si="963"/>
        <v>-5.2081983506026809E-2</v>
      </c>
    </row>
    <row r="208" spans="1:20" x14ac:dyDescent="0.25">
      <c r="A208" s="5">
        <v>44385</v>
      </c>
      <c r="B208">
        <v>15.071999999999999</v>
      </c>
      <c r="C208">
        <v>15.125999999999999</v>
      </c>
      <c r="D208">
        <v>13.795</v>
      </c>
      <c r="E208">
        <v>14.013999999999999</v>
      </c>
      <c r="F208">
        <v>48103.326000000001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-0.67092411720510969</v>
      </c>
      <c r="Q208">
        <f t="shared" si="960"/>
        <v>-32273.681531179602</v>
      </c>
      <c r="R208">
        <f t="shared" si="961"/>
        <v>-5226443.8574417057</v>
      </c>
      <c r="S208">
        <f t="shared" si="962"/>
        <v>-52.264438574417056</v>
      </c>
      <c r="T208">
        <f t="shared" si="963"/>
        <v>-5.2264438574417059E-2</v>
      </c>
    </row>
    <row r="209" spans="1:20" x14ac:dyDescent="0.25">
      <c r="A209" s="5">
        <v>44384</v>
      </c>
      <c r="B209">
        <v>15.193</v>
      </c>
      <c r="C209">
        <v>16.331</v>
      </c>
      <c r="D209">
        <v>14.898</v>
      </c>
      <c r="E209">
        <v>15.127000000000001</v>
      </c>
      <c r="F209">
        <v>90070.557000000001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-0.68039078855547663</v>
      </c>
      <c r="Q209">
        <f t="shared" si="960"/>
        <v>-61283.177302861004</v>
      </c>
      <c r="R209">
        <f t="shared" si="961"/>
        <v>-5194170.175910526</v>
      </c>
      <c r="S209">
        <f t="shared" si="962"/>
        <v>-51.941701759105257</v>
      </c>
      <c r="T209">
        <f t="shared" si="963"/>
        <v>-5.1941701759105258E-2</v>
      </c>
    </row>
    <row r="210" spans="1:20" x14ac:dyDescent="0.25">
      <c r="A210" s="5">
        <v>44383</v>
      </c>
      <c r="B210">
        <v>14.119</v>
      </c>
      <c r="C210">
        <v>15.25</v>
      </c>
      <c r="D210">
        <v>13.994999999999999</v>
      </c>
      <c r="E210">
        <v>15.182</v>
      </c>
      <c r="F210">
        <v>74650.091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0.8916334661354588</v>
      </c>
      <c r="Q210">
        <f t="shared" si="960"/>
        <v>66560.519385657419</v>
      </c>
      <c r="R210">
        <f t="shared" si="961"/>
        <v>-5132886.9986076653</v>
      </c>
      <c r="S210">
        <f t="shared" si="962"/>
        <v>-51.328869986076654</v>
      </c>
      <c r="T210">
        <f t="shared" si="963"/>
        <v>-5.1328869986076657E-2</v>
      </c>
    </row>
    <row r="211" spans="1:20" x14ac:dyDescent="0.25">
      <c r="A211" s="5">
        <v>44382</v>
      </c>
      <c r="B211">
        <v>14.085000000000001</v>
      </c>
      <c r="C211">
        <v>14.571999999999999</v>
      </c>
      <c r="D211">
        <v>13.291</v>
      </c>
      <c r="E211">
        <v>14.118</v>
      </c>
      <c r="F211">
        <v>63184.637999999999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0.29117876658860381</v>
      </c>
      <c r="Q211">
        <f t="shared" si="960"/>
        <v>18398.024960187427</v>
      </c>
      <c r="R211">
        <f t="shared" si="961"/>
        <v>-5199447.5179933226</v>
      </c>
      <c r="S211">
        <f t="shared" si="962"/>
        <v>-51.994475179933225</v>
      </c>
      <c r="T211">
        <f t="shared" si="963"/>
        <v>-5.1994475179933226E-2</v>
      </c>
    </row>
    <row r="212" spans="1:20" x14ac:dyDescent="0.25">
      <c r="A212" s="5">
        <v>44381</v>
      </c>
      <c r="B212">
        <v>13.932</v>
      </c>
      <c r="C212">
        <v>14.462999999999999</v>
      </c>
      <c r="D212">
        <v>13.606</v>
      </c>
      <c r="E212">
        <v>14.087999999999999</v>
      </c>
      <c r="F212">
        <v>37545.913999999997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0.12485414235705881</v>
      </c>
      <c r="Q212">
        <f t="shared" si="960"/>
        <v>4687.762891481887</v>
      </c>
      <c r="R212">
        <f t="shared" si="961"/>
        <v>-5217845.5429535098</v>
      </c>
      <c r="S212">
        <f t="shared" si="962"/>
        <v>-52.178455429535099</v>
      </c>
      <c r="T212">
        <f t="shared" si="963"/>
        <v>-5.2178455429535101E-2</v>
      </c>
    </row>
    <row r="213" spans="1:20" x14ac:dyDescent="0.25">
      <c r="A213" s="5">
        <v>44380</v>
      </c>
      <c r="B213">
        <v>13.824</v>
      </c>
      <c r="C213">
        <v>14.228999999999999</v>
      </c>
      <c r="D213">
        <v>13.532</v>
      </c>
      <c r="E213">
        <v>13.938000000000001</v>
      </c>
      <c r="F213">
        <v>98060.775999999998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0.16499282639885526</v>
      </c>
      <c r="Q213">
        <f t="shared" si="960"/>
        <v>16179.324591105033</v>
      </c>
      <c r="R213">
        <f t="shared" si="961"/>
        <v>-5222533.3058449915</v>
      </c>
      <c r="S213">
        <f t="shared" si="962"/>
        <v>-52.225333058449912</v>
      </c>
      <c r="T213">
        <f t="shared" si="963"/>
        <v>-5.222533305844991E-2</v>
      </c>
    </row>
    <row r="214" spans="1:20" x14ac:dyDescent="0.25">
      <c r="A214" s="5">
        <v>44379</v>
      </c>
      <c r="B214">
        <v>13.725</v>
      </c>
      <c r="C214">
        <v>13.95</v>
      </c>
      <c r="D214">
        <v>12.909000000000001</v>
      </c>
      <c r="E214">
        <v>13.824</v>
      </c>
      <c r="F214">
        <v>49663.3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0.75792507204611026</v>
      </c>
      <c r="Q214">
        <f t="shared" si="960"/>
        <v>37641.060230547591</v>
      </c>
      <c r="R214">
        <f t="shared" si="961"/>
        <v>-5238712.6304360963</v>
      </c>
      <c r="S214">
        <f t="shared" si="962"/>
        <v>-52.387126304360962</v>
      </c>
      <c r="T214">
        <f t="shared" si="963"/>
        <v>-5.2387126304360959E-2</v>
      </c>
    </row>
    <row r="215" spans="1:20" x14ac:dyDescent="0.25">
      <c r="A215" s="5">
        <v>44378</v>
      </c>
      <c r="B215">
        <v>14.644</v>
      </c>
      <c r="C215">
        <v>14.689</v>
      </c>
      <c r="D215">
        <v>13.218999999999999</v>
      </c>
      <c r="E215">
        <v>13.836</v>
      </c>
      <c r="F215">
        <v>62081.779000000002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-0.160544217687074</v>
      </c>
      <c r="Q215">
        <f t="shared" si="960"/>
        <v>-9966.8706421768202</v>
      </c>
      <c r="R215">
        <f t="shared" si="961"/>
        <v>-5276353.6906666439</v>
      </c>
      <c r="S215">
        <f t="shared" si="962"/>
        <v>-52.763536906666438</v>
      </c>
      <c r="T215">
        <f t="shared" si="963"/>
        <v>-5.2763536906666436E-2</v>
      </c>
    </row>
    <row r="216" spans="1:20" x14ac:dyDescent="0.25">
      <c r="A216" s="5">
        <v>44377</v>
      </c>
      <c r="B216">
        <v>14.925000000000001</v>
      </c>
      <c r="C216">
        <v>15.273</v>
      </c>
      <c r="D216">
        <v>13.624000000000001</v>
      </c>
      <c r="E216">
        <v>14.644</v>
      </c>
      <c r="F216">
        <v>84674.597999999998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0.2371134020618558</v>
      </c>
      <c r="Q216">
        <f t="shared" si="960"/>
        <v>20077.482000000011</v>
      </c>
      <c r="R216">
        <f t="shared" si="961"/>
        <v>-5266386.8200244671</v>
      </c>
      <c r="S216">
        <f t="shared" si="962"/>
        <v>-52.663868200244671</v>
      </c>
      <c r="T216">
        <f t="shared" si="963"/>
        <v>-5.2663868200244671E-2</v>
      </c>
    </row>
    <row r="217" spans="1:20" x14ac:dyDescent="0.25">
      <c r="A217" s="5">
        <v>44376</v>
      </c>
      <c r="B217">
        <v>13.922000000000001</v>
      </c>
      <c r="C217">
        <v>16.399999999999999</v>
      </c>
      <c r="D217">
        <v>13.738</v>
      </c>
      <c r="E217">
        <v>14.885</v>
      </c>
      <c r="F217">
        <v>177613.935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-0.13824192336588981</v>
      </c>
      <c r="Q217">
        <f t="shared" si="960"/>
        <v>-24553.691990984134</v>
      </c>
      <c r="R217">
        <f t="shared" si="961"/>
        <v>-5286464.3020244669</v>
      </c>
      <c r="S217">
        <f t="shared" si="962"/>
        <v>-52.864643020244671</v>
      </c>
      <c r="T217">
        <f t="shared" si="963"/>
        <v>-5.286464302024467E-2</v>
      </c>
    </row>
    <row r="218" spans="1:20" x14ac:dyDescent="0.25">
      <c r="A218" s="5">
        <v>44375</v>
      </c>
      <c r="B218">
        <v>13.898999999999999</v>
      </c>
      <c r="C218">
        <v>14.321999999999999</v>
      </c>
      <c r="D218">
        <v>13.465999999999999</v>
      </c>
      <c r="E218">
        <v>13.898999999999999</v>
      </c>
      <c r="F218">
        <v>75130.112999999998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1.1682242990653959E-2</v>
      </c>
      <c r="Q218">
        <f t="shared" si="960"/>
        <v>877.68823598128984</v>
      </c>
      <c r="R218">
        <f t="shared" si="961"/>
        <v>-5261910.6100334832</v>
      </c>
      <c r="S218">
        <f t="shared" si="962"/>
        <v>-52.619106100334832</v>
      </c>
      <c r="T218">
        <f t="shared" si="963"/>
        <v>-5.261910610033483E-2</v>
      </c>
    </row>
    <row r="219" spans="1:20" x14ac:dyDescent="0.25">
      <c r="A219" s="5">
        <v>44374</v>
      </c>
      <c r="B219">
        <v>12.821</v>
      </c>
      <c r="C219">
        <v>14.5</v>
      </c>
      <c r="D219">
        <v>12.72</v>
      </c>
      <c r="E219">
        <v>13.898999999999999</v>
      </c>
      <c r="F219">
        <v>130463.31299999999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0.32471910112359431</v>
      </c>
      <c r="Q219">
        <f t="shared" si="960"/>
        <v>42363.929726966133</v>
      </c>
      <c r="R219">
        <f t="shared" si="961"/>
        <v>-5262788.2982694646</v>
      </c>
      <c r="S219">
        <f t="shared" si="962"/>
        <v>-52.627882982694643</v>
      </c>
      <c r="T219">
        <f t="shared" si="963"/>
        <v>-5.2627882982694642E-2</v>
      </c>
    </row>
    <row r="220" spans="1:20" x14ac:dyDescent="0.25">
      <c r="A220" s="5">
        <v>44373</v>
      </c>
      <c r="B220">
        <v>13.256</v>
      </c>
      <c r="C220">
        <v>14.271000000000001</v>
      </c>
      <c r="D220">
        <v>12.05</v>
      </c>
      <c r="E220">
        <v>12.821</v>
      </c>
      <c r="F220">
        <v>170540.29500000001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-0.30571814497973976</v>
      </c>
      <c r="Q220">
        <f t="shared" si="960"/>
        <v>-52137.262631697595</v>
      </c>
      <c r="R220">
        <f t="shared" si="961"/>
        <v>-5305152.2279964304</v>
      </c>
      <c r="S220">
        <f t="shared" si="962"/>
        <v>-53.051522279964303</v>
      </c>
      <c r="T220">
        <f t="shared" si="963"/>
        <v>-5.3051522279964305E-2</v>
      </c>
    </row>
    <row r="221" spans="1:20" x14ac:dyDescent="0.25">
      <c r="A221" s="5">
        <v>44372</v>
      </c>
      <c r="B221">
        <v>15.42</v>
      </c>
      <c r="C221">
        <v>15.691000000000001</v>
      </c>
      <c r="D221">
        <v>13.1</v>
      </c>
      <c r="E221">
        <v>13.298</v>
      </c>
      <c r="F221">
        <v>84021.585999999996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-0.84716325742956367</v>
      </c>
      <c r="Q221">
        <f t="shared" si="960"/>
        <v>-71180.000490158214</v>
      </c>
      <c r="R221">
        <f t="shared" si="961"/>
        <v>-5253014.9653647328</v>
      </c>
      <c r="S221">
        <f t="shared" si="962"/>
        <v>-52.530149653647328</v>
      </c>
      <c r="T221">
        <f t="shared" si="963"/>
        <v>-5.2530149653647329E-2</v>
      </c>
    </row>
    <row r="222" spans="1:20" x14ac:dyDescent="0.25">
      <c r="A222" s="5">
        <v>44371</v>
      </c>
      <c r="B222">
        <v>15.608000000000001</v>
      </c>
      <c r="C222">
        <v>17.190000000000001</v>
      </c>
      <c r="D222">
        <v>14.5</v>
      </c>
      <c r="E222">
        <v>15.409000000000001</v>
      </c>
      <c r="F222">
        <v>250052.26800000001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-0.32416356877323399</v>
      </c>
      <c r="Q222">
        <f t="shared" si="960"/>
        <v>-81057.835574721146</v>
      </c>
      <c r="R222">
        <f t="shared" si="961"/>
        <v>-5181834.9648745749</v>
      </c>
      <c r="S222">
        <f t="shared" si="962"/>
        <v>-51.818349648745752</v>
      </c>
      <c r="T222">
        <f t="shared" si="963"/>
        <v>-5.1818349648745751E-2</v>
      </c>
    </row>
    <row r="223" spans="1:20" x14ac:dyDescent="0.25">
      <c r="A223" s="5">
        <v>44370</v>
      </c>
      <c r="B223">
        <v>13.583</v>
      </c>
      <c r="C223">
        <v>16.170000000000002</v>
      </c>
      <c r="D223">
        <v>13.047000000000001</v>
      </c>
      <c r="E223">
        <v>15.614000000000001</v>
      </c>
      <c r="F223">
        <v>112647.85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0.64393211655459448</v>
      </c>
      <c r="Q223">
        <f t="shared" si="960"/>
        <v>72537.568475824475</v>
      </c>
      <c r="R223">
        <f t="shared" si="961"/>
        <v>-5100777.1292998539</v>
      </c>
      <c r="S223">
        <f t="shared" si="962"/>
        <v>-51.007771292998541</v>
      </c>
      <c r="T223">
        <f t="shared" si="963"/>
        <v>-5.1007771292998542E-2</v>
      </c>
    </row>
    <row r="224" spans="1:20" x14ac:dyDescent="0.25">
      <c r="A224" s="5">
        <v>44369</v>
      </c>
      <c r="B224">
        <v>14.821</v>
      </c>
      <c r="C224">
        <v>17.332000000000001</v>
      </c>
      <c r="D224">
        <v>11.5</v>
      </c>
      <c r="E224">
        <v>13.54</v>
      </c>
      <c r="F224">
        <v>238231.25099999999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-0.30041152263374521</v>
      </c>
      <c r="Q224">
        <f t="shared" si="960"/>
        <v>-71567.412851851928</v>
      </c>
      <c r="R224">
        <f t="shared" si="961"/>
        <v>-5173314.6977756787</v>
      </c>
      <c r="S224">
        <f t="shared" si="962"/>
        <v>-51.733146977756789</v>
      </c>
      <c r="T224">
        <f t="shared" si="963"/>
        <v>-5.1733146977756786E-2</v>
      </c>
    </row>
    <row r="225" spans="1:20" x14ac:dyDescent="0.25">
      <c r="A225" s="5">
        <v>44368</v>
      </c>
      <c r="B225">
        <v>19.498000000000001</v>
      </c>
      <c r="C225">
        <v>19.637</v>
      </c>
      <c r="D225">
        <v>14.686</v>
      </c>
      <c r="E225">
        <v>14.861000000000001</v>
      </c>
      <c r="F225">
        <v>142297.61199999999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-0.92930721066451194</v>
      </c>
      <c r="Q225">
        <f t="shared" si="960"/>
        <v>-132238.19689194098</v>
      </c>
      <c r="R225">
        <f t="shared" si="961"/>
        <v>-5101747.2849238263</v>
      </c>
      <c r="S225">
        <f t="shared" si="962"/>
        <v>-51.017472849238267</v>
      </c>
      <c r="T225">
        <f t="shared" si="963"/>
        <v>-5.1017472849238264E-2</v>
      </c>
    </row>
    <row r="226" spans="1:20" x14ac:dyDescent="0.25">
      <c r="A226" s="5">
        <v>44367</v>
      </c>
      <c r="B226">
        <v>20.074999999999999</v>
      </c>
      <c r="C226">
        <v>20.291</v>
      </c>
      <c r="D226">
        <v>17.643999999999998</v>
      </c>
      <c r="E226">
        <v>19.442</v>
      </c>
      <c r="F226">
        <v>75252.807000000001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0.35851907820173817</v>
      </c>
      <c r="Q226">
        <f t="shared" si="960"/>
        <v>26979.566997733309</v>
      </c>
      <c r="R226">
        <f t="shared" si="961"/>
        <v>-4969509.0880318852</v>
      </c>
      <c r="S226">
        <f t="shared" si="962"/>
        <v>-49.695090880318851</v>
      </c>
      <c r="T226">
        <f t="shared" si="963"/>
        <v>-4.969509088031885E-2</v>
      </c>
    </row>
    <row r="227" spans="1:20" x14ac:dyDescent="0.25">
      <c r="A227" s="5">
        <v>44366</v>
      </c>
      <c r="B227">
        <v>20.166</v>
      </c>
      <c r="C227">
        <v>20.58</v>
      </c>
      <c r="D227">
        <v>19.283000000000001</v>
      </c>
      <c r="E227">
        <v>20</v>
      </c>
      <c r="F227">
        <v>59297.175999999999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0.10562837316885179</v>
      </c>
      <c r="Q227">
        <f t="shared" si="960"/>
        <v>6263.4642343870819</v>
      </c>
      <c r="R227">
        <f t="shared" si="961"/>
        <v>-4996488.6550296182</v>
      </c>
      <c r="S227">
        <f t="shared" si="962"/>
        <v>-49.964886550296178</v>
      </c>
      <c r="T227">
        <f t="shared" si="963"/>
        <v>-4.9964886550296177E-2</v>
      </c>
    </row>
    <row r="228" spans="1:20" x14ac:dyDescent="0.25">
      <c r="A228" s="5">
        <v>44365</v>
      </c>
      <c r="B228">
        <v>22.331</v>
      </c>
      <c r="C228">
        <v>22.436</v>
      </c>
      <c r="D228">
        <v>19.706</v>
      </c>
      <c r="E228">
        <v>20.170000000000002</v>
      </c>
      <c r="F228">
        <v>72165.179999999993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-0.66007326007325851</v>
      </c>
      <c r="Q228">
        <f t="shared" si="960"/>
        <v>-47634.305626373505</v>
      </c>
      <c r="R228">
        <f t="shared" si="961"/>
        <v>-5002752.1192640057</v>
      </c>
      <c r="S228">
        <f t="shared" si="962"/>
        <v>-50.027521192640059</v>
      </c>
      <c r="T228">
        <f t="shared" si="963"/>
        <v>-5.0027521192640062E-2</v>
      </c>
    </row>
    <row r="229" spans="1:20" x14ac:dyDescent="0.25">
      <c r="A229" s="5">
        <v>44364</v>
      </c>
      <c r="B229">
        <v>22.873999999999999</v>
      </c>
      <c r="C229">
        <v>25.5</v>
      </c>
      <c r="D229">
        <v>21.934000000000001</v>
      </c>
      <c r="E229">
        <v>22.349</v>
      </c>
      <c r="F229">
        <v>138907.95300000001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-0.76724621424565376</v>
      </c>
      <c r="Q229">
        <f t="shared" si="960"/>
        <v>-106576.60106786322</v>
      </c>
      <c r="R229">
        <f t="shared" si="961"/>
        <v>-4955117.8136376319</v>
      </c>
      <c r="S229">
        <f t="shared" si="962"/>
        <v>-49.551178136376322</v>
      </c>
      <c r="T229">
        <f t="shared" si="963"/>
        <v>-4.9551178136376321E-2</v>
      </c>
    </row>
    <row r="230" spans="1:20" x14ac:dyDescent="0.25">
      <c r="A230" s="5">
        <v>44363</v>
      </c>
      <c r="B230">
        <v>22.26</v>
      </c>
      <c r="C230">
        <v>23.928999999999998</v>
      </c>
      <c r="D230">
        <v>21.625</v>
      </c>
      <c r="E230">
        <v>22.83</v>
      </c>
      <c r="F230">
        <v>147898.51699999999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4.600694444444365E-2</v>
      </c>
      <c r="Q230">
        <f t="shared" si="960"/>
        <v>6804.3588550346039</v>
      </c>
      <c r="R230">
        <f t="shared" si="961"/>
        <v>-4848541.2125697685</v>
      </c>
      <c r="S230">
        <f t="shared" si="962"/>
        <v>-48.485412125697685</v>
      </c>
      <c r="T230">
        <f t="shared" si="963"/>
        <v>-4.8485412125697687E-2</v>
      </c>
    </row>
    <row r="231" spans="1:20" x14ac:dyDescent="0.25">
      <c r="A231" s="5">
        <v>44362</v>
      </c>
      <c r="B231">
        <v>21.94</v>
      </c>
      <c r="C231">
        <v>22.998000000000001</v>
      </c>
      <c r="D231">
        <v>21.792000000000002</v>
      </c>
      <c r="E231">
        <v>22.266999999999999</v>
      </c>
      <c r="F231">
        <v>71865.138999999996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-0.21227197346600654</v>
      </c>
      <c r="Q231">
        <f t="shared" si="960"/>
        <v>-15254.954878938872</v>
      </c>
      <c r="R231">
        <f t="shared" si="961"/>
        <v>-4855345.5714248028</v>
      </c>
      <c r="S231">
        <f t="shared" si="962"/>
        <v>-48.553455714248031</v>
      </c>
      <c r="T231">
        <f t="shared" si="963"/>
        <v>-4.8553455714248031E-2</v>
      </c>
    </row>
    <row r="232" spans="1:20" x14ac:dyDescent="0.25">
      <c r="A232" s="5">
        <v>44361</v>
      </c>
      <c r="B232">
        <v>22.113</v>
      </c>
      <c r="C232">
        <v>23.065000000000001</v>
      </c>
      <c r="D232">
        <v>21.53</v>
      </c>
      <c r="E232">
        <v>21.99</v>
      </c>
      <c r="F232">
        <v>107568.935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-0.40065146579804917</v>
      </c>
      <c r="Q232">
        <f t="shared" si="960"/>
        <v>-43097.651482085072</v>
      </c>
      <c r="R232">
        <f t="shared" si="961"/>
        <v>-4840090.6165458634</v>
      </c>
      <c r="S232">
        <f t="shared" si="962"/>
        <v>-48.400906165458636</v>
      </c>
      <c r="T232">
        <f t="shared" si="963"/>
        <v>-4.8400906165458633E-2</v>
      </c>
    </row>
    <row r="233" spans="1:20" x14ac:dyDescent="0.25">
      <c r="A233" s="5">
        <v>44360</v>
      </c>
      <c r="B233">
        <v>21.297000000000001</v>
      </c>
      <c r="C233">
        <v>22.757999999999999</v>
      </c>
      <c r="D233">
        <v>20.216000000000001</v>
      </c>
      <c r="E233">
        <v>22.093</v>
      </c>
      <c r="F233">
        <v>104328.607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0.47678992918961477</v>
      </c>
      <c r="Q233">
        <f t="shared" si="960"/>
        <v>49742.829143981151</v>
      </c>
      <c r="R233">
        <f t="shared" si="961"/>
        <v>-4796992.9650637787</v>
      </c>
      <c r="S233">
        <f t="shared" si="962"/>
        <v>-47.969929650637788</v>
      </c>
      <c r="T233">
        <f t="shared" si="963"/>
        <v>-4.7969929650637788E-2</v>
      </c>
    </row>
    <row r="234" spans="1:20" x14ac:dyDescent="0.25">
      <c r="A234" s="5">
        <v>44359</v>
      </c>
      <c r="B234">
        <v>20.635000000000002</v>
      </c>
      <c r="C234">
        <v>24</v>
      </c>
      <c r="D234">
        <v>19.5</v>
      </c>
      <c r="E234">
        <v>21.242000000000001</v>
      </c>
      <c r="F234">
        <v>365660.946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-0.22577777777777738</v>
      </c>
      <c r="Q234">
        <f t="shared" si="960"/>
        <v>-82558.115807999857</v>
      </c>
      <c r="R234">
        <f t="shared" si="961"/>
        <v>-4846735.7942077601</v>
      </c>
      <c r="S234">
        <f t="shared" si="962"/>
        <v>-48.467357942077598</v>
      </c>
      <c r="T234">
        <f t="shared" si="963"/>
        <v>-4.8467357942077599E-2</v>
      </c>
    </row>
    <row r="235" spans="1:20" x14ac:dyDescent="0.25">
      <c r="A235" s="5">
        <v>44358</v>
      </c>
      <c r="B235">
        <v>23.047999999999998</v>
      </c>
      <c r="C235">
        <v>27.451000000000001</v>
      </c>
      <c r="D235">
        <v>20.359000000000002</v>
      </c>
      <c r="E235">
        <v>20.632999999999999</v>
      </c>
      <c r="F235">
        <v>371337.45500000002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-0.92272983643542095</v>
      </c>
      <c r="Q235">
        <f t="shared" si="960"/>
        <v>-342644.14911449549</v>
      </c>
      <c r="R235">
        <f t="shared" si="961"/>
        <v>-4764177.6783997603</v>
      </c>
      <c r="S235">
        <f t="shared" si="962"/>
        <v>-47.641776783997599</v>
      </c>
      <c r="T235">
        <f t="shared" si="963"/>
        <v>-4.76417767839976E-2</v>
      </c>
    </row>
    <row r="236" spans="1:20" x14ac:dyDescent="0.25">
      <c r="A236" s="5">
        <v>44357</v>
      </c>
      <c r="B236">
        <v>22.943000000000001</v>
      </c>
      <c r="C236">
        <v>23.695</v>
      </c>
      <c r="D236">
        <v>21.062999999999999</v>
      </c>
      <c r="E236">
        <v>23.047000000000001</v>
      </c>
      <c r="F236">
        <v>172765.514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0.50759878419452942</v>
      </c>
      <c r="Q236">
        <f t="shared" si="960"/>
        <v>87695.564857142948</v>
      </c>
      <c r="R236">
        <f t="shared" si="961"/>
        <v>-4421533.5292852651</v>
      </c>
      <c r="S236">
        <f t="shared" si="962"/>
        <v>-44.21533529285265</v>
      </c>
      <c r="T236">
        <f t="shared" si="963"/>
        <v>-4.4215335292852653E-2</v>
      </c>
    </row>
    <row r="237" spans="1:20" x14ac:dyDescent="0.25">
      <c r="A237" s="5">
        <v>44356</v>
      </c>
      <c r="B237">
        <v>19.331</v>
      </c>
      <c r="C237">
        <v>23.795000000000002</v>
      </c>
      <c r="D237">
        <v>17.861000000000001</v>
      </c>
      <c r="E237">
        <v>23</v>
      </c>
      <c r="F237">
        <v>329644.55699999997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0.73205257836198123</v>
      </c>
      <c r="Q237">
        <f t="shared" si="960"/>
        <v>241317.14789484307</v>
      </c>
      <c r="R237">
        <f t="shared" si="961"/>
        <v>-4509229.0941424081</v>
      </c>
      <c r="S237">
        <f t="shared" si="962"/>
        <v>-45.092290941424082</v>
      </c>
      <c r="T237">
        <f t="shared" si="963"/>
        <v>-4.5092290941424085E-2</v>
      </c>
    </row>
    <row r="238" spans="1:20" x14ac:dyDescent="0.25">
      <c r="A238" s="5">
        <v>44355</v>
      </c>
      <c r="B238">
        <v>19.233000000000001</v>
      </c>
      <c r="C238">
        <v>19.741</v>
      </c>
      <c r="D238">
        <v>16.8</v>
      </c>
      <c r="E238">
        <v>19.329999999999998</v>
      </c>
      <c r="F238">
        <v>95982.7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0.72050323019381057</v>
      </c>
      <c r="Q238">
        <f t="shared" si="960"/>
        <v>69155.845392723466</v>
      </c>
      <c r="R238">
        <f t="shared" si="961"/>
        <v>-4750546.2420372516</v>
      </c>
      <c r="S238">
        <f t="shared" si="962"/>
        <v>-47.505462420372517</v>
      </c>
      <c r="T238">
        <f t="shared" si="963"/>
        <v>-4.750546242037252E-2</v>
      </c>
    </row>
    <row r="239" spans="1:20" x14ac:dyDescent="0.25">
      <c r="A239" s="5">
        <v>44354</v>
      </c>
      <c r="B239">
        <v>21.67</v>
      </c>
      <c r="C239">
        <v>22.75</v>
      </c>
      <c r="D239">
        <v>19</v>
      </c>
      <c r="E239">
        <v>19.233000000000001</v>
      </c>
      <c r="F239">
        <v>103796.568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-0.87573333333333303</v>
      </c>
      <c r="Q239">
        <f t="shared" si="960"/>
        <v>-90898.11448319997</v>
      </c>
      <c r="R239">
        <f t="shared" si="961"/>
        <v>-4819702.0874299752</v>
      </c>
      <c r="S239">
        <f t="shared" si="962"/>
        <v>-48.197020874299753</v>
      </c>
      <c r="T239">
        <f t="shared" si="963"/>
        <v>-4.8197020874299751E-2</v>
      </c>
    </row>
    <row r="240" spans="1:20" x14ac:dyDescent="0.25">
      <c r="A240" s="5">
        <v>44353</v>
      </c>
      <c r="B240">
        <v>21.614999999999998</v>
      </c>
      <c r="C240">
        <v>23.5</v>
      </c>
      <c r="D240">
        <v>21</v>
      </c>
      <c r="E240">
        <v>21.591999999999999</v>
      </c>
      <c r="F240">
        <v>157210.31200000001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-0.52640000000000098</v>
      </c>
      <c r="Q240">
        <f t="shared" si="960"/>
        <v>-82755.50823680016</v>
      </c>
      <c r="R240">
        <f t="shared" si="961"/>
        <v>-4728803.9729467751</v>
      </c>
      <c r="S240">
        <f t="shared" si="962"/>
        <v>-47.288039729467748</v>
      </c>
      <c r="T240">
        <f t="shared" si="963"/>
        <v>-4.7288039729467747E-2</v>
      </c>
    </row>
    <row r="241" spans="1:20" x14ac:dyDescent="0.25">
      <c r="A241" s="5">
        <v>44352</v>
      </c>
      <c r="B241">
        <v>20.873000000000001</v>
      </c>
      <c r="C241">
        <v>25.74</v>
      </c>
      <c r="D241">
        <v>20.654</v>
      </c>
      <c r="E241">
        <v>21.613</v>
      </c>
      <c r="F241">
        <v>426913.65100000001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-0.62288635469917419</v>
      </c>
      <c r="Q241">
        <f t="shared" si="960"/>
        <v>-265918.68784270546</v>
      </c>
      <c r="R241">
        <f t="shared" si="961"/>
        <v>-4646048.4647099748</v>
      </c>
      <c r="S241">
        <f t="shared" si="962"/>
        <v>-46.460484647099747</v>
      </c>
      <c r="T241">
        <f t="shared" si="963"/>
        <v>-4.6460484647099745E-2</v>
      </c>
    </row>
    <row r="242" spans="1:20" x14ac:dyDescent="0.25">
      <c r="A242" s="5">
        <v>44351</v>
      </c>
      <c r="B242">
        <v>23.385999999999999</v>
      </c>
      <c r="C242">
        <v>23.48</v>
      </c>
      <c r="D242">
        <v>19.079000000000001</v>
      </c>
      <c r="E242">
        <v>20.913</v>
      </c>
      <c r="F242">
        <v>157312.86900000001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-0.16655305612360841</v>
      </c>
      <c r="Q242">
        <f t="shared" si="960"/>
        <v>-26200.939099522857</v>
      </c>
      <c r="R242">
        <f t="shared" si="961"/>
        <v>-4380129.7768672695</v>
      </c>
      <c r="S242">
        <f t="shared" si="962"/>
        <v>-43.801297768672697</v>
      </c>
      <c r="T242">
        <f t="shared" si="963"/>
        <v>-4.3801297768672698E-2</v>
      </c>
    </row>
    <row r="243" spans="1:20" x14ac:dyDescent="0.25">
      <c r="A243" s="5">
        <v>44350</v>
      </c>
      <c r="B243">
        <v>20.946000000000002</v>
      </c>
      <c r="C243">
        <v>27.088999999999999</v>
      </c>
      <c r="D243">
        <v>20.838000000000001</v>
      </c>
      <c r="E243">
        <v>23.385000000000002</v>
      </c>
      <c r="F243">
        <v>463093.14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-0.18509038553831336</v>
      </c>
      <c r="Q243">
        <f t="shared" si="960"/>
        <v>-85714.08782274813</v>
      </c>
      <c r="R243">
        <f t="shared" si="961"/>
        <v>-4353928.8377677463</v>
      </c>
      <c r="S243">
        <f t="shared" si="962"/>
        <v>-43.539288377677465</v>
      </c>
      <c r="T243">
        <f t="shared" si="963"/>
        <v>-4.3539288377677468E-2</v>
      </c>
    </row>
    <row r="244" spans="1:20" x14ac:dyDescent="0.25">
      <c r="A244" s="5">
        <v>44349</v>
      </c>
      <c r="B244">
        <v>20.09</v>
      </c>
      <c r="C244">
        <v>21.5</v>
      </c>
      <c r="D244">
        <v>19.5</v>
      </c>
      <c r="E244">
        <v>20.952000000000002</v>
      </c>
      <c r="F244">
        <v>64964.451999999997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0.45200000000000173</v>
      </c>
      <c r="Q244">
        <f t="shared" si="960"/>
        <v>29363.932304000111</v>
      </c>
      <c r="R244">
        <f t="shared" si="961"/>
        <v>-4268214.749944998</v>
      </c>
      <c r="S244">
        <f t="shared" si="962"/>
        <v>-42.682147499449982</v>
      </c>
      <c r="T244">
        <f t="shared" si="963"/>
        <v>-4.2682147499449985E-2</v>
      </c>
    </row>
    <row r="245" spans="1:20" x14ac:dyDescent="0.25">
      <c r="A245" s="5">
        <v>44348</v>
      </c>
      <c r="B245">
        <v>21.155000000000001</v>
      </c>
      <c r="C245">
        <v>21.399000000000001</v>
      </c>
      <c r="D245">
        <v>19.385000000000002</v>
      </c>
      <c r="E245">
        <v>20</v>
      </c>
      <c r="F245">
        <v>76376.41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-0.38927507447865078</v>
      </c>
      <c r="Q245">
        <f t="shared" si="960"/>
        <v>-29731.432691161968</v>
      </c>
      <c r="R245">
        <f t="shared" si="961"/>
        <v>-4297578.6822489984</v>
      </c>
      <c r="S245">
        <f t="shared" si="962"/>
        <v>-42.975786822489987</v>
      </c>
      <c r="T245">
        <f t="shared" si="963"/>
        <v>-4.2975786822489988E-2</v>
      </c>
    </row>
    <row r="246" spans="1:20" x14ac:dyDescent="0.25">
      <c r="A246" s="5">
        <v>44347</v>
      </c>
      <c r="B246">
        <v>18.838000000000001</v>
      </c>
      <c r="C246">
        <v>21.986999999999998</v>
      </c>
      <c r="D246">
        <v>17.536000000000001</v>
      </c>
      <c r="E246">
        <v>21.173999999999999</v>
      </c>
      <c r="F246">
        <v>144607.20000000001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0.63468883396989473</v>
      </c>
      <c r="Q246">
        <f t="shared" si="960"/>
        <v>91780.57515165137</v>
      </c>
      <c r="R246">
        <f t="shared" si="961"/>
        <v>-4267847.2495578369</v>
      </c>
      <c r="S246">
        <f t="shared" si="962"/>
        <v>-42.678472495578369</v>
      </c>
      <c r="T246">
        <f t="shared" si="963"/>
        <v>-4.2678472495578372E-2</v>
      </c>
    </row>
    <row r="247" spans="1:20" x14ac:dyDescent="0.25">
      <c r="A247" s="5">
        <v>44346</v>
      </c>
      <c r="B247">
        <v>18.177</v>
      </c>
      <c r="C247">
        <v>19.824999999999999</v>
      </c>
      <c r="D247">
        <v>17.128</v>
      </c>
      <c r="E247">
        <v>18.927</v>
      </c>
      <c r="F247">
        <v>54862.400999999998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0.33407489803485357</v>
      </c>
      <c r="Q247">
        <f t="shared" si="960"/>
        <v>18328.151020022247</v>
      </c>
      <c r="R247">
        <f t="shared" si="961"/>
        <v>-4359627.8247094881</v>
      </c>
      <c r="S247">
        <f t="shared" si="962"/>
        <v>-43.59627824709488</v>
      </c>
      <c r="T247">
        <f t="shared" si="963"/>
        <v>-4.3596278247094881E-2</v>
      </c>
    </row>
    <row r="248" spans="1:20" x14ac:dyDescent="0.25">
      <c r="A248" s="5">
        <v>44345</v>
      </c>
      <c r="B248">
        <v>19.378</v>
      </c>
      <c r="C248">
        <v>20.797000000000001</v>
      </c>
      <c r="D248">
        <v>17.158999999999999</v>
      </c>
      <c r="E248">
        <v>18.187999999999999</v>
      </c>
      <c r="F248">
        <v>76654.554999999993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-0.4343045629466743</v>
      </c>
      <c r="Q248">
        <f t="shared" si="960"/>
        <v>-33291.423007146805</v>
      </c>
      <c r="R248">
        <f t="shared" si="961"/>
        <v>-4377955.9757295102</v>
      </c>
      <c r="S248">
        <f t="shared" si="962"/>
        <v>-43.779559757295104</v>
      </c>
      <c r="T248">
        <f t="shared" si="963"/>
        <v>-4.3779559757295104E-2</v>
      </c>
    </row>
    <row r="249" spans="1:20" x14ac:dyDescent="0.25">
      <c r="A249" s="5">
        <v>44344</v>
      </c>
      <c r="B249">
        <v>23.145</v>
      </c>
      <c r="C249">
        <v>24.155000000000001</v>
      </c>
      <c r="D249">
        <v>18.678999999999998</v>
      </c>
      <c r="E249">
        <v>19.376000000000001</v>
      </c>
      <c r="F249">
        <v>108456.713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-0.7454346238130013</v>
      </c>
      <c r="Q249">
        <f t="shared" si="960"/>
        <v>-80847.389055149644</v>
      </c>
      <c r="R249">
        <f t="shared" si="961"/>
        <v>-4344664.5527223637</v>
      </c>
      <c r="S249">
        <f t="shared" si="962"/>
        <v>-43.446645527223637</v>
      </c>
      <c r="T249">
        <f t="shared" si="963"/>
        <v>-4.3446645527223639E-2</v>
      </c>
    </row>
    <row r="250" spans="1:20" x14ac:dyDescent="0.25">
      <c r="A250" s="5">
        <v>44343</v>
      </c>
      <c r="B250">
        <v>23.664000000000001</v>
      </c>
      <c r="C250">
        <v>27</v>
      </c>
      <c r="D250">
        <v>21.19</v>
      </c>
      <c r="E250">
        <v>23.167999999999999</v>
      </c>
      <c r="F250">
        <v>203551.28899999999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-0.31910499139414855</v>
      </c>
      <c r="Q250">
        <f t="shared" si="960"/>
        <v>-64954.232324612844</v>
      </c>
      <c r="R250">
        <f t="shared" si="961"/>
        <v>-4263817.1636672141</v>
      </c>
      <c r="S250">
        <f t="shared" si="962"/>
        <v>-42.638171636672141</v>
      </c>
      <c r="T250">
        <f t="shared" si="963"/>
        <v>-4.2638171636672141E-2</v>
      </c>
    </row>
    <row r="251" spans="1:20" x14ac:dyDescent="0.25">
      <c r="A251" s="5">
        <v>44342</v>
      </c>
      <c r="B251">
        <v>22.065999999999999</v>
      </c>
      <c r="C251">
        <v>24.367999999999999</v>
      </c>
      <c r="D251">
        <v>21.327000000000002</v>
      </c>
      <c r="E251">
        <v>23.664000000000001</v>
      </c>
      <c r="F251">
        <v>112600.56299999999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0.53699440973364165</v>
      </c>
      <c r="Q251">
        <f t="shared" si="960"/>
        <v>60465.872863860728</v>
      </c>
      <c r="R251">
        <f t="shared" si="961"/>
        <v>-4198862.9313426008</v>
      </c>
      <c r="S251">
        <f t="shared" si="962"/>
        <v>-41.98862931342601</v>
      </c>
      <c r="T251">
        <f t="shared" si="963"/>
        <v>-4.1988629313426007E-2</v>
      </c>
    </row>
    <row r="252" spans="1:20" x14ac:dyDescent="0.25">
      <c r="A252" s="5">
        <v>44341</v>
      </c>
      <c r="B252">
        <v>23.064</v>
      </c>
      <c r="C252">
        <v>24</v>
      </c>
      <c r="D252">
        <v>19.579000000000001</v>
      </c>
      <c r="E252">
        <v>22.029</v>
      </c>
      <c r="F252">
        <v>95912.538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0.1083465279348562</v>
      </c>
      <c r="Q252">
        <f t="shared" si="960"/>
        <v>10391.790477719956</v>
      </c>
      <c r="R252">
        <f t="shared" si="961"/>
        <v>-4259328.8042064616</v>
      </c>
      <c r="S252">
        <f t="shared" si="962"/>
        <v>-42.593288042064614</v>
      </c>
      <c r="T252">
        <f t="shared" si="963"/>
        <v>-4.2593288042064616E-2</v>
      </c>
    </row>
    <row r="253" spans="1:20" x14ac:dyDescent="0.25">
      <c r="A253" s="5">
        <v>44340</v>
      </c>
      <c r="B253">
        <v>18.001999999999999</v>
      </c>
      <c r="C253">
        <v>23.838999999999999</v>
      </c>
      <c r="D253">
        <v>17.7</v>
      </c>
      <c r="E253">
        <v>23.056000000000001</v>
      </c>
      <c r="F253">
        <v>177342.25099999999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0.74490959439648219</v>
      </c>
      <c r="Q253">
        <f t="shared" si="960"/>
        <v>132103.94426176912</v>
      </c>
      <c r="R253">
        <f t="shared" si="961"/>
        <v>-4269720.5946841817</v>
      </c>
      <c r="S253">
        <f t="shared" si="962"/>
        <v>-42.697205946841819</v>
      </c>
      <c r="T253">
        <f t="shared" si="963"/>
        <v>-4.2697205946841822E-2</v>
      </c>
    </row>
    <row r="254" spans="1:20" x14ac:dyDescent="0.25">
      <c r="A254" s="5">
        <v>44339</v>
      </c>
      <c r="B254">
        <v>21.699000000000002</v>
      </c>
      <c r="C254">
        <v>22.164999999999999</v>
      </c>
      <c r="D254">
        <v>14.154999999999999</v>
      </c>
      <c r="E254">
        <v>17.978999999999999</v>
      </c>
      <c r="F254">
        <v>170942.25899999999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-4.5193508114856444E-2</v>
      </c>
      <c r="Q254">
        <f t="shared" si="960"/>
        <v>-7725.4803692883916</v>
      </c>
      <c r="R254">
        <f t="shared" si="961"/>
        <v>-4401824.5389459506</v>
      </c>
      <c r="S254">
        <f t="shared" si="962"/>
        <v>-44.018245389459508</v>
      </c>
      <c r="T254">
        <f t="shared" si="963"/>
        <v>-4.4018245389459511E-2</v>
      </c>
    </row>
    <row r="255" spans="1:20" x14ac:dyDescent="0.25">
      <c r="A255" s="5">
        <v>44338</v>
      </c>
      <c r="B255">
        <v>22.483000000000001</v>
      </c>
      <c r="C255">
        <v>24.780999999999999</v>
      </c>
      <c r="D255">
        <v>20.192</v>
      </c>
      <c r="E255">
        <v>21.699000000000002</v>
      </c>
      <c r="F255">
        <v>153065.33499999999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-0.34321202876443585</v>
      </c>
      <c r="Q255">
        <f t="shared" si="960"/>
        <v>-52533.864158858007</v>
      </c>
      <c r="R255">
        <f t="shared" si="961"/>
        <v>-4394099.0585766621</v>
      </c>
      <c r="S255">
        <f t="shared" si="962"/>
        <v>-43.94099058576662</v>
      </c>
      <c r="T255">
        <f t="shared" si="963"/>
        <v>-4.3940990585766622E-2</v>
      </c>
    </row>
    <row r="256" spans="1:20" x14ac:dyDescent="0.25">
      <c r="A256" s="5">
        <v>44337</v>
      </c>
      <c r="B256">
        <v>22.599</v>
      </c>
      <c r="C256">
        <v>37.5</v>
      </c>
      <c r="D256">
        <v>18.943000000000001</v>
      </c>
      <c r="E256">
        <v>22.428000000000001</v>
      </c>
      <c r="F256">
        <v>1037903.594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-0.6244004957697904</v>
      </c>
      <c r="Q256">
        <f t="shared" si="960"/>
        <v>-648067.51865484728</v>
      </c>
      <c r="R256">
        <f t="shared" si="961"/>
        <v>-4341565.1944178045</v>
      </c>
      <c r="S256">
        <f t="shared" si="962"/>
        <v>-43.415651944178045</v>
      </c>
      <c r="T256">
        <f t="shared" si="963"/>
        <v>-4.3415651944178048E-2</v>
      </c>
    </row>
    <row r="257" spans="1:20" x14ac:dyDescent="0.25">
      <c r="A257" s="5">
        <v>44336</v>
      </c>
      <c r="B257">
        <v>20.023</v>
      </c>
      <c r="C257">
        <v>24.9</v>
      </c>
      <c r="D257">
        <v>17.571000000000002</v>
      </c>
      <c r="E257">
        <v>22.645</v>
      </c>
      <c r="F257">
        <v>199296.48699999999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0.38463637604038753</v>
      </c>
      <c r="Q257">
        <f t="shared" si="960"/>
        <v>76656.678517260196</v>
      </c>
      <c r="R257">
        <f t="shared" si="961"/>
        <v>-3693497.675762957</v>
      </c>
      <c r="S257">
        <f t="shared" si="962"/>
        <v>-36.93497675762957</v>
      </c>
      <c r="T257">
        <f t="shared" si="963"/>
        <v>-3.6934976757629571E-2</v>
      </c>
    </row>
    <row r="258" spans="1:20" x14ac:dyDescent="0.25">
      <c r="A258" s="5">
        <v>44335</v>
      </c>
      <c r="B258">
        <v>34.968000000000004</v>
      </c>
      <c r="C258">
        <v>36.380000000000003</v>
      </c>
      <c r="D258">
        <v>16.510000000000002</v>
      </c>
      <c r="E258">
        <v>20.067</v>
      </c>
      <c r="F258">
        <v>203723.83199999999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-0.64197282335178674</v>
      </c>
      <c r="Q258">
        <f t="shared" si="960"/>
        <v>-130785.16361308507</v>
      </c>
      <c r="R258">
        <f t="shared" si="961"/>
        <v>-3770154.3542802171</v>
      </c>
      <c r="S258">
        <f t="shared" si="962"/>
        <v>-37.70154354280217</v>
      </c>
      <c r="T258">
        <f t="shared" si="963"/>
        <v>-3.7701543542802168E-2</v>
      </c>
    </row>
    <row r="259" spans="1:20" x14ac:dyDescent="0.25">
      <c r="A259" s="5">
        <v>44334</v>
      </c>
      <c r="B259">
        <v>36.32</v>
      </c>
      <c r="C259">
        <v>38.25</v>
      </c>
      <c r="D259">
        <v>33.630000000000003</v>
      </c>
      <c r="E259">
        <v>34.966999999999999</v>
      </c>
      <c r="F259">
        <v>110744.37699999999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-0.42121212121212254</v>
      </c>
      <c r="Q259">
        <f t="shared" si="960"/>
        <v>-46646.873948484994</v>
      </c>
      <c r="R259">
        <f t="shared" si="961"/>
        <v>-3639369.1906671319</v>
      </c>
      <c r="S259">
        <f t="shared" si="962"/>
        <v>-36.393691906671322</v>
      </c>
      <c r="T259">
        <f t="shared" si="963"/>
        <v>-3.639369190667132E-2</v>
      </c>
    </row>
    <row r="260" spans="1:20" x14ac:dyDescent="0.25">
      <c r="A260" s="5">
        <v>44333</v>
      </c>
      <c r="B260">
        <v>34.645000000000003</v>
      </c>
      <c r="C260">
        <v>43.243000000000002</v>
      </c>
      <c r="D260">
        <v>31.8</v>
      </c>
      <c r="E260">
        <v>36.329000000000001</v>
      </c>
      <c r="F260">
        <v>390586.95899999997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-0.20842436424014693</v>
      </c>
      <c r="Q260">
        <f t="shared" si="960"/>
        <v>-81407.838610067323</v>
      </c>
      <c r="R260">
        <f t="shared" si="961"/>
        <v>-3592722.3167186468</v>
      </c>
      <c r="S260">
        <f t="shared" si="962"/>
        <v>-35.927223167186469</v>
      </c>
      <c r="T260">
        <f t="shared" si="963"/>
        <v>-3.5927223167186467E-2</v>
      </c>
    </row>
    <row r="261" spans="1:20" x14ac:dyDescent="0.25">
      <c r="A261" s="5">
        <v>44332</v>
      </c>
      <c r="B261">
        <v>31.9</v>
      </c>
      <c r="C261">
        <v>43.465000000000003</v>
      </c>
      <c r="D261">
        <v>31.76</v>
      </c>
      <c r="E261">
        <v>34.643000000000001</v>
      </c>
      <c r="F261">
        <v>428147.17200000002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-0.50739000427167902</v>
      </c>
      <c r="Q261">
        <f t="shared" si="960"/>
        <v>-217237.5954299873</v>
      </c>
      <c r="R261">
        <f t="shared" si="961"/>
        <v>-3511314.4781085793</v>
      </c>
      <c r="S261">
        <f t="shared" si="962"/>
        <v>-35.113144781085794</v>
      </c>
      <c r="T261">
        <f t="shared" si="963"/>
        <v>-3.5113144781085792E-2</v>
      </c>
    </row>
    <row r="262" spans="1:20" x14ac:dyDescent="0.25">
      <c r="A262" s="5">
        <v>44331</v>
      </c>
      <c r="B262">
        <v>34.771000000000001</v>
      </c>
      <c r="C262">
        <v>35.466000000000001</v>
      </c>
      <c r="D262">
        <v>31.76</v>
      </c>
      <c r="E262">
        <v>31.771999999999998</v>
      </c>
      <c r="F262">
        <v>54762.536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-0.99352401511063304</v>
      </c>
      <c r="Q262">
        <f t="shared" ref="Q262:Q325" si="965">F262*P262</f>
        <v>-54407.894644360589</v>
      </c>
      <c r="R262">
        <f t="shared" ref="R262:R325" si="966">R263+Q262</f>
        <v>-3294076.8826785921</v>
      </c>
      <c r="S262">
        <f t="shared" ref="S262:S325" si="967">R262/100000</f>
        <v>-32.94076882678592</v>
      </c>
      <c r="T262">
        <f t="shared" ref="T262:T325" si="968">S262/1000</f>
        <v>-3.294076882678592E-2</v>
      </c>
    </row>
    <row r="263" spans="1:20" x14ac:dyDescent="0.25">
      <c r="A263" s="5">
        <v>44330</v>
      </c>
      <c r="B263">
        <v>34.399000000000001</v>
      </c>
      <c r="C263">
        <v>36.145000000000003</v>
      </c>
      <c r="D263">
        <v>33.201000000000001</v>
      </c>
      <c r="E263">
        <v>34.768999999999998</v>
      </c>
      <c r="F263">
        <v>72846.585999999996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6.521739130434541E-2</v>
      </c>
      <c r="Q263">
        <f t="shared" si="965"/>
        <v>4750.8643043476495</v>
      </c>
      <c r="R263">
        <f t="shared" si="966"/>
        <v>-3239668.9880342316</v>
      </c>
      <c r="S263">
        <f t="shared" si="967"/>
        <v>-32.396689880342315</v>
      </c>
      <c r="T263">
        <f t="shared" si="968"/>
        <v>-3.2396689880342312E-2</v>
      </c>
    </row>
    <row r="264" spans="1:20" x14ac:dyDescent="0.25">
      <c r="A264" s="5">
        <v>44329</v>
      </c>
      <c r="B264">
        <v>34.331000000000003</v>
      </c>
      <c r="C264">
        <v>37.225000000000001</v>
      </c>
      <c r="D264">
        <v>31.3</v>
      </c>
      <c r="E264">
        <v>34.399000000000001</v>
      </c>
      <c r="F264">
        <v>84568.429000000004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4.6075949367088552E-2</v>
      </c>
      <c r="Q264">
        <f t="shared" si="965"/>
        <v>3896.5706526582235</v>
      </c>
      <c r="R264">
        <f t="shared" si="966"/>
        <v>-3244419.852338579</v>
      </c>
      <c r="S264">
        <f t="shared" si="967"/>
        <v>-32.444198523385793</v>
      </c>
      <c r="T264">
        <f t="shared" si="968"/>
        <v>-3.2444198523385794E-2</v>
      </c>
    </row>
    <row r="265" spans="1:20" x14ac:dyDescent="0.25">
      <c r="A265" s="5">
        <v>44328</v>
      </c>
      <c r="B265">
        <v>41.472999999999999</v>
      </c>
      <c r="C265">
        <v>42.658000000000001</v>
      </c>
      <c r="D265">
        <v>33.6</v>
      </c>
      <c r="E265">
        <v>34.332000000000001</v>
      </c>
      <c r="F265">
        <v>86756.615000000005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-0.83837491720026514</v>
      </c>
      <c r="Q265">
        <f t="shared" si="965"/>
        <v>-72734.569917200279</v>
      </c>
      <c r="R265">
        <f t="shared" si="966"/>
        <v>-3248316.4229912371</v>
      </c>
      <c r="S265">
        <f t="shared" si="967"/>
        <v>-32.483164229912369</v>
      </c>
      <c r="T265">
        <f t="shared" si="968"/>
        <v>-3.2483164229912369E-2</v>
      </c>
    </row>
    <row r="266" spans="1:20" x14ac:dyDescent="0.25">
      <c r="A266" s="5">
        <v>44327</v>
      </c>
      <c r="B266">
        <v>39.054000000000002</v>
      </c>
      <c r="C266">
        <v>44.249000000000002</v>
      </c>
      <c r="D266">
        <v>37.387</v>
      </c>
      <c r="E266">
        <v>41.436</v>
      </c>
      <c r="F266">
        <v>170974.77799999999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0.18012241329058537</v>
      </c>
      <c r="Q266">
        <f t="shared" si="965"/>
        <v>30796.389625182081</v>
      </c>
      <c r="R266">
        <f t="shared" si="966"/>
        <v>-3175581.853074037</v>
      </c>
      <c r="S266">
        <f t="shared" si="967"/>
        <v>-31.75581853074037</v>
      </c>
      <c r="T266">
        <f t="shared" si="968"/>
        <v>-3.1755818530740373E-2</v>
      </c>
    </row>
    <row r="267" spans="1:20" x14ac:dyDescent="0.25">
      <c r="A267" s="5">
        <v>44326</v>
      </c>
      <c r="B267">
        <v>42.720999999999997</v>
      </c>
      <c r="C267">
        <v>44.5</v>
      </c>
      <c r="D267">
        <v>35.500999999999998</v>
      </c>
      <c r="E267">
        <v>39.069000000000003</v>
      </c>
      <c r="F267">
        <v>172636.04300000001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-0.20702300255583864</v>
      </c>
      <c r="Q267">
        <f t="shared" si="965"/>
        <v>-35739.631971218871</v>
      </c>
      <c r="R267">
        <f t="shared" si="966"/>
        <v>-3206378.2426992189</v>
      </c>
      <c r="S267">
        <f t="shared" si="967"/>
        <v>-32.063782426992191</v>
      </c>
      <c r="T267">
        <f t="shared" si="968"/>
        <v>-3.2063782426992191E-2</v>
      </c>
    </row>
    <row r="268" spans="1:20" x14ac:dyDescent="0.25">
      <c r="A268" s="5">
        <v>44325</v>
      </c>
      <c r="B268">
        <v>44.286999999999999</v>
      </c>
      <c r="C268">
        <v>46.5</v>
      </c>
      <c r="D268">
        <v>40.777000000000001</v>
      </c>
      <c r="E268">
        <v>42.74</v>
      </c>
      <c r="F268">
        <v>125999.285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-0.3139961558623095</v>
      </c>
      <c r="Q268">
        <f t="shared" si="965"/>
        <v>-39563.291131399557</v>
      </c>
      <c r="R268">
        <f t="shared" si="966"/>
        <v>-3170638.6107279998</v>
      </c>
      <c r="S268">
        <f t="shared" si="967"/>
        <v>-31.706386107279997</v>
      </c>
      <c r="T268">
        <f t="shared" si="968"/>
        <v>-3.1706386107279994E-2</v>
      </c>
    </row>
    <row r="269" spans="1:20" x14ac:dyDescent="0.25">
      <c r="A269" s="5">
        <v>44324</v>
      </c>
      <c r="B269">
        <v>44.180999999999997</v>
      </c>
      <c r="C269">
        <v>45.387</v>
      </c>
      <c r="D269">
        <v>42.947000000000003</v>
      </c>
      <c r="E269">
        <v>44.128</v>
      </c>
      <c r="F269">
        <v>76089.134999999995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-3.1967213114755338E-2</v>
      </c>
      <c r="Q269">
        <f t="shared" si="965"/>
        <v>-2432.3575942623893</v>
      </c>
      <c r="R269">
        <f t="shared" si="966"/>
        <v>-3131075.3195966003</v>
      </c>
      <c r="S269">
        <f t="shared" si="967"/>
        <v>-31.310753195966001</v>
      </c>
      <c r="T269">
        <f t="shared" si="968"/>
        <v>-3.1310753195966004E-2</v>
      </c>
    </row>
    <row r="270" spans="1:20" x14ac:dyDescent="0.25">
      <c r="A270" s="5">
        <v>44323</v>
      </c>
      <c r="B270">
        <v>44.555</v>
      </c>
      <c r="C270">
        <v>46.938000000000002</v>
      </c>
      <c r="D270">
        <v>42.686</v>
      </c>
      <c r="E270">
        <v>44.18</v>
      </c>
      <c r="F270">
        <v>116558.378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-0.2972718720602075</v>
      </c>
      <c r="Q270">
        <f t="shared" si="965"/>
        <v>-34649.527232361303</v>
      </c>
      <c r="R270">
        <f t="shared" si="966"/>
        <v>-3128642.9620023379</v>
      </c>
      <c r="S270">
        <f t="shared" si="967"/>
        <v>-31.28642962002338</v>
      </c>
      <c r="T270">
        <f t="shared" si="968"/>
        <v>-3.1286429620023377E-2</v>
      </c>
    </row>
    <row r="271" spans="1:20" x14ac:dyDescent="0.25">
      <c r="A271" s="5">
        <v>44322</v>
      </c>
      <c r="B271">
        <v>45.515999999999998</v>
      </c>
      <c r="C271">
        <v>47.999000000000002</v>
      </c>
      <c r="D271">
        <v>42.59</v>
      </c>
      <c r="E271">
        <v>44.503</v>
      </c>
      <c r="F271">
        <v>126392.667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-0.29266038084673801</v>
      </c>
      <c r="Q271">
        <f t="shared" si="965"/>
        <v>-36990.126060454939</v>
      </c>
      <c r="R271">
        <f t="shared" si="966"/>
        <v>-3093993.4347699764</v>
      </c>
      <c r="S271">
        <f t="shared" si="967"/>
        <v>-30.939934347699765</v>
      </c>
      <c r="T271">
        <f t="shared" si="968"/>
        <v>-3.0939934347699764E-2</v>
      </c>
    </row>
    <row r="272" spans="1:20" x14ac:dyDescent="0.25">
      <c r="A272" s="5">
        <v>44321</v>
      </c>
      <c r="B272">
        <v>41.594999999999999</v>
      </c>
      <c r="C272">
        <v>48.5</v>
      </c>
      <c r="D272">
        <v>41.359000000000002</v>
      </c>
      <c r="E272">
        <v>45.530999999999999</v>
      </c>
      <c r="F272">
        <v>131341.47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0.16846380058815238</v>
      </c>
      <c r="Q272">
        <f t="shared" si="965"/>
        <v>22126.283211034799</v>
      </c>
      <c r="R272">
        <f t="shared" si="966"/>
        <v>-3057003.3087095213</v>
      </c>
      <c r="S272">
        <f t="shared" si="967"/>
        <v>-30.570033087095211</v>
      </c>
      <c r="T272">
        <f t="shared" si="968"/>
        <v>-3.0570033087095213E-2</v>
      </c>
    </row>
    <row r="273" spans="1:20" x14ac:dyDescent="0.25">
      <c r="A273" s="5">
        <v>44320</v>
      </c>
      <c r="B273">
        <v>50.121000000000002</v>
      </c>
      <c r="C273">
        <v>50.247</v>
      </c>
      <c r="D273">
        <v>41.292000000000002</v>
      </c>
      <c r="E273">
        <v>41.676000000000002</v>
      </c>
      <c r="F273">
        <v>135274.68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-0.91423785594639861</v>
      </c>
      <c r="Q273">
        <f t="shared" si="965"/>
        <v>-123673.23340703516</v>
      </c>
      <c r="R273">
        <f t="shared" si="966"/>
        <v>-3079129.591920556</v>
      </c>
      <c r="S273">
        <f t="shared" si="967"/>
        <v>-30.79129591920556</v>
      </c>
      <c r="T273">
        <f t="shared" si="968"/>
        <v>-3.0791295919205559E-2</v>
      </c>
    </row>
    <row r="274" spans="1:20" x14ac:dyDescent="0.25">
      <c r="A274" s="5">
        <v>44319</v>
      </c>
      <c r="B274">
        <v>45.957999999999998</v>
      </c>
      <c r="C274">
        <v>53.5</v>
      </c>
      <c r="D274">
        <v>45.912999999999997</v>
      </c>
      <c r="E274">
        <v>50.121000000000002</v>
      </c>
      <c r="F274">
        <v>186364.25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0.10926584947937358</v>
      </c>
      <c r="Q274">
        <f t="shared" si="965"/>
        <v>20363.248088836346</v>
      </c>
      <c r="R274">
        <f t="shared" si="966"/>
        <v>-2955456.358513521</v>
      </c>
      <c r="S274">
        <f t="shared" si="967"/>
        <v>-29.55456358513521</v>
      </c>
      <c r="T274">
        <f t="shared" si="968"/>
        <v>-2.955456358513521E-2</v>
      </c>
    </row>
    <row r="275" spans="1:20" x14ac:dyDescent="0.25">
      <c r="A275" s="5">
        <v>44318</v>
      </c>
      <c r="B275">
        <v>47.609000000000002</v>
      </c>
      <c r="C275">
        <v>49.67</v>
      </c>
      <c r="D275">
        <v>44</v>
      </c>
      <c r="E275">
        <v>45.957999999999998</v>
      </c>
      <c r="F275">
        <v>164898.125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-0.3093474426807768</v>
      </c>
      <c r="Q275">
        <f t="shared" si="965"/>
        <v>-51010.813271605068</v>
      </c>
      <c r="R275">
        <f t="shared" si="966"/>
        <v>-2975819.6066023572</v>
      </c>
      <c r="S275">
        <f t="shared" si="967"/>
        <v>-29.758196066023572</v>
      </c>
      <c r="T275">
        <f t="shared" si="968"/>
        <v>-2.9758196066023573E-2</v>
      </c>
    </row>
    <row r="276" spans="1:20" x14ac:dyDescent="0.25">
      <c r="A276" s="5">
        <v>44317</v>
      </c>
      <c r="B276">
        <v>48.168999999999997</v>
      </c>
      <c r="C276">
        <v>48.353999999999999</v>
      </c>
      <c r="D276">
        <v>43.936</v>
      </c>
      <c r="E276">
        <v>47.534999999999997</v>
      </c>
      <c r="F276">
        <v>100709.174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0.62924400181077289</v>
      </c>
      <c r="Q276">
        <f t="shared" si="965"/>
        <v>63370.643666817443</v>
      </c>
      <c r="R276">
        <f t="shared" si="966"/>
        <v>-2924808.7933307523</v>
      </c>
      <c r="S276">
        <f t="shared" si="967"/>
        <v>-29.248087933307524</v>
      </c>
      <c r="T276">
        <f t="shared" si="968"/>
        <v>-2.9248087933307524E-2</v>
      </c>
    </row>
    <row r="277" spans="1:20" x14ac:dyDescent="0.25">
      <c r="A277" s="5">
        <v>44316</v>
      </c>
      <c r="B277">
        <v>46.097000000000001</v>
      </c>
      <c r="C277">
        <v>48.7</v>
      </c>
      <c r="D277">
        <v>42.929000000000002</v>
      </c>
      <c r="E277">
        <v>48.168999999999997</v>
      </c>
      <c r="F277">
        <v>122414.24800000001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0.81597643389360397</v>
      </c>
      <c r="Q277">
        <f t="shared" si="965"/>
        <v>99887.14154080725</v>
      </c>
      <c r="R277">
        <f t="shared" si="966"/>
        <v>-2988179.4369975696</v>
      </c>
      <c r="S277">
        <f t="shared" si="967"/>
        <v>-29.881794369975697</v>
      </c>
      <c r="T277">
        <f t="shared" si="968"/>
        <v>-2.9881794369975699E-2</v>
      </c>
    </row>
    <row r="278" spans="1:20" x14ac:dyDescent="0.25">
      <c r="A278" s="5">
        <v>44315</v>
      </c>
      <c r="B278">
        <v>42.526000000000003</v>
      </c>
      <c r="C278">
        <v>49.912999999999997</v>
      </c>
      <c r="D278">
        <v>42.148000000000003</v>
      </c>
      <c r="E278">
        <v>46.1</v>
      </c>
      <c r="F278">
        <v>224991.12700000001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1.7900837089504573E-2</v>
      </c>
      <c r="Q278">
        <f t="shared" si="965"/>
        <v>4027.5295110110337</v>
      </c>
      <c r="R278">
        <f t="shared" si="966"/>
        <v>-3088066.5785383768</v>
      </c>
      <c r="S278">
        <f t="shared" si="967"/>
        <v>-30.880665785383769</v>
      </c>
      <c r="T278">
        <f t="shared" si="968"/>
        <v>-3.088066578538377E-2</v>
      </c>
    </row>
    <row r="279" spans="1:20" x14ac:dyDescent="0.25">
      <c r="A279" s="5">
        <v>44314</v>
      </c>
      <c r="B279">
        <v>43.802</v>
      </c>
      <c r="C279">
        <v>45.597000000000001</v>
      </c>
      <c r="D279">
        <v>40.055</v>
      </c>
      <c r="E279">
        <v>42.527999999999999</v>
      </c>
      <c r="F279">
        <v>84858.087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-0.10754240346445389</v>
      </c>
      <c r="Q279">
        <f t="shared" si="965"/>
        <v>-9125.8426293757293</v>
      </c>
      <c r="R279">
        <f t="shared" si="966"/>
        <v>-3092094.108049388</v>
      </c>
      <c r="S279">
        <f t="shared" si="967"/>
        <v>-30.920941080493879</v>
      </c>
      <c r="T279">
        <f t="shared" si="968"/>
        <v>-3.0920941080493879E-2</v>
      </c>
    </row>
    <row r="280" spans="1:20" x14ac:dyDescent="0.25">
      <c r="A280" s="5">
        <v>44313</v>
      </c>
      <c r="B280">
        <v>39.387999999999998</v>
      </c>
      <c r="C280">
        <v>48.325000000000003</v>
      </c>
      <c r="D280">
        <v>39.28</v>
      </c>
      <c r="E280">
        <v>43.802</v>
      </c>
      <c r="F280">
        <v>135588.66699999999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-1.1055831951407127E-4</v>
      </c>
      <c r="Q280">
        <f t="shared" si="965"/>
        <v>-14.990455168673009</v>
      </c>
      <c r="R280">
        <f t="shared" si="966"/>
        <v>-3082968.2654200122</v>
      </c>
      <c r="S280">
        <f t="shared" si="967"/>
        <v>-30.829682654200123</v>
      </c>
      <c r="T280">
        <f t="shared" si="968"/>
        <v>-3.0829682654200122E-2</v>
      </c>
    </row>
    <row r="281" spans="1:20" x14ac:dyDescent="0.25">
      <c r="A281" s="5">
        <v>44312</v>
      </c>
      <c r="B281">
        <v>32.301000000000002</v>
      </c>
      <c r="C281">
        <v>40.975000000000001</v>
      </c>
      <c r="D281">
        <v>32.222999999999999</v>
      </c>
      <c r="E281">
        <v>39.408999999999999</v>
      </c>
      <c r="F281">
        <v>127094.054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0.64213893967093194</v>
      </c>
      <c r="Q281">
        <f t="shared" si="965"/>
        <v>81612.041074040171</v>
      </c>
      <c r="R281">
        <f t="shared" si="966"/>
        <v>-3082953.2749648434</v>
      </c>
      <c r="S281">
        <f t="shared" si="967"/>
        <v>-30.829532749648433</v>
      </c>
      <c r="T281">
        <f t="shared" si="968"/>
        <v>-3.0829532749648433E-2</v>
      </c>
    </row>
    <row r="282" spans="1:20" x14ac:dyDescent="0.25">
      <c r="A282" s="5">
        <v>44311</v>
      </c>
      <c r="B282">
        <v>33.783000000000001</v>
      </c>
      <c r="C282">
        <v>37.715000000000003</v>
      </c>
      <c r="D282">
        <v>30.379000000000001</v>
      </c>
      <c r="E282">
        <v>32.341000000000001</v>
      </c>
      <c r="F282">
        <v>192029.46100000001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-0.46510359869138518</v>
      </c>
      <c r="Q282">
        <f t="shared" si="965"/>
        <v>-89313.593365867011</v>
      </c>
      <c r="R282">
        <f t="shared" si="966"/>
        <v>-3164565.3160388838</v>
      </c>
      <c r="S282">
        <f t="shared" si="967"/>
        <v>-31.645653160388836</v>
      </c>
      <c r="T282">
        <f t="shared" si="968"/>
        <v>-3.1645653160388837E-2</v>
      </c>
    </row>
    <row r="283" spans="1:20" x14ac:dyDescent="0.25">
      <c r="A283" s="5">
        <v>44310</v>
      </c>
      <c r="B283">
        <v>37.457000000000001</v>
      </c>
      <c r="C283">
        <v>38.723999999999997</v>
      </c>
      <c r="D283">
        <v>31.99</v>
      </c>
      <c r="E283">
        <v>33.902999999999999</v>
      </c>
      <c r="F283">
        <v>106387.149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-0.43183843183843162</v>
      </c>
      <c r="Q283">
        <f t="shared" si="965"/>
        <v>-45942.05959192157</v>
      </c>
      <c r="R283">
        <f t="shared" si="966"/>
        <v>-3075251.7226730166</v>
      </c>
      <c r="S283">
        <f t="shared" si="967"/>
        <v>-30.752517226730166</v>
      </c>
      <c r="T283">
        <f t="shared" si="968"/>
        <v>-3.0752517226730166E-2</v>
      </c>
    </row>
    <row r="284" spans="1:20" x14ac:dyDescent="0.25">
      <c r="A284" s="5">
        <v>44309</v>
      </c>
      <c r="B284">
        <v>37.796999999999997</v>
      </c>
      <c r="C284">
        <v>38.948</v>
      </c>
      <c r="D284">
        <v>32.000999999999998</v>
      </c>
      <c r="E284">
        <v>37.475000000000001</v>
      </c>
      <c r="F284">
        <v>128414.12300000001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0.5759320570030233</v>
      </c>
      <c r="Q284">
        <f t="shared" si="965"/>
        <v>73957.810007629247</v>
      </c>
      <c r="R284">
        <f t="shared" si="966"/>
        <v>-3029309.6630810951</v>
      </c>
      <c r="S284">
        <f t="shared" si="967"/>
        <v>-30.29309663081095</v>
      </c>
      <c r="T284">
        <f t="shared" si="968"/>
        <v>-3.0293096630810951E-2</v>
      </c>
    </row>
    <row r="285" spans="1:20" x14ac:dyDescent="0.25">
      <c r="A285" s="5">
        <v>44308</v>
      </c>
      <c r="B285">
        <v>43.183</v>
      </c>
      <c r="C285">
        <v>45.701000000000001</v>
      </c>
      <c r="D285">
        <v>37.268999999999998</v>
      </c>
      <c r="E285">
        <v>37.880000000000003</v>
      </c>
      <c r="F285">
        <v>109270.15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-0.85507590132827227</v>
      </c>
      <c r="Q285">
        <f t="shared" si="965"/>
        <v>-93434.271999525503</v>
      </c>
      <c r="R285">
        <f t="shared" si="966"/>
        <v>-3103267.4730887245</v>
      </c>
      <c r="S285">
        <f t="shared" si="967"/>
        <v>-31.032674730887244</v>
      </c>
      <c r="T285">
        <f t="shared" si="968"/>
        <v>-3.1032674730887243E-2</v>
      </c>
    </row>
    <row r="286" spans="1:20" x14ac:dyDescent="0.25">
      <c r="A286" s="5">
        <v>44307</v>
      </c>
      <c r="B286">
        <v>49.331000000000003</v>
      </c>
      <c r="C286">
        <v>49.957000000000001</v>
      </c>
      <c r="D286">
        <v>42.472000000000001</v>
      </c>
      <c r="E286">
        <v>43.100999999999999</v>
      </c>
      <c r="F286">
        <v>77232.964000000007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-0.83193052772211151</v>
      </c>
      <c r="Q286">
        <f t="shared" si="965"/>
        <v>-64252.460498062843</v>
      </c>
      <c r="R286">
        <f t="shared" si="966"/>
        <v>-3009833.2010891992</v>
      </c>
      <c r="S286">
        <f t="shared" si="967"/>
        <v>-30.098332010891991</v>
      </c>
      <c r="T286">
        <f t="shared" si="968"/>
        <v>-3.0098332010891991E-2</v>
      </c>
    </row>
    <row r="287" spans="1:20" x14ac:dyDescent="0.25">
      <c r="A287" s="5">
        <v>44306</v>
      </c>
      <c r="B287">
        <v>43.488999999999997</v>
      </c>
      <c r="C287">
        <v>53.692999999999998</v>
      </c>
      <c r="D287">
        <v>38.128</v>
      </c>
      <c r="E287">
        <v>49.334000000000003</v>
      </c>
      <c r="F287">
        <v>384111.76199999999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0.43989720526823062</v>
      </c>
      <c r="Q287">
        <f t="shared" si="965"/>
        <v>168969.69061445573</v>
      </c>
      <c r="R287">
        <f t="shared" si="966"/>
        <v>-2945580.7405911363</v>
      </c>
      <c r="S287">
        <f t="shared" si="967"/>
        <v>-29.455807405911361</v>
      </c>
      <c r="T287">
        <f t="shared" si="968"/>
        <v>-2.9455807405911361E-2</v>
      </c>
    </row>
    <row r="288" spans="1:20" x14ac:dyDescent="0.25">
      <c r="A288" s="5">
        <v>44305</v>
      </c>
      <c r="B288">
        <v>45.561999999999998</v>
      </c>
      <c r="C288">
        <v>53.99</v>
      </c>
      <c r="D288">
        <v>42.697000000000003</v>
      </c>
      <c r="E288">
        <v>43.494</v>
      </c>
      <c r="F288">
        <v>92740.296000000002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-0.85885061542548535</v>
      </c>
      <c r="Q288">
        <f t="shared" si="965"/>
        <v>-79650.060294341674</v>
      </c>
      <c r="R288">
        <f t="shared" si="966"/>
        <v>-3114550.4312055921</v>
      </c>
      <c r="S288">
        <f t="shared" si="967"/>
        <v>-31.14550431205592</v>
      </c>
      <c r="T288">
        <f t="shared" si="968"/>
        <v>-3.114550431205592E-2</v>
      </c>
    </row>
    <row r="289" spans="1:20" x14ac:dyDescent="0.25">
      <c r="A289" s="5">
        <v>44304</v>
      </c>
      <c r="B289">
        <v>54.901000000000003</v>
      </c>
      <c r="C289">
        <v>59.5</v>
      </c>
      <c r="D289">
        <v>41.588000000000001</v>
      </c>
      <c r="E289">
        <v>45.561</v>
      </c>
      <c r="F289">
        <v>96314.361999999994</v>
      </c>
      <c r="G289">
        <v>0</v>
      </c>
      <c r="L289" t="s">
        <v>8</v>
      </c>
      <c r="M289" t="s">
        <v>7</v>
      </c>
      <c r="N289" t="s">
        <v>7</v>
      </c>
      <c r="P289">
        <f t="shared" si="964"/>
        <v>-0.55638677981241635</v>
      </c>
      <c r="Q289">
        <f t="shared" si="965"/>
        <v>-53588.037722867361</v>
      </c>
      <c r="R289">
        <f t="shared" si="966"/>
        <v>-3034900.3709112504</v>
      </c>
      <c r="S289">
        <f t="shared" si="967"/>
        <v>-30.349003709112505</v>
      </c>
      <c r="T289">
        <f t="shared" si="968"/>
        <v>-3.0349003709112504E-2</v>
      </c>
    </row>
    <row r="290" spans="1:20" x14ac:dyDescent="0.25">
      <c r="A290" s="5">
        <v>44303</v>
      </c>
      <c r="B290">
        <v>55.572000000000003</v>
      </c>
      <c r="C290">
        <v>59</v>
      </c>
      <c r="D290">
        <v>52.665999999999997</v>
      </c>
      <c r="E290">
        <v>55.034999999999997</v>
      </c>
      <c r="F290">
        <v>94385.422000000006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-0.25197347647616086</v>
      </c>
      <c r="Q290">
        <f t="shared" si="965"/>
        <v>-23782.622910009519</v>
      </c>
      <c r="R290">
        <f t="shared" si="966"/>
        <v>-2981312.3331883829</v>
      </c>
      <c r="S290">
        <f t="shared" si="967"/>
        <v>-29.81312333188383</v>
      </c>
      <c r="T290">
        <f t="shared" si="968"/>
        <v>-2.981312333188383E-2</v>
      </c>
    </row>
    <row r="291" spans="1:20" x14ac:dyDescent="0.25">
      <c r="A291" s="5">
        <v>44302</v>
      </c>
      <c r="B291">
        <v>58.631</v>
      </c>
      <c r="C291">
        <v>58.901000000000003</v>
      </c>
      <c r="D291">
        <v>52.113999999999997</v>
      </c>
      <c r="E291">
        <v>55.628999999999998</v>
      </c>
      <c r="F291">
        <v>69052.402000000002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3.5803742448798408E-2</v>
      </c>
      <c r="Q291">
        <f t="shared" si="965"/>
        <v>2472.334416678892</v>
      </c>
      <c r="R291">
        <f t="shared" si="966"/>
        <v>-2957529.7102783732</v>
      </c>
      <c r="S291">
        <f t="shared" si="967"/>
        <v>-29.575297102783733</v>
      </c>
      <c r="T291">
        <f t="shared" si="968"/>
        <v>-2.9575297102783733E-2</v>
      </c>
    </row>
    <row r="292" spans="1:20" x14ac:dyDescent="0.25">
      <c r="A292" s="5">
        <v>44301</v>
      </c>
      <c r="B292">
        <v>57.415999999999997</v>
      </c>
      <c r="C292">
        <v>60.841999999999999</v>
      </c>
      <c r="D292">
        <v>56.088999999999999</v>
      </c>
      <c r="E292">
        <v>58.561999999999998</v>
      </c>
      <c r="F292">
        <v>94156.989000000001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4.0605933094886984E-2</v>
      </c>
      <c r="Q292">
        <f t="shared" si="965"/>
        <v>3823.3323957500097</v>
      </c>
      <c r="R292">
        <f t="shared" si="966"/>
        <v>-2960002.0446950523</v>
      </c>
      <c r="S292">
        <f t="shared" si="967"/>
        <v>-29.600020446950523</v>
      </c>
      <c r="T292">
        <f t="shared" si="968"/>
        <v>-2.9600020446950523E-2</v>
      </c>
    </row>
    <row r="293" spans="1:20" x14ac:dyDescent="0.25">
      <c r="A293" s="5">
        <v>44300</v>
      </c>
      <c r="B293">
        <v>54.402000000000001</v>
      </c>
      <c r="C293">
        <v>59.8</v>
      </c>
      <c r="D293">
        <v>52.5</v>
      </c>
      <c r="E293">
        <v>57.512999999999998</v>
      </c>
      <c r="F293">
        <v>122142.092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0.37342465753424658</v>
      </c>
      <c r="Q293">
        <f t="shared" si="965"/>
        <v>45610.868875616441</v>
      </c>
      <c r="R293">
        <f t="shared" si="966"/>
        <v>-2963825.3770908024</v>
      </c>
      <c r="S293">
        <f t="shared" si="967"/>
        <v>-29.638253770908022</v>
      </c>
      <c r="T293">
        <f t="shared" si="968"/>
        <v>-2.9638253770908021E-2</v>
      </c>
    </row>
    <row r="294" spans="1:20" x14ac:dyDescent="0.25">
      <c r="A294" s="5">
        <v>44299</v>
      </c>
      <c r="B294">
        <v>58.642000000000003</v>
      </c>
      <c r="C294">
        <v>60.067999999999998</v>
      </c>
      <c r="D294">
        <v>52.337000000000003</v>
      </c>
      <c r="E294">
        <v>54.616999999999997</v>
      </c>
      <c r="F294">
        <v>129482.66800000001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-0.41016686069072678</v>
      </c>
      <c r="Q294">
        <f t="shared" si="965"/>
        <v>-53109.499447419628</v>
      </c>
      <c r="R294">
        <f t="shared" si="966"/>
        <v>-3009436.2459664186</v>
      </c>
      <c r="S294">
        <f t="shared" si="967"/>
        <v>-30.094362459664186</v>
      </c>
      <c r="T294">
        <f t="shared" si="968"/>
        <v>-3.0094362459664185E-2</v>
      </c>
    </row>
    <row r="295" spans="1:20" x14ac:dyDescent="0.25">
      <c r="A295" s="5">
        <v>44298</v>
      </c>
      <c r="B295">
        <v>63.8</v>
      </c>
      <c r="C295">
        <v>63.954000000000001</v>
      </c>
      <c r="D295">
        <v>56.542000000000002</v>
      </c>
      <c r="E295">
        <v>58.76</v>
      </c>
      <c r="F295">
        <v>97997.547999999995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-0.40151106314085355</v>
      </c>
      <c r="Q295">
        <f t="shared" si="965"/>
        <v>-39347.099682676824</v>
      </c>
      <c r="R295">
        <f t="shared" si="966"/>
        <v>-2956326.7465189989</v>
      </c>
      <c r="S295">
        <f t="shared" si="967"/>
        <v>-29.563267465189988</v>
      </c>
      <c r="T295">
        <f t="shared" si="968"/>
        <v>-2.9563267465189988E-2</v>
      </c>
    </row>
    <row r="296" spans="1:20" x14ac:dyDescent="0.25">
      <c r="A296" s="5">
        <v>44297</v>
      </c>
      <c r="B296">
        <v>66.299000000000007</v>
      </c>
      <c r="C296">
        <v>66.545000000000002</v>
      </c>
      <c r="D296">
        <v>60.1</v>
      </c>
      <c r="E296">
        <v>63.795999999999999</v>
      </c>
      <c r="F296">
        <v>138653.67000000001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0.14693560899922353</v>
      </c>
      <c r="Q296">
        <f t="shared" si="965"/>
        <v>20373.161441427372</v>
      </c>
      <c r="R296">
        <f t="shared" si="966"/>
        <v>-2916979.6468363223</v>
      </c>
      <c r="S296">
        <f t="shared" si="967"/>
        <v>-29.169796468363224</v>
      </c>
      <c r="T296">
        <f t="shared" si="968"/>
        <v>-2.9169796468363225E-2</v>
      </c>
    </row>
    <row r="297" spans="1:20" x14ac:dyDescent="0.25">
      <c r="A297" s="5">
        <v>44296</v>
      </c>
      <c r="B297">
        <v>66.912000000000006</v>
      </c>
      <c r="C297">
        <v>73.858999999999995</v>
      </c>
      <c r="D297">
        <v>62.88</v>
      </c>
      <c r="E297">
        <v>66.299000000000007</v>
      </c>
      <c r="F297">
        <v>183528.20800000001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-0.37717460606612507</v>
      </c>
      <c r="Q297">
        <f t="shared" si="965"/>
        <v>-69222.179554421862</v>
      </c>
      <c r="R297">
        <f t="shared" si="966"/>
        <v>-2937352.8082777495</v>
      </c>
      <c r="S297">
        <f t="shared" si="967"/>
        <v>-29.373528082777494</v>
      </c>
      <c r="T297">
        <f t="shared" si="968"/>
        <v>-2.9373528082777493E-2</v>
      </c>
    </row>
    <row r="298" spans="1:20" x14ac:dyDescent="0.25">
      <c r="A298" s="5">
        <v>44295</v>
      </c>
      <c r="B298">
        <v>60.526000000000003</v>
      </c>
      <c r="C298">
        <v>67.852999999999994</v>
      </c>
      <c r="D298">
        <v>59.871000000000002</v>
      </c>
      <c r="E298">
        <v>67.113</v>
      </c>
      <c r="F298">
        <v>122845.648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0.81458281132548349</v>
      </c>
      <c r="Q298">
        <f t="shared" si="965"/>
        <v>100067.95330694076</v>
      </c>
      <c r="R298">
        <f t="shared" si="966"/>
        <v>-2868130.6287233275</v>
      </c>
      <c r="S298">
        <f t="shared" si="967"/>
        <v>-28.681306287233276</v>
      </c>
      <c r="T298">
        <f t="shared" si="968"/>
        <v>-2.8681306287233276E-2</v>
      </c>
    </row>
    <row r="299" spans="1:20" x14ac:dyDescent="0.25">
      <c r="A299" s="5">
        <v>44294</v>
      </c>
      <c r="B299">
        <v>57.47</v>
      </c>
      <c r="C299">
        <v>64.5</v>
      </c>
      <c r="D299">
        <v>56.7</v>
      </c>
      <c r="E299">
        <v>60.6</v>
      </c>
      <c r="F299">
        <v>88601.87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</v>
      </c>
      <c r="Q299">
        <f t="shared" si="965"/>
        <v>0</v>
      </c>
      <c r="R299">
        <f t="shared" si="966"/>
        <v>-2968198.5820302684</v>
      </c>
      <c r="S299">
        <f t="shared" si="967"/>
        <v>-29.681985820302685</v>
      </c>
      <c r="T299">
        <f t="shared" si="968"/>
        <v>-2.9681985820302684E-2</v>
      </c>
    </row>
    <row r="300" spans="1:20" x14ac:dyDescent="0.25">
      <c r="A300" s="5">
        <v>44293</v>
      </c>
      <c r="B300">
        <v>62.484000000000002</v>
      </c>
      <c r="C300">
        <v>66.98</v>
      </c>
      <c r="D300">
        <v>55.381999999999998</v>
      </c>
      <c r="E300">
        <v>57.470999999999997</v>
      </c>
      <c r="F300">
        <v>114111.97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-0.63976547680634632</v>
      </c>
      <c r="Q300">
        <f t="shared" si="965"/>
        <v>-73004.898896361483</v>
      </c>
      <c r="R300">
        <f t="shared" si="966"/>
        <v>-2968198.5820302684</v>
      </c>
      <c r="S300">
        <f t="shared" si="967"/>
        <v>-29.681985820302685</v>
      </c>
      <c r="T300">
        <f t="shared" si="968"/>
        <v>-2.9681985820302684E-2</v>
      </c>
    </row>
    <row r="301" spans="1:20" x14ac:dyDescent="0.25">
      <c r="A301" s="5">
        <v>44292</v>
      </c>
      <c r="B301">
        <v>64.292000000000002</v>
      </c>
      <c r="C301">
        <v>67.468999999999994</v>
      </c>
      <c r="D301">
        <v>57.636000000000003</v>
      </c>
      <c r="E301">
        <v>62.482999999999997</v>
      </c>
      <c r="F301">
        <v>157770.82199999999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-1.4136072409234519E-2</v>
      </c>
      <c r="Q301">
        <f t="shared" si="965"/>
        <v>-2230.2597638564503</v>
      </c>
      <c r="R301">
        <f t="shared" si="966"/>
        <v>-2895193.6831339067</v>
      </c>
      <c r="S301">
        <f t="shared" si="967"/>
        <v>-28.951936831339069</v>
      </c>
      <c r="T301">
        <f t="shared" si="968"/>
        <v>-2.8951936831339068E-2</v>
      </c>
    </row>
    <row r="302" spans="1:20" x14ac:dyDescent="0.25">
      <c r="A302" s="5">
        <v>44291</v>
      </c>
      <c r="B302">
        <v>68.213999999999999</v>
      </c>
      <c r="C302">
        <v>72.698999999999998</v>
      </c>
      <c r="D302">
        <v>61.587000000000003</v>
      </c>
      <c r="E302">
        <v>64.293000000000006</v>
      </c>
      <c r="F302">
        <v>161035.08900000001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-0.51295896328293655</v>
      </c>
      <c r="Q302">
        <f t="shared" si="965"/>
        <v>-82604.392305615431</v>
      </c>
      <c r="R302">
        <f t="shared" si="966"/>
        <v>-2892963.4233700503</v>
      </c>
      <c r="S302">
        <f t="shared" si="967"/>
        <v>-28.929634233700504</v>
      </c>
      <c r="T302">
        <f t="shared" si="968"/>
        <v>-2.8929634233700506E-2</v>
      </c>
    </row>
    <row r="303" spans="1:20" x14ac:dyDescent="0.25">
      <c r="A303" s="5">
        <v>44290</v>
      </c>
      <c r="B303">
        <v>58.454000000000001</v>
      </c>
      <c r="C303">
        <v>74</v>
      </c>
      <c r="D303">
        <v>57.000999999999998</v>
      </c>
      <c r="E303">
        <v>68.427999999999997</v>
      </c>
      <c r="F303">
        <v>280343.06699999998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0.34443202541325935</v>
      </c>
      <c r="Q303">
        <f t="shared" si="965"/>
        <v>96559.130377375055</v>
      </c>
      <c r="R303">
        <f t="shared" si="966"/>
        <v>-2810359.0310644349</v>
      </c>
      <c r="S303">
        <f t="shared" si="967"/>
        <v>-28.10359031064435</v>
      </c>
      <c r="T303">
        <f t="shared" si="968"/>
        <v>-2.8103590310644348E-2</v>
      </c>
    </row>
    <row r="304" spans="1:20" x14ac:dyDescent="0.25">
      <c r="A304" s="5">
        <v>44289</v>
      </c>
      <c r="B304">
        <v>56.448</v>
      </c>
      <c r="C304">
        <v>67.076999999999998</v>
      </c>
      <c r="D304">
        <v>53.192</v>
      </c>
      <c r="E304">
        <v>58.405000000000001</v>
      </c>
      <c r="F304">
        <v>233506.247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-0.24911775297083158</v>
      </c>
      <c r="Q304">
        <f t="shared" si="965"/>
        <v>-58170.551557291983</v>
      </c>
      <c r="R304">
        <f t="shared" si="966"/>
        <v>-2906918.16144181</v>
      </c>
      <c r="S304">
        <f t="shared" si="967"/>
        <v>-29.069181614418099</v>
      </c>
      <c r="T304">
        <f t="shared" si="968"/>
        <v>-2.9069181614418099E-2</v>
      </c>
    </row>
    <row r="305" spans="1:20" x14ac:dyDescent="0.25">
      <c r="A305" s="5">
        <v>44288</v>
      </c>
      <c r="B305">
        <v>58.512</v>
      </c>
      <c r="C305">
        <v>60</v>
      </c>
      <c r="D305">
        <v>54.5</v>
      </c>
      <c r="E305">
        <v>56.445999999999998</v>
      </c>
      <c r="F305">
        <v>102108.773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-0.2923636363636371</v>
      </c>
      <c r="Q305">
        <f t="shared" si="965"/>
        <v>-29852.892178909166</v>
      </c>
      <c r="R305">
        <f t="shared" si="966"/>
        <v>-2848747.6098845182</v>
      </c>
      <c r="S305">
        <f t="shared" si="967"/>
        <v>-28.487476098845182</v>
      </c>
      <c r="T305">
        <f t="shared" si="968"/>
        <v>-2.8487476098845183E-2</v>
      </c>
    </row>
    <row r="306" spans="1:20" x14ac:dyDescent="0.25">
      <c r="A306" s="5">
        <v>44287</v>
      </c>
      <c r="B306">
        <v>59.167999999999999</v>
      </c>
      <c r="C306">
        <v>64.132999999999996</v>
      </c>
      <c r="D306">
        <v>57.268999999999998</v>
      </c>
      <c r="E306">
        <v>58.512999999999998</v>
      </c>
      <c r="F306">
        <v>93338.512000000002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-0.63752913752913742</v>
      </c>
      <c r="Q306">
        <f t="shared" si="965"/>
        <v>-59506.021053613047</v>
      </c>
      <c r="R306">
        <f t="shared" si="966"/>
        <v>-2818894.7177056088</v>
      </c>
      <c r="S306">
        <f t="shared" si="967"/>
        <v>-28.18894717705609</v>
      </c>
      <c r="T306">
        <f t="shared" si="968"/>
        <v>-2.8188947177056091E-2</v>
      </c>
    </row>
    <row r="307" spans="1:20" x14ac:dyDescent="0.25">
      <c r="A307" s="5">
        <v>44286</v>
      </c>
      <c r="B307">
        <v>63.1</v>
      </c>
      <c r="C307">
        <v>65.759</v>
      </c>
      <c r="D307">
        <v>54.351999999999997</v>
      </c>
      <c r="E307">
        <v>59.378</v>
      </c>
      <c r="F307">
        <v>171833.33799999999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-0.11878670991496418</v>
      </c>
      <c r="Q307">
        <f t="shared" si="965"/>
        <v>-20411.516874725989</v>
      </c>
      <c r="R307">
        <f t="shared" si="966"/>
        <v>-2759388.6966519956</v>
      </c>
      <c r="S307">
        <f t="shared" si="967"/>
        <v>-27.593886966519957</v>
      </c>
      <c r="T307">
        <f t="shared" si="968"/>
        <v>-2.7593886966519956E-2</v>
      </c>
    </row>
    <row r="308" spans="1:20" x14ac:dyDescent="0.25">
      <c r="A308" s="5">
        <v>44285</v>
      </c>
      <c r="B308">
        <v>56.62</v>
      </c>
      <c r="C308">
        <v>67</v>
      </c>
      <c r="D308">
        <v>54.265000000000001</v>
      </c>
      <c r="E308">
        <v>63.1</v>
      </c>
      <c r="F308">
        <v>292967.44400000002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0.38751472320376934</v>
      </c>
      <c r="Q308">
        <f t="shared" si="965"/>
        <v>113529.1979693758</v>
      </c>
      <c r="R308">
        <f t="shared" si="966"/>
        <v>-2738977.1797772697</v>
      </c>
      <c r="S308">
        <f t="shared" si="967"/>
        <v>-27.389771797772696</v>
      </c>
      <c r="T308">
        <f t="shared" si="968"/>
        <v>-2.7389771797772695E-2</v>
      </c>
    </row>
    <row r="309" spans="1:20" x14ac:dyDescent="0.25">
      <c r="A309" s="5">
        <v>44284</v>
      </c>
      <c r="B309">
        <v>57.828000000000003</v>
      </c>
      <c r="C309">
        <v>58.884999999999998</v>
      </c>
      <c r="D309">
        <v>51.412999999999997</v>
      </c>
      <c r="E309">
        <v>56.527999999999999</v>
      </c>
      <c r="F309">
        <v>349130.02799999999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0.36911134903640286</v>
      </c>
      <c r="Q309">
        <f t="shared" si="965"/>
        <v>128867.85562419709</v>
      </c>
      <c r="R309">
        <f t="shared" si="966"/>
        <v>-2852506.3777466454</v>
      </c>
      <c r="S309">
        <f t="shared" si="967"/>
        <v>-28.525063777466453</v>
      </c>
      <c r="T309">
        <f t="shared" si="968"/>
        <v>-2.8525063777466452E-2</v>
      </c>
    </row>
    <row r="310" spans="1:20" x14ac:dyDescent="0.25">
      <c r="A310" s="5">
        <v>44283</v>
      </c>
      <c r="B310">
        <v>40.450000000000003</v>
      </c>
      <c r="C310">
        <v>66.328999999999994</v>
      </c>
      <c r="D310">
        <v>40.179000000000002</v>
      </c>
      <c r="E310">
        <v>57.777000000000001</v>
      </c>
      <c r="F310">
        <v>1052575.5460000001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0.34592734225621452</v>
      </c>
      <c r="Q310">
        <f t="shared" si="965"/>
        <v>364114.66115166392</v>
      </c>
      <c r="R310">
        <f t="shared" si="966"/>
        <v>-2981374.2333708424</v>
      </c>
      <c r="S310">
        <f t="shared" si="967"/>
        <v>-29.813742333708426</v>
      </c>
      <c r="T310">
        <f t="shared" si="968"/>
        <v>-2.9813742333708426E-2</v>
      </c>
    </row>
    <row r="311" spans="1:20" x14ac:dyDescent="0.25">
      <c r="A311" s="5">
        <v>44282</v>
      </c>
      <c r="B311">
        <v>42.436</v>
      </c>
      <c r="C311">
        <v>42.9</v>
      </c>
      <c r="D311">
        <v>37.814</v>
      </c>
      <c r="E311">
        <v>40.631999999999998</v>
      </c>
      <c r="F311">
        <v>71427.385999999999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0.10813999213527277</v>
      </c>
      <c r="Q311">
        <f t="shared" si="965"/>
        <v>7724.1569602830923</v>
      </c>
      <c r="R311">
        <f t="shared" si="966"/>
        <v>-3345488.8945225063</v>
      </c>
      <c r="S311">
        <f t="shared" si="967"/>
        <v>-33.454888945225065</v>
      </c>
      <c r="T311">
        <f t="shared" si="968"/>
        <v>-3.3454888945225067E-2</v>
      </c>
    </row>
    <row r="312" spans="1:20" x14ac:dyDescent="0.25">
      <c r="A312" s="5">
        <v>44281</v>
      </c>
      <c r="B312">
        <v>35.685000000000002</v>
      </c>
      <c r="C312">
        <v>42.728999999999999</v>
      </c>
      <c r="D312">
        <v>35.668999999999997</v>
      </c>
      <c r="E312">
        <v>42.656999999999996</v>
      </c>
      <c r="F312">
        <v>92470.146999999997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0.979603399433427</v>
      </c>
      <c r="Q312">
        <f t="shared" si="965"/>
        <v>90584.070347308705</v>
      </c>
      <c r="R312">
        <f t="shared" si="966"/>
        <v>-3353213.0514827892</v>
      </c>
      <c r="S312">
        <f t="shared" si="967"/>
        <v>-33.532130514827891</v>
      </c>
      <c r="T312">
        <f t="shared" si="968"/>
        <v>-3.3532130514827889E-2</v>
      </c>
    </row>
    <row r="313" spans="1:20" x14ac:dyDescent="0.25">
      <c r="A313" s="5">
        <v>44280</v>
      </c>
      <c r="B313">
        <v>37.603000000000002</v>
      </c>
      <c r="C313">
        <v>39.061</v>
      </c>
      <c r="D313">
        <v>34.784999999999997</v>
      </c>
      <c r="E313">
        <v>35.668999999999997</v>
      </c>
      <c r="F313">
        <v>74693.145999999993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-0.58652946679139395</v>
      </c>
      <c r="Q313">
        <f t="shared" si="965"/>
        <v>-43809.731096351738</v>
      </c>
      <c r="R313">
        <f t="shared" si="966"/>
        <v>-3443797.1218300979</v>
      </c>
      <c r="S313">
        <f t="shared" si="967"/>
        <v>-34.43797121830098</v>
      </c>
      <c r="T313">
        <f t="shared" si="968"/>
        <v>-3.4437971218300979E-2</v>
      </c>
    </row>
    <row r="314" spans="1:20" x14ac:dyDescent="0.25">
      <c r="A314" s="5">
        <v>44279</v>
      </c>
      <c r="B314">
        <v>40.503999999999998</v>
      </c>
      <c r="C314">
        <v>43.6</v>
      </c>
      <c r="D314">
        <v>37.036999999999999</v>
      </c>
      <c r="E314">
        <v>37.405000000000001</v>
      </c>
      <c r="F314">
        <v>90958.748000000007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-0.88785616333993544</v>
      </c>
      <c r="Q314">
        <f t="shared" si="965"/>
        <v>-80758.285021484029</v>
      </c>
      <c r="R314">
        <f t="shared" si="966"/>
        <v>-3399987.3907337463</v>
      </c>
      <c r="S314">
        <f t="shared" si="967"/>
        <v>-33.999873907337467</v>
      </c>
      <c r="T314">
        <f t="shared" si="968"/>
        <v>-3.3999873907337469E-2</v>
      </c>
    </row>
    <row r="315" spans="1:20" x14ac:dyDescent="0.25">
      <c r="A315" s="5">
        <v>44278</v>
      </c>
      <c r="B315">
        <v>42.034999999999997</v>
      </c>
      <c r="C315">
        <v>45</v>
      </c>
      <c r="D315">
        <v>39.53</v>
      </c>
      <c r="E315">
        <v>40</v>
      </c>
      <c r="F315">
        <v>84924.638999999996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-0.82815356489945191</v>
      </c>
      <c r="Q315">
        <f t="shared" si="965"/>
        <v>-70330.642535649022</v>
      </c>
      <c r="R315">
        <f t="shared" si="966"/>
        <v>-3319229.1057122624</v>
      </c>
      <c r="S315">
        <f t="shared" si="967"/>
        <v>-33.192291057122624</v>
      </c>
      <c r="T315">
        <f t="shared" si="968"/>
        <v>-3.3192291057122625E-2</v>
      </c>
    </row>
    <row r="316" spans="1:20" x14ac:dyDescent="0.25">
      <c r="A316" s="5">
        <v>44277</v>
      </c>
      <c r="B316">
        <v>42.606999999999999</v>
      </c>
      <c r="C316">
        <v>45.923999999999999</v>
      </c>
      <c r="D316">
        <v>38.029000000000003</v>
      </c>
      <c r="E316">
        <v>42.210999999999999</v>
      </c>
      <c r="F316">
        <v>116932.25900000001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5.9404686510448931E-2</v>
      </c>
      <c r="Q316">
        <f t="shared" si="965"/>
        <v>6946.3241888536213</v>
      </c>
      <c r="R316">
        <f t="shared" si="966"/>
        <v>-3248898.4631766132</v>
      </c>
      <c r="S316">
        <f t="shared" si="967"/>
        <v>-32.488984631766129</v>
      </c>
      <c r="T316">
        <f t="shared" si="968"/>
        <v>-3.2488984631766131E-2</v>
      </c>
    </row>
    <row r="317" spans="1:20" x14ac:dyDescent="0.25">
      <c r="A317" s="5">
        <v>44276</v>
      </c>
      <c r="B317">
        <v>45.311999999999998</v>
      </c>
      <c r="C317">
        <v>49</v>
      </c>
      <c r="D317">
        <v>41.341000000000001</v>
      </c>
      <c r="E317">
        <v>42.741999999999997</v>
      </c>
      <c r="F317">
        <v>73530.182000000001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-0.63415589502546121</v>
      </c>
      <c r="Q317">
        <f t="shared" si="965"/>
        <v>-46629.598377595059</v>
      </c>
      <c r="R317">
        <f t="shared" si="966"/>
        <v>-3255844.7873654668</v>
      </c>
      <c r="S317">
        <f t="shared" si="967"/>
        <v>-32.558447873654671</v>
      </c>
      <c r="T317">
        <f t="shared" si="968"/>
        <v>-3.2558447873654674E-2</v>
      </c>
    </row>
    <row r="318" spans="1:20" x14ac:dyDescent="0.25">
      <c r="A318" s="5">
        <v>44275</v>
      </c>
      <c r="B318">
        <v>43.518999999999998</v>
      </c>
      <c r="C318">
        <v>49.698999999999998</v>
      </c>
      <c r="D318">
        <v>42.42</v>
      </c>
      <c r="E318">
        <v>45.313000000000002</v>
      </c>
      <c r="F318">
        <v>102117.44899999999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-0.20511059211430083</v>
      </c>
      <c r="Q318">
        <f t="shared" si="965"/>
        <v>-20945.370429591916</v>
      </c>
      <c r="R318">
        <f t="shared" si="966"/>
        <v>-3209215.1889878716</v>
      </c>
      <c r="S318">
        <f t="shared" si="967"/>
        <v>-32.092151889878714</v>
      </c>
      <c r="T318">
        <f t="shared" si="968"/>
        <v>-3.2092151889878712E-2</v>
      </c>
    </row>
    <row r="319" spans="1:20" x14ac:dyDescent="0.25">
      <c r="A319" s="5">
        <v>44274</v>
      </c>
      <c r="B319">
        <v>44.365000000000002</v>
      </c>
      <c r="C319">
        <v>44.677999999999997</v>
      </c>
      <c r="D319">
        <v>42.5</v>
      </c>
      <c r="E319">
        <v>43.445999999999998</v>
      </c>
      <c r="F319">
        <v>52923.250999999997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-0.1313131313131321</v>
      </c>
      <c r="Q319">
        <f t="shared" si="965"/>
        <v>-6949.5178080808491</v>
      </c>
      <c r="R319">
        <f t="shared" si="966"/>
        <v>-3188269.8185582799</v>
      </c>
      <c r="S319">
        <f t="shared" si="967"/>
        <v>-31.8826981855828</v>
      </c>
      <c r="T319">
        <f t="shared" si="968"/>
        <v>-3.18826981855828E-2</v>
      </c>
    </row>
    <row r="320" spans="1:20" x14ac:dyDescent="0.25">
      <c r="A320" s="5">
        <v>44273</v>
      </c>
      <c r="B320">
        <v>42.448999999999998</v>
      </c>
      <c r="C320">
        <v>48</v>
      </c>
      <c r="D320">
        <v>42.203000000000003</v>
      </c>
      <c r="E320">
        <v>44.594999999999999</v>
      </c>
      <c r="F320">
        <v>96259.929000000004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-0.17474555804726682</v>
      </c>
      <c r="Q320">
        <f t="shared" si="965"/>
        <v>-16820.995010695286</v>
      </c>
      <c r="R320">
        <f t="shared" si="966"/>
        <v>-3181320.3007501992</v>
      </c>
      <c r="S320">
        <f t="shared" si="967"/>
        <v>-31.813203007501993</v>
      </c>
      <c r="T320">
        <f t="shared" si="968"/>
        <v>-3.181320300750199E-2</v>
      </c>
    </row>
    <row r="321" spans="1:20" x14ac:dyDescent="0.25">
      <c r="A321" s="5">
        <v>44272</v>
      </c>
      <c r="B321">
        <v>44.768000000000001</v>
      </c>
      <c r="C321">
        <v>45</v>
      </c>
      <c r="D321">
        <v>38.343000000000004</v>
      </c>
      <c r="E321">
        <v>42.448999999999998</v>
      </c>
      <c r="F321">
        <v>95713.923999999999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0.23358870362024836</v>
      </c>
      <c r="Q321">
        <f t="shared" si="965"/>
        <v>22357.691425566976</v>
      </c>
      <c r="R321">
        <f t="shared" si="966"/>
        <v>-3164499.3057395038</v>
      </c>
      <c r="S321">
        <f t="shared" si="967"/>
        <v>-31.644993057395038</v>
      </c>
      <c r="T321">
        <f t="shared" si="968"/>
        <v>-3.1644993057395036E-2</v>
      </c>
    </row>
    <row r="322" spans="1:20" x14ac:dyDescent="0.25">
      <c r="A322" s="5">
        <v>44271</v>
      </c>
      <c r="B322">
        <v>41.814999999999998</v>
      </c>
      <c r="C322">
        <v>46.58</v>
      </c>
      <c r="D322">
        <v>38.700000000000003</v>
      </c>
      <c r="E322">
        <v>44.712000000000003</v>
      </c>
      <c r="F322">
        <v>128014.38800000001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0.52588832487309745</v>
      </c>
      <c r="Q322">
        <f t="shared" si="965"/>
        <v>67321.27206497475</v>
      </c>
      <c r="R322">
        <f t="shared" si="966"/>
        <v>-3186856.9971650708</v>
      </c>
      <c r="S322">
        <f t="shared" si="967"/>
        <v>-31.868569971650707</v>
      </c>
      <c r="T322">
        <f t="shared" si="968"/>
        <v>-3.1868569971650711E-2</v>
      </c>
    </row>
    <row r="323" spans="1:20" x14ac:dyDescent="0.25">
      <c r="A323" s="5">
        <v>44270</v>
      </c>
      <c r="B323">
        <v>39.530999999999999</v>
      </c>
      <c r="C323">
        <v>50.954000000000001</v>
      </c>
      <c r="D323">
        <v>38</v>
      </c>
      <c r="E323">
        <v>41.814</v>
      </c>
      <c r="F323">
        <v>369043.04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-0.41114713601976227</v>
      </c>
      <c r="Q323">
        <f t="shared" si="965"/>
        <v>-151730.98896402656</v>
      </c>
      <c r="R323">
        <f t="shared" si="966"/>
        <v>-3254178.2692300454</v>
      </c>
      <c r="S323">
        <f t="shared" si="967"/>
        <v>-32.541782692300451</v>
      </c>
      <c r="T323">
        <f t="shared" si="968"/>
        <v>-3.2541782692300451E-2</v>
      </c>
    </row>
    <row r="324" spans="1:20" x14ac:dyDescent="0.25">
      <c r="A324" s="5">
        <v>44269</v>
      </c>
      <c r="B324">
        <v>35.350999999999999</v>
      </c>
      <c r="C324">
        <v>46.5</v>
      </c>
      <c r="D324">
        <v>33.502000000000002</v>
      </c>
      <c r="E324">
        <v>39.630000000000003</v>
      </c>
      <c r="F324">
        <v>303835.69500000001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-5.7085705493152596E-2</v>
      </c>
      <c r="Q324">
        <f t="shared" si="965"/>
        <v>-17344.675003077336</v>
      </c>
      <c r="R324">
        <f t="shared" si="966"/>
        <v>-3102447.2802660186</v>
      </c>
      <c r="S324">
        <f t="shared" si="967"/>
        <v>-31.024472802660185</v>
      </c>
      <c r="T324">
        <f t="shared" si="968"/>
        <v>-3.1024472802660186E-2</v>
      </c>
    </row>
    <row r="325" spans="1:20" x14ac:dyDescent="0.25">
      <c r="A325" s="5">
        <v>44268</v>
      </c>
      <c r="B325">
        <v>32.042000000000002</v>
      </c>
      <c r="C325">
        <v>37.9</v>
      </c>
      <c r="D325">
        <v>30.507999999999999</v>
      </c>
      <c r="E325">
        <v>35.369</v>
      </c>
      <c r="F325">
        <v>125831.43700000001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0.31520562770562799</v>
      </c>
      <c r="Q325">
        <f t="shared" si="965"/>
        <v>39662.777084686182</v>
      </c>
      <c r="R325">
        <f t="shared" si="966"/>
        <v>-3085102.6052629412</v>
      </c>
      <c r="S325">
        <f t="shared" si="967"/>
        <v>-30.851026052629411</v>
      </c>
      <c r="T325">
        <f t="shared" si="968"/>
        <v>-3.0851026052629411E-2</v>
      </c>
    </row>
    <row r="326" spans="1:20" x14ac:dyDescent="0.25">
      <c r="A326" s="5">
        <v>44267</v>
      </c>
      <c r="B326">
        <v>33.151000000000003</v>
      </c>
      <c r="C326">
        <v>36.609000000000002</v>
      </c>
      <c r="D326">
        <v>31.238</v>
      </c>
      <c r="E326">
        <v>31.896000000000001</v>
      </c>
      <c r="F326">
        <v>110185.814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-0.75498045056786411</v>
      </c>
      <c r="Q326">
        <f t="shared" ref="Q326:Q389" si="970">F326*P326</f>
        <v>-83188.135499906872</v>
      </c>
      <c r="R326">
        <f t="shared" ref="R326:R389" si="971">R327+Q326</f>
        <v>-3124765.3823476275</v>
      </c>
      <c r="S326">
        <f t="shared" ref="S326:S389" si="972">R326/100000</f>
        <v>-31.247653823476277</v>
      </c>
      <c r="T326">
        <f t="shared" ref="T326:T389" si="973">S326/1000</f>
        <v>-3.1247653823476277E-2</v>
      </c>
    </row>
    <row r="327" spans="1:20" x14ac:dyDescent="0.25">
      <c r="A327" s="5">
        <v>44266</v>
      </c>
      <c r="B327">
        <v>33.576999999999998</v>
      </c>
      <c r="C327">
        <v>36.700000000000003</v>
      </c>
      <c r="D327">
        <v>30.314</v>
      </c>
      <c r="E327">
        <v>33.161000000000001</v>
      </c>
      <c r="F327">
        <v>128706.85799999999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-0.10836204196680237</v>
      </c>
      <c r="Q327">
        <f t="shared" si="970"/>
        <v>-13946.937948011273</v>
      </c>
      <c r="R327">
        <f t="shared" si="971"/>
        <v>-3041577.2468477208</v>
      </c>
      <c r="S327">
        <f t="shared" si="972"/>
        <v>-30.415772468477208</v>
      </c>
      <c r="T327">
        <f t="shared" si="973"/>
        <v>-3.0415772468477209E-2</v>
      </c>
    </row>
    <row r="328" spans="1:20" x14ac:dyDescent="0.25">
      <c r="A328" s="5">
        <v>44265</v>
      </c>
      <c r="B328">
        <v>36.738999999999997</v>
      </c>
      <c r="C328">
        <v>36.927</v>
      </c>
      <c r="D328">
        <v>31.957000000000001</v>
      </c>
      <c r="E328">
        <v>33.543999999999997</v>
      </c>
      <c r="F328">
        <v>102290.677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-0.36136820925553459</v>
      </c>
      <c r="Q328">
        <f t="shared" si="970"/>
        <v>-36964.5987710263</v>
      </c>
      <c r="R328">
        <f t="shared" si="971"/>
        <v>-3027630.3088997095</v>
      </c>
      <c r="S328">
        <f t="shared" si="972"/>
        <v>-30.276303088997096</v>
      </c>
      <c r="T328">
        <f t="shared" si="973"/>
        <v>-3.0276303088997095E-2</v>
      </c>
    </row>
    <row r="329" spans="1:20" x14ac:dyDescent="0.25">
      <c r="A329" s="5">
        <v>44264</v>
      </c>
      <c r="B329">
        <v>33.884</v>
      </c>
      <c r="C329">
        <v>40.92</v>
      </c>
      <c r="D329">
        <v>33.880000000000003</v>
      </c>
      <c r="E329">
        <v>36.598999999999997</v>
      </c>
      <c r="F329">
        <v>184235.78899999999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-0.22755681818181978</v>
      </c>
      <c r="Q329">
        <f t="shared" si="970"/>
        <v>-41924.109940057111</v>
      </c>
      <c r="R329">
        <f t="shared" si="971"/>
        <v>-2990665.7101286831</v>
      </c>
      <c r="S329">
        <f t="shared" si="972"/>
        <v>-29.906657101286832</v>
      </c>
      <c r="T329">
        <f t="shared" si="973"/>
        <v>-2.9906657101286833E-2</v>
      </c>
    </row>
    <row r="330" spans="1:20" x14ac:dyDescent="0.25">
      <c r="A330" s="5">
        <v>44263</v>
      </c>
      <c r="B330">
        <v>32.271999999999998</v>
      </c>
      <c r="C330">
        <v>34</v>
      </c>
      <c r="D330">
        <v>29.638000000000002</v>
      </c>
      <c r="E330">
        <v>33.887</v>
      </c>
      <c r="F330">
        <v>85162.252999999997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0.94818890417239821</v>
      </c>
      <c r="Q330">
        <f t="shared" si="970"/>
        <v>80749.903348922526</v>
      </c>
      <c r="R330">
        <f t="shared" si="971"/>
        <v>-2948741.600188626</v>
      </c>
      <c r="S330">
        <f t="shared" si="972"/>
        <v>-29.48741600188626</v>
      </c>
      <c r="T330">
        <f t="shared" si="973"/>
        <v>-2.9487416001886261E-2</v>
      </c>
    </row>
    <row r="331" spans="1:20" x14ac:dyDescent="0.25">
      <c r="A331" s="5">
        <v>44262</v>
      </c>
      <c r="B331">
        <v>30.681000000000001</v>
      </c>
      <c r="C331">
        <v>33.865000000000002</v>
      </c>
      <c r="D331">
        <v>29.556999999999999</v>
      </c>
      <c r="E331">
        <v>32.363</v>
      </c>
      <c r="F331">
        <v>102060.598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0.30269266480965584</v>
      </c>
      <c r="Q331">
        <f t="shared" si="970"/>
        <v>30892.994380687032</v>
      </c>
      <c r="R331">
        <f t="shared" si="971"/>
        <v>-3029491.5035375487</v>
      </c>
      <c r="S331">
        <f t="shared" si="972"/>
        <v>-30.294915035375489</v>
      </c>
      <c r="T331">
        <f t="shared" si="973"/>
        <v>-3.0294915035375489E-2</v>
      </c>
    </row>
    <row r="332" spans="1:20" x14ac:dyDescent="0.25">
      <c r="A332" s="5">
        <v>44261</v>
      </c>
      <c r="B332">
        <v>30.184000000000001</v>
      </c>
      <c r="C332">
        <v>34.950000000000003</v>
      </c>
      <c r="D332">
        <v>28.78</v>
      </c>
      <c r="E332">
        <v>30.681000000000001</v>
      </c>
      <c r="F332">
        <v>145233.986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-0.38379254457050266</v>
      </c>
      <c r="Q332">
        <f t="shared" si="970"/>
        <v>-55739.721045056758</v>
      </c>
      <c r="R332">
        <f t="shared" si="971"/>
        <v>-3060384.4979182356</v>
      </c>
      <c r="S332">
        <f t="shared" si="972"/>
        <v>-30.603844979182355</v>
      </c>
      <c r="T332">
        <f t="shared" si="973"/>
        <v>-3.0603844979182355E-2</v>
      </c>
    </row>
    <row r="333" spans="1:20" x14ac:dyDescent="0.25">
      <c r="A333" s="5">
        <v>44260</v>
      </c>
      <c r="B333">
        <v>26.61</v>
      </c>
      <c r="C333">
        <v>35.4</v>
      </c>
      <c r="D333">
        <v>23.744</v>
      </c>
      <c r="E333">
        <v>30.184999999999999</v>
      </c>
      <c r="F333">
        <v>407892.185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0.10518188057652704</v>
      </c>
      <c r="Q333">
        <f t="shared" si="970"/>
        <v>42902.867090768676</v>
      </c>
      <c r="R333">
        <f t="shared" si="971"/>
        <v>-3004644.7768731788</v>
      </c>
      <c r="S333">
        <f t="shared" si="972"/>
        <v>-30.046447768731788</v>
      </c>
      <c r="T333">
        <f t="shared" si="973"/>
        <v>-3.0046447768731787E-2</v>
      </c>
    </row>
    <row r="334" spans="1:20" x14ac:dyDescent="0.25">
      <c r="A334" s="5">
        <v>44259</v>
      </c>
      <c r="B334">
        <v>24.9</v>
      </c>
      <c r="C334">
        <v>28.3</v>
      </c>
      <c r="D334">
        <v>23.07</v>
      </c>
      <c r="E334">
        <v>26.61</v>
      </c>
      <c r="F334">
        <v>87814.58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0.35372848948374719</v>
      </c>
      <c r="Q334">
        <f t="shared" si="970"/>
        <v>31062.518738049675</v>
      </c>
      <c r="R334">
        <f t="shared" si="971"/>
        <v>-3047547.6439639474</v>
      </c>
      <c r="S334">
        <f t="shared" si="972"/>
        <v>-30.475476439639476</v>
      </c>
      <c r="T334">
        <f t="shared" si="973"/>
        <v>-3.0475476439639475E-2</v>
      </c>
    </row>
    <row r="335" spans="1:20" x14ac:dyDescent="0.25">
      <c r="A335" s="5">
        <v>44258</v>
      </c>
      <c r="B335">
        <v>23.308</v>
      </c>
      <c r="C335">
        <v>27.061</v>
      </c>
      <c r="D335">
        <v>23.07</v>
      </c>
      <c r="E335">
        <v>24.896999999999998</v>
      </c>
      <c r="F335">
        <v>79917.350000000006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-8.44399899774501E-2</v>
      </c>
      <c r="Q335">
        <f t="shared" si="970"/>
        <v>-6748.2202330243726</v>
      </c>
      <c r="R335">
        <f t="shared" si="971"/>
        <v>-3078610.162701997</v>
      </c>
      <c r="S335">
        <f t="shared" si="972"/>
        <v>-30.786101627019971</v>
      </c>
      <c r="T335">
        <f t="shared" si="973"/>
        <v>-3.078610162701997E-2</v>
      </c>
    </row>
    <row r="336" spans="1:20" x14ac:dyDescent="0.25">
      <c r="A336" s="5">
        <v>44257</v>
      </c>
      <c r="B336">
        <v>23.407</v>
      </c>
      <c r="C336">
        <v>23.736000000000001</v>
      </c>
      <c r="D336">
        <v>22.007000000000001</v>
      </c>
      <c r="E336">
        <v>23.311</v>
      </c>
      <c r="F336">
        <v>43075.542000000001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0.50838635049161263</v>
      </c>
      <c r="Q336">
        <f t="shared" si="970"/>
        <v>21899.017592828182</v>
      </c>
      <c r="R336">
        <f t="shared" si="971"/>
        <v>-3071861.9424689724</v>
      </c>
      <c r="S336">
        <f t="shared" si="972"/>
        <v>-30.718619424689724</v>
      </c>
      <c r="T336">
        <f t="shared" si="973"/>
        <v>-3.0718619424689723E-2</v>
      </c>
    </row>
    <row r="337" spans="1:20" x14ac:dyDescent="0.25">
      <c r="A337" s="5">
        <v>44256</v>
      </c>
      <c r="B337">
        <v>20.917000000000002</v>
      </c>
      <c r="C337">
        <v>23.789000000000001</v>
      </c>
      <c r="D337">
        <v>20.899000000000001</v>
      </c>
      <c r="E337">
        <v>23.305</v>
      </c>
      <c r="F337">
        <v>46385.288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0.66505190311418572</v>
      </c>
      <c r="Q337">
        <f t="shared" si="970"/>
        <v>30848.624060899601</v>
      </c>
      <c r="R337">
        <f t="shared" si="971"/>
        <v>-3093760.9600618007</v>
      </c>
      <c r="S337">
        <f t="shared" si="972"/>
        <v>-30.937609600618007</v>
      </c>
      <c r="T337">
        <f t="shared" si="973"/>
        <v>-3.0937609600618008E-2</v>
      </c>
    </row>
    <row r="338" spans="1:20" x14ac:dyDescent="0.25">
      <c r="A338" s="5">
        <v>44255</v>
      </c>
      <c r="B338">
        <v>23.216999999999999</v>
      </c>
      <c r="C338">
        <v>23.593</v>
      </c>
      <c r="D338">
        <v>19.824999999999999</v>
      </c>
      <c r="E338">
        <v>20.797000000000001</v>
      </c>
      <c r="F338">
        <v>66736.735000000001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-0.4840764331210185</v>
      </c>
      <c r="Q338">
        <f t="shared" si="970"/>
        <v>-32305.680636942634</v>
      </c>
      <c r="R338">
        <f t="shared" si="971"/>
        <v>-3124609.5841227002</v>
      </c>
      <c r="S338">
        <f t="shared" si="972"/>
        <v>-31.246095841227003</v>
      </c>
      <c r="T338">
        <f t="shared" si="973"/>
        <v>-3.1246095841227003E-2</v>
      </c>
    </row>
    <row r="339" spans="1:20" x14ac:dyDescent="0.25">
      <c r="A339" s="5">
        <v>44254</v>
      </c>
      <c r="B339">
        <v>21.664999999999999</v>
      </c>
      <c r="C339">
        <v>29</v>
      </c>
      <c r="D339">
        <v>21.664999999999999</v>
      </c>
      <c r="E339">
        <v>23.207000000000001</v>
      </c>
      <c r="F339">
        <v>156606.70499999999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-0.57955010224948833</v>
      </c>
      <c r="Q339">
        <f t="shared" si="970"/>
        <v>-90761.431895705449</v>
      </c>
      <c r="R339">
        <f t="shared" si="971"/>
        <v>-3092303.9034857573</v>
      </c>
      <c r="S339">
        <f t="shared" si="972"/>
        <v>-30.923039034857574</v>
      </c>
      <c r="T339">
        <f t="shared" si="973"/>
        <v>-3.0923039034857575E-2</v>
      </c>
    </row>
    <row r="340" spans="1:20" x14ac:dyDescent="0.25">
      <c r="A340" s="5">
        <v>44253</v>
      </c>
      <c r="B340">
        <v>22.943000000000001</v>
      </c>
      <c r="C340">
        <v>24.129000000000001</v>
      </c>
      <c r="D340">
        <v>20.61</v>
      </c>
      <c r="E340">
        <v>21.666</v>
      </c>
      <c r="F340">
        <v>67269.415999999997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-0.39982949701619758</v>
      </c>
      <c r="Q340">
        <f t="shared" si="970"/>
        <v>-26896.296763853352</v>
      </c>
      <c r="R340">
        <f t="shared" si="971"/>
        <v>-3001542.4715900519</v>
      </c>
      <c r="S340">
        <f t="shared" si="972"/>
        <v>-30.015424715900519</v>
      </c>
      <c r="T340">
        <f t="shared" si="973"/>
        <v>-3.0015424715900518E-2</v>
      </c>
    </row>
    <row r="341" spans="1:20" x14ac:dyDescent="0.25">
      <c r="A341" s="5">
        <v>44252</v>
      </c>
      <c r="B341">
        <v>24.577000000000002</v>
      </c>
      <c r="C341">
        <v>26.911000000000001</v>
      </c>
      <c r="D341">
        <v>22.715</v>
      </c>
      <c r="E341">
        <v>22.943000000000001</v>
      </c>
      <c r="F341">
        <v>78536.998999999996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-0.89132507149666285</v>
      </c>
      <c r="Q341">
        <f t="shared" si="970"/>
        <v>-70001.99624880834</v>
      </c>
      <c r="R341">
        <f t="shared" si="971"/>
        <v>-2974646.1748261987</v>
      </c>
      <c r="S341">
        <f t="shared" si="972"/>
        <v>-29.746461748261986</v>
      </c>
      <c r="T341">
        <f t="shared" si="973"/>
        <v>-2.9746461748261985E-2</v>
      </c>
    </row>
    <row r="342" spans="1:20" x14ac:dyDescent="0.25">
      <c r="A342" s="5">
        <v>44251</v>
      </c>
      <c r="B342">
        <v>24.05</v>
      </c>
      <c r="C342">
        <v>27.998000000000001</v>
      </c>
      <c r="D342">
        <v>22.631</v>
      </c>
      <c r="E342">
        <v>24.577000000000002</v>
      </c>
      <c r="F342">
        <v>87760.486999999994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-0.27482765045649293</v>
      </c>
      <c r="Q342">
        <f t="shared" si="970"/>
        <v>-24119.008445127591</v>
      </c>
      <c r="R342">
        <f t="shared" si="971"/>
        <v>-2904644.1785773905</v>
      </c>
      <c r="S342">
        <f t="shared" si="972"/>
        <v>-29.046441785773904</v>
      </c>
      <c r="T342">
        <f t="shared" si="973"/>
        <v>-2.9046441785773904E-2</v>
      </c>
    </row>
    <row r="343" spans="1:20" x14ac:dyDescent="0.25">
      <c r="A343" s="5">
        <v>44250</v>
      </c>
      <c r="B343">
        <v>29.120999999999999</v>
      </c>
      <c r="C343">
        <v>29.120999999999999</v>
      </c>
      <c r="D343">
        <v>18.780999999999999</v>
      </c>
      <c r="E343">
        <v>23.827999999999999</v>
      </c>
      <c r="F343">
        <v>148775.02900000001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-2.379110251450664E-2</v>
      </c>
      <c r="Q343">
        <f t="shared" si="970"/>
        <v>-3539.5219665376985</v>
      </c>
      <c r="R343">
        <f t="shared" si="971"/>
        <v>-2880525.1701322631</v>
      </c>
      <c r="S343">
        <f t="shared" si="972"/>
        <v>-28.805251701322632</v>
      </c>
      <c r="T343">
        <f t="shared" si="973"/>
        <v>-2.8805251701322632E-2</v>
      </c>
    </row>
    <row r="344" spans="1:20" x14ac:dyDescent="0.25">
      <c r="A344" s="5">
        <v>44249</v>
      </c>
      <c r="B344">
        <v>33.845999999999997</v>
      </c>
      <c r="C344">
        <v>34.015999999999998</v>
      </c>
      <c r="D344">
        <v>23.178000000000001</v>
      </c>
      <c r="E344">
        <v>29.123000000000001</v>
      </c>
      <c r="F344">
        <v>155654.08499999999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9.7065879313526796E-2</v>
      </c>
      <c r="Q344">
        <f t="shared" si="970"/>
        <v>15108.700629267441</v>
      </c>
      <c r="R344">
        <f t="shared" si="971"/>
        <v>-2876985.6481657252</v>
      </c>
      <c r="S344">
        <f t="shared" si="972"/>
        <v>-28.76985648165725</v>
      </c>
      <c r="T344">
        <f t="shared" si="973"/>
        <v>-2.8769856481657249E-2</v>
      </c>
    </row>
    <row r="345" spans="1:20" x14ac:dyDescent="0.25">
      <c r="A345" s="5">
        <v>44248</v>
      </c>
      <c r="B345">
        <v>31.414000000000001</v>
      </c>
      <c r="C345">
        <v>35.488999999999997</v>
      </c>
      <c r="D345">
        <v>30.800999999999998</v>
      </c>
      <c r="E345">
        <v>33.651000000000003</v>
      </c>
      <c r="F345">
        <v>92957.728000000003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0.21587030716723793</v>
      </c>
      <c r="Q345">
        <f t="shared" si="970"/>
        <v>20066.813296928554</v>
      </c>
      <c r="R345">
        <f t="shared" si="971"/>
        <v>-2892094.3487949925</v>
      </c>
      <c r="S345">
        <f t="shared" si="972"/>
        <v>-28.920943487949927</v>
      </c>
      <c r="T345">
        <f t="shared" si="973"/>
        <v>-2.8920943487949928E-2</v>
      </c>
    </row>
    <row r="346" spans="1:20" x14ac:dyDescent="0.25">
      <c r="A346" s="5">
        <v>44247</v>
      </c>
      <c r="B346">
        <v>34.890999999999998</v>
      </c>
      <c r="C346">
        <v>36.9</v>
      </c>
      <c r="D346">
        <v>30.03</v>
      </c>
      <c r="E346">
        <v>31.416</v>
      </c>
      <c r="F346">
        <v>113472.177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-0.59650655021834065</v>
      </c>
      <c r="Q346">
        <f t="shared" si="970"/>
        <v>-67686.896848034943</v>
      </c>
      <c r="R346">
        <f t="shared" si="971"/>
        <v>-2912161.1620919211</v>
      </c>
      <c r="S346">
        <f t="shared" si="972"/>
        <v>-29.121611620919211</v>
      </c>
      <c r="T346">
        <f t="shared" si="973"/>
        <v>-2.9121611620919211E-2</v>
      </c>
    </row>
    <row r="347" spans="1:20" x14ac:dyDescent="0.25">
      <c r="A347" s="5">
        <v>44246</v>
      </c>
      <c r="B347">
        <v>32.619999999999997</v>
      </c>
      <c r="C347">
        <v>37.880000000000003</v>
      </c>
      <c r="D347">
        <v>29.681000000000001</v>
      </c>
      <c r="E347">
        <v>34.890999999999998</v>
      </c>
      <c r="F347">
        <v>158586.576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0.2708866934992063</v>
      </c>
      <c r="Q347">
        <f t="shared" si="970"/>
        <v>42958.993206000589</v>
      </c>
      <c r="R347">
        <f t="shared" si="971"/>
        <v>-2844474.265243886</v>
      </c>
      <c r="S347">
        <f t="shared" si="972"/>
        <v>-28.444742652438862</v>
      </c>
      <c r="T347">
        <f t="shared" si="973"/>
        <v>-2.8444742652438862E-2</v>
      </c>
    </row>
    <row r="348" spans="1:20" x14ac:dyDescent="0.25">
      <c r="A348" s="5">
        <v>44245</v>
      </c>
      <c r="B348">
        <v>30.923999999999999</v>
      </c>
      <c r="C348">
        <v>33.338999999999999</v>
      </c>
      <c r="D348">
        <v>30.547999999999998</v>
      </c>
      <c r="E348">
        <v>32.658000000000001</v>
      </c>
      <c r="F348">
        <v>108593.561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0.51200286635614667</v>
      </c>
      <c r="Q348">
        <f t="shared" si="970"/>
        <v>55600.214499821064</v>
      </c>
      <c r="R348">
        <f t="shared" si="971"/>
        <v>-2887433.2584498865</v>
      </c>
      <c r="S348">
        <f t="shared" si="972"/>
        <v>-28.874332584498866</v>
      </c>
      <c r="T348">
        <f t="shared" si="973"/>
        <v>-2.8874332584498865E-2</v>
      </c>
    </row>
    <row r="349" spans="1:20" x14ac:dyDescent="0.25">
      <c r="A349" s="5">
        <v>44244</v>
      </c>
      <c r="B349">
        <v>28.864000000000001</v>
      </c>
      <c r="C349">
        <v>33.299999999999997</v>
      </c>
      <c r="D349">
        <v>25.800999999999998</v>
      </c>
      <c r="E349">
        <v>30.962</v>
      </c>
      <c r="F349">
        <v>134603.073</v>
      </c>
      <c r="G349">
        <v>0</v>
      </c>
      <c r="L349" t="s">
        <v>8</v>
      </c>
      <c r="M349" t="s">
        <v>7</v>
      </c>
      <c r="N349" t="s">
        <v>7</v>
      </c>
      <c r="P349">
        <f t="shared" si="969"/>
        <v>0.37645019335911512</v>
      </c>
      <c r="Q349">
        <f t="shared" si="970"/>
        <v>50671.352857581085</v>
      </c>
      <c r="R349">
        <f t="shared" si="971"/>
        <v>-2943033.4729497074</v>
      </c>
      <c r="S349">
        <f t="shared" si="972"/>
        <v>-29.430334729497073</v>
      </c>
      <c r="T349">
        <f t="shared" si="973"/>
        <v>-2.9430334729497073E-2</v>
      </c>
    </row>
    <row r="350" spans="1:20" x14ac:dyDescent="0.25">
      <c r="A350" s="5">
        <v>44243</v>
      </c>
      <c r="B350">
        <v>27.992999999999999</v>
      </c>
      <c r="C350">
        <v>32.468000000000004</v>
      </c>
      <c r="D350">
        <v>27.1</v>
      </c>
      <c r="E350">
        <v>28.751999999999999</v>
      </c>
      <c r="F350">
        <v>115238.587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-0.38450074515648403</v>
      </c>
      <c r="Q350">
        <f t="shared" si="970"/>
        <v>-44309.322572280311</v>
      </c>
      <c r="R350">
        <f t="shared" si="971"/>
        <v>-2993704.8258072883</v>
      </c>
      <c r="S350">
        <f t="shared" si="972"/>
        <v>-29.937048258072881</v>
      </c>
      <c r="T350">
        <f t="shared" si="973"/>
        <v>-2.993704825807288E-2</v>
      </c>
    </row>
    <row r="351" spans="1:20" x14ac:dyDescent="0.25">
      <c r="A351" s="5">
        <v>44242</v>
      </c>
      <c r="B351">
        <v>31.265000000000001</v>
      </c>
      <c r="C351">
        <v>32.481999999999999</v>
      </c>
      <c r="D351">
        <v>25.692</v>
      </c>
      <c r="E351">
        <v>27.893000000000001</v>
      </c>
      <c r="F351">
        <v>160566.21900000001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-0.35169366715758443</v>
      </c>
      <c r="Q351">
        <f t="shared" si="970"/>
        <v>-56470.122381737812</v>
      </c>
      <c r="R351">
        <f t="shared" si="971"/>
        <v>-2949395.5032350081</v>
      </c>
      <c r="S351">
        <f t="shared" si="972"/>
        <v>-29.49395503235008</v>
      </c>
      <c r="T351">
        <f t="shared" si="973"/>
        <v>-2.949395503235008E-2</v>
      </c>
    </row>
    <row r="352" spans="1:20" x14ac:dyDescent="0.25">
      <c r="A352" s="5">
        <v>44241</v>
      </c>
      <c r="B352">
        <v>35.661000000000001</v>
      </c>
      <c r="C352">
        <v>35.82</v>
      </c>
      <c r="D352">
        <v>29.64</v>
      </c>
      <c r="E352">
        <v>31.3</v>
      </c>
      <c r="F352">
        <v>108179.079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-0.46278317152103554</v>
      </c>
      <c r="Q352">
        <f t="shared" si="970"/>
        <v>-50063.457271844651</v>
      </c>
      <c r="R352">
        <f t="shared" si="971"/>
        <v>-2892925.3808532702</v>
      </c>
      <c r="S352">
        <f t="shared" si="972"/>
        <v>-28.929253808532703</v>
      </c>
      <c r="T352">
        <f t="shared" si="973"/>
        <v>-2.8929253808532705E-2</v>
      </c>
    </row>
    <row r="353" spans="1:20" x14ac:dyDescent="0.25">
      <c r="A353" s="5">
        <v>44240</v>
      </c>
      <c r="B353">
        <v>34.918999999999997</v>
      </c>
      <c r="C353">
        <v>38</v>
      </c>
      <c r="D353">
        <v>32.500999999999998</v>
      </c>
      <c r="E353">
        <v>35.500999999999998</v>
      </c>
      <c r="F353">
        <v>114221.092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9.1107474086197029E-2</v>
      </c>
      <c r="Q353">
        <f t="shared" si="970"/>
        <v>10406.395179487126</v>
      </c>
      <c r="R353">
        <f t="shared" si="971"/>
        <v>-2842861.9235814256</v>
      </c>
      <c r="S353">
        <f t="shared" si="972"/>
        <v>-28.428619235814256</v>
      </c>
      <c r="T353">
        <f t="shared" si="973"/>
        <v>-2.8428619235814256E-2</v>
      </c>
    </row>
    <row r="354" spans="1:20" x14ac:dyDescent="0.25">
      <c r="A354" s="5">
        <v>44239</v>
      </c>
      <c r="B354">
        <v>34.359000000000002</v>
      </c>
      <c r="C354">
        <v>37.630000000000003</v>
      </c>
      <c r="D354">
        <v>32.207999999999998</v>
      </c>
      <c r="E354">
        <v>34.99</v>
      </c>
      <c r="F354">
        <v>99858.09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2.6189597934342106E-2</v>
      </c>
      <c r="Q354">
        <f t="shared" si="970"/>
        <v>2615.2432275913479</v>
      </c>
      <c r="R354">
        <f t="shared" si="971"/>
        <v>-2853268.3187609129</v>
      </c>
      <c r="S354">
        <f t="shared" si="972"/>
        <v>-28.532683187609127</v>
      </c>
      <c r="T354">
        <f t="shared" si="973"/>
        <v>-2.8532683187609126E-2</v>
      </c>
    </row>
    <row r="355" spans="1:20" x14ac:dyDescent="0.25">
      <c r="A355" s="5">
        <v>44238</v>
      </c>
      <c r="B355">
        <v>32.295000000000002</v>
      </c>
      <c r="C355">
        <v>37.999000000000002</v>
      </c>
      <c r="D355">
        <v>30.701000000000001</v>
      </c>
      <c r="E355">
        <v>34.359000000000002</v>
      </c>
      <c r="F355">
        <v>140534.62299999999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2.4664291586737022E-3</v>
      </c>
      <c r="Q355">
        <f t="shared" si="970"/>
        <v>346.61869197041591</v>
      </c>
      <c r="R355">
        <f t="shared" si="971"/>
        <v>-2855883.5619885041</v>
      </c>
      <c r="S355">
        <f t="shared" si="972"/>
        <v>-28.558835619885041</v>
      </c>
      <c r="T355">
        <f t="shared" si="973"/>
        <v>-2.855883561988504E-2</v>
      </c>
    </row>
    <row r="356" spans="1:20" x14ac:dyDescent="0.25">
      <c r="A356" s="5">
        <v>44237</v>
      </c>
      <c r="B356">
        <v>32.134999999999998</v>
      </c>
      <c r="C356">
        <v>34.4</v>
      </c>
      <c r="D356">
        <v>26.872</v>
      </c>
      <c r="E356">
        <v>32.284999999999997</v>
      </c>
      <c r="F356">
        <v>198660.54699999999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0.43809776833156155</v>
      </c>
      <c r="Q356">
        <f t="shared" si="970"/>
        <v>87032.742296227298</v>
      </c>
      <c r="R356">
        <f t="shared" si="971"/>
        <v>-2856230.1806804747</v>
      </c>
      <c r="S356">
        <f t="shared" si="972"/>
        <v>-28.562301806804747</v>
      </c>
      <c r="T356">
        <f t="shared" si="973"/>
        <v>-2.8562301806804746E-2</v>
      </c>
    </row>
    <row r="357" spans="1:20" x14ac:dyDescent="0.25">
      <c r="A357" s="5">
        <v>44236</v>
      </c>
      <c r="B357">
        <v>24.777999999999999</v>
      </c>
      <c r="C357">
        <v>35.6</v>
      </c>
      <c r="D357">
        <v>23.922999999999998</v>
      </c>
      <c r="E357">
        <v>32.031999999999996</v>
      </c>
      <c r="F357">
        <v>296518.8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0.38888413119808102</v>
      </c>
      <c r="Q357">
        <f t="shared" si="970"/>
        <v>115311.45592189755</v>
      </c>
      <c r="R357">
        <f t="shared" si="971"/>
        <v>-2943262.922976702</v>
      </c>
      <c r="S357">
        <f t="shared" si="972"/>
        <v>-29.43262922976702</v>
      </c>
      <c r="T357">
        <f t="shared" si="973"/>
        <v>-2.943262922976702E-2</v>
      </c>
    </row>
    <row r="358" spans="1:20" x14ac:dyDescent="0.25">
      <c r="A358" s="5">
        <v>44235</v>
      </c>
      <c r="B358">
        <v>21.963999999999999</v>
      </c>
      <c r="C358">
        <v>26.31</v>
      </c>
      <c r="D358">
        <v>21.640999999999998</v>
      </c>
      <c r="E358">
        <v>24.779</v>
      </c>
      <c r="F358">
        <v>154250.83199999999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0.34418505033197744</v>
      </c>
      <c r="Q358">
        <f t="shared" si="970"/>
        <v>53090.830375669393</v>
      </c>
      <c r="R358">
        <f t="shared" si="971"/>
        <v>-3058574.3788985997</v>
      </c>
      <c r="S358">
        <f t="shared" si="972"/>
        <v>-30.585743788985997</v>
      </c>
      <c r="T358">
        <f t="shared" si="973"/>
        <v>-3.0585743788985997E-2</v>
      </c>
    </row>
    <row r="359" spans="1:20" x14ac:dyDescent="0.25">
      <c r="A359" s="5">
        <v>44234</v>
      </c>
      <c r="B359">
        <v>22.068999999999999</v>
      </c>
      <c r="C359">
        <v>23.5</v>
      </c>
      <c r="D359">
        <v>21</v>
      </c>
      <c r="E359">
        <v>21.972999999999999</v>
      </c>
      <c r="F359">
        <v>91798.104000000007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-0.22160000000000082</v>
      </c>
      <c r="Q359">
        <f t="shared" si="970"/>
        <v>-20342.459846400077</v>
      </c>
      <c r="R359">
        <f t="shared" si="971"/>
        <v>-3111665.2092742692</v>
      </c>
      <c r="S359">
        <f t="shared" si="972"/>
        <v>-31.11665209274269</v>
      </c>
      <c r="T359">
        <f t="shared" si="973"/>
        <v>-3.111665209274269E-2</v>
      </c>
    </row>
    <row r="360" spans="1:20" x14ac:dyDescent="0.25">
      <c r="A360" s="5">
        <v>44233</v>
      </c>
      <c r="B360">
        <v>24.962</v>
      </c>
      <c r="C360">
        <v>25.6</v>
      </c>
      <c r="D360">
        <v>21.283000000000001</v>
      </c>
      <c r="E360">
        <v>22.207999999999998</v>
      </c>
      <c r="F360">
        <v>146112.05100000001</v>
      </c>
      <c r="G360">
        <v>0</v>
      </c>
      <c r="L360" t="s">
        <v>8</v>
      </c>
      <c r="M360" t="s">
        <v>7</v>
      </c>
      <c r="N360" t="s">
        <v>8</v>
      </c>
      <c r="P360">
        <f t="shared" si="969"/>
        <v>-0.57146166319203284</v>
      </c>
      <c r="Q360">
        <f t="shared" si="970"/>
        <v>-83497.435676859124</v>
      </c>
      <c r="R360">
        <f t="shared" si="971"/>
        <v>-3091322.749427869</v>
      </c>
      <c r="S360">
        <f t="shared" si="972"/>
        <v>-30.91322749427869</v>
      </c>
      <c r="T360">
        <f t="shared" si="973"/>
        <v>-3.0913227494278689E-2</v>
      </c>
    </row>
    <row r="361" spans="1:20" x14ac:dyDescent="0.25">
      <c r="A361" s="5">
        <v>44232</v>
      </c>
      <c r="B361">
        <v>23.030999999999999</v>
      </c>
      <c r="C361">
        <v>25.1</v>
      </c>
      <c r="D361">
        <v>22.920999999999999</v>
      </c>
      <c r="E361">
        <v>25.04</v>
      </c>
      <c r="F361">
        <v>146187.628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0.94492886645249907</v>
      </c>
      <c r="Q361">
        <f t="shared" si="970"/>
        <v>138136.9096154196</v>
      </c>
      <c r="R361">
        <f t="shared" si="971"/>
        <v>-3007825.3137510098</v>
      </c>
      <c r="S361">
        <f t="shared" si="972"/>
        <v>-30.078253137510096</v>
      </c>
      <c r="T361">
        <f t="shared" si="973"/>
        <v>-3.0078253137510096E-2</v>
      </c>
    </row>
    <row r="362" spans="1:20" x14ac:dyDescent="0.25">
      <c r="A362" s="5">
        <v>44231</v>
      </c>
      <c r="B362">
        <v>20.399999999999999</v>
      </c>
      <c r="C362">
        <v>23.504999999999999</v>
      </c>
      <c r="D362">
        <v>20.001000000000001</v>
      </c>
      <c r="E362">
        <v>23.030999999999999</v>
      </c>
      <c r="F362">
        <v>172194.44099999999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0.72945205479452024</v>
      </c>
      <c r="Q362">
        <f t="shared" si="970"/>
        <v>125607.58881164377</v>
      </c>
      <c r="R362">
        <f t="shared" si="971"/>
        <v>-3145962.2233664296</v>
      </c>
      <c r="S362">
        <f t="shared" si="972"/>
        <v>-31.459622233664295</v>
      </c>
      <c r="T362">
        <f t="shared" si="973"/>
        <v>-3.1459622233664296E-2</v>
      </c>
    </row>
    <row r="363" spans="1:20" x14ac:dyDescent="0.25">
      <c r="A363" s="5">
        <v>44230</v>
      </c>
      <c r="B363">
        <v>20.992999999999999</v>
      </c>
      <c r="C363">
        <v>21.66</v>
      </c>
      <c r="D363">
        <v>19.600000000000001</v>
      </c>
      <c r="E363">
        <v>20.428999999999998</v>
      </c>
      <c r="F363">
        <v>170813.29399999999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-0.19514563106796351</v>
      </c>
      <c r="Q363">
        <f t="shared" si="970"/>
        <v>-33333.468052427583</v>
      </c>
      <c r="R363">
        <f t="shared" si="971"/>
        <v>-3271569.8121780735</v>
      </c>
      <c r="S363">
        <f t="shared" si="972"/>
        <v>-32.715698121780733</v>
      </c>
      <c r="T363">
        <f t="shared" si="973"/>
        <v>-3.2715698121780733E-2</v>
      </c>
    </row>
    <row r="364" spans="1:20" x14ac:dyDescent="0.25">
      <c r="A364" s="5">
        <v>44229</v>
      </c>
      <c r="B364">
        <v>19.091000000000001</v>
      </c>
      <c r="C364">
        <v>23.649000000000001</v>
      </c>
      <c r="D364">
        <v>18.329999999999998</v>
      </c>
      <c r="E364">
        <v>20.933</v>
      </c>
      <c r="F364">
        <v>381843.12599999999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-2.1244594848655665E-2</v>
      </c>
      <c r="Q364">
        <f t="shared" si="970"/>
        <v>-8112.1025076141759</v>
      </c>
      <c r="R364">
        <f t="shared" si="971"/>
        <v>-3238236.3441256457</v>
      </c>
      <c r="S364">
        <f t="shared" si="972"/>
        <v>-32.382363441256459</v>
      </c>
      <c r="T364">
        <f t="shared" si="973"/>
        <v>-3.2382363441256459E-2</v>
      </c>
    </row>
    <row r="365" spans="1:20" x14ac:dyDescent="0.25">
      <c r="A365" s="5">
        <v>44228</v>
      </c>
      <c r="B365">
        <v>16.247</v>
      </c>
      <c r="C365">
        <v>19.91</v>
      </c>
      <c r="D365">
        <v>15.551</v>
      </c>
      <c r="E365">
        <v>19.186</v>
      </c>
      <c r="F365">
        <v>315224.50900000002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0.6678137187428308</v>
      </c>
      <c r="Q365">
        <f t="shared" si="970"/>
        <v>210511.25159417294</v>
      </c>
      <c r="R365">
        <f t="shared" si="971"/>
        <v>-3230124.2416180316</v>
      </c>
      <c r="S365">
        <f t="shared" si="972"/>
        <v>-32.301242416180315</v>
      </c>
      <c r="T365">
        <f t="shared" si="973"/>
        <v>-3.2301242416180313E-2</v>
      </c>
    </row>
    <row r="366" spans="1:20" x14ac:dyDescent="0.25">
      <c r="A366" s="5">
        <v>44227</v>
      </c>
      <c r="B366">
        <v>15.048999999999999</v>
      </c>
      <c r="C366">
        <v>17.359000000000002</v>
      </c>
      <c r="D366">
        <v>14.647</v>
      </c>
      <c r="E366">
        <v>16.248000000000001</v>
      </c>
      <c r="F366">
        <v>190187.91099999999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0.18067846607669613</v>
      </c>
      <c r="Q366">
        <f t="shared" si="970"/>
        <v>34362.860025811198</v>
      </c>
      <c r="R366">
        <f t="shared" si="971"/>
        <v>-3440635.4932122044</v>
      </c>
      <c r="S366">
        <f t="shared" si="972"/>
        <v>-34.406354932122042</v>
      </c>
      <c r="T366">
        <f t="shared" si="973"/>
        <v>-3.4406354932122039E-2</v>
      </c>
    </row>
    <row r="367" spans="1:20" x14ac:dyDescent="0.25">
      <c r="A367" s="5">
        <v>44226</v>
      </c>
      <c r="B367">
        <v>15.43</v>
      </c>
      <c r="C367">
        <v>16</v>
      </c>
      <c r="D367">
        <v>14.45</v>
      </c>
      <c r="E367">
        <v>15.048</v>
      </c>
      <c r="F367">
        <v>100533.27899999999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-0.22838709677419294</v>
      </c>
      <c r="Q367">
        <f t="shared" si="970"/>
        <v>-22960.503719999939</v>
      </c>
      <c r="R367">
        <f t="shared" si="971"/>
        <v>-3474998.3532380154</v>
      </c>
      <c r="S367">
        <f t="shared" si="972"/>
        <v>-34.749983532380156</v>
      </c>
      <c r="T367">
        <f t="shared" si="973"/>
        <v>-3.4749983532380159E-2</v>
      </c>
    </row>
    <row r="368" spans="1:20" x14ac:dyDescent="0.25">
      <c r="A368" s="5">
        <v>44225</v>
      </c>
      <c r="B368">
        <v>14.582000000000001</v>
      </c>
      <c r="C368">
        <v>15.599</v>
      </c>
      <c r="D368">
        <v>14.15</v>
      </c>
      <c r="E368">
        <v>15.43</v>
      </c>
      <c r="F368">
        <v>104114.345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0.76673567977915735</v>
      </c>
      <c r="Q368">
        <f t="shared" si="970"/>
        <v>79828.183088336707</v>
      </c>
      <c r="R368">
        <f t="shared" si="971"/>
        <v>-3452037.8495180155</v>
      </c>
      <c r="S368">
        <f t="shared" si="972"/>
        <v>-34.520378495180154</v>
      </c>
      <c r="T368">
        <f t="shared" si="973"/>
        <v>-3.4520378495180151E-2</v>
      </c>
    </row>
    <row r="369" spans="1:20" x14ac:dyDescent="0.25">
      <c r="A369" s="5">
        <v>44224</v>
      </c>
      <c r="B369">
        <v>14.196</v>
      </c>
      <c r="C369">
        <v>15.6</v>
      </c>
      <c r="D369">
        <v>13.888999999999999</v>
      </c>
      <c r="E369">
        <v>14.61</v>
      </c>
      <c r="F369">
        <v>109792.537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-0.15721800116890711</v>
      </c>
      <c r="Q369">
        <f t="shared" si="970"/>
        <v>-17261.363210403277</v>
      </c>
      <c r="R369">
        <f t="shared" si="971"/>
        <v>-3531866.0326063521</v>
      </c>
      <c r="S369">
        <f t="shared" si="972"/>
        <v>-35.318660326063522</v>
      </c>
      <c r="T369">
        <f t="shared" si="973"/>
        <v>-3.5318660326063525E-2</v>
      </c>
    </row>
    <row r="370" spans="1:20" x14ac:dyDescent="0.25">
      <c r="A370" s="5">
        <v>44223</v>
      </c>
      <c r="B370">
        <v>16.632999999999999</v>
      </c>
      <c r="C370">
        <v>16.722000000000001</v>
      </c>
      <c r="D370">
        <v>13.503</v>
      </c>
      <c r="E370">
        <v>14.186</v>
      </c>
      <c r="F370">
        <v>126051.92200000001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-0.57564461012736901</v>
      </c>
      <c r="Q370">
        <f t="shared" si="970"/>
        <v>-72561.109495495533</v>
      </c>
      <c r="R370">
        <f t="shared" si="971"/>
        <v>-3514604.6693959488</v>
      </c>
      <c r="S370">
        <f t="shared" si="972"/>
        <v>-35.146046693959491</v>
      </c>
      <c r="T370">
        <f t="shared" si="973"/>
        <v>-3.5146046693959494E-2</v>
      </c>
    </row>
    <row r="371" spans="1:20" x14ac:dyDescent="0.25">
      <c r="A371" s="5">
        <v>44222</v>
      </c>
      <c r="B371">
        <v>16.405999999999999</v>
      </c>
      <c r="C371">
        <v>17.5</v>
      </c>
      <c r="D371">
        <v>15.1</v>
      </c>
      <c r="E371">
        <v>16.632000000000001</v>
      </c>
      <c r="F371">
        <v>143067.99900000001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0.276666666666668</v>
      </c>
      <c r="Q371">
        <f t="shared" si="970"/>
        <v>39582.146390000191</v>
      </c>
      <c r="R371">
        <f t="shared" si="971"/>
        <v>-3442043.5599004533</v>
      </c>
      <c r="S371">
        <f t="shared" si="972"/>
        <v>-34.420435599004534</v>
      </c>
      <c r="T371">
        <f t="shared" si="973"/>
        <v>-3.4420435599004533E-2</v>
      </c>
    </row>
    <row r="372" spans="1:20" x14ac:dyDescent="0.25">
      <c r="A372" s="5">
        <v>44221</v>
      </c>
      <c r="B372">
        <v>15.802</v>
      </c>
      <c r="C372">
        <v>17.5</v>
      </c>
      <c r="D372">
        <v>15.196</v>
      </c>
      <c r="E372">
        <v>16.314</v>
      </c>
      <c r="F372">
        <v>184358.766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-2.9513888888888718E-2</v>
      </c>
      <c r="Q372">
        <f t="shared" si="970"/>
        <v>-5441.1441354166354</v>
      </c>
      <c r="R372">
        <f t="shared" si="971"/>
        <v>-3481625.7062904537</v>
      </c>
      <c r="S372">
        <f t="shared" si="972"/>
        <v>-34.816257062904533</v>
      </c>
      <c r="T372">
        <f t="shared" si="973"/>
        <v>-3.4816257062904532E-2</v>
      </c>
    </row>
    <row r="373" spans="1:20" x14ac:dyDescent="0.25">
      <c r="A373" s="5">
        <v>44220</v>
      </c>
      <c r="B373">
        <v>15.002000000000001</v>
      </c>
      <c r="C373">
        <v>16.555</v>
      </c>
      <c r="D373">
        <v>14.882999999999999</v>
      </c>
      <c r="E373">
        <v>15.802</v>
      </c>
      <c r="F373">
        <v>112363.035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9.9282296650717888E-2</v>
      </c>
      <c r="Q373">
        <f t="shared" si="970"/>
        <v>11155.660173444998</v>
      </c>
      <c r="R373">
        <f t="shared" si="971"/>
        <v>-3476184.5621550372</v>
      </c>
      <c r="S373">
        <f t="shared" si="972"/>
        <v>-34.761845621550371</v>
      </c>
      <c r="T373">
        <f t="shared" si="973"/>
        <v>-3.4761845621550373E-2</v>
      </c>
    </row>
    <row r="374" spans="1:20" x14ac:dyDescent="0.25">
      <c r="A374" s="5">
        <v>44219</v>
      </c>
      <c r="B374">
        <v>14.391999999999999</v>
      </c>
      <c r="C374">
        <v>15.89</v>
      </c>
      <c r="D374">
        <v>14.016999999999999</v>
      </c>
      <c r="E374">
        <v>15.007999999999999</v>
      </c>
      <c r="F374">
        <v>95761.612999999998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5.8195408435663717E-2</v>
      </c>
      <c r="Q374">
        <f t="shared" si="970"/>
        <v>5572.886180992964</v>
      </c>
      <c r="R374">
        <f t="shared" si="971"/>
        <v>-3487340.2223284822</v>
      </c>
      <c r="S374">
        <f t="shared" si="972"/>
        <v>-34.87340222328482</v>
      </c>
      <c r="T374">
        <f t="shared" si="973"/>
        <v>-3.4873402223284819E-2</v>
      </c>
    </row>
    <row r="375" spans="1:20" x14ac:dyDescent="0.25">
      <c r="A375" s="5">
        <v>44218</v>
      </c>
      <c r="B375">
        <v>14.465</v>
      </c>
      <c r="C375">
        <v>15.15</v>
      </c>
      <c r="D375">
        <v>13.005000000000001</v>
      </c>
      <c r="E375">
        <v>14.393000000000001</v>
      </c>
      <c r="F375">
        <v>96680.084000000003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0.29417249417249436</v>
      </c>
      <c r="Q375">
        <f t="shared" si="970"/>
        <v>28440.621447086265</v>
      </c>
      <c r="R375">
        <f t="shared" si="971"/>
        <v>-3492913.1085094754</v>
      </c>
      <c r="S375">
        <f t="shared" si="972"/>
        <v>-34.929131085094753</v>
      </c>
      <c r="T375">
        <f t="shared" si="973"/>
        <v>-3.4929131085094753E-2</v>
      </c>
    </row>
    <row r="376" spans="1:20" x14ac:dyDescent="0.25">
      <c r="A376" s="5">
        <v>44217</v>
      </c>
      <c r="B376">
        <v>15.026999999999999</v>
      </c>
      <c r="C376">
        <v>16.8</v>
      </c>
      <c r="D376">
        <v>14.151999999999999</v>
      </c>
      <c r="E376">
        <v>14.465</v>
      </c>
      <c r="F376">
        <v>159248.633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-0.76359516616314171</v>
      </c>
      <c r="Q376">
        <f t="shared" si="970"/>
        <v>-121601.48637688818</v>
      </c>
      <c r="R376">
        <f t="shared" si="971"/>
        <v>-3521353.7299565617</v>
      </c>
      <c r="S376">
        <f t="shared" si="972"/>
        <v>-35.213537299565616</v>
      </c>
      <c r="T376">
        <f t="shared" si="973"/>
        <v>-3.5213537299565618E-2</v>
      </c>
    </row>
    <row r="377" spans="1:20" x14ac:dyDescent="0.25">
      <c r="A377" s="5">
        <v>44216</v>
      </c>
      <c r="B377">
        <v>15.801</v>
      </c>
      <c r="C377">
        <v>15.801</v>
      </c>
      <c r="D377">
        <v>13.765000000000001</v>
      </c>
      <c r="E377">
        <v>15.038</v>
      </c>
      <c r="F377">
        <v>96307.657000000007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0.25049115913555986</v>
      </c>
      <c r="Q377">
        <f t="shared" si="970"/>
        <v>24124.216635559918</v>
      </c>
      <c r="R377">
        <f t="shared" si="971"/>
        <v>-3399752.2435796736</v>
      </c>
      <c r="S377">
        <f t="shared" si="972"/>
        <v>-33.997522435796739</v>
      </c>
      <c r="T377">
        <f t="shared" si="973"/>
        <v>-3.3997522435796741E-2</v>
      </c>
    </row>
    <row r="378" spans="1:20" x14ac:dyDescent="0.25">
      <c r="A378" s="5">
        <v>44215</v>
      </c>
      <c r="B378">
        <v>15.875999999999999</v>
      </c>
      <c r="C378">
        <v>17.193999999999999</v>
      </c>
      <c r="D378">
        <v>15.07</v>
      </c>
      <c r="E378">
        <v>15.801</v>
      </c>
      <c r="F378">
        <v>176790.658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-0.31167608286252324</v>
      </c>
      <c r="Q378">
        <f t="shared" si="970"/>
        <v>-55101.419772128007</v>
      </c>
      <c r="R378">
        <f t="shared" si="971"/>
        <v>-3423876.4602152337</v>
      </c>
      <c r="S378">
        <f t="shared" si="972"/>
        <v>-34.238764602152337</v>
      </c>
      <c r="T378">
        <f t="shared" si="973"/>
        <v>-3.423876460215234E-2</v>
      </c>
    </row>
    <row r="379" spans="1:20" x14ac:dyDescent="0.25">
      <c r="A379" s="5">
        <v>44214</v>
      </c>
      <c r="B379">
        <v>14.856999999999999</v>
      </c>
      <c r="C379">
        <v>18</v>
      </c>
      <c r="D379">
        <v>14.75</v>
      </c>
      <c r="E379">
        <v>15.776999999999999</v>
      </c>
      <c r="F379">
        <v>259226.22200000001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-0.36800000000000044</v>
      </c>
      <c r="Q379">
        <f t="shared" si="970"/>
        <v>-95395.249696000115</v>
      </c>
      <c r="R379">
        <f t="shared" si="971"/>
        <v>-3368775.0404431056</v>
      </c>
      <c r="S379">
        <f t="shared" si="972"/>
        <v>-33.687750404431057</v>
      </c>
      <c r="T379">
        <f t="shared" si="973"/>
        <v>-3.3687750404431054E-2</v>
      </c>
    </row>
    <row r="380" spans="1:20" x14ac:dyDescent="0.25">
      <c r="A380" s="5">
        <v>44213</v>
      </c>
      <c r="B380">
        <v>14.303000000000001</v>
      </c>
      <c r="C380">
        <v>15.492000000000001</v>
      </c>
      <c r="D380">
        <v>12.923999999999999</v>
      </c>
      <c r="E380">
        <v>14.795</v>
      </c>
      <c r="F380">
        <v>163757.505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0.45716510903426749</v>
      </c>
      <c r="Q380">
        <f t="shared" si="970"/>
        <v>74864.217628504601</v>
      </c>
      <c r="R380">
        <f t="shared" si="971"/>
        <v>-3273379.7907471056</v>
      </c>
      <c r="S380">
        <f t="shared" si="972"/>
        <v>-32.733797907471057</v>
      </c>
      <c r="T380">
        <f t="shared" si="973"/>
        <v>-3.2733797907471059E-2</v>
      </c>
    </row>
    <row r="381" spans="1:20" x14ac:dyDescent="0.25">
      <c r="A381" s="5">
        <v>44212</v>
      </c>
      <c r="B381">
        <v>13.372999999999999</v>
      </c>
      <c r="C381">
        <v>14.795</v>
      </c>
      <c r="D381">
        <v>13.077999999999999</v>
      </c>
      <c r="E381">
        <v>14.301</v>
      </c>
      <c r="F381">
        <v>146756.935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0.42457775189283681</v>
      </c>
      <c r="Q381">
        <f t="shared" si="970"/>
        <v>62309.729536983177</v>
      </c>
      <c r="R381">
        <f t="shared" si="971"/>
        <v>-3348244.0083756102</v>
      </c>
      <c r="S381">
        <f t="shared" si="972"/>
        <v>-33.482440083756103</v>
      </c>
      <c r="T381">
        <f t="shared" si="973"/>
        <v>-3.3482440083756101E-2</v>
      </c>
    </row>
    <row r="382" spans="1:20" x14ac:dyDescent="0.25">
      <c r="A382" s="5">
        <v>44211</v>
      </c>
      <c r="B382">
        <v>12.94</v>
      </c>
      <c r="C382">
        <v>14.295999999999999</v>
      </c>
      <c r="D382">
        <v>12.319000000000001</v>
      </c>
      <c r="E382">
        <v>13.493</v>
      </c>
      <c r="F382">
        <v>103024.072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0.1876580677794642</v>
      </c>
      <c r="Q382">
        <f t="shared" si="970"/>
        <v>19333.2982862924</v>
      </c>
      <c r="R382">
        <f t="shared" si="971"/>
        <v>-3410553.7379125934</v>
      </c>
      <c r="S382">
        <f t="shared" si="972"/>
        <v>-34.105537379125934</v>
      </c>
      <c r="T382">
        <f t="shared" si="973"/>
        <v>-3.4105537379125937E-2</v>
      </c>
    </row>
    <row r="383" spans="1:20" x14ac:dyDescent="0.25">
      <c r="A383" s="5">
        <v>44210</v>
      </c>
      <c r="B383">
        <v>12.916</v>
      </c>
      <c r="C383">
        <v>13.298999999999999</v>
      </c>
      <c r="D383">
        <v>12.5</v>
      </c>
      <c r="E383">
        <v>12.936999999999999</v>
      </c>
      <c r="F383">
        <v>48216.576999999997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9.3867334167708802E-2</v>
      </c>
      <c r="Q383">
        <f t="shared" si="970"/>
        <v>4525.961545682062</v>
      </c>
      <c r="R383">
        <f t="shared" si="971"/>
        <v>-3429887.0361988856</v>
      </c>
      <c r="S383">
        <f t="shared" si="972"/>
        <v>-34.298870361988854</v>
      </c>
      <c r="T383">
        <f t="shared" si="973"/>
        <v>-3.4298870361988851E-2</v>
      </c>
    </row>
    <row r="384" spans="1:20" x14ac:dyDescent="0.25">
      <c r="A384" s="5">
        <v>44209</v>
      </c>
      <c r="B384">
        <v>12.137</v>
      </c>
      <c r="C384">
        <v>13.488</v>
      </c>
      <c r="D384">
        <v>11.619</v>
      </c>
      <c r="E384">
        <v>12.833</v>
      </c>
      <c r="F384">
        <v>58634.061000000002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0.29909042268592889</v>
      </c>
      <c r="Q384">
        <f t="shared" si="970"/>
        <v>17536.886088282539</v>
      </c>
      <c r="R384">
        <f t="shared" si="971"/>
        <v>-3434412.9977445677</v>
      </c>
      <c r="S384">
        <f t="shared" si="972"/>
        <v>-34.344129977445675</v>
      </c>
      <c r="T384">
        <f t="shared" si="973"/>
        <v>-3.4344129977445674E-2</v>
      </c>
    </row>
    <row r="385" spans="1:20" x14ac:dyDescent="0.25">
      <c r="A385" s="5">
        <v>44208</v>
      </c>
      <c r="B385">
        <v>12.326000000000001</v>
      </c>
      <c r="C385">
        <v>13.78</v>
      </c>
      <c r="D385">
        <v>11.69</v>
      </c>
      <c r="E385">
        <v>12.002000000000001</v>
      </c>
      <c r="F385">
        <v>81545.361999999994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-0.70143540669856341</v>
      </c>
      <c r="Q385">
        <f t="shared" si="970"/>
        <v>-57198.804158851577</v>
      </c>
      <c r="R385">
        <f t="shared" si="971"/>
        <v>-3451949.88383285</v>
      </c>
      <c r="S385">
        <f t="shared" si="972"/>
        <v>-34.519498838328502</v>
      </c>
      <c r="T385">
        <f t="shared" si="973"/>
        <v>-3.45194988383285E-2</v>
      </c>
    </row>
    <row r="386" spans="1:20" x14ac:dyDescent="0.25">
      <c r="A386" s="5">
        <v>44207</v>
      </c>
      <c r="B386">
        <v>13.837999999999999</v>
      </c>
      <c r="C386">
        <v>13.839</v>
      </c>
      <c r="D386">
        <v>11.381</v>
      </c>
      <c r="E386">
        <v>12.326000000000001</v>
      </c>
      <c r="F386">
        <v>103744.351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-0.23108218063466215</v>
      </c>
      <c r="Q386">
        <f t="shared" si="970"/>
        <v>-23973.470857607794</v>
      </c>
      <c r="R386">
        <f t="shared" si="971"/>
        <v>-3394751.0796739985</v>
      </c>
      <c r="S386">
        <f t="shared" si="972"/>
        <v>-33.947510796739984</v>
      </c>
      <c r="T386">
        <f t="shared" si="973"/>
        <v>-3.3947510796739987E-2</v>
      </c>
    </row>
    <row r="387" spans="1:20" x14ac:dyDescent="0.25">
      <c r="A387" s="5">
        <v>44206</v>
      </c>
      <c r="B387">
        <v>14.7</v>
      </c>
      <c r="C387">
        <v>16</v>
      </c>
      <c r="D387">
        <v>12.77</v>
      </c>
      <c r="E387">
        <v>13.839</v>
      </c>
      <c r="F387">
        <v>140329.80900000001</v>
      </c>
      <c r="G387">
        <v>0</v>
      </c>
      <c r="L387" t="s">
        <v>8</v>
      </c>
      <c r="M387" t="s">
        <v>7</v>
      </c>
      <c r="N387" t="s">
        <v>7</v>
      </c>
      <c r="P387">
        <f t="shared" si="969"/>
        <v>-0.33808049535603674</v>
      </c>
      <c r="Q387">
        <f t="shared" si="970"/>
        <v>-47442.771339938023</v>
      </c>
      <c r="R387">
        <f t="shared" si="971"/>
        <v>-3370777.6088163909</v>
      </c>
      <c r="S387">
        <f t="shared" si="972"/>
        <v>-33.707776088163911</v>
      </c>
      <c r="T387">
        <f t="shared" si="973"/>
        <v>-3.3707776088163909E-2</v>
      </c>
    </row>
    <row r="388" spans="1:20" x14ac:dyDescent="0.25">
      <c r="A388" s="5">
        <v>44205</v>
      </c>
      <c r="B388">
        <v>14.401999999999999</v>
      </c>
      <c r="C388">
        <v>15.432</v>
      </c>
      <c r="D388">
        <v>13.894</v>
      </c>
      <c r="E388">
        <v>14.621</v>
      </c>
      <c r="F388">
        <v>98383.914999999994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-5.4616384915474395E-2</v>
      </c>
      <c r="Q388">
        <f t="shared" si="970"/>
        <v>-5373.3737711313142</v>
      </c>
      <c r="R388">
        <f t="shared" si="971"/>
        <v>-3323334.8374764528</v>
      </c>
      <c r="S388">
        <f t="shared" si="972"/>
        <v>-33.233348374764525</v>
      </c>
      <c r="T388">
        <f t="shared" si="973"/>
        <v>-3.3233348374764528E-2</v>
      </c>
    </row>
    <row r="389" spans="1:20" x14ac:dyDescent="0.25">
      <c r="A389" s="5">
        <v>44204</v>
      </c>
      <c r="B389">
        <v>14.427</v>
      </c>
      <c r="C389">
        <v>15.115</v>
      </c>
      <c r="D389">
        <v>12.9</v>
      </c>
      <c r="E389">
        <v>14.367000000000001</v>
      </c>
      <c r="F389">
        <v>125639.5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0.32460496613995543</v>
      </c>
      <c r="Q389">
        <f t="shared" si="970"/>
        <v>40783.205643340931</v>
      </c>
      <c r="R389">
        <f t="shared" si="971"/>
        <v>-3317961.4637053213</v>
      </c>
      <c r="S389">
        <f t="shared" si="972"/>
        <v>-33.179614637053213</v>
      </c>
      <c r="T389">
        <f t="shared" si="973"/>
        <v>-3.3179614637053212E-2</v>
      </c>
    </row>
    <row r="390" spans="1:20" x14ac:dyDescent="0.25">
      <c r="A390" s="5">
        <v>44203</v>
      </c>
      <c r="B390">
        <v>13.551</v>
      </c>
      <c r="C390">
        <v>15.951000000000001</v>
      </c>
      <c r="D390">
        <v>13.500999999999999</v>
      </c>
      <c r="E390">
        <v>14.5</v>
      </c>
      <c r="F390">
        <v>164211.304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-0.18448979591836726</v>
      </c>
      <c r="Q390">
        <f t="shared" ref="Q390:Q453" si="975">F390*P390</f>
        <v>-30295.309962448966</v>
      </c>
      <c r="R390">
        <f t="shared" ref="R390:R453" si="976">R391+Q390</f>
        <v>-3358744.6693486623</v>
      </c>
      <c r="S390">
        <f t="shared" ref="S390:S453" si="977">R390/100000</f>
        <v>-33.587446693486619</v>
      </c>
      <c r="T390">
        <f t="shared" ref="T390:T453" si="978">S390/1000</f>
        <v>-3.3587446693486622E-2</v>
      </c>
    </row>
    <row r="391" spans="1:20" x14ac:dyDescent="0.25">
      <c r="A391" s="5">
        <v>44202</v>
      </c>
      <c r="B391">
        <v>13.494999999999999</v>
      </c>
      <c r="C391">
        <v>14.7</v>
      </c>
      <c r="D391">
        <v>13</v>
      </c>
      <c r="E391">
        <v>13.603</v>
      </c>
      <c r="F391">
        <v>132470.41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-0.29058823529411765</v>
      </c>
      <c r="Q391">
        <f t="shared" si="975"/>
        <v>-38494.342670588238</v>
      </c>
      <c r="R391">
        <f t="shared" si="976"/>
        <v>-3328449.3593862131</v>
      </c>
      <c r="S391">
        <f t="shared" si="977"/>
        <v>-33.28449359386213</v>
      </c>
      <c r="T391">
        <f t="shared" si="978"/>
        <v>-3.3284493593862131E-2</v>
      </c>
    </row>
    <row r="392" spans="1:20" x14ac:dyDescent="0.25">
      <c r="A392" s="5">
        <v>44201</v>
      </c>
      <c r="B392">
        <v>12.768000000000001</v>
      </c>
      <c r="C392">
        <v>14.15</v>
      </c>
      <c r="D392">
        <v>12.26</v>
      </c>
      <c r="E392">
        <v>13.497</v>
      </c>
      <c r="F392">
        <v>92168.481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0.30899470899470871</v>
      </c>
      <c r="Q392">
        <f t="shared" si="975"/>
        <v>28479.57296507934</v>
      </c>
      <c r="R392">
        <f t="shared" si="976"/>
        <v>-3289955.0167156248</v>
      </c>
      <c r="S392">
        <f t="shared" si="977"/>
        <v>-32.899550167156249</v>
      </c>
      <c r="T392">
        <f t="shared" si="978"/>
        <v>-3.2899550167156247E-2</v>
      </c>
    </row>
    <row r="393" spans="1:20" x14ac:dyDescent="0.25">
      <c r="A393" s="5">
        <v>44200</v>
      </c>
      <c r="B393">
        <v>13.04</v>
      </c>
      <c r="C393">
        <v>14.363</v>
      </c>
      <c r="D393">
        <v>12.045999999999999</v>
      </c>
      <c r="E393">
        <v>12.766999999999999</v>
      </c>
      <c r="F393">
        <v>142533.39600000001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-0.37764350453172202</v>
      </c>
      <c r="Q393">
        <f t="shared" si="975"/>
        <v>-53826.811178247735</v>
      </c>
      <c r="R393">
        <f t="shared" si="976"/>
        <v>-3318434.5896807043</v>
      </c>
      <c r="S393">
        <f t="shared" si="977"/>
        <v>-33.184345896807045</v>
      </c>
      <c r="T393">
        <f t="shared" si="978"/>
        <v>-3.3184345896807042E-2</v>
      </c>
    </row>
    <row r="394" spans="1:20" x14ac:dyDescent="0.25">
      <c r="A394" s="5">
        <v>44199</v>
      </c>
      <c r="B394">
        <v>13.06</v>
      </c>
      <c r="C394">
        <v>13.8</v>
      </c>
      <c r="D394">
        <v>12.3</v>
      </c>
      <c r="E394">
        <v>13.05</v>
      </c>
      <c r="F394">
        <v>78329.373000000007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</v>
      </c>
      <c r="Q394">
        <f t="shared" si="975"/>
        <v>0</v>
      </c>
      <c r="R394">
        <f t="shared" si="976"/>
        <v>-3264607.7785024564</v>
      </c>
      <c r="S394">
        <f t="shared" si="977"/>
        <v>-32.646077785024566</v>
      </c>
      <c r="T394">
        <f t="shared" si="978"/>
        <v>-3.2646077785024569E-2</v>
      </c>
    </row>
    <row r="395" spans="1:20" x14ac:dyDescent="0.25">
      <c r="A395" s="5">
        <v>44198</v>
      </c>
      <c r="B395">
        <v>13.923999999999999</v>
      </c>
      <c r="C395">
        <v>13.923999999999999</v>
      </c>
      <c r="D395">
        <v>12.763999999999999</v>
      </c>
      <c r="E395">
        <v>13.06</v>
      </c>
      <c r="F395">
        <v>56947.008000000002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-0.4896551724137912</v>
      </c>
      <c r="Q395">
        <f t="shared" si="975"/>
        <v>-27884.397020689546</v>
      </c>
      <c r="R395">
        <f t="shared" si="976"/>
        <v>-3264607.7785024564</v>
      </c>
      <c r="S395">
        <f t="shared" si="977"/>
        <v>-32.646077785024566</v>
      </c>
      <c r="T395">
        <f t="shared" si="978"/>
        <v>-3.2646077785024569E-2</v>
      </c>
    </row>
    <row r="396" spans="1:20" x14ac:dyDescent="0.25">
      <c r="A396" s="5">
        <v>44197</v>
      </c>
      <c r="B396">
        <v>13.007999999999999</v>
      </c>
      <c r="C396">
        <v>14.196</v>
      </c>
      <c r="D396">
        <v>12.9</v>
      </c>
      <c r="E396">
        <v>13.849</v>
      </c>
      <c r="F396">
        <v>60167.944000000003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0.46450617283950663</v>
      </c>
      <c r="Q396">
        <f t="shared" si="975"/>
        <v>27948.381395061759</v>
      </c>
      <c r="R396">
        <f t="shared" si="976"/>
        <v>-3236723.3814817667</v>
      </c>
      <c r="S396">
        <f t="shared" si="977"/>
        <v>-32.367233814817666</v>
      </c>
      <c r="T396">
        <f t="shared" si="978"/>
        <v>-3.2367233814817667E-2</v>
      </c>
    </row>
    <row r="397" spans="1:20" x14ac:dyDescent="0.25">
      <c r="A397" s="5">
        <v>44196</v>
      </c>
      <c r="B397">
        <v>13.067</v>
      </c>
      <c r="C397">
        <v>14.101000000000001</v>
      </c>
      <c r="D397">
        <v>12.7</v>
      </c>
      <c r="E397">
        <v>13.061999999999999</v>
      </c>
      <c r="F397">
        <v>53947.921999999999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-0.48322626695217746</v>
      </c>
      <c r="Q397">
        <f t="shared" si="975"/>
        <v>-26069.052957887248</v>
      </c>
      <c r="R397">
        <f t="shared" si="976"/>
        <v>-3264671.7628768287</v>
      </c>
      <c r="S397">
        <f t="shared" si="977"/>
        <v>-32.646717628768286</v>
      </c>
      <c r="T397">
        <f t="shared" si="978"/>
        <v>-3.2646717628768286E-2</v>
      </c>
    </row>
    <row r="398" spans="1:20" x14ac:dyDescent="0.25">
      <c r="A398" s="5">
        <v>44195</v>
      </c>
      <c r="B398">
        <v>13.694000000000001</v>
      </c>
      <c r="C398">
        <v>14.5</v>
      </c>
      <c r="D398">
        <v>12.465</v>
      </c>
      <c r="E398">
        <v>13.038</v>
      </c>
      <c r="F398">
        <v>99211.125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-0.43685503685503652</v>
      </c>
      <c r="Q398">
        <f t="shared" si="975"/>
        <v>-43340.879668304631</v>
      </c>
      <c r="R398">
        <f t="shared" si="976"/>
        <v>-3238602.7099189414</v>
      </c>
      <c r="S398">
        <f t="shared" si="977"/>
        <v>-32.386027099189413</v>
      </c>
      <c r="T398">
        <f t="shared" si="978"/>
        <v>-3.2386027099189411E-2</v>
      </c>
    </row>
    <row r="399" spans="1:20" x14ac:dyDescent="0.25">
      <c r="A399" s="5">
        <v>44194</v>
      </c>
      <c r="B399">
        <v>14.827</v>
      </c>
      <c r="C399">
        <v>14.827</v>
      </c>
      <c r="D399">
        <v>13.339</v>
      </c>
      <c r="E399">
        <v>13.693</v>
      </c>
      <c r="F399">
        <v>69836.438999999998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-0.52419354838709775</v>
      </c>
      <c r="Q399">
        <f t="shared" si="975"/>
        <v>-36607.8107661291</v>
      </c>
      <c r="R399">
        <f t="shared" si="976"/>
        <v>-3195261.8302506367</v>
      </c>
      <c r="S399">
        <f t="shared" si="977"/>
        <v>-31.952618302506366</v>
      </c>
      <c r="T399">
        <f t="shared" si="978"/>
        <v>-3.1952618302506369E-2</v>
      </c>
    </row>
    <row r="400" spans="1:20" x14ac:dyDescent="0.25">
      <c r="A400" s="5">
        <v>44193</v>
      </c>
      <c r="B400">
        <v>14.791</v>
      </c>
      <c r="C400">
        <v>16.850000000000001</v>
      </c>
      <c r="D400">
        <v>14.413</v>
      </c>
      <c r="E400">
        <v>14.826000000000001</v>
      </c>
      <c r="F400">
        <v>127695.49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-0.66105867870332369</v>
      </c>
      <c r="Q400">
        <f t="shared" si="975"/>
        <v>-84414.211895773493</v>
      </c>
      <c r="R400">
        <f t="shared" si="976"/>
        <v>-3158654.0194845074</v>
      </c>
      <c r="S400">
        <f t="shared" si="977"/>
        <v>-31.586540194845075</v>
      </c>
      <c r="T400">
        <f t="shared" si="978"/>
        <v>-3.1586540194845074E-2</v>
      </c>
    </row>
    <row r="401" spans="1:20" x14ac:dyDescent="0.25">
      <c r="A401" s="5">
        <v>44192</v>
      </c>
      <c r="B401">
        <v>14.361000000000001</v>
      </c>
      <c r="C401">
        <v>15.355</v>
      </c>
      <c r="D401">
        <v>13.398</v>
      </c>
      <c r="E401">
        <v>14.8</v>
      </c>
      <c r="F401">
        <v>102563.201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0.43280531425651558</v>
      </c>
      <c r="Q401">
        <f t="shared" si="975"/>
        <v>44389.898439959172</v>
      </c>
      <c r="R401">
        <f t="shared" si="976"/>
        <v>-3074239.8075887337</v>
      </c>
      <c r="S401">
        <f t="shared" si="977"/>
        <v>-30.742398075887337</v>
      </c>
      <c r="T401">
        <f t="shared" si="978"/>
        <v>-3.0742398075887335E-2</v>
      </c>
    </row>
    <row r="402" spans="1:20" x14ac:dyDescent="0.25">
      <c r="A402" s="5">
        <v>44191</v>
      </c>
      <c r="B402">
        <v>15</v>
      </c>
      <c r="C402">
        <v>16.02</v>
      </c>
      <c r="D402">
        <v>14.345000000000001</v>
      </c>
      <c r="E402">
        <v>14.351000000000001</v>
      </c>
      <c r="F402">
        <v>67100.680999999997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-0.99283582089552214</v>
      </c>
      <c r="Q402">
        <f t="shared" si="975"/>
        <v>-66619.959703283559</v>
      </c>
      <c r="R402">
        <f t="shared" si="976"/>
        <v>-3118629.7060286929</v>
      </c>
      <c r="S402">
        <f t="shared" si="977"/>
        <v>-31.186297060286929</v>
      </c>
      <c r="T402">
        <f t="shared" si="978"/>
        <v>-3.118629706028693E-2</v>
      </c>
    </row>
    <row r="403" spans="1:20" x14ac:dyDescent="0.25">
      <c r="A403" s="5">
        <v>44190</v>
      </c>
      <c r="B403">
        <v>15.441000000000001</v>
      </c>
      <c r="C403">
        <v>16.7</v>
      </c>
      <c r="D403">
        <v>14.352</v>
      </c>
      <c r="E403">
        <v>14.96</v>
      </c>
      <c r="F403">
        <v>89350.235000000001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-0.48211243611584259</v>
      </c>
      <c r="Q403">
        <f t="shared" si="975"/>
        <v>-43076.859463373024</v>
      </c>
      <c r="R403">
        <f t="shared" si="976"/>
        <v>-3052009.7463254095</v>
      </c>
      <c r="S403">
        <f t="shared" si="977"/>
        <v>-30.520097463254096</v>
      </c>
      <c r="T403">
        <f t="shared" si="978"/>
        <v>-3.0520097463254098E-2</v>
      </c>
    </row>
    <row r="404" spans="1:20" x14ac:dyDescent="0.25">
      <c r="A404" s="5">
        <v>44189</v>
      </c>
      <c r="B404">
        <v>14.2</v>
      </c>
      <c r="C404">
        <v>15.9</v>
      </c>
      <c r="D404">
        <v>13.3</v>
      </c>
      <c r="E404">
        <v>15.518000000000001</v>
      </c>
      <c r="F404">
        <v>114353.139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0.70615384615384635</v>
      </c>
      <c r="Q404">
        <f t="shared" si="975"/>
        <v>80750.908924615404</v>
      </c>
      <c r="R404">
        <f t="shared" si="976"/>
        <v>-3008932.8868620363</v>
      </c>
      <c r="S404">
        <f t="shared" si="977"/>
        <v>-30.089328868620363</v>
      </c>
      <c r="T404">
        <f t="shared" si="978"/>
        <v>-3.0089328868620362E-2</v>
      </c>
    </row>
    <row r="405" spans="1:20" x14ac:dyDescent="0.25">
      <c r="A405" s="5">
        <v>44188</v>
      </c>
      <c r="B405">
        <v>17.754999999999999</v>
      </c>
      <c r="C405">
        <v>18.399000000000001</v>
      </c>
      <c r="D405">
        <v>13.19</v>
      </c>
      <c r="E405">
        <v>14.2</v>
      </c>
      <c r="F405">
        <v>135171.54500000001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-0.61220963716644283</v>
      </c>
      <c r="Q405">
        <f t="shared" si="975"/>
        <v>-82753.322519677502</v>
      </c>
      <c r="R405">
        <f t="shared" si="976"/>
        <v>-3089683.7957866518</v>
      </c>
      <c r="S405">
        <f t="shared" si="977"/>
        <v>-30.896837957866516</v>
      </c>
      <c r="T405">
        <f t="shared" si="978"/>
        <v>-3.0896837957866515E-2</v>
      </c>
    </row>
    <row r="406" spans="1:20" x14ac:dyDescent="0.25">
      <c r="A406" s="5">
        <v>44187</v>
      </c>
      <c r="B406">
        <v>16.327000000000002</v>
      </c>
      <c r="C406">
        <v>19.199000000000002</v>
      </c>
      <c r="D406">
        <v>15.234</v>
      </c>
      <c r="E406">
        <v>17.68</v>
      </c>
      <c r="F406">
        <v>199197.43100000001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0.23379571248423642</v>
      </c>
      <c r="Q406">
        <f t="shared" si="975"/>
        <v>46571.505305674524</v>
      </c>
      <c r="R406">
        <f t="shared" si="976"/>
        <v>-3006930.4732669741</v>
      </c>
      <c r="S406">
        <f t="shared" si="977"/>
        <v>-30.069304732669742</v>
      </c>
      <c r="T406">
        <f t="shared" si="978"/>
        <v>-3.0069304732669742E-2</v>
      </c>
    </row>
    <row r="407" spans="1:20" x14ac:dyDescent="0.25">
      <c r="A407" s="5">
        <v>44186</v>
      </c>
      <c r="B407">
        <v>18.003</v>
      </c>
      <c r="C407">
        <v>19.98</v>
      </c>
      <c r="D407">
        <v>15.798</v>
      </c>
      <c r="E407">
        <v>16.271999999999998</v>
      </c>
      <c r="F407">
        <v>175202.23199999999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-0.77331420373027338</v>
      </c>
      <c r="Q407">
        <f t="shared" si="975"/>
        <v>-135486.3745308466</v>
      </c>
      <c r="R407">
        <f t="shared" si="976"/>
        <v>-3053501.9785726485</v>
      </c>
      <c r="S407">
        <f t="shared" si="977"/>
        <v>-30.535019785726483</v>
      </c>
      <c r="T407">
        <f t="shared" si="978"/>
        <v>-3.0535019785726484E-2</v>
      </c>
    </row>
    <row r="408" spans="1:20" x14ac:dyDescent="0.25">
      <c r="A408" s="5">
        <v>44185</v>
      </c>
      <c r="B408">
        <v>19.661999999999999</v>
      </c>
      <c r="C408">
        <v>20.390999999999998</v>
      </c>
      <c r="D408">
        <v>17.440000000000001</v>
      </c>
      <c r="E408">
        <v>18.001999999999999</v>
      </c>
      <c r="F408">
        <v>179814.78599999999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-0.61911216536767322</v>
      </c>
      <c r="Q408">
        <f t="shared" si="975"/>
        <v>-111325.52152558477</v>
      </c>
      <c r="R408">
        <f t="shared" si="976"/>
        <v>-2918015.6040418018</v>
      </c>
      <c r="S408">
        <f t="shared" si="977"/>
        <v>-29.180156040418019</v>
      </c>
      <c r="T408">
        <f t="shared" si="978"/>
        <v>-2.9180156040418018E-2</v>
      </c>
    </row>
    <row r="409" spans="1:20" x14ac:dyDescent="0.25">
      <c r="A409" s="5">
        <v>44184</v>
      </c>
      <c r="B409">
        <v>19.344999999999999</v>
      </c>
      <c r="C409">
        <v>22.643000000000001</v>
      </c>
      <c r="D409">
        <v>18.751999999999999</v>
      </c>
      <c r="E409">
        <v>19.661999999999999</v>
      </c>
      <c r="F409">
        <v>283778.28000000003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-0.53225391930095101</v>
      </c>
      <c r="Q409">
        <f t="shared" si="975"/>
        <v>-151042.10174248269</v>
      </c>
      <c r="R409">
        <f t="shared" si="976"/>
        <v>-2806690.0825162171</v>
      </c>
      <c r="S409">
        <f t="shared" si="977"/>
        <v>-28.066900825162172</v>
      </c>
      <c r="T409">
        <f t="shared" si="978"/>
        <v>-2.8066900825162173E-2</v>
      </c>
    </row>
    <row r="410" spans="1:20" x14ac:dyDescent="0.25">
      <c r="A410" s="5">
        <v>44183</v>
      </c>
      <c r="B410">
        <v>18.094999999999999</v>
      </c>
      <c r="C410">
        <v>21</v>
      </c>
      <c r="D410">
        <v>16.93</v>
      </c>
      <c r="E410">
        <v>19.344999999999999</v>
      </c>
      <c r="F410">
        <v>349601.473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0.18673218673218622</v>
      </c>
      <c r="Q410">
        <f t="shared" si="975"/>
        <v>65281.847538083362</v>
      </c>
      <c r="R410">
        <f t="shared" si="976"/>
        <v>-2655647.9807737344</v>
      </c>
      <c r="S410">
        <f t="shared" si="977"/>
        <v>-26.556479807737343</v>
      </c>
      <c r="T410">
        <f t="shared" si="978"/>
        <v>-2.6556479807737343E-2</v>
      </c>
    </row>
    <row r="411" spans="1:20" x14ac:dyDescent="0.25">
      <c r="A411" s="5">
        <v>44182</v>
      </c>
      <c r="B411">
        <v>15.781000000000001</v>
      </c>
      <c r="C411">
        <v>22.818000000000001</v>
      </c>
      <c r="D411">
        <v>15.2</v>
      </c>
      <c r="E411">
        <v>18.134</v>
      </c>
      <c r="F411">
        <v>710128.08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-0.22971908637437641</v>
      </c>
      <c r="Q411">
        <f t="shared" si="975"/>
        <v>-163129.97374639008</v>
      </c>
      <c r="R411">
        <f t="shared" si="976"/>
        <v>-2720929.8283118177</v>
      </c>
      <c r="S411">
        <f t="shared" si="977"/>
        <v>-27.209298283118176</v>
      </c>
      <c r="T411">
        <f t="shared" si="978"/>
        <v>-2.7209298283118178E-2</v>
      </c>
    </row>
    <row r="412" spans="1:20" x14ac:dyDescent="0.25">
      <c r="A412" s="5">
        <v>44181</v>
      </c>
      <c r="B412">
        <v>16.643000000000001</v>
      </c>
      <c r="C412">
        <v>16.721</v>
      </c>
      <c r="D412">
        <v>14.334</v>
      </c>
      <c r="E412">
        <v>15.781000000000001</v>
      </c>
      <c r="F412">
        <v>290361.95500000002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0.21240050272308394</v>
      </c>
      <c r="Q412">
        <f t="shared" si="975"/>
        <v>61673.025213657478</v>
      </c>
      <c r="R412">
        <f t="shared" si="976"/>
        <v>-2557799.8545654276</v>
      </c>
      <c r="S412">
        <f t="shared" si="977"/>
        <v>-25.577998545654275</v>
      </c>
      <c r="T412">
        <f t="shared" si="978"/>
        <v>-2.5577998545654276E-2</v>
      </c>
    </row>
    <row r="413" spans="1:20" x14ac:dyDescent="0.25">
      <c r="A413" s="5">
        <v>44180</v>
      </c>
      <c r="B413">
        <v>17.12</v>
      </c>
      <c r="C413">
        <v>18.190000000000001</v>
      </c>
      <c r="D413">
        <v>15.988</v>
      </c>
      <c r="E413">
        <v>16.626999999999999</v>
      </c>
      <c r="F413">
        <v>223238.802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-0.41961852861035526</v>
      </c>
      <c r="Q413">
        <f t="shared" si="975"/>
        <v>-93675.137623978429</v>
      </c>
      <c r="R413">
        <f t="shared" si="976"/>
        <v>-2619472.8797790851</v>
      </c>
      <c r="S413">
        <f t="shared" si="977"/>
        <v>-26.194728797790852</v>
      </c>
      <c r="T413">
        <f t="shared" si="978"/>
        <v>-2.6194728797790851E-2</v>
      </c>
    </row>
    <row r="414" spans="1:20" x14ac:dyDescent="0.25">
      <c r="A414" s="5">
        <v>44179</v>
      </c>
      <c r="B414">
        <v>18.225999999999999</v>
      </c>
      <c r="C414">
        <v>19.693000000000001</v>
      </c>
      <c r="D414">
        <v>16.7</v>
      </c>
      <c r="E414">
        <v>17.100999999999999</v>
      </c>
      <c r="F414">
        <v>352526.24099999998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-0.73204143000334143</v>
      </c>
      <c r="Q414">
        <f t="shared" si="975"/>
        <v>-258063.81357534256</v>
      </c>
      <c r="R414">
        <f t="shared" si="976"/>
        <v>-2525797.7421551067</v>
      </c>
      <c r="S414">
        <f t="shared" si="977"/>
        <v>-25.257977421551068</v>
      </c>
      <c r="T414">
        <f t="shared" si="978"/>
        <v>-2.5257977421551069E-2</v>
      </c>
    </row>
    <row r="415" spans="1:20" x14ac:dyDescent="0.25">
      <c r="A415" s="5">
        <v>44178</v>
      </c>
      <c r="B415">
        <v>14.499000000000001</v>
      </c>
      <c r="C415">
        <v>19.745999999999999</v>
      </c>
      <c r="D415">
        <v>14.348000000000001</v>
      </c>
      <c r="E415">
        <v>18.303000000000001</v>
      </c>
      <c r="F415">
        <v>525735.77500000002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0.46535753982956712</v>
      </c>
      <c r="Q415">
        <f t="shared" si="975"/>
        <v>244655.10685439085</v>
      </c>
      <c r="R415">
        <f t="shared" si="976"/>
        <v>-2267733.928579764</v>
      </c>
      <c r="S415">
        <f t="shared" si="977"/>
        <v>-22.67733928579764</v>
      </c>
      <c r="T415">
        <f t="shared" si="978"/>
        <v>-2.267733928579764E-2</v>
      </c>
    </row>
    <row r="416" spans="1:20" x14ac:dyDescent="0.25">
      <c r="A416" s="5">
        <v>44177</v>
      </c>
      <c r="B416">
        <v>13.426</v>
      </c>
      <c r="C416">
        <v>16.471</v>
      </c>
      <c r="D416">
        <v>13.426</v>
      </c>
      <c r="E416">
        <v>14.5</v>
      </c>
      <c r="F416">
        <v>307546.49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-0.29458128078817741</v>
      </c>
      <c r="Q416">
        <f t="shared" si="975"/>
        <v>-90597.4389261084</v>
      </c>
      <c r="R416">
        <f t="shared" si="976"/>
        <v>-2512389.0354341548</v>
      </c>
      <c r="S416">
        <f t="shared" si="977"/>
        <v>-25.123890354341547</v>
      </c>
      <c r="T416">
        <f t="shared" si="978"/>
        <v>-2.5123890354341549E-2</v>
      </c>
    </row>
    <row r="417" spans="1:20" x14ac:dyDescent="0.25">
      <c r="A417" s="5">
        <v>44176</v>
      </c>
      <c r="B417">
        <v>15.654999999999999</v>
      </c>
      <c r="C417">
        <v>15.752000000000001</v>
      </c>
      <c r="D417">
        <v>13.051</v>
      </c>
      <c r="E417">
        <v>13.493</v>
      </c>
      <c r="F417">
        <v>315780.47200000001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-0.67271380970011097</v>
      </c>
      <c r="Q417">
        <f t="shared" si="975"/>
        <v>-212429.88434801923</v>
      </c>
      <c r="R417">
        <f t="shared" si="976"/>
        <v>-2421791.5965080466</v>
      </c>
      <c r="S417">
        <f t="shared" si="977"/>
        <v>-24.217915965080465</v>
      </c>
      <c r="T417">
        <f t="shared" si="978"/>
        <v>-2.4217915965080467E-2</v>
      </c>
    </row>
    <row r="418" spans="1:20" x14ac:dyDescent="0.25">
      <c r="A418" s="5">
        <v>44175</v>
      </c>
      <c r="B418">
        <v>18.004999999999999</v>
      </c>
      <c r="C418">
        <v>19.518999999999998</v>
      </c>
      <c r="D418">
        <v>15.58</v>
      </c>
      <c r="E418">
        <v>15.673999999999999</v>
      </c>
      <c r="F418">
        <v>283521.57900000003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-0.95227215029195256</v>
      </c>
      <c r="Q418">
        <f t="shared" si="975"/>
        <v>-269989.70368849975</v>
      </c>
      <c r="R418">
        <f t="shared" si="976"/>
        <v>-2209361.7121600276</v>
      </c>
      <c r="S418">
        <f t="shared" si="977"/>
        <v>-22.093617121600275</v>
      </c>
      <c r="T418">
        <f t="shared" si="978"/>
        <v>-2.2093617121600274E-2</v>
      </c>
    </row>
    <row r="419" spans="1:20" x14ac:dyDescent="0.25">
      <c r="A419" s="5">
        <v>44174</v>
      </c>
      <c r="B419">
        <v>18.585000000000001</v>
      </c>
      <c r="C419">
        <v>20.753</v>
      </c>
      <c r="D419">
        <v>15.647</v>
      </c>
      <c r="E419">
        <v>18.004999999999999</v>
      </c>
      <c r="F419">
        <v>917809.31099999999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-7.6380728554642063E-2</v>
      </c>
      <c r="Q419">
        <f t="shared" si="975"/>
        <v>-70102.943848414056</v>
      </c>
      <c r="R419">
        <f t="shared" si="976"/>
        <v>-1939372.0084715281</v>
      </c>
      <c r="S419">
        <f t="shared" si="977"/>
        <v>-19.39372008471528</v>
      </c>
      <c r="T419">
        <f t="shared" si="978"/>
        <v>-1.939372008471528E-2</v>
      </c>
    </row>
    <row r="420" spans="1:20" x14ac:dyDescent="0.25">
      <c r="A420" s="5">
        <v>44173</v>
      </c>
      <c r="B420">
        <v>12.348000000000001</v>
      </c>
      <c r="C420">
        <v>24.33</v>
      </c>
      <c r="D420">
        <v>12.253</v>
      </c>
      <c r="E420">
        <v>18.576000000000001</v>
      </c>
      <c r="F420">
        <v>1526509.0379999999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4.7114349590130222E-2</v>
      </c>
      <c r="Q420">
        <f t="shared" si="975"/>
        <v>71920.480468825379</v>
      </c>
      <c r="R420">
        <f t="shared" si="976"/>
        <v>-1869269.064623114</v>
      </c>
      <c r="S420">
        <f t="shared" si="977"/>
        <v>-18.692690646231139</v>
      </c>
      <c r="T420">
        <f t="shared" si="978"/>
        <v>-1.8692690646231139E-2</v>
      </c>
    </row>
    <row r="421" spans="1:20" x14ac:dyDescent="0.25">
      <c r="A421" s="5">
        <v>44172</v>
      </c>
      <c r="B421">
        <v>10.802</v>
      </c>
      <c r="C421">
        <v>13.346</v>
      </c>
      <c r="D421">
        <v>10.614000000000001</v>
      </c>
      <c r="E421">
        <v>12.4</v>
      </c>
      <c r="F421">
        <v>338222.08000000002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0.3074670571010249</v>
      </c>
      <c r="Q421">
        <f t="shared" si="975"/>
        <v>103992.14758418742</v>
      </c>
      <c r="R421">
        <f t="shared" si="976"/>
        <v>-1941189.5450919394</v>
      </c>
      <c r="S421">
        <f t="shared" si="977"/>
        <v>-19.411895450919396</v>
      </c>
      <c r="T421">
        <f t="shared" si="978"/>
        <v>-1.9411895450919394E-2</v>
      </c>
    </row>
    <row r="422" spans="1:20" x14ac:dyDescent="0.25">
      <c r="A422" s="5">
        <v>44171</v>
      </c>
      <c r="B422">
        <v>10.361000000000001</v>
      </c>
      <c r="C422">
        <v>11.276999999999999</v>
      </c>
      <c r="D422">
        <v>9.9329999999999998</v>
      </c>
      <c r="E422">
        <v>10.802</v>
      </c>
      <c r="F422">
        <v>83587.187000000005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0.29315476190476214</v>
      </c>
      <c r="Q422">
        <f t="shared" si="975"/>
        <v>24503.981903273831</v>
      </c>
      <c r="R422">
        <f t="shared" si="976"/>
        <v>-2045181.6926761267</v>
      </c>
      <c r="S422">
        <f t="shared" si="977"/>
        <v>-20.451816926761268</v>
      </c>
      <c r="T422">
        <f t="shared" si="978"/>
        <v>-2.0451816926761266E-2</v>
      </c>
    </row>
    <row r="423" spans="1:20" x14ac:dyDescent="0.25">
      <c r="A423" s="5">
        <v>44170</v>
      </c>
      <c r="B423">
        <v>10.000999999999999</v>
      </c>
      <c r="C423">
        <v>10.67</v>
      </c>
      <c r="D423">
        <v>9.7370000000000001</v>
      </c>
      <c r="E423">
        <v>10.343999999999999</v>
      </c>
      <c r="F423">
        <v>37510.743000000002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0.30117899249731922</v>
      </c>
      <c r="Q423">
        <f t="shared" si="975"/>
        <v>11297.447784565869</v>
      </c>
      <c r="R423">
        <f t="shared" si="976"/>
        <v>-2069685.6745794006</v>
      </c>
      <c r="S423">
        <f t="shared" si="977"/>
        <v>-20.696856745794005</v>
      </c>
      <c r="T423">
        <f t="shared" si="978"/>
        <v>-2.0696856745794006E-2</v>
      </c>
    </row>
    <row r="424" spans="1:20" x14ac:dyDescent="0.25">
      <c r="A424" s="5">
        <v>44169</v>
      </c>
      <c r="B424">
        <v>11.27</v>
      </c>
      <c r="C424">
        <v>11.491</v>
      </c>
      <c r="D424">
        <v>9.6999999999999993</v>
      </c>
      <c r="E424">
        <v>10.000999999999999</v>
      </c>
      <c r="F424">
        <v>120198.21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-0.66387493020658839</v>
      </c>
      <c r="Q424">
        <f t="shared" si="975"/>
        <v>-79796.578274706859</v>
      </c>
      <c r="R424">
        <f t="shared" si="976"/>
        <v>-2080983.1223639664</v>
      </c>
      <c r="S424">
        <f t="shared" si="977"/>
        <v>-20.809831223639666</v>
      </c>
      <c r="T424">
        <f t="shared" si="978"/>
        <v>-2.0809831223639667E-2</v>
      </c>
    </row>
    <row r="425" spans="1:20" x14ac:dyDescent="0.25">
      <c r="A425" s="5">
        <v>44168</v>
      </c>
      <c r="B425">
        <v>11.736000000000001</v>
      </c>
      <c r="C425">
        <v>11.792999999999999</v>
      </c>
      <c r="D425">
        <v>11.02</v>
      </c>
      <c r="E425">
        <v>11.27</v>
      </c>
      <c r="F425">
        <v>67392.084000000003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-0.35316946959896484</v>
      </c>
      <c r="Q425">
        <f t="shared" si="975"/>
        <v>-23800.826561448885</v>
      </c>
      <c r="R425">
        <f t="shared" si="976"/>
        <v>-2001186.5440892596</v>
      </c>
      <c r="S425">
        <f t="shared" si="977"/>
        <v>-20.011865440892596</v>
      </c>
      <c r="T425">
        <f t="shared" si="978"/>
        <v>-2.0011865440892597E-2</v>
      </c>
    </row>
    <row r="426" spans="1:20" x14ac:dyDescent="0.25">
      <c r="A426" s="5">
        <v>44167</v>
      </c>
      <c r="B426">
        <v>10.192</v>
      </c>
      <c r="C426">
        <v>11.87</v>
      </c>
      <c r="D426">
        <v>9.9559999999999995</v>
      </c>
      <c r="E426">
        <v>11.788</v>
      </c>
      <c r="F426">
        <v>197540.33100000001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0.91431556948798431</v>
      </c>
      <c r="Q426">
        <f t="shared" si="975"/>
        <v>180614.20023510992</v>
      </c>
      <c r="R426">
        <f t="shared" si="976"/>
        <v>-1977385.7175278107</v>
      </c>
      <c r="S426">
        <f t="shared" si="977"/>
        <v>-19.773857175278106</v>
      </c>
      <c r="T426">
        <f t="shared" si="978"/>
        <v>-1.9773857175278107E-2</v>
      </c>
    </row>
    <row r="427" spans="1:20" x14ac:dyDescent="0.25">
      <c r="A427" s="5">
        <v>44166</v>
      </c>
      <c r="B427">
        <v>10.038</v>
      </c>
      <c r="C427">
        <v>11.196999999999999</v>
      </c>
      <c r="D427">
        <v>9.75</v>
      </c>
      <c r="E427">
        <v>10.151999999999999</v>
      </c>
      <c r="F427">
        <v>107112.66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-0.44436765722183902</v>
      </c>
      <c r="Q427">
        <f t="shared" si="975"/>
        <v>-47597.40178299939</v>
      </c>
      <c r="R427">
        <f t="shared" si="976"/>
        <v>-2157999.9177629207</v>
      </c>
      <c r="S427">
        <f t="shared" si="977"/>
        <v>-21.579999177629208</v>
      </c>
      <c r="T427">
        <f t="shared" si="978"/>
        <v>-2.1579999177629209E-2</v>
      </c>
    </row>
    <row r="428" spans="1:20" x14ac:dyDescent="0.25">
      <c r="A428" s="5">
        <v>44165</v>
      </c>
      <c r="B428">
        <v>10.185</v>
      </c>
      <c r="C428">
        <v>10.499000000000001</v>
      </c>
      <c r="D428">
        <v>9.6</v>
      </c>
      <c r="E428">
        <v>10.038</v>
      </c>
      <c r="F428">
        <v>59035.978999999999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-2.558398220244679E-2</v>
      </c>
      <c r="Q428">
        <f t="shared" si="975"/>
        <v>-1510.3754360400224</v>
      </c>
      <c r="R428">
        <f t="shared" si="976"/>
        <v>-2110402.5159799214</v>
      </c>
      <c r="S428">
        <f t="shared" si="977"/>
        <v>-21.104025159799214</v>
      </c>
      <c r="T428">
        <f t="shared" si="978"/>
        <v>-2.1104025159799214E-2</v>
      </c>
    </row>
    <row r="429" spans="1:20" x14ac:dyDescent="0.25">
      <c r="A429" s="5">
        <v>44164</v>
      </c>
      <c r="B429">
        <v>9.8450000000000006</v>
      </c>
      <c r="C429">
        <v>10.5</v>
      </c>
      <c r="D429">
        <v>9.5289999999999999</v>
      </c>
      <c r="E429">
        <v>10.103999999999999</v>
      </c>
      <c r="F429">
        <v>58397.921000000002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0.18434603501544641</v>
      </c>
      <c r="Q429">
        <f t="shared" si="975"/>
        <v>10765.425189495274</v>
      </c>
      <c r="R429">
        <f t="shared" si="976"/>
        <v>-2108892.1405438813</v>
      </c>
      <c r="S429">
        <f t="shared" si="977"/>
        <v>-21.088921405438814</v>
      </c>
      <c r="T429">
        <f t="shared" si="978"/>
        <v>-2.1088921405438815E-2</v>
      </c>
    </row>
    <row r="430" spans="1:20" x14ac:dyDescent="0.25">
      <c r="A430" s="5">
        <v>44163</v>
      </c>
      <c r="B430">
        <v>9.24</v>
      </c>
      <c r="C430">
        <v>10.763999999999999</v>
      </c>
      <c r="D430">
        <v>9.173</v>
      </c>
      <c r="E430">
        <v>9.9030000000000005</v>
      </c>
      <c r="F430">
        <v>132015.728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-8.2338152105593032E-2</v>
      </c>
      <c r="Q430">
        <f t="shared" si="975"/>
        <v>-10869.931092394598</v>
      </c>
      <c r="R430">
        <f t="shared" si="976"/>
        <v>-2119657.5657333764</v>
      </c>
      <c r="S430">
        <f t="shared" si="977"/>
        <v>-21.196575657333764</v>
      </c>
      <c r="T430">
        <f t="shared" si="978"/>
        <v>-2.1196575657333763E-2</v>
      </c>
    </row>
    <row r="431" spans="1:20" x14ac:dyDescent="0.25">
      <c r="A431" s="5">
        <v>44162</v>
      </c>
      <c r="B431">
        <v>9.125</v>
      </c>
      <c r="C431">
        <v>9.4</v>
      </c>
      <c r="D431">
        <v>8.6449999999999996</v>
      </c>
      <c r="E431">
        <v>9.24</v>
      </c>
      <c r="F431">
        <v>40728.042000000001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0.57615894039735105</v>
      </c>
      <c r="Q431">
        <f t="shared" si="975"/>
        <v>23465.82552317881</v>
      </c>
      <c r="R431">
        <f t="shared" si="976"/>
        <v>-2108787.6346409819</v>
      </c>
      <c r="S431">
        <f t="shared" si="977"/>
        <v>-21.087876346409818</v>
      </c>
      <c r="T431">
        <f t="shared" si="978"/>
        <v>-2.1087876346409819E-2</v>
      </c>
    </row>
    <row r="432" spans="1:20" x14ac:dyDescent="0.25">
      <c r="A432" s="5">
        <v>44161</v>
      </c>
      <c r="B432">
        <v>10.272</v>
      </c>
      <c r="C432">
        <v>10.564</v>
      </c>
      <c r="D432">
        <v>8.4380000000000006</v>
      </c>
      <c r="E432">
        <v>9.109</v>
      </c>
      <c r="F432">
        <v>97303.577999999994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-0.36876763875823182</v>
      </c>
      <c r="Q432">
        <f t="shared" si="975"/>
        <v>-35882.410701787434</v>
      </c>
      <c r="R432">
        <f t="shared" si="976"/>
        <v>-2132253.4601641609</v>
      </c>
      <c r="S432">
        <f t="shared" si="977"/>
        <v>-21.32253460164161</v>
      </c>
      <c r="T432">
        <f t="shared" si="978"/>
        <v>-2.1322534601641609E-2</v>
      </c>
    </row>
    <row r="433" spans="1:20" x14ac:dyDescent="0.25">
      <c r="A433" s="5">
        <v>44160</v>
      </c>
      <c r="B433">
        <v>10.942</v>
      </c>
      <c r="C433">
        <v>11.663</v>
      </c>
      <c r="D433">
        <v>10.234</v>
      </c>
      <c r="E433">
        <v>10.272</v>
      </c>
      <c r="F433">
        <v>99213.512000000002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-0.94681595521343564</v>
      </c>
      <c r="Q433">
        <f t="shared" si="975"/>
        <v>-93936.936134359668</v>
      </c>
      <c r="R433">
        <f t="shared" si="976"/>
        <v>-2096371.0494623734</v>
      </c>
      <c r="S433">
        <f t="shared" si="977"/>
        <v>-20.963710494623733</v>
      </c>
      <c r="T433">
        <f t="shared" si="978"/>
        <v>-2.0963710494623734E-2</v>
      </c>
    </row>
    <row r="434" spans="1:20" x14ac:dyDescent="0.25">
      <c r="A434" s="5">
        <v>44159</v>
      </c>
      <c r="B434">
        <v>11.029</v>
      </c>
      <c r="C434">
        <v>12.468</v>
      </c>
      <c r="D434">
        <v>9.875</v>
      </c>
      <c r="E434">
        <v>10.973000000000001</v>
      </c>
      <c r="F434">
        <v>209709.943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-0.15310451214809043</v>
      </c>
      <c r="Q434">
        <f t="shared" si="975"/>
        <v>-32107.538515618849</v>
      </c>
      <c r="R434">
        <f t="shared" si="976"/>
        <v>-2002434.1133280138</v>
      </c>
      <c r="S434">
        <f t="shared" si="977"/>
        <v>-20.024341133280139</v>
      </c>
      <c r="T434">
        <f t="shared" si="978"/>
        <v>-2.0024341133280138E-2</v>
      </c>
    </row>
    <row r="435" spans="1:20" x14ac:dyDescent="0.25">
      <c r="A435" s="5">
        <v>44158</v>
      </c>
      <c r="B435">
        <v>10.997999999999999</v>
      </c>
      <c r="C435">
        <v>11.651</v>
      </c>
      <c r="D435">
        <v>10.616</v>
      </c>
      <c r="E435">
        <v>11.042999999999999</v>
      </c>
      <c r="F435">
        <v>85198.232000000004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-0.17487922705314099</v>
      </c>
      <c r="Q435">
        <f t="shared" si="975"/>
        <v>-14899.400958454184</v>
      </c>
      <c r="R435">
        <f t="shared" si="976"/>
        <v>-1970326.574812395</v>
      </c>
      <c r="S435">
        <f t="shared" si="977"/>
        <v>-19.70326574812395</v>
      </c>
      <c r="T435">
        <f t="shared" si="978"/>
        <v>-1.9703265748123949E-2</v>
      </c>
    </row>
    <row r="436" spans="1:20" x14ac:dyDescent="0.25">
      <c r="A436" s="5">
        <v>44157</v>
      </c>
      <c r="B436">
        <v>12.048</v>
      </c>
      <c r="C436">
        <v>12.148999999999999</v>
      </c>
      <c r="D436">
        <v>10.525</v>
      </c>
      <c r="E436">
        <v>10.96</v>
      </c>
      <c r="F436">
        <v>112751.90399999999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-0.46428571428571325</v>
      </c>
      <c r="Q436">
        <f t="shared" si="975"/>
        <v>-52349.098285714164</v>
      </c>
      <c r="R436">
        <f t="shared" si="976"/>
        <v>-1955427.1738539408</v>
      </c>
      <c r="S436">
        <f t="shared" si="977"/>
        <v>-19.554271738539409</v>
      </c>
      <c r="T436">
        <f t="shared" si="978"/>
        <v>-1.9554271738539408E-2</v>
      </c>
    </row>
    <row r="437" spans="1:20" x14ac:dyDescent="0.25">
      <c r="A437" s="5">
        <v>44156</v>
      </c>
      <c r="B437">
        <v>12.135</v>
      </c>
      <c r="C437">
        <v>12.68</v>
      </c>
      <c r="D437">
        <v>11.551</v>
      </c>
      <c r="E437">
        <v>12.032999999999999</v>
      </c>
      <c r="F437">
        <v>106076.611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-0.14614703277236579</v>
      </c>
      <c r="Q437">
        <f t="shared" si="975"/>
        <v>-15502.781944198498</v>
      </c>
      <c r="R437">
        <f t="shared" si="976"/>
        <v>-1903078.0755682266</v>
      </c>
      <c r="S437">
        <f t="shared" si="977"/>
        <v>-19.030780755682265</v>
      </c>
      <c r="T437">
        <f t="shared" si="978"/>
        <v>-1.9030780755682264E-2</v>
      </c>
    </row>
    <row r="438" spans="1:20" x14ac:dyDescent="0.25">
      <c r="A438" s="5">
        <v>44155</v>
      </c>
      <c r="B438">
        <v>11.907</v>
      </c>
      <c r="C438">
        <v>13.2</v>
      </c>
      <c r="D438">
        <v>11.635999999999999</v>
      </c>
      <c r="E438">
        <v>12.202</v>
      </c>
      <c r="F438">
        <v>118332.626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-0.27621483375958988</v>
      </c>
      <c r="Q438">
        <f t="shared" si="975"/>
        <v>-32685.226618925724</v>
      </c>
      <c r="R438">
        <f t="shared" si="976"/>
        <v>-1887575.2936240281</v>
      </c>
      <c r="S438">
        <f t="shared" si="977"/>
        <v>-18.875752936240282</v>
      </c>
      <c r="T438">
        <f t="shared" si="978"/>
        <v>-1.8875752936240282E-2</v>
      </c>
    </row>
    <row r="439" spans="1:20" x14ac:dyDescent="0.25">
      <c r="A439" s="5">
        <v>44154</v>
      </c>
      <c r="B439">
        <v>11.773</v>
      </c>
      <c r="C439">
        <v>13.143000000000001</v>
      </c>
      <c r="D439">
        <v>11.423999999999999</v>
      </c>
      <c r="E439">
        <v>11.856</v>
      </c>
      <c r="F439">
        <v>165995.04199999999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-0.4973821989528795</v>
      </c>
      <c r="Q439">
        <f t="shared" si="975"/>
        <v>-82562.979005235582</v>
      </c>
      <c r="R439">
        <f t="shared" si="976"/>
        <v>-1854890.0670051023</v>
      </c>
      <c r="S439">
        <f t="shared" si="977"/>
        <v>-18.548900670051022</v>
      </c>
      <c r="T439">
        <f t="shared" si="978"/>
        <v>-1.8548900670051022E-2</v>
      </c>
    </row>
    <row r="440" spans="1:20" x14ac:dyDescent="0.25">
      <c r="A440" s="5">
        <v>44153</v>
      </c>
      <c r="B440">
        <v>12.420999999999999</v>
      </c>
      <c r="C440">
        <v>12.7</v>
      </c>
      <c r="D440">
        <v>10.35</v>
      </c>
      <c r="E440">
        <v>11.849</v>
      </c>
      <c r="F440">
        <v>199533.68900000001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0.27574468085106452</v>
      </c>
      <c r="Q440">
        <f t="shared" si="975"/>
        <v>55020.353392340563</v>
      </c>
      <c r="R440">
        <f t="shared" si="976"/>
        <v>-1772327.0879998668</v>
      </c>
      <c r="S440">
        <f t="shared" si="977"/>
        <v>-17.723270879998669</v>
      </c>
      <c r="T440">
        <f t="shared" si="978"/>
        <v>-1.772327087999867E-2</v>
      </c>
    </row>
    <row r="441" spans="1:20" x14ac:dyDescent="0.25">
      <c r="A441" s="5">
        <v>44152</v>
      </c>
      <c r="B441">
        <v>14.707000000000001</v>
      </c>
      <c r="C441">
        <v>14.88</v>
      </c>
      <c r="D441">
        <v>11.705</v>
      </c>
      <c r="E441">
        <v>12.446</v>
      </c>
      <c r="F441">
        <v>282409.81300000002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-0.53322834645669326</v>
      </c>
      <c r="Q441">
        <f t="shared" si="975"/>
        <v>-150588.91760913396</v>
      </c>
      <c r="R441">
        <f t="shared" si="976"/>
        <v>-1827347.4413922073</v>
      </c>
      <c r="S441">
        <f t="shared" si="977"/>
        <v>-18.273474413922074</v>
      </c>
      <c r="T441">
        <f t="shared" si="978"/>
        <v>-1.8273474413922075E-2</v>
      </c>
    </row>
    <row r="442" spans="1:20" x14ac:dyDescent="0.25">
      <c r="A442" s="5">
        <v>44151</v>
      </c>
      <c r="B442">
        <v>12.63</v>
      </c>
      <c r="C442">
        <v>14.709</v>
      </c>
      <c r="D442">
        <v>11.541</v>
      </c>
      <c r="E442">
        <v>14.709</v>
      </c>
      <c r="F442">
        <v>449594.201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1</v>
      </c>
      <c r="Q442">
        <f t="shared" si="975"/>
        <v>449594.201</v>
      </c>
      <c r="R442">
        <f t="shared" si="976"/>
        <v>-1676758.5237830733</v>
      </c>
      <c r="S442">
        <f t="shared" si="977"/>
        <v>-16.767585237830733</v>
      </c>
      <c r="T442">
        <f t="shared" si="978"/>
        <v>-1.6767585237830732E-2</v>
      </c>
    </row>
    <row r="443" spans="1:20" x14ac:dyDescent="0.25">
      <c r="A443" s="5">
        <v>44150</v>
      </c>
      <c r="B443">
        <v>10.353999999999999</v>
      </c>
      <c r="C443">
        <v>12.63</v>
      </c>
      <c r="D443">
        <v>9.7219999999999995</v>
      </c>
      <c r="E443">
        <v>12.63</v>
      </c>
      <c r="F443">
        <v>292799.15999999997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1</v>
      </c>
      <c r="Q443">
        <f t="shared" si="975"/>
        <v>292799.15999999997</v>
      </c>
      <c r="R443">
        <f t="shared" si="976"/>
        <v>-2126352.7247830732</v>
      </c>
      <c r="S443">
        <f t="shared" si="977"/>
        <v>-21.263527247830734</v>
      </c>
      <c r="T443">
        <f t="shared" si="978"/>
        <v>-2.1263527247830732E-2</v>
      </c>
    </row>
    <row r="444" spans="1:20" x14ac:dyDescent="0.25">
      <c r="A444" s="5">
        <v>44149</v>
      </c>
      <c r="B444">
        <v>9.8339999999999996</v>
      </c>
      <c r="C444">
        <v>10.794</v>
      </c>
      <c r="D444">
        <v>8.6199999999999992</v>
      </c>
      <c r="E444">
        <v>10.366</v>
      </c>
      <c r="F444">
        <v>220284.42300000001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0.60625574977000862</v>
      </c>
      <c r="Q444">
        <f t="shared" si="975"/>
        <v>133548.69802851873</v>
      </c>
      <c r="R444">
        <f t="shared" si="976"/>
        <v>-2419151.8847830733</v>
      </c>
      <c r="S444">
        <f t="shared" si="977"/>
        <v>-24.191518847830732</v>
      </c>
      <c r="T444">
        <f t="shared" si="978"/>
        <v>-2.4191518847830731E-2</v>
      </c>
    </row>
    <row r="445" spans="1:20" x14ac:dyDescent="0.25">
      <c r="A445" s="5">
        <v>44148</v>
      </c>
      <c r="B445">
        <v>9.5120000000000005</v>
      </c>
      <c r="C445">
        <v>10.276</v>
      </c>
      <c r="D445">
        <v>9</v>
      </c>
      <c r="E445">
        <v>9.8330000000000002</v>
      </c>
      <c r="F445">
        <v>139509.359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0.30564263322884061</v>
      </c>
      <c r="Q445">
        <f t="shared" si="975"/>
        <v>42640.007844827654</v>
      </c>
      <c r="R445">
        <f t="shared" si="976"/>
        <v>-2552700.5828115921</v>
      </c>
      <c r="S445">
        <f t="shared" si="977"/>
        <v>-25.527005828115922</v>
      </c>
      <c r="T445">
        <f t="shared" si="978"/>
        <v>-2.5527005828115922E-2</v>
      </c>
    </row>
    <row r="446" spans="1:20" x14ac:dyDescent="0.25">
      <c r="A446" s="5">
        <v>44147</v>
      </c>
      <c r="B446">
        <v>9.4600000000000009</v>
      </c>
      <c r="C446">
        <v>11.632999999999999</v>
      </c>
      <c r="D446">
        <v>9.0969999999999995</v>
      </c>
      <c r="E446">
        <v>9.5120000000000005</v>
      </c>
      <c r="F446">
        <v>303190.41700000002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-0.67271293375394248</v>
      </c>
      <c r="Q446">
        <f t="shared" si="975"/>
        <v>-203960.1149061512</v>
      </c>
      <c r="R446">
        <f t="shared" si="976"/>
        <v>-2595340.5906564198</v>
      </c>
      <c r="S446">
        <f t="shared" si="977"/>
        <v>-25.953405906564196</v>
      </c>
      <c r="T446">
        <f t="shared" si="978"/>
        <v>-2.5953405906564198E-2</v>
      </c>
    </row>
    <row r="447" spans="1:20" x14ac:dyDescent="0.25">
      <c r="A447" s="5">
        <v>44146</v>
      </c>
      <c r="B447">
        <v>8.327</v>
      </c>
      <c r="C447">
        <v>10.499000000000001</v>
      </c>
      <c r="D447">
        <v>8.0259999999999998</v>
      </c>
      <c r="E447">
        <v>9.4659999999999993</v>
      </c>
      <c r="F447">
        <v>198140.677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0.1645774363121707</v>
      </c>
      <c r="Q447">
        <f t="shared" si="975"/>
        <v>32609.484649817885</v>
      </c>
      <c r="R447">
        <f t="shared" si="976"/>
        <v>-2391380.4757502684</v>
      </c>
      <c r="S447">
        <f t="shared" si="977"/>
        <v>-23.913804757502685</v>
      </c>
      <c r="T447">
        <f t="shared" si="978"/>
        <v>-2.3913804757502686E-2</v>
      </c>
    </row>
    <row r="448" spans="1:20" x14ac:dyDescent="0.25">
      <c r="A448" s="5">
        <v>44145</v>
      </c>
      <c r="B448">
        <v>7.9009999999999998</v>
      </c>
      <c r="C448">
        <v>8.5</v>
      </c>
      <c r="D448">
        <v>7.6210000000000004</v>
      </c>
      <c r="E448">
        <v>8.3650000000000002</v>
      </c>
      <c r="F448">
        <v>78880.922000000006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0.69283276450511977</v>
      </c>
      <c r="Q448">
        <f t="shared" si="975"/>
        <v>54651.287255972726</v>
      </c>
      <c r="R448">
        <f t="shared" si="976"/>
        <v>-2423989.9604000864</v>
      </c>
      <c r="S448">
        <f t="shared" si="977"/>
        <v>-24.239899604000865</v>
      </c>
      <c r="T448">
        <f t="shared" si="978"/>
        <v>-2.4239899604000865E-2</v>
      </c>
    </row>
    <row r="449" spans="1:20" x14ac:dyDescent="0.25">
      <c r="A449" s="5">
        <v>44144</v>
      </c>
      <c r="B449">
        <v>8.1470000000000002</v>
      </c>
      <c r="C449">
        <v>8.2560000000000002</v>
      </c>
      <c r="D449">
        <v>7.5010000000000003</v>
      </c>
      <c r="E449">
        <v>7.9020000000000001</v>
      </c>
      <c r="F449">
        <v>78425.004000000001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6.2251655629138695E-2</v>
      </c>
      <c r="Q449">
        <f t="shared" si="975"/>
        <v>4882.0863417218252</v>
      </c>
      <c r="R449">
        <f t="shared" si="976"/>
        <v>-2478641.247656059</v>
      </c>
      <c r="S449">
        <f t="shared" si="977"/>
        <v>-24.786412476560589</v>
      </c>
      <c r="T449">
        <f t="shared" si="978"/>
        <v>-2.478641247656059E-2</v>
      </c>
    </row>
    <row r="450" spans="1:20" x14ac:dyDescent="0.25">
      <c r="A450" s="5">
        <v>44143</v>
      </c>
      <c r="B450">
        <v>8.0399999999999991</v>
      </c>
      <c r="C450">
        <v>8.5310000000000006</v>
      </c>
      <c r="D450">
        <v>7.8490000000000002</v>
      </c>
      <c r="E450">
        <v>8.19</v>
      </c>
      <c r="F450">
        <v>57495.072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-2.6046287967745593E-15</v>
      </c>
      <c r="Q450">
        <f t="shared" si="975"/>
        <v>-1.4975332020382666E-10</v>
      </c>
      <c r="R450">
        <f t="shared" si="976"/>
        <v>-2483523.3339977809</v>
      </c>
      <c r="S450">
        <f t="shared" si="977"/>
        <v>-24.835233339977808</v>
      </c>
      <c r="T450">
        <f t="shared" si="978"/>
        <v>-2.4835233339977808E-2</v>
      </c>
    </row>
    <row r="451" spans="1:20" x14ac:dyDescent="0.25">
      <c r="A451" s="5">
        <v>44142</v>
      </c>
      <c r="B451">
        <v>8.35</v>
      </c>
      <c r="C451">
        <v>9.4990000000000006</v>
      </c>
      <c r="D451">
        <v>7.6420000000000003</v>
      </c>
      <c r="E451">
        <v>8.0869999999999997</v>
      </c>
      <c r="F451">
        <v>148253.391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-0.52073236402800283</v>
      </c>
      <c r="Q451">
        <f t="shared" si="975"/>
        <v>-77200.338770597838</v>
      </c>
      <c r="R451">
        <f t="shared" si="976"/>
        <v>-2483523.3339977809</v>
      </c>
      <c r="S451">
        <f t="shared" si="977"/>
        <v>-24.835233339977808</v>
      </c>
      <c r="T451">
        <f t="shared" si="978"/>
        <v>-2.4835233339977808E-2</v>
      </c>
    </row>
    <row r="452" spans="1:20" x14ac:dyDescent="0.25">
      <c r="A452" s="5">
        <v>44141</v>
      </c>
      <c r="B452">
        <v>7.98</v>
      </c>
      <c r="C452">
        <v>8.8510000000000009</v>
      </c>
      <c r="D452">
        <v>7.7859999999999996</v>
      </c>
      <c r="E452">
        <v>8.35</v>
      </c>
      <c r="F452">
        <v>163173.84099999999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5.9154929577463621E-2</v>
      </c>
      <c r="Q452">
        <f t="shared" si="975"/>
        <v>9652.5370732392457</v>
      </c>
      <c r="R452">
        <f t="shared" si="976"/>
        <v>-2406322.9952271832</v>
      </c>
      <c r="S452">
        <f t="shared" si="977"/>
        <v>-24.063229952271833</v>
      </c>
      <c r="T452">
        <f t="shared" si="978"/>
        <v>-2.4063229952271833E-2</v>
      </c>
    </row>
    <row r="453" spans="1:20" x14ac:dyDescent="0.25">
      <c r="A453" s="5">
        <v>44140</v>
      </c>
      <c r="B453">
        <v>7.8979999999999997</v>
      </c>
      <c r="C453">
        <v>8.3260000000000005</v>
      </c>
      <c r="D453">
        <v>7.3310000000000004</v>
      </c>
      <c r="E453">
        <v>7.9480000000000004</v>
      </c>
      <c r="F453">
        <v>130209.03599999999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0.24020100502512548</v>
      </c>
      <c r="Q453">
        <f t="shared" si="975"/>
        <v>31276.341310552743</v>
      </c>
      <c r="R453">
        <f t="shared" si="976"/>
        <v>-2415975.5323004224</v>
      </c>
      <c r="S453">
        <f t="shared" si="977"/>
        <v>-24.159755323004223</v>
      </c>
      <c r="T453">
        <f t="shared" si="978"/>
        <v>-2.4159755323004222E-2</v>
      </c>
    </row>
    <row r="454" spans="1:20" x14ac:dyDescent="0.25">
      <c r="A454" s="5">
        <v>44139</v>
      </c>
      <c r="B454">
        <v>8.9009999999999998</v>
      </c>
      <c r="C454">
        <v>8.91</v>
      </c>
      <c r="D454">
        <v>7.6619999999999999</v>
      </c>
      <c r="E454">
        <v>7.9109999999999996</v>
      </c>
      <c r="F454">
        <v>127303.6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-0.6009615384615391</v>
      </c>
      <c r="Q454">
        <f t="shared" ref="Q454:Q517" si="980">F454*P454</f>
        <v>-76504.567307692399</v>
      </c>
      <c r="R454">
        <f t="shared" ref="R454:R517" si="981">R455+Q454</f>
        <v>-2447251.8736109752</v>
      </c>
      <c r="S454">
        <f t="shared" ref="S454:S517" si="982">R454/100000</f>
        <v>-24.472518736109752</v>
      </c>
      <c r="T454">
        <f t="shared" ref="T454:T517" si="983">S454/1000</f>
        <v>-2.4472518736109752E-2</v>
      </c>
    </row>
    <row r="455" spans="1:20" x14ac:dyDescent="0.25">
      <c r="A455" s="5">
        <v>44138</v>
      </c>
      <c r="B455">
        <v>8.1509999999999998</v>
      </c>
      <c r="C455">
        <v>9.75</v>
      </c>
      <c r="D455">
        <v>7.75</v>
      </c>
      <c r="E455">
        <v>8.8469999999999995</v>
      </c>
      <c r="F455">
        <v>212306.41500000001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9.6999999999999531E-2</v>
      </c>
      <c r="Q455">
        <f t="shared" si="980"/>
        <v>20593.722254999902</v>
      </c>
      <c r="R455">
        <f t="shared" si="981"/>
        <v>-2370747.3063032827</v>
      </c>
      <c r="S455">
        <f t="shared" si="982"/>
        <v>-23.707473063032829</v>
      </c>
      <c r="T455">
        <f t="shared" si="983"/>
        <v>-2.3707473063032829E-2</v>
      </c>
    </row>
    <row r="456" spans="1:20" x14ac:dyDescent="0.25">
      <c r="A456" s="5">
        <v>44137</v>
      </c>
      <c r="B456">
        <v>9.1720000000000006</v>
      </c>
      <c r="C456">
        <v>9.4079999999999995</v>
      </c>
      <c r="D456">
        <v>7.9420000000000002</v>
      </c>
      <c r="E456">
        <v>8.1509999999999998</v>
      </c>
      <c r="F456">
        <v>116975.586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-0.7148703956343796</v>
      </c>
      <c r="Q456">
        <f t="shared" si="980"/>
        <v>-83622.383443383398</v>
      </c>
      <c r="R456">
        <f t="shared" si="981"/>
        <v>-2391341.0285582826</v>
      </c>
      <c r="S456">
        <f t="shared" si="982"/>
        <v>-23.913410285582827</v>
      </c>
      <c r="T456">
        <f t="shared" si="983"/>
        <v>-2.3913410285582828E-2</v>
      </c>
    </row>
    <row r="457" spans="1:20" x14ac:dyDescent="0.25">
      <c r="A457" s="5">
        <v>44136</v>
      </c>
      <c r="B457">
        <v>9</v>
      </c>
      <c r="C457">
        <v>9.5589999999999993</v>
      </c>
      <c r="D457">
        <v>8.5380000000000003</v>
      </c>
      <c r="E457">
        <v>9.1539999999999999</v>
      </c>
      <c r="F457">
        <v>124472.58500000001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0.20666013712047063</v>
      </c>
      <c r="Q457">
        <f t="shared" si="980"/>
        <v>25723.521483839435</v>
      </c>
      <c r="R457">
        <f t="shared" si="981"/>
        <v>-2307718.6451148991</v>
      </c>
      <c r="S457">
        <f t="shared" si="982"/>
        <v>-23.077186451148993</v>
      </c>
      <c r="T457">
        <f t="shared" si="983"/>
        <v>-2.3077186451148993E-2</v>
      </c>
    </row>
    <row r="458" spans="1:20" x14ac:dyDescent="0.25">
      <c r="A458" s="5">
        <v>44135</v>
      </c>
      <c r="B458">
        <v>8.4600000000000009</v>
      </c>
      <c r="C458">
        <v>10.9</v>
      </c>
      <c r="D458">
        <v>8.4600000000000009</v>
      </c>
      <c r="E458">
        <v>8.9960000000000004</v>
      </c>
      <c r="F458">
        <v>335740.6</v>
      </c>
      <c r="G458">
        <v>0</v>
      </c>
      <c r="L458" t="s">
        <v>8</v>
      </c>
      <c r="M458" t="s">
        <v>8</v>
      </c>
      <c r="N458" t="s">
        <v>8</v>
      </c>
      <c r="P458">
        <f t="shared" si="979"/>
        <v>-0.56065573770491828</v>
      </c>
      <c r="Q458">
        <f t="shared" si="980"/>
        <v>-188234.89377049188</v>
      </c>
      <c r="R458">
        <f t="shared" si="981"/>
        <v>-2333442.1665987386</v>
      </c>
      <c r="S458">
        <f t="shared" si="982"/>
        <v>-23.334421665987385</v>
      </c>
      <c r="T458">
        <f t="shared" si="983"/>
        <v>-2.3334421665987384E-2</v>
      </c>
    </row>
    <row r="459" spans="1:20" x14ac:dyDescent="0.25">
      <c r="A459" s="5">
        <v>44134</v>
      </c>
      <c r="B459">
        <v>7.843</v>
      </c>
      <c r="C459">
        <v>8.9</v>
      </c>
      <c r="D459">
        <v>7.048</v>
      </c>
      <c r="E459">
        <v>8.4629999999999992</v>
      </c>
      <c r="F459">
        <v>146737.731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0.52807775377969646</v>
      </c>
      <c r="Q459">
        <f t="shared" si="980"/>
        <v>77488.931381209331</v>
      </c>
      <c r="R459">
        <f t="shared" si="981"/>
        <v>-2145207.2728282469</v>
      </c>
      <c r="S459">
        <f t="shared" si="982"/>
        <v>-21.45207272828247</v>
      </c>
      <c r="T459">
        <f t="shared" si="983"/>
        <v>-2.1452072728282472E-2</v>
      </c>
    </row>
    <row r="460" spans="1:20" x14ac:dyDescent="0.25">
      <c r="A460" s="5">
        <v>44133</v>
      </c>
      <c r="B460">
        <v>8.4429999999999996</v>
      </c>
      <c r="C460">
        <v>8.6329999999999991</v>
      </c>
      <c r="D460">
        <v>7.6580000000000004</v>
      </c>
      <c r="E460">
        <v>7.84</v>
      </c>
      <c r="F460">
        <v>102392.164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-0.62666666666666726</v>
      </c>
      <c r="Q460">
        <f t="shared" si="980"/>
        <v>-64165.756106666733</v>
      </c>
      <c r="R460">
        <f t="shared" si="981"/>
        <v>-2222696.2042094562</v>
      </c>
      <c r="S460">
        <f t="shared" si="982"/>
        <v>-22.226962042094563</v>
      </c>
      <c r="T460">
        <f t="shared" si="983"/>
        <v>-2.2226962042094563E-2</v>
      </c>
    </row>
    <row r="461" spans="1:20" x14ac:dyDescent="0.25">
      <c r="A461" s="5">
        <v>44132</v>
      </c>
      <c r="B461">
        <v>9.4</v>
      </c>
      <c r="C461">
        <v>9.7189999999999994</v>
      </c>
      <c r="D461">
        <v>8.1660000000000004</v>
      </c>
      <c r="E461">
        <v>8.4359999999999999</v>
      </c>
      <c r="F461">
        <v>129336.541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-0.6522858982614298</v>
      </c>
      <c r="Q461">
        <f t="shared" si="980"/>
        <v>-84364.401824211236</v>
      </c>
      <c r="R461">
        <f t="shared" si="981"/>
        <v>-2158530.4481027895</v>
      </c>
      <c r="S461">
        <f t="shared" si="982"/>
        <v>-21.585304481027894</v>
      </c>
      <c r="T461">
        <f t="shared" si="983"/>
        <v>-2.1585304481027894E-2</v>
      </c>
    </row>
    <row r="462" spans="1:20" x14ac:dyDescent="0.25">
      <c r="A462" s="5">
        <v>44131</v>
      </c>
      <c r="B462">
        <v>9.8840000000000003</v>
      </c>
      <c r="C462">
        <v>10.6</v>
      </c>
      <c r="D462">
        <v>9.33</v>
      </c>
      <c r="E462">
        <v>9.4220000000000006</v>
      </c>
      <c r="F462">
        <v>142864.342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-0.85511811023621964</v>
      </c>
      <c r="Q462">
        <f t="shared" si="980"/>
        <v>-122165.88615118098</v>
      </c>
      <c r="R462">
        <f t="shared" si="981"/>
        <v>-2074166.0462785782</v>
      </c>
      <c r="S462">
        <f t="shared" si="982"/>
        <v>-20.741660462785781</v>
      </c>
      <c r="T462">
        <f t="shared" si="983"/>
        <v>-2.074166046278578E-2</v>
      </c>
    </row>
    <row r="463" spans="1:20" x14ac:dyDescent="0.25">
      <c r="A463" s="5">
        <v>44130</v>
      </c>
      <c r="B463">
        <v>12.295</v>
      </c>
      <c r="C463">
        <v>12.316000000000001</v>
      </c>
      <c r="D463">
        <v>9.0299999999999994</v>
      </c>
      <c r="E463">
        <v>9.8870000000000005</v>
      </c>
      <c r="F463">
        <v>211538.16699999999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-0.47839318320146029</v>
      </c>
      <c r="Q463">
        <f t="shared" si="980"/>
        <v>-101198.4170797321</v>
      </c>
      <c r="R463">
        <f t="shared" si="981"/>
        <v>-1952000.1601273972</v>
      </c>
      <c r="S463">
        <f t="shared" si="982"/>
        <v>-19.520001601273972</v>
      </c>
      <c r="T463">
        <f t="shared" si="983"/>
        <v>-1.952000160127397E-2</v>
      </c>
    </row>
    <row r="464" spans="1:20" x14ac:dyDescent="0.25">
      <c r="A464" s="5">
        <v>44129</v>
      </c>
      <c r="B464">
        <v>12.734999999999999</v>
      </c>
      <c r="C464">
        <v>13.131</v>
      </c>
      <c r="D464">
        <v>11.44</v>
      </c>
      <c r="E464">
        <v>12.298</v>
      </c>
      <c r="F464">
        <v>121891.47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1.4784151389710435E-2</v>
      </c>
      <c r="Q464">
        <f t="shared" si="980"/>
        <v>1802.0619455943477</v>
      </c>
      <c r="R464">
        <f t="shared" si="981"/>
        <v>-1850801.7430476651</v>
      </c>
      <c r="S464">
        <f t="shared" si="982"/>
        <v>-18.508017430476652</v>
      </c>
      <c r="T464">
        <f t="shared" si="983"/>
        <v>-1.8508017430476652E-2</v>
      </c>
    </row>
    <row r="465" spans="1:20" x14ac:dyDescent="0.25">
      <c r="A465" s="5">
        <v>44128</v>
      </c>
      <c r="B465">
        <v>13.773999999999999</v>
      </c>
      <c r="C465">
        <v>13.8</v>
      </c>
      <c r="D465">
        <v>12.493</v>
      </c>
      <c r="E465">
        <v>12.701000000000001</v>
      </c>
      <c r="F465">
        <v>135242.715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-0.68171384850803352</v>
      </c>
      <c r="Q465">
        <f t="shared" si="980"/>
        <v>-92196.831725325144</v>
      </c>
      <c r="R465">
        <f t="shared" si="981"/>
        <v>-1852603.8049932595</v>
      </c>
      <c r="S465">
        <f t="shared" si="982"/>
        <v>-18.526038049932595</v>
      </c>
      <c r="T465">
        <f t="shared" si="983"/>
        <v>-1.8526038049932594E-2</v>
      </c>
    </row>
    <row r="466" spans="1:20" x14ac:dyDescent="0.25">
      <c r="A466" s="5">
        <v>44127</v>
      </c>
      <c r="B466">
        <v>14.664</v>
      </c>
      <c r="C466">
        <v>14.949</v>
      </c>
      <c r="D466">
        <v>13.57</v>
      </c>
      <c r="E466">
        <v>13.762</v>
      </c>
      <c r="F466">
        <v>79795.648000000001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-0.72153734590282781</v>
      </c>
      <c r="Q466">
        <f t="shared" si="980"/>
        <v>-57575.540072516291</v>
      </c>
      <c r="R466">
        <f t="shared" si="981"/>
        <v>-1760406.9732679343</v>
      </c>
      <c r="S466">
        <f t="shared" si="982"/>
        <v>-17.604069732679342</v>
      </c>
      <c r="T466">
        <f t="shared" si="983"/>
        <v>-1.7604069732679341E-2</v>
      </c>
    </row>
    <row r="467" spans="1:20" x14ac:dyDescent="0.25">
      <c r="A467" s="5">
        <v>44126</v>
      </c>
      <c r="B467">
        <v>14.601000000000001</v>
      </c>
      <c r="C467">
        <v>16.100000000000001</v>
      </c>
      <c r="D467">
        <v>14.35</v>
      </c>
      <c r="E467">
        <v>14.592000000000001</v>
      </c>
      <c r="F467">
        <v>106471.087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-0.72342857142857075</v>
      </c>
      <c r="Q467">
        <f t="shared" si="980"/>
        <v>-77024.226366857067</v>
      </c>
      <c r="R467">
        <f t="shared" si="981"/>
        <v>-1702831.433195418</v>
      </c>
      <c r="S467">
        <f t="shared" si="982"/>
        <v>-17.028314331954181</v>
      </c>
      <c r="T467">
        <f t="shared" si="983"/>
        <v>-1.7028314331954182E-2</v>
      </c>
    </row>
    <row r="468" spans="1:20" x14ac:dyDescent="0.25">
      <c r="A468" s="5">
        <v>44125</v>
      </c>
      <c r="B468">
        <v>14.643000000000001</v>
      </c>
      <c r="C468">
        <v>15.407</v>
      </c>
      <c r="D468">
        <v>14.167999999999999</v>
      </c>
      <c r="E468">
        <v>14.602</v>
      </c>
      <c r="F468">
        <v>105203.985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-0.29943502824858631</v>
      </c>
      <c r="Q468">
        <f t="shared" si="980"/>
        <v>-31501.758220338852</v>
      </c>
      <c r="R468">
        <f t="shared" si="981"/>
        <v>-1625807.2068285609</v>
      </c>
      <c r="S468">
        <f t="shared" si="982"/>
        <v>-16.25807206828561</v>
      </c>
      <c r="T468">
        <f t="shared" si="983"/>
        <v>-1.6258072068285612E-2</v>
      </c>
    </row>
    <row r="469" spans="1:20" x14ac:dyDescent="0.25">
      <c r="A469" s="5">
        <v>44124</v>
      </c>
      <c r="B469">
        <v>16.48</v>
      </c>
      <c r="C469">
        <v>16.62</v>
      </c>
      <c r="D469">
        <v>14.3</v>
      </c>
      <c r="E469">
        <v>14.628</v>
      </c>
      <c r="F469">
        <v>104248.035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-0.71724137931034537</v>
      </c>
      <c r="Q469">
        <f t="shared" si="980"/>
        <v>-74771.004413793169</v>
      </c>
      <c r="R469">
        <f t="shared" si="981"/>
        <v>-1594305.448608222</v>
      </c>
      <c r="S469">
        <f t="shared" si="982"/>
        <v>-15.94305448608222</v>
      </c>
      <c r="T469">
        <f t="shared" si="983"/>
        <v>-1.5943054486082221E-2</v>
      </c>
    </row>
    <row r="470" spans="1:20" x14ac:dyDescent="0.25">
      <c r="A470" s="5">
        <v>44123</v>
      </c>
      <c r="B470">
        <v>16.297999999999998</v>
      </c>
      <c r="C470">
        <v>18.337</v>
      </c>
      <c r="D470">
        <v>16</v>
      </c>
      <c r="E470">
        <v>16.475000000000001</v>
      </c>
      <c r="F470">
        <v>148230.15299999999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-0.59349593495934838</v>
      </c>
      <c r="Q470">
        <f t="shared" si="980"/>
        <v>-87973.993243902252</v>
      </c>
      <c r="R470">
        <f t="shared" si="981"/>
        <v>-1519534.4441944289</v>
      </c>
      <c r="S470">
        <f t="shared" si="982"/>
        <v>-15.195344441944288</v>
      </c>
      <c r="T470">
        <f t="shared" si="983"/>
        <v>-1.5195344441944288E-2</v>
      </c>
    </row>
    <row r="471" spans="1:20" x14ac:dyDescent="0.25">
      <c r="A471" s="5">
        <v>44122</v>
      </c>
      <c r="B471">
        <v>16.158000000000001</v>
      </c>
      <c r="C471">
        <v>17</v>
      </c>
      <c r="D471">
        <v>15.881</v>
      </c>
      <c r="E471">
        <v>16.297000000000001</v>
      </c>
      <c r="F471">
        <v>63342.603000000003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-0.25647899910634414</v>
      </c>
      <c r="Q471">
        <f t="shared" si="980"/>
        <v>-16246.047418230512</v>
      </c>
      <c r="R471">
        <f t="shared" si="981"/>
        <v>-1431560.4509505266</v>
      </c>
      <c r="S471">
        <f t="shared" si="982"/>
        <v>-14.315604509505267</v>
      </c>
      <c r="T471">
        <f t="shared" si="983"/>
        <v>-1.4315604509505267E-2</v>
      </c>
    </row>
    <row r="472" spans="1:20" x14ac:dyDescent="0.25">
      <c r="A472" s="5">
        <v>44121</v>
      </c>
      <c r="B472">
        <v>16.536999999999999</v>
      </c>
      <c r="C472">
        <v>16.643000000000001</v>
      </c>
      <c r="D472">
        <v>15.577</v>
      </c>
      <c r="E472">
        <v>16.161999999999999</v>
      </c>
      <c r="F472">
        <v>69426.263999999996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9.7560975609753617E-2</v>
      </c>
      <c r="Q472">
        <f t="shared" si="980"/>
        <v>6773.2940487803153</v>
      </c>
      <c r="R472">
        <f t="shared" si="981"/>
        <v>-1415314.4035322962</v>
      </c>
      <c r="S472">
        <f t="shared" si="982"/>
        <v>-14.153144035322962</v>
      </c>
      <c r="T472">
        <f t="shared" si="983"/>
        <v>-1.4153144035322961E-2</v>
      </c>
    </row>
    <row r="473" spans="1:20" x14ac:dyDescent="0.25">
      <c r="A473" s="5">
        <v>44120</v>
      </c>
      <c r="B473">
        <v>17.579999999999998</v>
      </c>
      <c r="C473">
        <v>17.600000000000001</v>
      </c>
      <c r="D473">
        <v>15.52</v>
      </c>
      <c r="E473">
        <v>16.488</v>
      </c>
      <c r="F473">
        <v>96413.665999999997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-6.9230769230770081E-2</v>
      </c>
      <c r="Q473">
        <f t="shared" si="980"/>
        <v>-6674.7922615385432</v>
      </c>
      <c r="R473">
        <f t="shared" si="981"/>
        <v>-1422087.6975810765</v>
      </c>
      <c r="S473">
        <f t="shared" si="982"/>
        <v>-14.220876975810766</v>
      </c>
      <c r="T473">
        <f t="shared" si="983"/>
        <v>-1.4220876975810766E-2</v>
      </c>
    </row>
    <row r="474" spans="1:20" x14ac:dyDescent="0.25">
      <c r="A474" s="5">
        <v>44119</v>
      </c>
      <c r="B474">
        <v>17.504999999999999</v>
      </c>
      <c r="C474">
        <v>19.16</v>
      </c>
      <c r="D474">
        <v>16.390999999999998</v>
      </c>
      <c r="E474">
        <v>17.579999999999998</v>
      </c>
      <c r="F474">
        <v>134743.68299999999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-0.14120621162874739</v>
      </c>
      <c r="Q474">
        <f t="shared" si="980"/>
        <v>-19026.645017334849</v>
      </c>
      <c r="R474">
        <f t="shared" si="981"/>
        <v>-1415412.905319538</v>
      </c>
      <c r="S474">
        <f t="shared" si="982"/>
        <v>-14.15412905319538</v>
      </c>
      <c r="T474">
        <f t="shared" si="983"/>
        <v>-1.415412905319538E-2</v>
      </c>
    </row>
    <row r="475" spans="1:20" x14ac:dyDescent="0.25">
      <c r="A475" s="5">
        <v>44118</v>
      </c>
      <c r="B475">
        <v>18.61</v>
      </c>
      <c r="C475">
        <v>19.693000000000001</v>
      </c>
      <c r="D475">
        <v>17.11</v>
      </c>
      <c r="E475">
        <v>17.545000000000002</v>
      </c>
      <c r="F475">
        <v>106382.768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-0.66318234610917393</v>
      </c>
      <c r="Q475">
        <f t="shared" si="980"/>
        <v>-70551.173667827956</v>
      </c>
      <c r="R475">
        <f t="shared" si="981"/>
        <v>-1396386.260302203</v>
      </c>
      <c r="S475">
        <f t="shared" si="982"/>
        <v>-13.963862603022029</v>
      </c>
      <c r="T475">
        <f t="shared" si="983"/>
        <v>-1.3963862603022029E-2</v>
      </c>
    </row>
    <row r="476" spans="1:20" x14ac:dyDescent="0.25">
      <c r="A476" s="5">
        <v>44117</v>
      </c>
      <c r="B476">
        <v>18.649999999999999</v>
      </c>
      <c r="C476">
        <v>19.294</v>
      </c>
      <c r="D476">
        <v>18.082999999999998</v>
      </c>
      <c r="E476">
        <v>18.579999999999998</v>
      </c>
      <c r="F476">
        <v>59029.949000000001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-0.17919075144508831</v>
      </c>
      <c r="Q476">
        <f t="shared" si="980"/>
        <v>-10577.62091907524</v>
      </c>
      <c r="R476">
        <f t="shared" si="981"/>
        <v>-1325835.0866343752</v>
      </c>
      <c r="S476">
        <f t="shared" si="982"/>
        <v>-13.258350866343752</v>
      </c>
      <c r="T476">
        <f t="shared" si="983"/>
        <v>-1.3258350866343752E-2</v>
      </c>
    </row>
    <row r="477" spans="1:20" x14ac:dyDescent="0.25">
      <c r="A477" s="5">
        <v>44116</v>
      </c>
      <c r="B477">
        <v>19.387</v>
      </c>
      <c r="C477">
        <v>20</v>
      </c>
      <c r="D477">
        <v>17.7</v>
      </c>
      <c r="E477">
        <v>18.655999999999999</v>
      </c>
      <c r="F477">
        <v>94491.043999999994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-0.16869565217391372</v>
      </c>
      <c r="Q477">
        <f t="shared" si="980"/>
        <v>-15940.228292173975</v>
      </c>
      <c r="R477">
        <f t="shared" si="981"/>
        <v>-1315257.4657152998</v>
      </c>
      <c r="S477">
        <f t="shared" si="982"/>
        <v>-13.152574657152998</v>
      </c>
      <c r="T477">
        <f t="shared" si="983"/>
        <v>-1.3152574657152999E-2</v>
      </c>
    </row>
    <row r="478" spans="1:20" x14ac:dyDescent="0.25">
      <c r="A478" s="5">
        <v>44115</v>
      </c>
      <c r="B478">
        <v>18.802</v>
      </c>
      <c r="C478">
        <v>20.6</v>
      </c>
      <c r="D478">
        <v>17.89</v>
      </c>
      <c r="E478">
        <v>19.437000000000001</v>
      </c>
      <c r="F478">
        <v>97028.023000000001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0.14169741697416982</v>
      </c>
      <c r="Q478">
        <f t="shared" si="980"/>
        <v>13748.62023321034</v>
      </c>
      <c r="R478">
        <f t="shared" si="981"/>
        <v>-1299317.2374231259</v>
      </c>
      <c r="S478">
        <f t="shared" si="982"/>
        <v>-12.993172374231259</v>
      </c>
      <c r="T478">
        <f t="shared" si="983"/>
        <v>-1.299317237423126E-2</v>
      </c>
    </row>
    <row r="479" spans="1:20" x14ac:dyDescent="0.25">
      <c r="A479" s="5">
        <v>44114</v>
      </c>
      <c r="B479">
        <v>21.024999999999999</v>
      </c>
      <c r="C479">
        <v>21.396999999999998</v>
      </c>
      <c r="D479">
        <v>18.632999999999999</v>
      </c>
      <c r="E479">
        <v>18.8</v>
      </c>
      <c r="F479">
        <v>108544.177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-0.87916063675832012</v>
      </c>
      <c r="Q479">
        <f t="shared" si="980"/>
        <v>-95427.767767727797</v>
      </c>
      <c r="R479">
        <f t="shared" si="981"/>
        <v>-1313065.8576563362</v>
      </c>
      <c r="S479">
        <f t="shared" si="982"/>
        <v>-13.130658576563361</v>
      </c>
      <c r="T479">
        <f t="shared" si="983"/>
        <v>-1.3130658576563361E-2</v>
      </c>
    </row>
    <row r="480" spans="1:20" x14ac:dyDescent="0.25">
      <c r="A480" s="5">
        <v>44113</v>
      </c>
      <c r="B480">
        <v>22.773</v>
      </c>
      <c r="C480">
        <v>22.904</v>
      </c>
      <c r="D480">
        <v>19.968</v>
      </c>
      <c r="E480">
        <v>21.024999999999999</v>
      </c>
      <c r="F480">
        <v>148399.065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-0.27997275204359767</v>
      </c>
      <c r="Q480">
        <f t="shared" si="980"/>
        <v>-41547.694628746736</v>
      </c>
      <c r="R480">
        <f t="shared" si="981"/>
        <v>-1217638.0898886083</v>
      </c>
      <c r="S480">
        <f t="shared" si="982"/>
        <v>-12.176380898886084</v>
      </c>
      <c r="T480">
        <f t="shared" si="983"/>
        <v>-1.2176380898886084E-2</v>
      </c>
    </row>
    <row r="481" spans="1:20" x14ac:dyDescent="0.25">
      <c r="A481" s="5">
        <v>44112</v>
      </c>
      <c r="B481">
        <v>18.728000000000002</v>
      </c>
      <c r="C481">
        <v>24.989000000000001</v>
      </c>
      <c r="D481">
        <v>16.8</v>
      </c>
      <c r="E481">
        <v>22.9</v>
      </c>
      <c r="F481">
        <v>258403.967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0.48980339479789908</v>
      </c>
      <c r="Q481">
        <f t="shared" si="980"/>
        <v>126567.14026584428</v>
      </c>
      <c r="R481">
        <f t="shared" si="981"/>
        <v>-1176090.3952598616</v>
      </c>
      <c r="S481">
        <f t="shared" si="982"/>
        <v>-11.760903952598616</v>
      </c>
      <c r="T481">
        <f t="shared" si="983"/>
        <v>-1.1760903952598616E-2</v>
      </c>
    </row>
    <row r="482" spans="1:20" x14ac:dyDescent="0.25">
      <c r="A482" s="5">
        <v>44111</v>
      </c>
      <c r="B482">
        <v>21.669</v>
      </c>
      <c r="C482">
        <v>22.2</v>
      </c>
      <c r="D482">
        <v>18.350999999999999</v>
      </c>
      <c r="E482">
        <v>18.728999999999999</v>
      </c>
      <c r="F482">
        <v>150946.90400000001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-0.80358534684333593</v>
      </c>
      <c r="Q482">
        <f t="shared" si="980"/>
        <v>-121298.72020576774</v>
      </c>
      <c r="R482">
        <f t="shared" si="981"/>
        <v>-1302657.5355257059</v>
      </c>
      <c r="S482">
        <f t="shared" si="982"/>
        <v>-13.026575355257059</v>
      </c>
      <c r="T482">
        <f t="shared" si="983"/>
        <v>-1.3026575355257058E-2</v>
      </c>
    </row>
    <row r="483" spans="1:20" x14ac:dyDescent="0.25">
      <c r="A483" s="5">
        <v>44110</v>
      </c>
      <c r="B483">
        <v>19.251000000000001</v>
      </c>
      <c r="C483">
        <v>25.7</v>
      </c>
      <c r="D483">
        <v>18.696999999999999</v>
      </c>
      <c r="E483">
        <v>21.667000000000002</v>
      </c>
      <c r="F483">
        <v>541299.902</v>
      </c>
      <c r="G483">
        <v>0</v>
      </c>
      <c r="L483" t="s">
        <v>8</v>
      </c>
      <c r="M483" t="s">
        <v>8</v>
      </c>
      <c r="N483" t="s">
        <v>8</v>
      </c>
      <c r="P483">
        <f t="shared" si="979"/>
        <v>-0.15179208910466876</v>
      </c>
      <c r="Q483">
        <f t="shared" si="980"/>
        <v>-82165.042956732475</v>
      </c>
      <c r="R483">
        <f t="shared" si="981"/>
        <v>-1181358.8153199381</v>
      </c>
      <c r="S483">
        <f t="shared" si="982"/>
        <v>-11.813588153199381</v>
      </c>
      <c r="T483">
        <f t="shared" si="983"/>
        <v>-1.1813588153199382E-2</v>
      </c>
    </row>
    <row r="484" spans="1:20" x14ac:dyDescent="0.25">
      <c r="A484" s="5">
        <v>44109</v>
      </c>
      <c r="B484">
        <v>19.478000000000002</v>
      </c>
      <c r="C484">
        <v>20.289000000000001</v>
      </c>
      <c r="D484">
        <v>16.702999999999999</v>
      </c>
      <c r="E484">
        <v>19.251000000000001</v>
      </c>
      <c r="F484">
        <v>196010.84099999999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0.42108198549916359</v>
      </c>
      <c r="Q484">
        <f t="shared" si="980"/>
        <v>82536.634107640857</v>
      </c>
      <c r="R484">
        <f t="shared" si="981"/>
        <v>-1099193.7723632057</v>
      </c>
      <c r="S484">
        <f t="shared" si="982"/>
        <v>-10.991937723632057</v>
      </c>
      <c r="T484">
        <f t="shared" si="983"/>
        <v>-1.0991937723632057E-2</v>
      </c>
    </row>
    <row r="485" spans="1:20" x14ac:dyDescent="0.25">
      <c r="A485" s="5">
        <v>44108</v>
      </c>
      <c r="B485">
        <v>24.818000000000001</v>
      </c>
      <c r="C485">
        <v>24.861999999999998</v>
      </c>
      <c r="D485">
        <v>18.739999999999998</v>
      </c>
      <c r="E485">
        <v>19.484000000000002</v>
      </c>
      <c r="F485">
        <v>193246.39600000001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-0.75694217575955458</v>
      </c>
      <c r="Q485">
        <f t="shared" si="980"/>
        <v>-146276.34744593248</v>
      </c>
      <c r="R485">
        <f t="shared" si="981"/>
        <v>-1181730.4064708466</v>
      </c>
      <c r="S485">
        <f t="shared" si="982"/>
        <v>-11.817304064708466</v>
      </c>
      <c r="T485">
        <f t="shared" si="983"/>
        <v>-1.1817304064708467E-2</v>
      </c>
    </row>
    <row r="486" spans="1:20" x14ac:dyDescent="0.25">
      <c r="A486" s="5">
        <v>44107</v>
      </c>
      <c r="B486">
        <v>24.5</v>
      </c>
      <c r="C486">
        <v>30.56</v>
      </c>
      <c r="D486">
        <v>21.751000000000001</v>
      </c>
      <c r="E486">
        <v>24.81</v>
      </c>
      <c r="F486">
        <v>539113.50800000003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-0.30548302872062699</v>
      </c>
      <c r="Q486">
        <f t="shared" si="980"/>
        <v>-164690.02724804197</v>
      </c>
      <c r="R486">
        <f t="shared" si="981"/>
        <v>-1035454.0590249141</v>
      </c>
      <c r="S486">
        <f t="shared" si="982"/>
        <v>-10.35454059024914</v>
      </c>
      <c r="T486">
        <f t="shared" si="983"/>
        <v>-1.035454059024914E-2</v>
      </c>
    </row>
    <row r="487" spans="1:20" x14ac:dyDescent="0.25">
      <c r="A487" s="5">
        <v>44106</v>
      </c>
      <c r="B487">
        <v>17.34</v>
      </c>
      <c r="C487">
        <v>25.5</v>
      </c>
      <c r="D487">
        <v>16.538</v>
      </c>
      <c r="E487">
        <v>24.545999999999999</v>
      </c>
      <c r="F487">
        <v>434091.03399999999</v>
      </c>
      <c r="G487">
        <v>0</v>
      </c>
      <c r="L487" t="s">
        <v>8</v>
      </c>
      <c r="M487" t="s">
        <v>8</v>
      </c>
      <c r="N487" t="s">
        <v>8</v>
      </c>
      <c r="P487">
        <f t="shared" si="979"/>
        <v>0.78710109350591373</v>
      </c>
      <c r="Q487">
        <f t="shared" si="980"/>
        <v>341673.52754251275</v>
      </c>
      <c r="R487">
        <f t="shared" si="981"/>
        <v>-870764.03177687211</v>
      </c>
      <c r="S487">
        <f t="shared" si="982"/>
        <v>-8.7076403177687212</v>
      </c>
      <c r="T487">
        <f t="shared" si="983"/>
        <v>-8.7076403177687219E-3</v>
      </c>
    </row>
    <row r="488" spans="1:20" x14ac:dyDescent="0.25">
      <c r="A488" s="5">
        <v>44105</v>
      </c>
      <c r="B488">
        <v>16.588999999999999</v>
      </c>
      <c r="C488">
        <v>20.433</v>
      </c>
      <c r="D488">
        <v>15.627000000000001</v>
      </c>
      <c r="E488">
        <v>17.344000000000001</v>
      </c>
      <c r="F488">
        <v>230737.83900000001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-0.2854764877236784</v>
      </c>
      <c r="Q488">
        <f t="shared" si="980"/>
        <v>-65870.227862671585</v>
      </c>
      <c r="R488">
        <f t="shared" si="981"/>
        <v>-1212437.5593193849</v>
      </c>
      <c r="S488">
        <f t="shared" si="982"/>
        <v>-12.124375593193848</v>
      </c>
      <c r="T488">
        <f t="shared" si="983"/>
        <v>-1.2124375593193848E-2</v>
      </c>
    </row>
    <row r="489" spans="1:20" x14ac:dyDescent="0.25">
      <c r="A489" s="5">
        <v>44104</v>
      </c>
      <c r="B489">
        <v>16.3</v>
      </c>
      <c r="C489">
        <v>17.678000000000001</v>
      </c>
      <c r="D489">
        <v>14.02</v>
      </c>
      <c r="E489">
        <v>16.547000000000001</v>
      </c>
      <c r="F489">
        <v>123034.912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0.38162930563149272</v>
      </c>
      <c r="Q489">
        <f t="shared" si="980"/>
        <v>46953.728034991807</v>
      </c>
      <c r="R489">
        <f t="shared" si="981"/>
        <v>-1146567.3314567134</v>
      </c>
      <c r="S489">
        <f t="shared" si="982"/>
        <v>-11.465673314567134</v>
      </c>
      <c r="T489">
        <f t="shared" si="983"/>
        <v>-1.1465673314567134E-2</v>
      </c>
    </row>
    <row r="490" spans="1:20" x14ac:dyDescent="0.25">
      <c r="A490" s="5">
        <v>44103</v>
      </c>
      <c r="B490">
        <v>17.846</v>
      </c>
      <c r="C490">
        <v>18.369</v>
      </c>
      <c r="D490">
        <v>15.589</v>
      </c>
      <c r="E490">
        <v>16.3</v>
      </c>
      <c r="F490">
        <v>89842.114000000001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-0.4884892086330932</v>
      </c>
      <c r="Q490">
        <f t="shared" si="980"/>
        <v>-43886.903169784142</v>
      </c>
      <c r="R490">
        <f t="shared" si="981"/>
        <v>-1193521.0594917051</v>
      </c>
      <c r="S490">
        <f t="shared" si="982"/>
        <v>-11.935210594917052</v>
      </c>
      <c r="T490">
        <f t="shared" si="983"/>
        <v>-1.1935210594917051E-2</v>
      </c>
    </row>
    <row r="491" spans="1:20" x14ac:dyDescent="0.25">
      <c r="A491" s="5">
        <v>44102</v>
      </c>
      <c r="B491">
        <v>21.773</v>
      </c>
      <c r="C491">
        <v>25.975999999999999</v>
      </c>
      <c r="D491">
        <v>17.62</v>
      </c>
      <c r="E491">
        <v>17.885999999999999</v>
      </c>
      <c r="F491">
        <v>145297.617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-0.93633317376735326</v>
      </c>
      <c r="Q491">
        <f t="shared" si="980"/>
        <v>-136046.97886644333</v>
      </c>
      <c r="R491">
        <f t="shared" si="981"/>
        <v>-1149634.1563219209</v>
      </c>
      <c r="S491">
        <f t="shared" si="982"/>
        <v>-11.496341563219209</v>
      </c>
      <c r="T491">
        <f t="shared" si="983"/>
        <v>-1.1496341563219209E-2</v>
      </c>
    </row>
    <row r="492" spans="1:20" x14ac:dyDescent="0.25">
      <c r="A492" s="5">
        <v>44101</v>
      </c>
      <c r="B492">
        <v>24.683</v>
      </c>
      <c r="C492">
        <v>24.753</v>
      </c>
      <c r="D492">
        <v>21</v>
      </c>
      <c r="E492">
        <v>21.773</v>
      </c>
      <c r="F492">
        <v>100641.96799999999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-0.58806288302691201</v>
      </c>
      <c r="Q492">
        <f t="shared" si="980"/>
        <v>-59183.805855582221</v>
      </c>
      <c r="R492">
        <f t="shared" si="981"/>
        <v>-1013587.1774554776</v>
      </c>
      <c r="S492">
        <f t="shared" si="982"/>
        <v>-10.135871774554776</v>
      </c>
      <c r="T492">
        <f t="shared" si="983"/>
        <v>-1.0135871774554776E-2</v>
      </c>
    </row>
    <row r="493" spans="1:20" x14ac:dyDescent="0.25">
      <c r="A493" s="5">
        <v>44100</v>
      </c>
      <c r="B493">
        <v>25.550999999999998</v>
      </c>
      <c r="C493">
        <v>26.3</v>
      </c>
      <c r="D493">
        <v>24.3</v>
      </c>
      <c r="E493">
        <v>24.683</v>
      </c>
      <c r="F493">
        <v>49318.597000000002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-0.61700000000000088</v>
      </c>
      <c r="Q493">
        <f t="shared" si="980"/>
        <v>-30429.574349000046</v>
      </c>
      <c r="R493">
        <f t="shared" si="981"/>
        <v>-954403.37159989541</v>
      </c>
      <c r="S493">
        <f t="shared" si="982"/>
        <v>-9.544033715998955</v>
      </c>
      <c r="T493">
        <f t="shared" si="983"/>
        <v>-9.5440337159989549E-3</v>
      </c>
    </row>
    <row r="494" spans="1:20" x14ac:dyDescent="0.25">
      <c r="A494" s="5">
        <v>44099</v>
      </c>
      <c r="B494">
        <v>28.559000000000001</v>
      </c>
      <c r="C494">
        <v>29.053000000000001</v>
      </c>
      <c r="D494">
        <v>24.8</v>
      </c>
      <c r="E494">
        <v>25.518999999999998</v>
      </c>
      <c r="F494">
        <v>63772.697999999997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-0.66188572772160936</v>
      </c>
      <c r="Q494">
        <f t="shared" si="980"/>
        <v>-42210.238624500416</v>
      </c>
      <c r="R494">
        <f t="shared" si="981"/>
        <v>-923973.79725089541</v>
      </c>
      <c r="S494">
        <f t="shared" si="982"/>
        <v>-9.2397379725089532</v>
      </c>
      <c r="T494">
        <f t="shared" si="983"/>
        <v>-9.2397379725089532E-3</v>
      </c>
    </row>
    <row r="495" spans="1:20" x14ac:dyDescent="0.25">
      <c r="A495" s="5">
        <v>44098</v>
      </c>
      <c r="B495">
        <v>24.672999999999998</v>
      </c>
      <c r="C495">
        <v>33</v>
      </c>
      <c r="D495">
        <v>23.939</v>
      </c>
      <c r="E495">
        <v>28.559000000000001</v>
      </c>
      <c r="F495">
        <v>144705.587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1.9754993930030024E-2</v>
      </c>
      <c r="Q495">
        <f t="shared" si="980"/>
        <v>2858.6579928264314</v>
      </c>
      <c r="R495">
        <f t="shared" si="981"/>
        <v>-881763.55862639495</v>
      </c>
      <c r="S495">
        <f t="shared" si="982"/>
        <v>-8.8176355862639504</v>
      </c>
      <c r="T495">
        <f t="shared" si="983"/>
        <v>-8.8176355862639496E-3</v>
      </c>
    </row>
    <row r="496" spans="1:20" x14ac:dyDescent="0.25">
      <c r="A496" s="5">
        <v>44097</v>
      </c>
      <c r="B496">
        <v>33.613999999999997</v>
      </c>
      <c r="C496">
        <v>34.274000000000001</v>
      </c>
      <c r="D496">
        <v>24.024000000000001</v>
      </c>
      <c r="E496">
        <v>24.507999999999999</v>
      </c>
      <c r="F496">
        <v>150671.87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-0.90556097560975646</v>
      </c>
      <c r="Q496">
        <f t="shared" si="980"/>
        <v>-136442.56559414638</v>
      </c>
      <c r="R496">
        <f t="shared" si="981"/>
        <v>-884622.21661922138</v>
      </c>
      <c r="S496">
        <f t="shared" si="982"/>
        <v>-8.8462221661922129</v>
      </c>
      <c r="T496">
        <f t="shared" si="983"/>
        <v>-8.8462221661922136E-3</v>
      </c>
    </row>
    <row r="497" spans="1:20" x14ac:dyDescent="0.25">
      <c r="A497" s="5">
        <v>44096</v>
      </c>
      <c r="B497">
        <v>41.301000000000002</v>
      </c>
      <c r="C497">
        <v>45.798000000000002</v>
      </c>
      <c r="D497">
        <v>32.100999999999999</v>
      </c>
      <c r="E497">
        <v>33.613999999999997</v>
      </c>
      <c r="F497">
        <v>80168.096999999994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-0.7790757100094915</v>
      </c>
      <c r="Q497">
        <f t="shared" si="980"/>
        <v>-62457.017090384783</v>
      </c>
      <c r="R497">
        <f t="shared" si="981"/>
        <v>-748179.651025075</v>
      </c>
      <c r="S497">
        <f t="shared" si="982"/>
        <v>-7.4817965102507502</v>
      </c>
      <c r="T497">
        <f t="shared" si="983"/>
        <v>-7.4817965102507503E-3</v>
      </c>
    </row>
    <row r="498" spans="1:20" x14ac:dyDescent="0.25">
      <c r="A498" s="5">
        <v>44095</v>
      </c>
      <c r="B498">
        <v>56</v>
      </c>
      <c r="C498">
        <v>58</v>
      </c>
      <c r="D498">
        <v>37.143000000000001</v>
      </c>
      <c r="E498">
        <v>41.3</v>
      </c>
      <c r="F498">
        <v>92915.983999999997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-0.60138083137555765</v>
      </c>
      <c r="Q498">
        <f t="shared" si="980"/>
        <v>-55877.891705998009</v>
      </c>
      <c r="R498">
        <f t="shared" si="981"/>
        <v>-685722.63393469027</v>
      </c>
      <c r="S498">
        <f t="shared" si="982"/>
        <v>-6.8572263393469024</v>
      </c>
      <c r="T498">
        <f t="shared" si="983"/>
        <v>-6.8572263393469023E-3</v>
      </c>
    </row>
    <row r="499" spans="1:20" x14ac:dyDescent="0.25">
      <c r="A499" s="5">
        <v>44094</v>
      </c>
      <c r="B499">
        <v>66.566000000000003</v>
      </c>
      <c r="C499">
        <v>71.887</v>
      </c>
      <c r="D499">
        <v>52</v>
      </c>
      <c r="E499">
        <v>56.000999999999998</v>
      </c>
      <c r="F499">
        <v>87989.593999999997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-0.597626590234827</v>
      </c>
      <c r="Q499">
        <f t="shared" si="980"/>
        <v>-52584.921038366789</v>
      </c>
      <c r="R499">
        <f t="shared" si="981"/>
        <v>-629844.74222869228</v>
      </c>
      <c r="S499">
        <f t="shared" si="982"/>
        <v>-6.2984474222869231</v>
      </c>
      <c r="T499">
        <f t="shared" si="983"/>
        <v>-6.2984474222869229E-3</v>
      </c>
    </row>
    <row r="500" spans="1:20" x14ac:dyDescent="0.25">
      <c r="A500" s="5">
        <v>44093</v>
      </c>
      <c r="B500">
        <v>52.621000000000002</v>
      </c>
      <c r="C500">
        <v>79.962999999999994</v>
      </c>
      <c r="D500">
        <v>50.854999999999997</v>
      </c>
      <c r="E500">
        <v>66.561000000000007</v>
      </c>
      <c r="F500">
        <v>234243.32800000001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7.9153497320325117E-2</v>
      </c>
      <c r="Q500">
        <f t="shared" si="980"/>
        <v>18541.178635152039</v>
      </c>
      <c r="R500">
        <f t="shared" si="981"/>
        <v>-577259.82119032554</v>
      </c>
      <c r="S500">
        <f t="shared" si="982"/>
        <v>-5.7725982119032553</v>
      </c>
      <c r="T500">
        <f t="shared" si="983"/>
        <v>-5.7725982119032557E-3</v>
      </c>
    </row>
    <row r="501" spans="1:20" x14ac:dyDescent="0.25">
      <c r="A501" s="5">
        <v>44092</v>
      </c>
      <c r="B501">
        <v>62.652999999999999</v>
      </c>
      <c r="C501">
        <v>66.599000000000004</v>
      </c>
      <c r="D501">
        <v>51.097000000000001</v>
      </c>
      <c r="E501">
        <v>52.523000000000003</v>
      </c>
      <c r="F501">
        <v>128181.751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-0.81602373887240331</v>
      </c>
      <c r="Q501">
        <f t="shared" si="980"/>
        <v>-104599.35170623142</v>
      </c>
      <c r="R501">
        <f t="shared" si="981"/>
        <v>-595800.9998254776</v>
      </c>
      <c r="S501">
        <f t="shared" si="982"/>
        <v>-5.9580099982547763</v>
      </c>
      <c r="T501">
        <f t="shared" si="983"/>
        <v>-5.9580099982547759E-3</v>
      </c>
    </row>
    <row r="502" spans="1:20" x14ac:dyDescent="0.25">
      <c r="A502" s="5">
        <v>44091</v>
      </c>
      <c r="B502">
        <v>92.495999999999995</v>
      </c>
      <c r="C502">
        <v>107.819</v>
      </c>
      <c r="D502">
        <v>57.337000000000003</v>
      </c>
      <c r="E502">
        <v>62.652999999999999</v>
      </c>
      <c r="F502">
        <v>264793.21399999998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-0.78939027772275283</v>
      </c>
      <c r="Q502">
        <f t="shared" si="980"/>
        <v>-209025.1887385603</v>
      </c>
      <c r="R502">
        <f t="shared" si="981"/>
        <v>-491201.64811924612</v>
      </c>
      <c r="S502">
        <f t="shared" si="982"/>
        <v>-4.9120164811924614</v>
      </c>
      <c r="T502">
        <f t="shared" si="983"/>
        <v>-4.9120164811924617E-3</v>
      </c>
    </row>
    <row r="503" spans="1:20" x14ac:dyDescent="0.25">
      <c r="A503" s="5">
        <v>44090</v>
      </c>
      <c r="B503">
        <v>20</v>
      </c>
      <c r="C503">
        <v>300</v>
      </c>
      <c r="D503">
        <v>20</v>
      </c>
      <c r="E503">
        <v>92.495999999999995</v>
      </c>
      <c r="F503">
        <v>585220.19900000002</v>
      </c>
      <c r="G503">
        <v>0</v>
      </c>
      <c r="P503">
        <f t="shared" si="979"/>
        <v>-0.4821714285714287</v>
      </c>
      <c r="Q503">
        <f t="shared" si="980"/>
        <v>-282176.45938068582</v>
      </c>
      <c r="R503">
        <f t="shared" si="981"/>
        <v>-282176.45938068582</v>
      </c>
      <c r="S503">
        <f t="shared" si="982"/>
        <v>-2.8217645938068583</v>
      </c>
      <c r="T503">
        <f t="shared" si="983"/>
        <v>-2.8217645938068583E-3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N478" sqref="JN47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$A$477</v>
      </c>
      <c r="D111" s="1" t="str">
        <f>ADDRESS(C121-1,D121,1,1)</f>
        <v>$JN$477</v>
      </c>
      <c r="E111"/>
    </row>
    <row r="112" spans="1:5" x14ac:dyDescent="0.25">
      <c r="A112" s="7">
        <v>12164.144957890772</v>
      </c>
      <c r="C112" s="1" t="str">
        <f>ADDRESS(C121,1,1,1)</f>
        <v>$A$478</v>
      </c>
      <c r="D112" s="1" t="str">
        <f>ADDRESS(C121,D121-1,1,1)</f>
        <v>$JM$478</v>
      </c>
      <c r="E112"/>
    </row>
    <row r="113" spans="1:5" x14ac:dyDescent="0.25">
      <c r="A113" s="7">
        <v>11925.63231165762</v>
      </c>
      <c r="C113" s="1" t="str">
        <f>ADDRESS(C121+1,1,1,1)</f>
        <v>$A$479</v>
      </c>
      <c r="D113" s="1" t="str">
        <f>ADDRESS(C121-1,D121+1,1,1)</f>
        <v>$JO$477</v>
      </c>
    </row>
    <row r="114" spans="1:5" x14ac:dyDescent="0.25">
      <c r="A114" s="7">
        <v>11691.796383978059</v>
      </c>
      <c r="C114" s="1" t="str">
        <f>ADDRESS(C121,D121,1,1)</f>
        <v>$JN$478</v>
      </c>
      <c r="D114" s="1" t="str">
        <f>ADDRESS(C121+1,D121+1,1,1)</f>
        <v>$JO$479</v>
      </c>
    </row>
    <row r="115" spans="1:5" x14ac:dyDescent="0.25">
      <c r="A115" s="7">
        <v>11462.545474488292</v>
      </c>
      <c r="C115" s="1" t="str">
        <f>ADDRESS(C121+1,D121,1,1)</f>
        <v>$JN$479</v>
      </c>
    </row>
    <row r="116" spans="1:5" x14ac:dyDescent="0.25">
      <c r="A116" s="7">
        <v>11237.789680870874</v>
      </c>
      <c r="C116" s="1">
        <f>C117-1</f>
        <v>477</v>
      </c>
    </row>
    <row r="117" spans="1:5" x14ac:dyDescent="0.25">
      <c r="A117" s="7">
        <v>11017.440863598895</v>
      </c>
      <c r="C117" s="1">
        <f>C121</f>
        <v>478</v>
      </c>
      <c r="D117" s="1">
        <f>D121</f>
        <v>274</v>
      </c>
    </row>
    <row r="118" spans="1:5" x14ac:dyDescent="0.25">
      <c r="A118" s="7">
        <v>10801.412611371465</v>
      </c>
      <c r="C118" s="1">
        <f>C117+1</f>
        <v>479</v>
      </c>
      <c r="D118" s="1">
        <f>D117+1</f>
        <v>275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478</v>
      </c>
      <c r="D121" s="19">
        <v>274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R478</v>
      </c>
      <c r="D123" s="1" t="str">
        <f>"C"&amp;D121</f>
        <v>C274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8.6580227382218542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6" x14ac:dyDescent="0.25">
      <c r="A337" s="7">
        <v>141.26772149168937</v>
      </c>
      <c r="B337"/>
      <c r="C337"/>
      <c r="D337"/>
      <c r="E337"/>
    </row>
    <row r="338" spans="1:6" x14ac:dyDescent="0.25">
      <c r="A338" s="7">
        <v>138.4977661683229</v>
      </c>
      <c r="B338"/>
      <c r="C338"/>
      <c r="D338"/>
      <c r="E338"/>
    </row>
    <row r="339" spans="1:6" x14ac:dyDescent="0.25">
      <c r="A339" s="7">
        <v>135.7821236944342</v>
      </c>
      <c r="B339"/>
      <c r="C339"/>
      <c r="D339"/>
      <c r="E339"/>
    </row>
    <row r="340" spans="1:6" x14ac:dyDescent="0.25">
      <c r="A340" s="7">
        <v>133.11972911219038</v>
      </c>
      <c r="B340"/>
      <c r="C340"/>
      <c r="D340"/>
      <c r="E340"/>
    </row>
    <row r="341" spans="1:6" x14ac:dyDescent="0.25">
      <c r="A341" s="7">
        <v>130.50953834528468</v>
      </c>
      <c r="B341"/>
      <c r="C341"/>
      <c r="D341"/>
      <c r="E341"/>
    </row>
    <row r="342" spans="1:6" x14ac:dyDescent="0.25">
      <c r="A342" s="7">
        <v>127.95052778949477</v>
      </c>
      <c r="B342"/>
      <c r="C342"/>
      <c r="D342"/>
      <c r="E342"/>
    </row>
    <row r="343" spans="1:6" x14ac:dyDescent="0.25">
      <c r="A343" s="7">
        <v>125.44169391126938</v>
      </c>
      <c r="B343"/>
      <c r="C343"/>
      <c r="D343"/>
      <c r="E343"/>
    </row>
    <row r="344" spans="1:6" x14ac:dyDescent="0.25">
      <c r="A344" s="7">
        <v>122.98205285418567</v>
      </c>
      <c r="B344"/>
      <c r="C344"/>
      <c r="D344"/>
      <c r="E344"/>
    </row>
    <row r="345" spans="1:6" x14ac:dyDescent="0.25">
      <c r="A345" s="7">
        <v>120.5706400531232</v>
      </c>
      <c r="B345"/>
      <c r="C345"/>
      <c r="D345"/>
      <c r="E345"/>
    </row>
    <row r="346" spans="1:6" x14ac:dyDescent="0.25">
      <c r="A346" s="7">
        <v>118.20650985600314</v>
      </c>
      <c r="B346"/>
      <c r="C346"/>
      <c r="D346"/>
      <c r="E346"/>
    </row>
    <row r="347" spans="1:6" x14ac:dyDescent="0.25">
      <c r="A347" s="7">
        <v>115.88873515294425</v>
      </c>
      <c r="B347"/>
      <c r="C347"/>
      <c r="D347"/>
      <c r="E347"/>
    </row>
    <row r="348" spans="1:6" x14ac:dyDescent="0.25">
      <c r="A348" s="7">
        <v>113.61640701269044</v>
      </c>
      <c r="B348"/>
      <c r="C348"/>
      <c r="D348"/>
      <c r="E348"/>
    </row>
    <row r="349" spans="1:6" x14ac:dyDescent="0.25">
      <c r="A349" s="7">
        <v>111.38863432616711</v>
      </c>
      <c r="B349"/>
      <c r="C349"/>
      <c r="D349"/>
      <c r="E349"/>
    </row>
    <row r="350" spans="1:6" x14ac:dyDescent="0.25">
      <c r="A350" s="7">
        <v>109.20454345702657</v>
      </c>
      <c r="B350"/>
      <c r="C350"/>
      <c r="D350"/>
      <c r="E350"/>
    </row>
    <row r="351" spans="1:6" x14ac:dyDescent="0.25">
      <c r="A351" s="7">
        <v>107.06327789904566</v>
      </c>
      <c r="B351"/>
      <c r="C351"/>
      <c r="D351"/>
      <c r="E351" t="s">
        <v>8</v>
      </c>
    </row>
    <row r="352" spans="1:6" x14ac:dyDescent="0.25">
      <c r="A352" s="7">
        <v>104.96399794024084</v>
      </c>
      <c r="B352"/>
      <c r="C352"/>
      <c r="D352"/>
      <c r="E352" t="s">
        <v>8</v>
      </c>
      <c r="F352" s="27" t="s">
        <v>7</v>
      </c>
    </row>
    <row r="353" spans="1:8" x14ac:dyDescent="0.25">
      <c r="A353" s="7">
        <v>102.90588033356946</v>
      </c>
      <c r="B353"/>
      <c r="C353"/>
      <c r="D353"/>
      <c r="E353" t="s">
        <v>8</v>
      </c>
      <c r="F353" s="27" t="s">
        <v>7</v>
      </c>
    </row>
    <row r="354" spans="1:8" x14ac:dyDescent="0.25">
      <c r="A354" s="7">
        <v>100.88811797408771</v>
      </c>
      <c r="B354"/>
      <c r="C354"/>
      <c r="D354"/>
      <c r="E354" t="s">
        <v>8</v>
      </c>
      <c r="F354" s="27" t="s">
        <v>7</v>
      </c>
    </row>
    <row r="355" spans="1:8" x14ac:dyDescent="0.25">
      <c r="A355" s="7">
        <v>98.909919582438931</v>
      </c>
      <c r="B355"/>
      <c r="C355"/>
      <c r="D355"/>
      <c r="E355" t="s">
        <v>8</v>
      </c>
      <c r="F355" s="27" t="s">
        <v>7</v>
      </c>
    </row>
    <row r="356" spans="1:8" x14ac:dyDescent="0.25">
      <c r="A356" s="7">
        <v>96.970509394547975</v>
      </c>
      <c r="B356"/>
      <c r="C356"/>
      <c r="D356"/>
      <c r="E356" t="s">
        <v>8</v>
      </c>
      <c r="F356" s="27" t="s">
        <v>7</v>
      </c>
    </row>
    <row r="357" spans="1:8" x14ac:dyDescent="0.25">
      <c r="A357" s="7">
        <v>95.069126857399979</v>
      </c>
      <c r="B357"/>
      <c r="C357"/>
      <c r="D357"/>
      <c r="E357" t="s">
        <v>8</v>
      </c>
      <c r="F357" s="27" t="s">
        <v>7</v>
      </c>
    </row>
    <row r="358" spans="1:8" x14ac:dyDescent="0.25">
      <c r="A358" s="7">
        <v>93.205026330784293</v>
      </c>
      <c r="B358"/>
      <c r="C358"/>
      <c r="D358"/>
      <c r="E358" t="s">
        <v>8</v>
      </c>
      <c r="F358" s="27" t="s">
        <v>7</v>
      </c>
    </row>
    <row r="359" spans="1:8" x14ac:dyDescent="0.25">
      <c r="A359" s="7">
        <v>91.377476794886562</v>
      </c>
      <c r="B359"/>
      <c r="C359"/>
      <c r="D359"/>
      <c r="E359" t="s">
        <v>8</v>
      </c>
      <c r="F359" s="27" t="s">
        <v>7</v>
      </c>
    </row>
    <row r="360" spans="1:8" x14ac:dyDescent="0.25">
      <c r="A360" s="7">
        <v>89.58576156361427</v>
      </c>
      <c r="B360"/>
      <c r="C360"/>
      <c r="D360"/>
      <c r="E360" t="s">
        <v>8</v>
      </c>
      <c r="F360" s="27" t="s">
        <v>7</v>
      </c>
    </row>
    <row r="361" spans="1:8" x14ac:dyDescent="0.25">
      <c r="A361" s="7">
        <v>87.829178003543404</v>
      </c>
      <c r="B361"/>
      <c r="C361"/>
      <c r="D361"/>
      <c r="E361" t="s">
        <v>8</v>
      </c>
      <c r="F361" s="27" t="s">
        <v>7</v>
      </c>
    </row>
    <row r="362" spans="1:8" x14ac:dyDescent="0.25">
      <c r="A362" s="7">
        <v>86.107037258375883</v>
      </c>
      <c r="B362"/>
      <c r="C362"/>
      <c r="D362"/>
      <c r="E362" t="s">
        <v>8</v>
      </c>
      <c r="F362" s="27" t="s">
        <v>7</v>
      </c>
    </row>
    <row r="363" spans="1:8" x14ac:dyDescent="0.25">
      <c r="A363" s="7">
        <v>84.418663978799884</v>
      </c>
      <c r="B363"/>
      <c r="C363"/>
      <c r="D363"/>
      <c r="E363" t="s">
        <v>8</v>
      </c>
      <c r="F363" s="27" t="s">
        <v>7</v>
      </c>
    </row>
    <row r="364" spans="1:8" x14ac:dyDescent="0.25">
      <c r="A364" s="7">
        <v>82.763396057646943</v>
      </c>
      <c r="B364"/>
      <c r="C364"/>
      <c r="D364"/>
      <c r="E364" t="s">
        <v>8</v>
      </c>
      <c r="F364" s="27" t="s">
        <v>7</v>
      </c>
    </row>
    <row r="365" spans="1:8" x14ac:dyDescent="0.25">
      <c r="A365" s="7">
        <v>81.140584370242095</v>
      </c>
      <c r="B365"/>
      <c r="C365"/>
      <c r="D365"/>
      <c r="E365" t="s">
        <v>8</v>
      </c>
      <c r="F365" s="27" t="s">
        <v>7</v>
      </c>
    </row>
    <row r="366" spans="1:8" x14ac:dyDescent="0.25">
      <c r="A366" s="7">
        <v>79.549592519845191</v>
      </c>
      <c r="B366"/>
      <c r="C366"/>
      <c r="D366"/>
      <c r="E366" t="s">
        <v>8</v>
      </c>
      <c r="F366" s="27" t="s">
        <v>7</v>
      </c>
      <c r="G366" s="27" t="s">
        <v>8</v>
      </c>
    </row>
    <row r="367" spans="1:8" x14ac:dyDescent="0.25">
      <c r="A367" s="7">
        <v>77.989796588083522</v>
      </c>
      <c r="B367"/>
      <c r="C367"/>
      <c r="D367"/>
      <c r="E367" t="s">
        <v>8</v>
      </c>
      <c r="F367" s="27" t="s">
        <v>7</v>
      </c>
      <c r="G367" s="27" t="s">
        <v>8</v>
      </c>
      <c r="H367" s="27" t="s">
        <v>7</v>
      </c>
    </row>
    <row r="368" spans="1:8" x14ac:dyDescent="0.25">
      <c r="A368" s="7">
        <v>76.460584890277957</v>
      </c>
      <c r="B368"/>
      <c r="C368"/>
      <c r="D368"/>
      <c r="E368" t="s">
        <v>8</v>
      </c>
      <c r="F368" s="27" t="s">
        <v>7</v>
      </c>
      <c r="G368" s="27" t="s">
        <v>8</v>
      </c>
      <c r="H368" s="27" t="s">
        <v>7</v>
      </c>
    </row>
    <row r="369" spans="1:120" x14ac:dyDescent="0.25">
      <c r="A369" s="7">
        <v>74.961357735566622</v>
      </c>
      <c r="B369"/>
      <c r="C369"/>
      <c r="D369"/>
      <c r="E369" t="s">
        <v>8</v>
      </c>
      <c r="F369" s="27" t="s">
        <v>7</v>
      </c>
      <c r="G369" s="27" t="s">
        <v>8</v>
      </c>
      <c r="H369" s="27" t="s">
        <v>7</v>
      </c>
    </row>
    <row r="370" spans="1:120" x14ac:dyDescent="0.25">
      <c r="A370" s="7">
        <v>73.491527191731976</v>
      </c>
      <c r="B370"/>
      <c r="C370"/>
      <c r="D370"/>
      <c r="E370" t="s">
        <v>8</v>
      </c>
      <c r="F370" s="27" t="s">
        <v>7</v>
      </c>
      <c r="G370" s="27" t="s">
        <v>8</v>
      </c>
      <c r="H370" s="27" t="s">
        <v>7</v>
      </c>
      <c r="DI370" s="27" t="s">
        <v>8</v>
      </c>
      <c r="DK370" s="27" t="s">
        <v>8</v>
      </c>
    </row>
    <row r="371" spans="1:120" x14ac:dyDescent="0.25">
      <c r="A371" s="7">
        <v>72.050516854639184</v>
      </c>
      <c r="B371"/>
      <c r="C371"/>
      <c r="D371"/>
      <c r="E371" t="s">
        <v>8</v>
      </c>
      <c r="F371" s="27" t="s">
        <v>7</v>
      </c>
      <c r="G371" s="27" t="s">
        <v>8</v>
      </c>
      <c r="H371" s="27" t="s">
        <v>7</v>
      </c>
      <c r="DI371" s="27" t="s">
        <v>8</v>
      </c>
      <c r="DJ371" s="27" t="s">
        <v>7</v>
      </c>
      <c r="DK371" s="27" t="s">
        <v>8</v>
      </c>
      <c r="DL371" s="27" t="s">
        <v>7</v>
      </c>
    </row>
    <row r="372" spans="1:120" x14ac:dyDescent="0.25">
      <c r="A372" s="7">
        <v>70.637761622195271</v>
      </c>
      <c r="B372"/>
      <c r="C372"/>
      <c r="D372"/>
      <c r="E372" t="s">
        <v>8</v>
      </c>
      <c r="F372" s="27" t="s">
        <v>7</v>
      </c>
      <c r="G372" s="27" t="s">
        <v>8</v>
      </c>
      <c r="H372" s="27" t="s">
        <v>7</v>
      </c>
      <c r="DI372" s="27" t="s">
        <v>8</v>
      </c>
      <c r="DJ372" s="27" t="s">
        <v>7</v>
      </c>
      <c r="DK372" s="27" t="s">
        <v>8</v>
      </c>
      <c r="DL372" s="27" t="s">
        <v>7</v>
      </c>
    </row>
    <row r="373" spans="1:120" x14ac:dyDescent="0.25">
      <c r="A373" s="7">
        <v>69.252707472740454</v>
      </c>
      <c r="B373"/>
      <c r="C373"/>
      <c r="D373"/>
      <c r="E373" t="s">
        <v>8</v>
      </c>
      <c r="F373" s="27" t="s">
        <v>7</v>
      </c>
      <c r="G373" s="27" t="s">
        <v>8</v>
      </c>
      <c r="H373" s="27" t="s">
        <v>7</v>
      </c>
      <c r="DI373" s="27" t="s">
        <v>8</v>
      </c>
      <c r="DJ373" s="27" t="s">
        <v>7</v>
      </c>
      <c r="DK373" s="27" t="s">
        <v>8</v>
      </c>
      <c r="DL373" s="27" t="s">
        <v>7</v>
      </c>
    </row>
    <row r="374" spans="1:120" x14ac:dyDescent="0.25">
      <c r="A374" s="7">
        <v>67.894811247784759</v>
      </c>
      <c r="B374"/>
      <c r="C374"/>
      <c r="D374"/>
      <c r="E374" t="s">
        <v>8</v>
      </c>
      <c r="F374" s="27" t="s">
        <v>7</v>
      </c>
      <c r="G374" s="27" t="s">
        <v>8</v>
      </c>
      <c r="H374" s="27" t="s">
        <v>7</v>
      </c>
      <c r="DI374" s="27" t="s">
        <v>8</v>
      </c>
      <c r="DJ374" s="27" t="s">
        <v>7</v>
      </c>
      <c r="DK374" s="27" t="s">
        <v>8</v>
      </c>
      <c r="DL374" s="27" t="s">
        <v>7</v>
      </c>
    </row>
    <row r="375" spans="1:120" x14ac:dyDescent="0.25">
      <c r="A375" s="7">
        <v>66.563540439004669</v>
      </c>
      <c r="B375"/>
      <c r="C375"/>
      <c r="D375"/>
      <c r="E375" t="s">
        <v>8</v>
      </c>
      <c r="F375" s="27" t="s">
        <v>7</v>
      </c>
      <c r="G375" s="27" t="s">
        <v>8</v>
      </c>
      <c r="H375" s="27" t="s">
        <v>7</v>
      </c>
      <c r="DE375" s="27" t="s">
        <v>8</v>
      </c>
      <c r="DI375" s="27" t="s">
        <v>8</v>
      </c>
      <c r="DJ375" s="27" t="s">
        <v>7</v>
      </c>
      <c r="DK375" s="27" t="s">
        <v>8</v>
      </c>
      <c r="DL375" s="27" t="s">
        <v>7</v>
      </c>
    </row>
    <row r="376" spans="1:120" x14ac:dyDescent="0.25">
      <c r="A376" s="7">
        <v>65.258372979416336</v>
      </c>
      <c r="B376"/>
      <c r="C376"/>
      <c r="D376"/>
      <c r="E376" t="s">
        <v>8</v>
      </c>
      <c r="F376" s="27" t="s">
        <v>7</v>
      </c>
      <c r="G376" s="27" t="s">
        <v>8</v>
      </c>
      <c r="H376" s="27" t="s">
        <v>7</v>
      </c>
      <c r="DC376" s="27" t="s">
        <v>8</v>
      </c>
      <c r="DE376" s="27" t="s">
        <v>8</v>
      </c>
      <c r="DF376" s="27" t="s">
        <v>7</v>
      </c>
      <c r="DI376" s="27" t="s">
        <v>8</v>
      </c>
      <c r="DJ376" s="27" t="s">
        <v>7</v>
      </c>
      <c r="DK376" s="27" t="s">
        <v>8</v>
      </c>
      <c r="DL376" s="27" t="s">
        <v>7</v>
      </c>
    </row>
    <row r="377" spans="1:120" x14ac:dyDescent="0.25">
      <c r="A377" s="7">
        <v>63.978797038643471</v>
      </c>
      <c r="B377"/>
      <c r="C377"/>
      <c r="D377"/>
      <c r="E377" t="s">
        <v>8</v>
      </c>
      <c r="F377" s="27" t="s">
        <v>7</v>
      </c>
      <c r="G377" s="27" t="s">
        <v>8</v>
      </c>
      <c r="H377" s="27" t="s">
        <v>7</v>
      </c>
      <c r="DC377" s="27" t="s">
        <v>8</v>
      </c>
      <c r="DD377" s="27" t="s">
        <v>7</v>
      </c>
      <c r="DE377" s="27" t="s">
        <v>8</v>
      </c>
      <c r="DF377" s="27" t="s">
        <v>7</v>
      </c>
      <c r="DG377" s="27" t="s">
        <v>8</v>
      </c>
      <c r="DI377" s="27" t="s">
        <v>8</v>
      </c>
      <c r="DJ377" s="27" t="s">
        <v>7</v>
      </c>
      <c r="DK377" s="27" t="s">
        <v>8</v>
      </c>
      <c r="DL377" s="27" t="s">
        <v>7</v>
      </c>
    </row>
    <row r="378" spans="1:120" x14ac:dyDescent="0.25">
      <c r="A378" s="7">
        <v>62.724310822199477</v>
      </c>
      <c r="B378"/>
      <c r="C378"/>
      <c r="D378"/>
      <c r="E378" t="s">
        <v>8</v>
      </c>
      <c r="F378" s="27" t="s">
        <v>7</v>
      </c>
      <c r="G378" s="27" t="s">
        <v>8</v>
      </c>
      <c r="H378" s="27" t="s">
        <v>7</v>
      </c>
      <c r="DC378" s="27" t="s">
        <v>8</v>
      </c>
      <c r="DD378" s="27" t="s">
        <v>7</v>
      </c>
      <c r="DE378" s="27" t="s">
        <v>8</v>
      </c>
      <c r="DF378" s="27" t="s">
        <v>7</v>
      </c>
      <c r="DG378" s="27" t="s">
        <v>8</v>
      </c>
      <c r="DH378" s="27" t="s">
        <v>7</v>
      </c>
      <c r="DI378" s="27" t="s">
        <v>8</v>
      </c>
      <c r="DJ378" s="27" t="s">
        <v>7</v>
      </c>
      <c r="DK378" s="27" t="s">
        <v>8</v>
      </c>
      <c r="DL378" s="27" t="s">
        <v>7</v>
      </c>
    </row>
    <row r="379" spans="1:120" x14ac:dyDescent="0.25">
      <c r="A379" s="7">
        <v>61.494422374705366</v>
      </c>
      <c r="B379"/>
      <c r="C379"/>
      <c r="D379"/>
      <c r="E379" t="s">
        <v>8</v>
      </c>
      <c r="F379" s="27" t="s">
        <v>7</v>
      </c>
      <c r="G379" s="27" t="s">
        <v>8</v>
      </c>
      <c r="H379" s="27" t="s">
        <v>7</v>
      </c>
      <c r="DC379" s="27" t="s">
        <v>8</v>
      </c>
      <c r="DD379" s="27" t="s">
        <v>7</v>
      </c>
      <c r="DE379" s="27" t="s">
        <v>8</v>
      </c>
      <c r="DF379" s="27" t="s">
        <v>7</v>
      </c>
      <c r="DG379" s="27" t="s">
        <v>8</v>
      </c>
      <c r="DH379" s="27" t="s">
        <v>7</v>
      </c>
      <c r="DI379" s="27" t="s">
        <v>8</v>
      </c>
      <c r="DJ379" s="27" t="s">
        <v>7</v>
      </c>
      <c r="DK379" s="27" t="s">
        <v>8</v>
      </c>
      <c r="DL379" s="27" t="s">
        <v>7</v>
      </c>
    </row>
    <row r="380" spans="1:120" x14ac:dyDescent="0.25">
      <c r="A380" s="7">
        <v>60.288649386966043</v>
      </c>
      <c r="B380"/>
      <c r="C380"/>
      <c r="D380"/>
      <c r="E380" t="s">
        <v>8</v>
      </c>
      <c r="F380" s="27" t="s">
        <v>7</v>
      </c>
      <c r="G380" s="27" t="s">
        <v>8</v>
      </c>
      <c r="H380" s="27" t="s">
        <v>7</v>
      </c>
      <c r="DC380" s="27" t="s">
        <v>8</v>
      </c>
      <c r="DD380" s="27" t="s">
        <v>7</v>
      </c>
      <c r="DE380" s="27" t="s">
        <v>8</v>
      </c>
      <c r="DF380" s="27" t="s">
        <v>7</v>
      </c>
      <c r="DG380" s="27" t="s">
        <v>8</v>
      </c>
      <c r="DH380" s="27" t="s">
        <v>7</v>
      </c>
      <c r="DI380" s="27" t="s">
        <v>8</v>
      </c>
      <c r="DJ380" s="27" t="s">
        <v>7</v>
      </c>
      <c r="DK380" s="27" t="s">
        <v>8</v>
      </c>
      <c r="DL380" s="27" t="s">
        <v>7</v>
      </c>
      <c r="DM380" s="27" t="s">
        <v>8</v>
      </c>
    </row>
    <row r="381" spans="1:120" x14ac:dyDescent="0.25">
      <c r="A381" s="7">
        <v>59.106519006829451</v>
      </c>
      <c r="B381"/>
      <c r="C381"/>
      <c r="D381"/>
      <c r="E381" t="s">
        <v>8</v>
      </c>
      <c r="F381" s="27" t="s">
        <v>7</v>
      </c>
      <c r="G381" s="27" t="s">
        <v>8</v>
      </c>
      <c r="H381" s="27" t="s">
        <v>7</v>
      </c>
      <c r="DC381" s="27" t="s">
        <v>8</v>
      </c>
      <c r="DD381" s="27" t="s">
        <v>7</v>
      </c>
      <c r="DE381" s="27" t="s">
        <v>8</v>
      </c>
      <c r="DF381" s="27" t="s">
        <v>7</v>
      </c>
      <c r="DG381" s="27" t="s">
        <v>8</v>
      </c>
      <c r="DH381" s="27" t="s">
        <v>7</v>
      </c>
      <c r="DI381" s="27" t="s">
        <v>8</v>
      </c>
      <c r="DJ381" s="27" t="s">
        <v>7</v>
      </c>
      <c r="DK381" s="27" t="s">
        <v>8</v>
      </c>
      <c r="DL381" s="27" t="s">
        <v>7</v>
      </c>
      <c r="DM381" s="27" t="s">
        <v>8</v>
      </c>
      <c r="DN381" s="27" t="s">
        <v>7</v>
      </c>
      <c r="DO381" s="27" t="s">
        <v>8</v>
      </c>
    </row>
    <row r="382" spans="1:120" x14ac:dyDescent="0.25">
      <c r="A382" s="7">
        <v>57.947567653754362</v>
      </c>
      <c r="B382"/>
      <c r="C382"/>
      <c r="D382"/>
      <c r="E382" t="s">
        <v>8</v>
      </c>
      <c r="F382" s="27" t="s">
        <v>7</v>
      </c>
      <c r="G382" s="27" t="s">
        <v>8</v>
      </c>
      <c r="H382" s="27" t="s">
        <v>7</v>
      </c>
      <c r="DC382" s="27" t="s">
        <v>8</v>
      </c>
      <c r="DD382" s="27" t="s">
        <v>7</v>
      </c>
      <c r="DE382" s="27" t="s">
        <v>8</v>
      </c>
      <c r="DF382" s="27" t="s">
        <v>7</v>
      </c>
      <c r="DG382" s="27" t="s">
        <v>8</v>
      </c>
      <c r="DH382" s="27" t="s">
        <v>7</v>
      </c>
      <c r="DI382" s="27" t="s">
        <v>8</v>
      </c>
      <c r="DJ382" s="27" t="s">
        <v>7</v>
      </c>
      <c r="DK382" s="27" t="s">
        <v>8</v>
      </c>
      <c r="DL382" s="27" t="s">
        <v>7</v>
      </c>
      <c r="DM382" s="27" t="s">
        <v>8</v>
      </c>
      <c r="DN382" s="27" t="s">
        <v>7</v>
      </c>
      <c r="DO382" s="27" t="s">
        <v>8</v>
      </c>
      <c r="DP382" s="27" t="s">
        <v>7</v>
      </c>
    </row>
    <row r="383" spans="1:120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G383" s="27" t="s">
        <v>8</v>
      </c>
      <c r="H383" s="27" t="s">
        <v>7</v>
      </c>
      <c r="DC383" s="27" t="s">
        <v>8</v>
      </c>
      <c r="DD383" s="27" t="s">
        <v>7</v>
      </c>
      <c r="DE383" s="27" t="s">
        <v>8</v>
      </c>
      <c r="DF383" s="27" t="s">
        <v>7</v>
      </c>
      <c r="DG383" s="27" t="s">
        <v>8</v>
      </c>
      <c r="DH383" s="27" t="s">
        <v>7</v>
      </c>
      <c r="DI383" s="27" t="s">
        <v>8</v>
      </c>
      <c r="DJ383" s="27" t="s">
        <v>7</v>
      </c>
      <c r="DK383" s="27" t="s">
        <v>8</v>
      </c>
      <c r="DL383" s="27" t="s">
        <v>7</v>
      </c>
      <c r="DM383" s="27" t="s">
        <v>8</v>
      </c>
      <c r="DN383" s="27" t="s">
        <v>7</v>
      </c>
      <c r="DO383" s="27" t="s">
        <v>8</v>
      </c>
      <c r="DP383" s="27" t="s">
        <v>7</v>
      </c>
    </row>
    <row r="384" spans="1:120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G384" s="27" t="s">
        <v>8</v>
      </c>
      <c r="H384" s="27" t="s">
        <v>7</v>
      </c>
      <c r="DC384" s="27" t="s">
        <v>8</v>
      </c>
      <c r="DD384" s="27" t="s">
        <v>7</v>
      </c>
      <c r="DE384" s="27" t="s">
        <v>8</v>
      </c>
      <c r="DF384" s="27" t="s">
        <v>7</v>
      </c>
      <c r="DG384" s="27" t="s">
        <v>8</v>
      </c>
      <c r="DH384" s="27" t="s">
        <v>7</v>
      </c>
      <c r="DI384" s="27" t="s">
        <v>8</v>
      </c>
      <c r="DJ384" s="27" t="s">
        <v>7</v>
      </c>
      <c r="DL384" s="27" t="s">
        <v>7</v>
      </c>
      <c r="DM384" s="27" t="s">
        <v>8</v>
      </c>
      <c r="DN384" s="27" t="s">
        <v>7</v>
      </c>
      <c r="DO384" s="27" t="s">
        <v>8</v>
      </c>
      <c r="DP384" s="27" t="s">
        <v>7</v>
      </c>
    </row>
    <row r="385" spans="1:138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G385" s="27" t="s">
        <v>8</v>
      </c>
      <c r="H385" s="27" t="s">
        <v>7</v>
      </c>
      <c r="DC385" s="27" t="s">
        <v>8</v>
      </c>
      <c r="DD385" s="27" t="s">
        <v>7</v>
      </c>
      <c r="DE385" s="27" t="s">
        <v>8</v>
      </c>
      <c r="DF385" s="27" t="s">
        <v>7</v>
      </c>
      <c r="DH385" s="27" t="s">
        <v>7</v>
      </c>
      <c r="DI385" s="27" t="s">
        <v>8</v>
      </c>
      <c r="DL385" s="27" t="s">
        <v>7</v>
      </c>
      <c r="DM385" s="27" t="s">
        <v>8</v>
      </c>
      <c r="DN385" s="27" t="s">
        <v>7</v>
      </c>
      <c r="DO385" s="27" t="s">
        <v>8</v>
      </c>
      <c r="DP385" s="27" t="s">
        <v>7</v>
      </c>
    </row>
    <row r="386" spans="1:138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G386" s="27" t="s">
        <v>8</v>
      </c>
      <c r="H386" s="27" t="s">
        <v>7</v>
      </c>
      <c r="DC386" s="27" t="s">
        <v>8</v>
      </c>
      <c r="DD386" s="27" t="s">
        <v>7</v>
      </c>
      <c r="DE386" s="27" t="s">
        <v>8</v>
      </c>
      <c r="DH386" s="27" t="s">
        <v>7</v>
      </c>
      <c r="DL386" s="27" t="s">
        <v>7</v>
      </c>
      <c r="DM386" s="27" t="s">
        <v>8</v>
      </c>
      <c r="DN386" s="27" t="s">
        <v>7</v>
      </c>
      <c r="DO386" s="27" t="s">
        <v>8</v>
      </c>
      <c r="DP386" s="27" t="s">
        <v>7</v>
      </c>
    </row>
    <row r="387" spans="1:138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G387" s="27" t="s">
        <v>8</v>
      </c>
      <c r="H387" s="27" t="s">
        <v>7</v>
      </c>
      <c r="DC387" s="27" t="s">
        <v>8</v>
      </c>
      <c r="DD387" s="27" t="s">
        <v>7</v>
      </c>
      <c r="DE387" s="27" t="s">
        <v>8</v>
      </c>
      <c r="DL387" s="27" t="s">
        <v>7</v>
      </c>
      <c r="DN387" s="27" t="s">
        <v>7</v>
      </c>
      <c r="DP387" s="27" t="s">
        <v>7</v>
      </c>
      <c r="DW387" s="27" t="s">
        <v>8</v>
      </c>
    </row>
    <row r="388" spans="1:138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H388" s="27" t="s">
        <v>7</v>
      </c>
      <c r="DC388" s="27" t="s">
        <v>8</v>
      </c>
      <c r="DD388" s="27" t="s">
        <v>7</v>
      </c>
      <c r="DP388" s="27" t="s">
        <v>7</v>
      </c>
      <c r="DW388" s="27" t="s">
        <v>8</v>
      </c>
      <c r="DX388" s="27" t="s">
        <v>7</v>
      </c>
    </row>
    <row r="389" spans="1:138" x14ac:dyDescent="0.25">
      <c r="A389" s="7">
        <v>50.446844846894244</v>
      </c>
      <c r="B389"/>
      <c r="C389"/>
      <c r="D389"/>
      <c r="E389" t="s">
        <v>8</v>
      </c>
      <c r="H389" s="27" t="s">
        <v>7</v>
      </c>
      <c r="CS389" s="27" t="s">
        <v>8</v>
      </c>
      <c r="DC389" s="27" t="s">
        <v>8</v>
      </c>
      <c r="DP389" s="27" t="s">
        <v>7</v>
      </c>
      <c r="DW389" s="27" t="s">
        <v>8</v>
      </c>
      <c r="DX389" s="27" t="s">
        <v>7</v>
      </c>
    </row>
    <row r="390" spans="1:138" x14ac:dyDescent="0.25">
      <c r="A390" s="7">
        <v>49.457691026366902</v>
      </c>
      <c r="B390"/>
      <c r="C390"/>
      <c r="D390"/>
      <c r="E390" t="s">
        <v>8</v>
      </c>
      <c r="H390" s="27" t="s">
        <v>7</v>
      </c>
      <c r="CS390" s="27" t="s">
        <v>8</v>
      </c>
      <c r="CT390" s="27" t="s">
        <v>7</v>
      </c>
      <c r="CW390" s="27" t="s">
        <v>8</v>
      </c>
      <c r="DC390" s="27" t="s">
        <v>8</v>
      </c>
      <c r="DP390" s="27" t="s">
        <v>7</v>
      </c>
      <c r="DQ390" s="27" t="s">
        <v>8</v>
      </c>
      <c r="DU390" s="27" t="s">
        <v>8</v>
      </c>
      <c r="DW390" s="27" t="s">
        <v>8</v>
      </c>
      <c r="DX390" s="27" t="s">
        <v>7</v>
      </c>
    </row>
    <row r="391" spans="1:138" x14ac:dyDescent="0.25">
      <c r="A391" s="7">
        <v>48.487932378791079</v>
      </c>
      <c r="B391"/>
      <c r="C391"/>
      <c r="D391"/>
      <c r="E391" t="s">
        <v>8</v>
      </c>
      <c r="H391" s="27" t="s">
        <v>7</v>
      </c>
      <c r="CS391" s="27" t="s">
        <v>8</v>
      </c>
      <c r="CT391" s="27" t="s">
        <v>7</v>
      </c>
      <c r="CW391" s="27" t="s">
        <v>8</v>
      </c>
      <c r="CX391" s="27" t="s">
        <v>7</v>
      </c>
      <c r="DC391" s="27" t="s">
        <v>8</v>
      </c>
      <c r="DP391" s="27" t="s">
        <v>7</v>
      </c>
      <c r="DQ391" s="27" t="s">
        <v>8</v>
      </c>
      <c r="DR391" s="27" t="s">
        <v>7</v>
      </c>
      <c r="DU391" s="27" t="s">
        <v>8</v>
      </c>
      <c r="DV391" s="27" t="s">
        <v>7</v>
      </c>
      <c r="DW391" s="27" t="s">
        <v>8</v>
      </c>
      <c r="DX391" s="27" t="s">
        <v>7</v>
      </c>
      <c r="DY391" s="27" t="s">
        <v>8</v>
      </c>
    </row>
    <row r="392" spans="1:138" x14ac:dyDescent="0.25">
      <c r="A392" s="7">
        <v>47.537188606657921</v>
      </c>
      <c r="B392"/>
      <c r="C392"/>
      <c r="D392"/>
      <c r="E392" t="s">
        <v>8</v>
      </c>
      <c r="H392" s="27" t="s">
        <v>7</v>
      </c>
      <c r="CS392" s="27" t="s">
        <v>8</v>
      </c>
      <c r="CT392" s="27" t="s">
        <v>7</v>
      </c>
      <c r="CU392" s="27" t="s">
        <v>8</v>
      </c>
      <c r="CW392" s="27" t="s">
        <v>8</v>
      </c>
      <c r="CX392" s="27" t="s">
        <v>7</v>
      </c>
      <c r="DC392" s="27" t="s">
        <v>8</v>
      </c>
      <c r="DP392" s="27" t="s">
        <v>7</v>
      </c>
      <c r="DQ392" s="27" t="s">
        <v>8</v>
      </c>
      <c r="DR392" s="27" t="s">
        <v>7</v>
      </c>
      <c r="DS392" s="27" t="s">
        <v>8</v>
      </c>
      <c r="DU392" s="27" t="s">
        <v>8</v>
      </c>
      <c r="DV392" s="27" t="s">
        <v>7</v>
      </c>
      <c r="DW392" s="27" t="s">
        <v>8</v>
      </c>
      <c r="DX392" s="27" t="s">
        <v>7</v>
      </c>
      <c r="DY392" s="27" t="s">
        <v>8</v>
      </c>
      <c r="DZ392" s="27" t="s">
        <v>7</v>
      </c>
    </row>
    <row r="393" spans="1:138" x14ac:dyDescent="0.25">
      <c r="A393" s="7">
        <v>46.605086869272469</v>
      </c>
      <c r="B393"/>
      <c r="C393"/>
      <c r="D393"/>
      <c r="E393" t="s">
        <v>8</v>
      </c>
      <c r="H393" s="27" t="s">
        <v>7</v>
      </c>
      <c r="CS393" s="27" t="s">
        <v>8</v>
      </c>
      <c r="CT393" s="27" t="s">
        <v>7</v>
      </c>
      <c r="CU393" s="27" t="s">
        <v>8</v>
      </c>
      <c r="CV393" s="27" t="s">
        <v>7</v>
      </c>
      <c r="CW393" s="27" t="s">
        <v>8</v>
      </c>
      <c r="CX393" s="27" t="s">
        <v>7</v>
      </c>
      <c r="DC393" s="27" t="s">
        <v>8</v>
      </c>
      <c r="DP393" s="27" t="s">
        <v>7</v>
      </c>
      <c r="DQ393" s="27" t="s">
        <v>8</v>
      </c>
      <c r="DR393" s="27" t="s">
        <v>7</v>
      </c>
      <c r="DS393" s="27" t="s">
        <v>8</v>
      </c>
      <c r="DT393" s="27" t="s">
        <v>7</v>
      </c>
      <c r="DU393" s="27" t="s">
        <v>8</v>
      </c>
      <c r="DV393" s="27" t="s">
        <v>7</v>
      </c>
      <c r="DW393" s="27" t="s">
        <v>8</v>
      </c>
      <c r="DX393" s="27" t="s">
        <v>7</v>
      </c>
      <c r="DY393" s="27" t="s">
        <v>8</v>
      </c>
      <c r="DZ393" s="27" t="s">
        <v>7</v>
      </c>
      <c r="EA393" s="27" t="s">
        <v>8</v>
      </c>
    </row>
    <row r="394" spans="1:138" x14ac:dyDescent="0.25">
      <c r="A394" s="7">
        <v>45.691261636541633</v>
      </c>
      <c r="B394"/>
      <c r="C394"/>
      <c r="D394"/>
      <c r="E394" t="s">
        <v>8</v>
      </c>
      <c r="H394" s="27" t="s">
        <v>7</v>
      </c>
      <c r="CS394" s="27" t="s">
        <v>8</v>
      </c>
      <c r="CT394" s="27" t="s">
        <v>7</v>
      </c>
      <c r="CU394" s="27" t="s">
        <v>8</v>
      </c>
      <c r="CV394" s="27" t="s">
        <v>7</v>
      </c>
      <c r="CW394" s="27" t="s">
        <v>8</v>
      </c>
      <c r="CX394" s="27" t="s">
        <v>7</v>
      </c>
      <c r="DC394" s="27" t="s">
        <v>8</v>
      </c>
      <c r="DP394" s="27" t="s">
        <v>7</v>
      </c>
      <c r="DQ394" s="27" t="s">
        <v>8</v>
      </c>
      <c r="DR394" s="27" t="s">
        <v>7</v>
      </c>
      <c r="DS394" s="27" t="s">
        <v>8</v>
      </c>
      <c r="DT394" s="27" t="s">
        <v>7</v>
      </c>
      <c r="DU394" s="27" t="s">
        <v>8</v>
      </c>
      <c r="DV394" s="27" t="s">
        <v>7</v>
      </c>
      <c r="DW394" s="27" t="s">
        <v>8</v>
      </c>
      <c r="DX394" s="27" t="s">
        <v>7</v>
      </c>
      <c r="DY394" s="27" t="s">
        <v>8</v>
      </c>
      <c r="DZ394" s="27" t="s">
        <v>7</v>
      </c>
      <c r="EA394" s="27" t="s">
        <v>8</v>
      </c>
      <c r="EB394" s="27" t="s">
        <v>7</v>
      </c>
    </row>
    <row r="395" spans="1:138" x14ac:dyDescent="0.25">
      <c r="A395" s="7">
        <v>44.795354545629053</v>
      </c>
      <c r="B395"/>
      <c r="C395"/>
      <c r="D395"/>
      <c r="E395" t="s">
        <v>8</v>
      </c>
      <c r="H395" s="27" t="s">
        <v>7</v>
      </c>
      <c r="CS395" s="27" t="s">
        <v>8</v>
      </c>
      <c r="CT395" s="27" t="s">
        <v>7</v>
      </c>
      <c r="CU395" s="27" t="s">
        <v>8</v>
      </c>
      <c r="CV395" s="27" t="s">
        <v>7</v>
      </c>
      <c r="CW395" s="27" t="s">
        <v>8</v>
      </c>
      <c r="CX395" s="27" t="s">
        <v>7</v>
      </c>
      <c r="CY395" s="27" t="s">
        <v>8</v>
      </c>
      <c r="DC395" s="27" t="s">
        <v>8</v>
      </c>
      <c r="DP395" s="27" t="s">
        <v>7</v>
      </c>
      <c r="DQ395" s="27" t="s">
        <v>8</v>
      </c>
      <c r="DR395" s="27" t="s">
        <v>7</v>
      </c>
      <c r="DS395" s="27" t="s">
        <v>8</v>
      </c>
      <c r="DT395" s="27" t="s">
        <v>7</v>
      </c>
      <c r="DU395" s="27" t="s">
        <v>8</v>
      </c>
      <c r="DV395" s="27" t="s">
        <v>7</v>
      </c>
      <c r="DW395" s="27" t="s">
        <v>8</v>
      </c>
      <c r="DX395" s="27" t="s">
        <v>7</v>
      </c>
      <c r="DY395" s="27" t="s">
        <v>8</v>
      </c>
      <c r="DZ395" s="27" t="s">
        <v>7</v>
      </c>
      <c r="EA395" s="27" t="s">
        <v>8</v>
      </c>
      <c r="EB395" s="27" t="s">
        <v>7</v>
      </c>
    </row>
    <row r="396" spans="1:138" x14ac:dyDescent="0.25">
      <c r="A396" s="7">
        <v>43.917014260420636</v>
      </c>
      <c r="B396"/>
      <c r="C396"/>
      <c r="D396"/>
      <c r="E396" t="s">
        <v>8</v>
      </c>
      <c r="H396" s="27" t="s">
        <v>7</v>
      </c>
      <c r="CS396" s="27" t="s">
        <v>8</v>
      </c>
      <c r="CT396" s="27" t="s">
        <v>7</v>
      </c>
      <c r="CU396" s="27" t="s">
        <v>8</v>
      </c>
      <c r="CV396" s="27" t="s">
        <v>7</v>
      </c>
      <c r="CW396" s="27" t="s">
        <v>8</v>
      </c>
      <c r="CX396" s="27" t="s">
        <v>7</v>
      </c>
      <c r="CY396" s="27" t="s">
        <v>8</v>
      </c>
      <c r="CZ396" s="27" t="s">
        <v>7</v>
      </c>
      <c r="DC396" s="27" t="s">
        <v>8</v>
      </c>
      <c r="DP396" s="27" t="s">
        <v>7</v>
      </c>
      <c r="DQ396" s="27" t="s">
        <v>8</v>
      </c>
      <c r="DR396" s="27" t="s">
        <v>7</v>
      </c>
      <c r="DS396" s="27" t="s">
        <v>8</v>
      </c>
      <c r="DT396" s="27" t="s">
        <v>7</v>
      </c>
      <c r="DU396" s="27" t="s">
        <v>8</v>
      </c>
      <c r="DV396" s="27" t="s">
        <v>7</v>
      </c>
      <c r="DW396" s="27" t="s">
        <v>8</v>
      </c>
      <c r="DX396" s="27" t="s">
        <v>7</v>
      </c>
      <c r="DY396" s="27" t="s">
        <v>8</v>
      </c>
      <c r="DZ396" s="27" t="s">
        <v>7</v>
      </c>
      <c r="EA396" s="27" t="s">
        <v>8</v>
      </c>
      <c r="EB396" s="27" t="s">
        <v>7</v>
      </c>
      <c r="EC396" s="27" t="s">
        <v>8</v>
      </c>
    </row>
    <row r="397" spans="1:138" x14ac:dyDescent="0.25">
      <c r="A397" s="7">
        <v>43.055896333745721</v>
      </c>
      <c r="B397"/>
      <c r="C397"/>
      <c r="D397"/>
      <c r="E397" t="s">
        <v>8</v>
      </c>
      <c r="H397" s="27" t="s">
        <v>7</v>
      </c>
      <c r="CS397" s="27" t="s">
        <v>8</v>
      </c>
      <c r="CT397" s="27" t="s">
        <v>7</v>
      </c>
      <c r="CU397" s="27" t="s">
        <v>8</v>
      </c>
      <c r="CV397" s="27" t="s">
        <v>7</v>
      </c>
      <c r="CX397" s="27" t="s">
        <v>7</v>
      </c>
      <c r="CY397" s="27" t="s">
        <v>8</v>
      </c>
      <c r="CZ397" s="27" t="s">
        <v>7</v>
      </c>
      <c r="DC397" s="27" t="s">
        <v>8</v>
      </c>
      <c r="DP397" s="27" t="s">
        <v>7</v>
      </c>
      <c r="DQ397" s="27" t="s">
        <v>8</v>
      </c>
      <c r="DR397" s="27" t="s">
        <v>7</v>
      </c>
      <c r="DS397" s="27" t="s">
        <v>8</v>
      </c>
      <c r="DT397" s="27" t="s">
        <v>7</v>
      </c>
      <c r="DU397" s="27" t="s">
        <v>8</v>
      </c>
      <c r="DV397" s="27" t="s">
        <v>7</v>
      </c>
      <c r="DX397" s="27" t="s">
        <v>7</v>
      </c>
      <c r="DY397" s="27" t="s">
        <v>8</v>
      </c>
      <c r="DZ397" s="27" t="s">
        <v>7</v>
      </c>
      <c r="EB397" s="27" t="s">
        <v>7</v>
      </c>
      <c r="EC397" s="27" t="s">
        <v>8</v>
      </c>
      <c r="ED397" s="27" t="s">
        <v>7</v>
      </c>
      <c r="EG397" s="27" t="s">
        <v>8</v>
      </c>
    </row>
    <row r="398" spans="1:138" x14ac:dyDescent="0.25">
      <c r="A398" s="7">
        <v>42.211663072299729</v>
      </c>
      <c r="B398"/>
      <c r="C398"/>
      <c r="D398"/>
      <c r="E398" t="s">
        <v>8</v>
      </c>
      <c r="H398" s="27" t="s">
        <v>7</v>
      </c>
      <c r="CS398" s="27" t="s">
        <v>8</v>
      </c>
      <c r="CT398" s="27" t="s">
        <v>7</v>
      </c>
      <c r="CU398" s="27" t="s">
        <v>8</v>
      </c>
      <c r="CX398" s="27" t="s">
        <v>7</v>
      </c>
      <c r="CY398" s="27" t="s">
        <v>8</v>
      </c>
      <c r="CZ398" s="27" t="s">
        <v>7</v>
      </c>
      <c r="DA398" s="27" t="s">
        <v>8</v>
      </c>
      <c r="DC398" s="27" t="s">
        <v>8</v>
      </c>
      <c r="DP398" s="27" t="s">
        <v>7</v>
      </c>
      <c r="DQ398" s="27" t="s">
        <v>8</v>
      </c>
      <c r="DR398" s="27" t="s">
        <v>7</v>
      </c>
      <c r="DS398" s="27" t="s">
        <v>8</v>
      </c>
      <c r="DT398" s="27" t="s">
        <v>7</v>
      </c>
      <c r="DU398" s="27" t="s">
        <v>8</v>
      </c>
      <c r="DX398" s="27" t="s">
        <v>7</v>
      </c>
      <c r="DY398" s="27" t="s">
        <v>8</v>
      </c>
      <c r="EB398" s="27" t="s">
        <v>7</v>
      </c>
      <c r="EC398" s="27" t="s">
        <v>8</v>
      </c>
      <c r="ED398" s="27" t="s">
        <v>7</v>
      </c>
      <c r="EG398" s="27" t="s">
        <v>8</v>
      </c>
      <c r="EH398" s="27" t="s">
        <v>7</v>
      </c>
    </row>
    <row r="399" spans="1:138" x14ac:dyDescent="0.25">
      <c r="A399" s="7">
        <v>41.383983404215421</v>
      </c>
      <c r="B399"/>
      <c r="C399"/>
      <c r="D399"/>
      <c r="E399" t="s">
        <v>8</v>
      </c>
      <c r="H399" s="27" t="s">
        <v>7</v>
      </c>
      <c r="CS399" s="27" t="s">
        <v>8</v>
      </c>
      <c r="CT399" s="27" t="s">
        <v>7</v>
      </c>
      <c r="CU399" s="27" t="s">
        <v>8</v>
      </c>
      <c r="CX399" s="27" t="s">
        <v>7</v>
      </c>
      <c r="CY399" s="27" t="s">
        <v>8</v>
      </c>
      <c r="CZ399" s="27" t="s">
        <v>7</v>
      </c>
      <c r="DA399" s="27" t="s">
        <v>8</v>
      </c>
      <c r="DB399" s="27" t="s">
        <v>7</v>
      </c>
      <c r="DC399" s="27" t="s">
        <v>8</v>
      </c>
      <c r="DP399" s="27" t="s">
        <v>7</v>
      </c>
      <c r="DQ399" s="27" t="s">
        <v>8</v>
      </c>
      <c r="DR399" s="27" t="s">
        <v>7</v>
      </c>
      <c r="DS399" s="27" t="s">
        <v>8</v>
      </c>
      <c r="DT399" s="27" t="s">
        <v>7</v>
      </c>
      <c r="DU399" s="27" t="s">
        <v>8</v>
      </c>
      <c r="DX399" s="27" t="s">
        <v>7</v>
      </c>
      <c r="EB399" s="27" t="s">
        <v>7</v>
      </c>
      <c r="EC399" s="27" t="s">
        <v>8</v>
      </c>
      <c r="ED399" s="27" t="s">
        <v>7</v>
      </c>
      <c r="EG399" s="27" t="s">
        <v>8</v>
      </c>
      <c r="EH399" s="27" t="s">
        <v>7</v>
      </c>
    </row>
    <row r="400" spans="1:138" x14ac:dyDescent="0.25">
      <c r="A400" s="7">
        <v>40.572532749230803</v>
      </c>
      <c r="B400"/>
      <c r="C400"/>
      <c r="D400"/>
      <c r="E400" t="s">
        <v>8</v>
      </c>
      <c r="H400" s="27" t="s">
        <v>7</v>
      </c>
      <c r="CQ400" s="27" t="s">
        <v>8</v>
      </c>
      <c r="CS400" s="27" t="s">
        <v>8</v>
      </c>
      <c r="CT400" s="27" t="s">
        <v>7</v>
      </c>
      <c r="CU400" s="27" t="s">
        <v>8</v>
      </c>
      <c r="CX400" s="27" t="s">
        <v>7</v>
      </c>
      <c r="CY400" s="27" t="s">
        <v>8</v>
      </c>
      <c r="CZ400" s="27" t="s">
        <v>7</v>
      </c>
      <c r="DA400" s="27" t="s">
        <v>8</v>
      </c>
      <c r="DB400" s="27" t="s">
        <v>7</v>
      </c>
      <c r="DC400" s="27" t="s">
        <v>8</v>
      </c>
      <c r="DP400" s="27" t="s">
        <v>7</v>
      </c>
      <c r="DQ400" s="27" t="s">
        <v>8</v>
      </c>
      <c r="DR400" s="27" t="s">
        <v>7</v>
      </c>
      <c r="DS400" s="27" t="s">
        <v>8</v>
      </c>
      <c r="DT400" s="27" t="s">
        <v>7</v>
      </c>
      <c r="EB400" s="27" t="s">
        <v>7</v>
      </c>
      <c r="EC400" s="27" t="s">
        <v>8</v>
      </c>
      <c r="ED400" s="27" t="s">
        <v>7</v>
      </c>
      <c r="EG400" s="27" t="s">
        <v>8</v>
      </c>
      <c r="EH400" s="27" t="s">
        <v>7</v>
      </c>
    </row>
    <row r="401" spans="1:196" x14ac:dyDescent="0.25">
      <c r="A401" s="7">
        <v>39.776992891402749</v>
      </c>
      <c r="B401"/>
      <c r="C401"/>
      <c r="D401"/>
      <c r="E401" t="s">
        <v>8</v>
      </c>
      <c r="H401" s="27" t="s">
        <v>7</v>
      </c>
      <c r="CQ401" s="27" t="s">
        <v>8</v>
      </c>
      <c r="CR401" s="27" t="s">
        <v>7</v>
      </c>
      <c r="CS401" s="27" t="s">
        <v>8</v>
      </c>
      <c r="CT401" s="27" t="s">
        <v>7</v>
      </c>
      <c r="CU401" s="27" t="s">
        <v>8</v>
      </c>
      <c r="CX401" s="27" t="s">
        <v>7</v>
      </c>
      <c r="CY401" s="27" t="s">
        <v>8</v>
      </c>
      <c r="CZ401" s="27" t="s">
        <v>7</v>
      </c>
      <c r="DA401" s="27" t="s">
        <v>8</v>
      </c>
      <c r="DB401" s="27" t="s">
        <v>7</v>
      </c>
      <c r="DC401" s="27" t="s">
        <v>8</v>
      </c>
      <c r="DP401" s="27" t="s">
        <v>7</v>
      </c>
      <c r="DQ401" s="27" t="s">
        <v>8</v>
      </c>
      <c r="DR401" s="27" t="s">
        <v>7</v>
      </c>
      <c r="DS401" s="27" t="s">
        <v>8</v>
      </c>
      <c r="EB401" s="27" t="s">
        <v>7</v>
      </c>
      <c r="EC401" s="27" t="s">
        <v>8</v>
      </c>
      <c r="ED401" s="27" t="s">
        <v>7</v>
      </c>
      <c r="EG401" s="27" t="s">
        <v>8</v>
      </c>
      <c r="EH401" s="27" t="s">
        <v>7</v>
      </c>
    </row>
    <row r="402" spans="1:196" x14ac:dyDescent="0.25">
      <c r="A402" s="7">
        <v>38.997051854316418</v>
      </c>
      <c r="B402"/>
      <c r="C402"/>
      <c r="D402"/>
      <c r="E402" t="s">
        <v>8</v>
      </c>
      <c r="H402" s="27" t="s">
        <v>7</v>
      </c>
      <c r="CQ402" s="27" t="s">
        <v>8</v>
      </c>
      <c r="CR402" s="27" t="s">
        <v>7</v>
      </c>
      <c r="CS402" s="27" t="s">
        <v>8</v>
      </c>
      <c r="CT402" s="27" t="s">
        <v>7</v>
      </c>
      <c r="CX402" s="27" t="s">
        <v>7</v>
      </c>
      <c r="CY402" s="27" t="s">
        <v>8</v>
      </c>
      <c r="CZ402" s="27" t="s">
        <v>7</v>
      </c>
      <c r="DA402" s="27" t="s">
        <v>8</v>
      </c>
      <c r="DB402" s="27" t="s">
        <v>7</v>
      </c>
      <c r="DC402" s="27" t="s">
        <v>8</v>
      </c>
      <c r="DP402" s="27" t="s">
        <v>7</v>
      </c>
      <c r="DQ402" s="27" t="s">
        <v>8</v>
      </c>
      <c r="DR402" s="27" t="s">
        <v>7</v>
      </c>
      <c r="DS402" s="27" t="s">
        <v>8</v>
      </c>
      <c r="EB402" s="27" t="s">
        <v>7</v>
      </c>
      <c r="EC402" s="27" t="s">
        <v>8</v>
      </c>
      <c r="ED402" s="27" t="s">
        <v>7</v>
      </c>
      <c r="EG402" s="27" t="s">
        <v>8</v>
      </c>
      <c r="EH402" s="27" t="s">
        <v>7</v>
      </c>
    </row>
    <row r="403" spans="1:196" x14ac:dyDescent="0.25">
      <c r="A403" s="7">
        <v>38.232403778741585</v>
      </c>
      <c r="B403"/>
      <c r="C403"/>
      <c r="D403"/>
      <c r="E403" t="s">
        <v>8</v>
      </c>
      <c r="H403" s="27" t="s">
        <v>7</v>
      </c>
      <c r="CQ403" s="27" t="s">
        <v>8</v>
      </c>
      <c r="CR403" s="27" t="s">
        <v>7</v>
      </c>
      <c r="CS403" s="27" t="s">
        <v>8</v>
      </c>
      <c r="CX403" s="27" t="s">
        <v>7</v>
      </c>
      <c r="CZ403" s="27" t="s">
        <v>7</v>
      </c>
      <c r="DA403" s="27" t="s">
        <v>8</v>
      </c>
      <c r="DB403" s="27" t="s">
        <v>7</v>
      </c>
      <c r="DP403" s="27" t="s">
        <v>7</v>
      </c>
      <c r="DR403" s="27" t="s">
        <v>7</v>
      </c>
      <c r="DS403" s="27" t="s">
        <v>8</v>
      </c>
      <c r="EB403" s="27" t="s">
        <v>7</v>
      </c>
      <c r="EC403" s="27" t="s">
        <v>8</v>
      </c>
      <c r="ED403" s="27" t="s">
        <v>7</v>
      </c>
      <c r="EG403" s="27" t="s">
        <v>8</v>
      </c>
      <c r="EH403" s="27" t="s">
        <v>7</v>
      </c>
      <c r="EI403" s="27" t="s">
        <v>8</v>
      </c>
    </row>
    <row r="404" spans="1:196" x14ac:dyDescent="0.25">
      <c r="A404" s="7">
        <v>37.48274880268783</v>
      </c>
      <c r="B404"/>
      <c r="C404"/>
      <c r="D404"/>
      <c r="E404" t="s">
        <v>8</v>
      </c>
      <c r="H404" s="27" t="s">
        <v>7</v>
      </c>
      <c r="CA404" s="27" t="s">
        <v>8</v>
      </c>
      <c r="CC404" s="27" t="s">
        <v>8</v>
      </c>
      <c r="CQ404" s="27" t="s">
        <v>8</v>
      </c>
      <c r="CR404" s="27" t="s">
        <v>7</v>
      </c>
      <c r="CS404" s="27" t="s">
        <v>8</v>
      </c>
      <c r="CZ404" s="27" t="s">
        <v>7</v>
      </c>
      <c r="DA404" s="27" t="s">
        <v>8</v>
      </c>
      <c r="DR404" s="27" t="s">
        <v>7</v>
      </c>
      <c r="DS404" s="27" t="s">
        <v>8</v>
      </c>
      <c r="EB404" s="27" t="s">
        <v>7</v>
      </c>
      <c r="EC404" s="27" t="s">
        <v>8</v>
      </c>
      <c r="ED404" s="27" t="s">
        <v>7</v>
      </c>
      <c r="EG404" s="27" t="s">
        <v>8</v>
      </c>
      <c r="EH404" s="27" t="s">
        <v>7</v>
      </c>
      <c r="EI404" s="27" t="s">
        <v>8</v>
      </c>
      <c r="EJ404" s="27" t="s">
        <v>7</v>
      </c>
      <c r="EK404" s="27" t="s">
        <v>8</v>
      </c>
    </row>
    <row r="405" spans="1:196" x14ac:dyDescent="0.25">
      <c r="A405" s="7">
        <v>36.747792943811596</v>
      </c>
      <c r="B405"/>
      <c r="C405"/>
      <c r="D405"/>
      <c r="E405" t="s">
        <v>8</v>
      </c>
      <c r="H405" s="27" t="s">
        <v>7</v>
      </c>
      <c r="CA405" s="27" t="s">
        <v>8</v>
      </c>
      <c r="CB405" s="27" t="s">
        <v>7</v>
      </c>
      <c r="CC405" s="27" t="s">
        <v>8</v>
      </c>
      <c r="CD405" s="27" t="s">
        <v>7</v>
      </c>
      <c r="CG405" s="27" t="s">
        <v>8</v>
      </c>
      <c r="CQ405" s="27" t="s">
        <v>8</v>
      </c>
      <c r="CR405" s="27" t="s">
        <v>7</v>
      </c>
      <c r="CS405" s="27" t="s">
        <v>8</v>
      </c>
      <c r="CZ405" s="27" t="s">
        <v>7</v>
      </c>
      <c r="DA405" s="27" t="s">
        <v>8</v>
      </c>
      <c r="DR405" s="27" t="s">
        <v>7</v>
      </c>
      <c r="DS405" s="27" t="s">
        <v>8</v>
      </c>
      <c r="EB405" s="27" t="s">
        <v>7</v>
      </c>
      <c r="EC405" s="27" t="s">
        <v>8</v>
      </c>
      <c r="ED405" s="27" t="s">
        <v>7</v>
      </c>
      <c r="EG405" s="27" t="s">
        <v>8</v>
      </c>
      <c r="EH405" s="27" t="s">
        <v>7</v>
      </c>
      <c r="EI405" s="27" t="s">
        <v>8</v>
      </c>
      <c r="EJ405" s="27" t="s">
        <v>7</v>
      </c>
      <c r="EK405" s="27" t="s">
        <v>8</v>
      </c>
      <c r="EL405" s="27" t="s">
        <v>7</v>
      </c>
    </row>
    <row r="406" spans="1:196" x14ac:dyDescent="0.25">
      <c r="A406" s="7">
        <v>36.027247984129012</v>
      </c>
      <c r="B406"/>
      <c r="C406"/>
      <c r="D406"/>
      <c r="E406" t="s">
        <v>8</v>
      </c>
      <c r="H406" s="27" t="s">
        <v>7</v>
      </c>
      <c r="CA406" s="27" t="s">
        <v>8</v>
      </c>
      <c r="CB406" s="27" t="s">
        <v>7</v>
      </c>
      <c r="CC406" s="27" t="s">
        <v>8</v>
      </c>
      <c r="CD406" s="27" t="s">
        <v>7</v>
      </c>
      <c r="CG406" s="27" t="s">
        <v>8</v>
      </c>
      <c r="CH406" s="27" t="s">
        <v>7</v>
      </c>
      <c r="CQ406" s="27" t="s">
        <v>8</v>
      </c>
      <c r="CR406" s="27" t="s">
        <v>7</v>
      </c>
      <c r="CS406" s="27" t="s">
        <v>8</v>
      </c>
      <c r="CZ406" s="27" t="s">
        <v>7</v>
      </c>
      <c r="DA406" s="27" t="s">
        <v>8</v>
      </c>
      <c r="DR406" s="27" t="s">
        <v>7</v>
      </c>
      <c r="DS406" s="27" t="s">
        <v>8</v>
      </c>
      <c r="EB406" s="27" t="s">
        <v>7</v>
      </c>
      <c r="ED406" s="27" t="s">
        <v>7</v>
      </c>
      <c r="EE406" s="27" t="s">
        <v>8</v>
      </c>
      <c r="EG406" s="27" t="s">
        <v>8</v>
      </c>
      <c r="EH406" s="27" t="s">
        <v>7</v>
      </c>
      <c r="EI406" s="27" t="s">
        <v>8</v>
      </c>
      <c r="EJ406" s="27" t="s">
        <v>7</v>
      </c>
      <c r="EK406" s="27" t="s">
        <v>8</v>
      </c>
      <c r="EL406" s="27" t="s">
        <v>7</v>
      </c>
    </row>
    <row r="407" spans="1:196" x14ac:dyDescent="0.25">
      <c r="A407" s="7">
        <v>35.320831356989224</v>
      </c>
      <c r="B407"/>
      <c r="C407"/>
      <c r="D407"/>
      <c r="E407" t="s">
        <v>8</v>
      </c>
      <c r="H407" s="27" t="s">
        <v>7</v>
      </c>
      <c r="BY407" s="27" t="s">
        <v>8</v>
      </c>
      <c r="CA407" s="27" t="s">
        <v>8</v>
      </c>
      <c r="CB407" s="27" t="s">
        <v>7</v>
      </c>
      <c r="CC407" s="27" t="s">
        <v>8</v>
      </c>
      <c r="CD407" s="27" t="s">
        <v>7</v>
      </c>
      <c r="CG407" s="27" t="s">
        <v>8</v>
      </c>
      <c r="CH407" s="27" t="s">
        <v>7</v>
      </c>
      <c r="CO407" s="27" t="s">
        <v>8</v>
      </c>
      <c r="CQ407" s="27" t="s">
        <v>8</v>
      </c>
      <c r="CR407" s="27" t="s">
        <v>7</v>
      </c>
      <c r="CS407" s="27" t="s">
        <v>8</v>
      </c>
      <c r="CZ407" s="27" t="s">
        <v>7</v>
      </c>
      <c r="DR407" s="27" t="s">
        <v>7</v>
      </c>
      <c r="DS407" s="27" t="s">
        <v>8</v>
      </c>
      <c r="ED407" s="27" t="s">
        <v>7</v>
      </c>
      <c r="EE407" s="27" t="s">
        <v>8</v>
      </c>
      <c r="EF407" s="27" t="s">
        <v>7</v>
      </c>
      <c r="EG407" s="27" t="s">
        <v>8</v>
      </c>
      <c r="EH407" s="27" t="s">
        <v>7</v>
      </c>
      <c r="EI407" s="27" t="s">
        <v>8</v>
      </c>
      <c r="EJ407" s="27" t="s">
        <v>7</v>
      </c>
      <c r="EK407" s="27" t="s">
        <v>8</v>
      </c>
      <c r="EL407" s="27" t="s">
        <v>7</v>
      </c>
    </row>
    <row r="408" spans="1:196" x14ac:dyDescent="0.25">
      <c r="A408" s="7">
        <v>34.628266036263945</v>
      </c>
      <c r="B408"/>
      <c r="C408"/>
      <c r="D408"/>
      <c r="E408" t="s">
        <v>8</v>
      </c>
      <c r="H408" s="27" t="s">
        <v>7</v>
      </c>
      <c r="BY408" s="27" t="s">
        <v>8</v>
      </c>
      <c r="BZ408" s="27" t="s">
        <v>7</v>
      </c>
      <c r="CA408" s="27" t="s">
        <v>8</v>
      </c>
      <c r="CB408" s="27" t="s">
        <v>7</v>
      </c>
      <c r="CC408" s="27" t="s">
        <v>8</v>
      </c>
      <c r="CD408" s="27" t="s">
        <v>7</v>
      </c>
      <c r="CG408" s="27" t="s">
        <v>8</v>
      </c>
      <c r="CH408" s="27" t="s">
        <v>7</v>
      </c>
      <c r="CO408" s="27" t="s">
        <v>8</v>
      </c>
      <c r="CP408" s="27" t="s">
        <v>7</v>
      </c>
      <c r="CQ408" s="27" t="s">
        <v>8</v>
      </c>
      <c r="CR408" s="27" t="s">
        <v>7</v>
      </c>
      <c r="CS408" s="27" t="s">
        <v>8</v>
      </c>
      <c r="DR408" s="27" t="s">
        <v>7</v>
      </c>
      <c r="DS408" s="27" t="s">
        <v>8</v>
      </c>
      <c r="ED408" s="27" t="s">
        <v>7</v>
      </c>
      <c r="EE408" s="27" t="s">
        <v>8</v>
      </c>
      <c r="EF408" s="27" t="s">
        <v>7</v>
      </c>
      <c r="EG408" s="27" t="s">
        <v>8</v>
      </c>
      <c r="EH408" s="27" t="s">
        <v>7</v>
      </c>
      <c r="EI408" s="27" t="s">
        <v>8</v>
      </c>
      <c r="EJ408" s="27" t="s">
        <v>7</v>
      </c>
      <c r="EK408" s="27" t="s">
        <v>8</v>
      </c>
      <c r="EL408" s="27" t="s">
        <v>7</v>
      </c>
    </row>
    <row r="409" spans="1:196" x14ac:dyDescent="0.25">
      <c r="A409" s="7">
        <v>33.949280427709752</v>
      </c>
      <c r="B409"/>
      <c r="C409"/>
      <c r="D409"/>
      <c r="E409" t="s">
        <v>8</v>
      </c>
      <c r="H409" s="27" t="s">
        <v>7</v>
      </c>
      <c r="BY409" s="27" t="s">
        <v>8</v>
      </c>
      <c r="BZ409" s="27" t="s">
        <v>7</v>
      </c>
      <c r="CA409" s="27" t="s">
        <v>8</v>
      </c>
      <c r="CB409" s="27" t="s">
        <v>7</v>
      </c>
      <c r="CC409" s="27" t="s">
        <v>8</v>
      </c>
      <c r="CD409" s="27" t="s">
        <v>7</v>
      </c>
      <c r="CG409" s="27" t="s">
        <v>8</v>
      </c>
      <c r="CH409" s="27" t="s">
        <v>7</v>
      </c>
      <c r="CO409" s="27" t="s">
        <v>8</v>
      </c>
      <c r="CP409" s="27" t="s">
        <v>7</v>
      </c>
      <c r="CQ409" s="27" t="s">
        <v>8</v>
      </c>
      <c r="CR409" s="27" t="s">
        <v>7</v>
      </c>
      <c r="CS409" s="27" t="s">
        <v>8</v>
      </c>
      <c r="DR409" s="27" t="s">
        <v>7</v>
      </c>
      <c r="DS409" s="27" t="s">
        <v>8</v>
      </c>
      <c r="ED409" s="27" t="s">
        <v>7</v>
      </c>
      <c r="EE409" s="27" t="s">
        <v>8</v>
      </c>
      <c r="EF409" s="27" t="s">
        <v>7</v>
      </c>
      <c r="EG409" s="27" t="s">
        <v>8</v>
      </c>
      <c r="EH409" s="27" t="s">
        <v>7</v>
      </c>
      <c r="EI409" s="27" t="s">
        <v>8</v>
      </c>
      <c r="EJ409" s="27" t="s">
        <v>7</v>
      </c>
      <c r="EK409" s="27" t="s">
        <v>8</v>
      </c>
      <c r="EL409" s="27" t="s">
        <v>7</v>
      </c>
    </row>
    <row r="410" spans="1:196" x14ac:dyDescent="0.25">
      <c r="A410" s="7">
        <v>33.28360826246054</v>
      </c>
      <c r="B410"/>
      <c r="C410"/>
      <c r="D410"/>
      <c r="E410" t="s">
        <v>8</v>
      </c>
      <c r="H410" s="27" t="s">
        <v>7</v>
      </c>
      <c r="BY410" s="27" t="s">
        <v>8</v>
      </c>
      <c r="BZ410" s="27" t="s">
        <v>7</v>
      </c>
      <c r="CA410" s="27" t="s">
        <v>8</v>
      </c>
      <c r="CB410" s="27" t="s">
        <v>7</v>
      </c>
      <c r="CC410" s="27" t="s">
        <v>8</v>
      </c>
      <c r="CD410" s="27" t="s">
        <v>7</v>
      </c>
      <c r="CE410" s="27" t="s">
        <v>8</v>
      </c>
      <c r="CG410" s="27" t="s">
        <v>8</v>
      </c>
      <c r="CH410" s="27" t="s">
        <v>7</v>
      </c>
      <c r="CO410" s="27" t="s">
        <v>8</v>
      </c>
      <c r="CP410" s="27" t="s">
        <v>7</v>
      </c>
      <c r="CQ410" s="27" t="s">
        <v>8</v>
      </c>
      <c r="CR410" s="27" t="s">
        <v>7</v>
      </c>
      <c r="CS410" s="27" t="s">
        <v>8</v>
      </c>
      <c r="DR410" s="27" t="s">
        <v>7</v>
      </c>
      <c r="DS410" s="27" t="s">
        <v>8</v>
      </c>
      <c r="ED410" s="27" t="s">
        <v>7</v>
      </c>
      <c r="EE410" s="27" t="s">
        <v>8</v>
      </c>
      <c r="EF410" s="27" t="s">
        <v>7</v>
      </c>
      <c r="EG410" s="27" t="s">
        <v>8</v>
      </c>
      <c r="EH410" s="27" t="s">
        <v>7</v>
      </c>
      <c r="EI410" s="27" t="s">
        <v>8</v>
      </c>
      <c r="EJ410" s="27" t="s">
        <v>7</v>
      </c>
      <c r="EK410" s="27" t="s">
        <v>8</v>
      </c>
      <c r="EL410" s="27" t="s">
        <v>7</v>
      </c>
    </row>
    <row r="411" spans="1:196" x14ac:dyDescent="0.25">
      <c r="A411" s="7">
        <v>32.630988492608374</v>
      </c>
      <c r="B411"/>
      <c r="C411"/>
      <c r="D411"/>
      <c r="E411" t="s">
        <v>8</v>
      </c>
      <c r="H411" s="27" t="s">
        <v>7</v>
      </c>
      <c r="I411" s="27" t="s">
        <v>8</v>
      </c>
      <c r="BY411" s="27" t="s">
        <v>8</v>
      </c>
      <c r="BZ411" s="27" t="s">
        <v>7</v>
      </c>
      <c r="CA411" s="27" t="s">
        <v>8</v>
      </c>
      <c r="CB411" s="27" t="s">
        <v>7</v>
      </c>
      <c r="CD411" s="27" t="s">
        <v>7</v>
      </c>
      <c r="CE411" s="27" t="s">
        <v>8</v>
      </c>
      <c r="CF411" s="27" t="s">
        <v>7</v>
      </c>
      <c r="CG411" s="27" t="s">
        <v>8</v>
      </c>
      <c r="CH411" s="27" t="s">
        <v>7</v>
      </c>
      <c r="CO411" s="27" t="s">
        <v>8</v>
      </c>
      <c r="CP411" s="27" t="s">
        <v>7</v>
      </c>
      <c r="CQ411" s="27" t="s">
        <v>8</v>
      </c>
      <c r="CR411" s="27" t="s">
        <v>7</v>
      </c>
      <c r="CS411" s="27" t="s">
        <v>8</v>
      </c>
      <c r="DR411" s="27" t="s">
        <v>7</v>
      </c>
      <c r="DS411" s="27" t="s">
        <v>8</v>
      </c>
      <c r="ED411" s="27" t="s">
        <v>7</v>
      </c>
      <c r="EE411" s="27" t="s">
        <v>8</v>
      </c>
      <c r="EF411" s="27" t="s">
        <v>7</v>
      </c>
      <c r="EG411" s="27" t="s">
        <v>8</v>
      </c>
      <c r="EH411" s="27" t="s">
        <v>7</v>
      </c>
      <c r="EI411" s="27" t="s">
        <v>8</v>
      </c>
      <c r="EJ411" s="27" t="s">
        <v>7</v>
      </c>
      <c r="EK411" s="27" t="s">
        <v>8</v>
      </c>
      <c r="EL411" s="27" t="s">
        <v>7</v>
      </c>
      <c r="GM411" s="27" t="s">
        <v>8</v>
      </c>
    </row>
    <row r="412" spans="1:196" x14ac:dyDescent="0.25">
      <c r="A412" s="7">
        <v>31.99116518883174</v>
      </c>
      <c r="B412"/>
      <c r="C412"/>
      <c r="D412"/>
      <c r="E412" t="s">
        <v>8</v>
      </c>
      <c r="H412" s="27" t="s">
        <v>7</v>
      </c>
      <c r="I412" s="27" t="s">
        <v>8</v>
      </c>
      <c r="J412" s="27" t="s">
        <v>7</v>
      </c>
      <c r="BY412" s="27" t="s">
        <v>8</v>
      </c>
      <c r="BZ412" s="27" t="s">
        <v>7</v>
      </c>
      <c r="CA412" s="27" t="s">
        <v>8</v>
      </c>
      <c r="CD412" s="27" t="s">
        <v>7</v>
      </c>
      <c r="CE412" s="27" t="s">
        <v>8</v>
      </c>
      <c r="CF412" s="27" t="s">
        <v>7</v>
      </c>
      <c r="CG412" s="27" t="s">
        <v>8</v>
      </c>
      <c r="CH412" s="27" t="s">
        <v>7</v>
      </c>
      <c r="CO412" s="27" t="s">
        <v>8</v>
      </c>
      <c r="CP412" s="27" t="s">
        <v>7</v>
      </c>
      <c r="CQ412" s="27" t="s">
        <v>8</v>
      </c>
      <c r="CR412" s="27" t="s">
        <v>7</v>
      </c>
      <c r="CS412" s="27" t="s">
        <v>8</v>
      </c>
      <c r="DR412" s="27" t="s">
        <v>7</v>
      </c>
      <c r="DS412" s="27" t="s">
        <v>8</v>
      </c>
      <c r="ED412" s="27" t="s">
        <v>7</v>
      </c>
      <c r="EE412" s="27" t="s">
        <v>8</v>
      </c>
      <c r="EF412" s="27" t="s">
        <v>7</v>
      </c>
      <c r="EH412" s="27" t="s">
        <v>7</v>
      </c>
      <c r="EJ412" s="27" t="s">
        <v>7</v>
      </c>
      <c r="EK412" s="27" t="s">
        <v>8</v>
      </c>
      <c r="EL412" s="27" t="s">
        <v>7</v>
      </c>
      <c r="GM412" s="27" t="s">
        <v>8</v>
      </c>
      <c r="GN412" s="27" t="s">
        <v>7</v>
      </c>
    </row>
    <row r="413" spans="1:196" x14ac:dyDescent="0.25">
      <c r="A413" s="7">
        <v>31.363887440031117</v>
      </c>
      <c r="B413"/>
      <c r="C413"/>
      <c r="D413"/>
      <c r="E413" t="s">
        <v>8</v>
      </c>
      <c r="H413" s="27" t="s">
        <v>7</v>
      </c>
      <c r="I413" s="27" t="s">
        <v>8</v>
      </c>
      <c r="J413" s="27" t="s">
        <v>7</v>
      </c>
      <c r="BY413" s="27" t="s">
        <v>8</v>
      </c>
      <c r="BZ413" s="27" t="s">
        <v>7</v>
      </c>
      <c r="CA413" s="27" t="s">
        <v>8</v>
      </c>
      <c r="CD413" s="27" t="s">
        <v>7</v>
      </c>
      <c r="CE413" s="27" t="s">
        <v>8</v>
      </c>
      <c r="CF413" s="27" t="s">
        <v>7</v>
      </c>
      <c r="CG413" s="27" t="s">
        <v>8</v>
      </c>
      <c r="CH413" s="27" t="s">
        <v>7</v>
      </c>
      <c r="CO413" s="27" t="s">
        <v>8</v>
      </c>
      <c r="CP413" s="27" t="s">
        <v>7</v>
      </c>
      <c r="CQ413" s="27" t="s">
        <v>8</v>
      </c>
      <c r="CR413" s="27" t="s">
        <v>7</v>
      </c>
      <c r="CS413" s="27" t="s">
        <v>8</v>
      </c>
      <c r="DR413" s="27" t="s">
        <v>7</v>
      </c>
      <c r="DS413" s="27" t="s">
        <v>8</v>
      </c>
      <c r="ED413" s="27" t="s">
        <v>7</v>
      </c>
      <c r="EJ413" s="27" t="s">
        <v>7</v>
      </c>
      <c r="EK413" s="27" t="s">
        <v>8</v>
      </c>
      <c r="EL413" s="27" t="s">
        <v>7</v>
      </c>
      <c r="GM413" s="27" t="s">
        <v>8</v>
      </c>
      <c r="GN413" s="27" t="s">
        <v>7</v>
      </c>
    </row>
    <row r="414" spans="1:196" x14ac:dyDescent="0.25">
      <c r="A414" s="7">
        <v>30.748909254932467</v>
      </c>
      <c r="B414"/>
      <c r="C414"/>
      <c r="D414"/>
      <c r="E414" t="s">
        <v>8</v>
      </c>
      <c r="H414" s="27" t="s">
        <v>7</v>
      </c>
      <c r="I414" s="27" t="s">
        <v>8</v>
      </c>
      <c r="J414" s="27" t="s">
        <v>7</v>
      </c>
      <c r="BY414" s="27" t="s">
        <v>8</v>
      </c>
      <c r="BZ414" s="27" t="s">
        <v>7</v>
      </c>
      <c r="CA414" s="27" t="s">
        <v>8</v>
      </c>
      <c r="CD414" s="27" t="s">
        <v>7</v>
      </c>
      <c r="CE414" s="27" t="s">
        <v>8</v>
      </c>
      <c r="CF414" s="27" t="s">
        <v>7</v>
      </c>
      <c r="CG414" s="27" t="s">
        <v>8</v>
      </c>
      <c r="CH414" s="27" t="s">
        <v>7</v>
      </c>
      <c r="CO414" s="27" t="s">
        <v>8</v>
      </c>
      <c r="CP414" s="27" t="s">
        <v>7</v>
      </c>
      <c r="CQ414" s="27" t="s">
        <v>8</v>
      </c>
      <c r="CR414" s="27" t="s">
        <v>7</v>
      </c>
      <c r="DR414" s="27" t="s">
        <v>7</v>
      </c>
      <c r="EJ414" s="27" t="s">
        <v>7</v>
      </c>
      <c r="EK414" s="27" t="s">
        <v>8</v>
      </c>
      <c r="EL414" s="27" t="s">
        <v>7</v>
      </c>
      <c r="GM414" s="27" t="s">
        <v>8</v>
      </c>
      <c r="GN414" s="27" t="s">
        <v>7</v>
      </c>
    </row>
    <row r="415" spans="1:196" x14ac:dyDescent="0.25">
      <c r="A415" s="7">
        <v>30.145989465620065</v>
      </c>
      <c r="B415"/>
      <c r="C415"/>
      <c r="D415"/>
      <c r="E415" t="s">
        <v>8</v>
      </c>
      <c r="H415" s="27" t="s">
        <v>7</v>
      </c>
      <c r="I415" s="27" t="s">
        <v>8</v>
      </c>
      <c r="J415" s="27" t="s">
        <v>7</v>
      </c>
      <c r="K415" s="27" t="s">
        <v>8</v>
      </c>
      <c r="BY415" s="27" t="s">
        <v>8</v>
      </c>
      <c r="BZ415" s="27" t="s">
        <v>7</v>
      </c>
      <c r="CA415" s="27" t="s">
        <v>8</v>
      </c>
      <c r="CD415" s="27" t="s">
        <v>7</v>
      </c>
      <c r="CE415" s="27" t="s">
        <v>8</v>
      </c>
      <c r="CF415" s="27" t="s">
        <v>7</v>
      </c>
      <c r="CH415" s="27" t="s">
        <v>7</v>
      </c>
      <c r="CO415" s="27" t="s">
        <v>8</v>
      </c>
      <c r="CP415" s="27" t="s">
        <v>7</v>
      </c>
      <c r="CQ415" s="27" t="s">
        <v>8</v>
      </c>
      <c r="EJ415" s="27" t="s">
        <v>7</v>
      </c>
      <c r="EK415" s="27" t="s">
        <v>8</v>
      </c>
      <c r="EL415" s="27" t="s">
        <v>7</v>
      </c>
      <c r="GM415" s="27" t="s">
        <v>8</v>
      </c>
      <c r="GN415" s="27" t="s">
        <v>7</v>
      </c>
    </row>
    <row r="416" spans="1:196" x14ac:dyDescent="0.25">
      <c r="A416" s="7">
        <v>29.55489163296085</v>
      </c>
      <c r="B416"/>
      <c r="C416"/>
      <c r="D416"/>
      <c r="E416" t="s">
        <v>8</v>
      </c>
      <c r="H416" s="27" t="s">
        <v>7</v>
      </c>
      <c r="I416" s="27" t="s">
        <v>8</v>
      </c>
      <c r="J416" s="27" t="s">
        <v>7</v>
      </c>
      <c r="K416" s="27" t="s">
        <v>8</v>
      </c>
      <c r="L416" s="27" t="s">
        <v>7</v>
      </c>
      <c r="BY416" s="27" t="s">
        <v>8</v>
      </c>
      <c r="BZ416" s="27" t="s">
        <v>7</v>
      </c>
      <c r="CA416" s="27" t="s">
        <v>8</v>
      </c>
      <c r="CD416" s="27" t="s">
        <v>7</v>
      </c>
      <c r="CE416" s="27" t="s">
        <v>8</v>
      </c>
      <c r="CH416" s="27" t="s">
        <v>7</v>
      </c>
      <c r="CO416" s="27" t="s">
        <v>8</v>
      </c>
      <c r="CP416" s="27" t="s">
        <v>7</v>
      </c>
      <c r="CQ416" s="27" t="s">
        <v>8</v>
      </c>
      <c r="EJ416" s="27" t="s">
        <v>7</v>
      </c>
      <c r="EK416" s="27" t="s">
        <v>8</v>
      </c>
      <c r="EL416" s="27" t="s">
        <v>7</v>
      </c>
      <c r="GM416" s="27" t="s">
        <v>8</v>
      </c>
      <c r="GN416" s="27" t="s">
        <v>7</v>
      </c>
    </row>
    <row r="417" spans="1:240" x14ac:dyDescent="0.25">
      <c r="A417" s="7">
        <v>28.975383953883185</v>
      </c>
      <c r="B417"/>
      <c r="C417"/>
      <c r="D417"/>
      <c r="E417" t="s">
        <v>8</v>
      </c>
      <c r="H417" s="27" t="s">
        <v>7</v>
      </c>
      <c r="I417" s="27" t="s">
        <v>8</v>
      </c>
      <c r="J417" s="27" t="s">
        <v>7</v>
      </c>
      <c r="K417" s="27" t="s">
        <v>8</v>
      </c>
      <c r="L417" s="27" t="s">
        <v>7</v>
      </c>
      <c r="BY417" s="27" t="s">
        <v>8</v>
      </c>
      <c r="BZ417" s="27" t="s">
        <v>7</v>
      </c>
      <c r="CA417" s="27" t="s">
        <v>8</v>
      </c>
      <c r="CD417" s="27" t="s">
        <v>7</v>
      </c>
      <c r="CE417" s="27" t="s">
        <v>8</v>
      </c>
      <c r="CH417" s="27" t="s">
        <v>7</v>
      </c>
      <c r="CK417" s="27" t="s">
        <v>8</v>
      </c>
      <c r="CO417" s="27" t="s">
        <v>8</v>
      </c>
      <c r="CP417" s="27" t="s">
        <v>7</v>
      </c>
      <c r="EJ417" s="27" t="s">
        <v>7</v>
      </c>
      <c r="EK417" s="27" t="s">
        <v>8</v>
      </c>
      <c r="EL417" s="27" t="s">
        <v>7</v>
      </c>
      <c r="GM417" s="27" t="s">
        <v>8</v>
      </c>
      <c r="GN417" s="27" t="s">
        <v>7</v>
      </c>
      <c r="HM417" s="27" t="s">
        <v>8</v>
      </c>
    </row>
    <row r="418" spans="1:240" x14ac:dyDescent="0.25">
      <c r="A418" s="7">
        <v>28.407239170473709</v>
      </c>
      <c r="B418"/>
      <c r="C418"/>
      <c r="D418"/>
      <c r="E418" t="s">
        <v>8</v>
      </c>
      <c r="H418" s="27" t="s">
        <v>7</v>
      </c>
      <c r="I418" s="27" t="s">
        <v>8</v>
      </c>
      <c r="J418" s="27" t="s">
        <v>7</v>
      </c>
      <c r="K418" s="27" t="s">
        <v>8</v>
      </c>
      <c r="L418" s="27" t="s">
        <v>7</v>
      </c>
      <c r="BY418" s="27" t="s">
        <v>8</v>
      </c>
      <c r="BZ418" s="27" t="s">
        <v>7</v>
      </c>
      <c r="CA418" s="27" t="s">
        <v>8</v>
      </c>
      <c r="CD418" s="27" t="s">
        <v>7</v>
      </c>
      <c r="CE418" s="27" t="s">
        <v>8</v>
      </c>
      <c r="CH418" s="27" t="s">
        <v>7</v>
      </c>
      <c r="CK418" s="27" t="s">
        <v>8</v>
      </c>
      <c r="CL418" s="27" t="s">
        <v>7</v>
      </c>
      <c r="CO418" s="27" t="s">
        <v>8</v>
      </c>
      <c r="EJ418" s="27" t="s">
        <v>7</v>
      </c>
      <c r="EK418" s="27" t="s">
        <v>8</v>
      </c>
      <c r="EL418" s="27" t="s">
        <v>7</v>
      </c>
      <c r="GM418" s="27" t="s">
        <v>8</v>
      </c>
      <c r="GN418" s="27" t="s">
        <v>7</v>
      </c>
      <c r="HM418" s="27" t="s">
        <v>8</v>
      </c>
      <c r="HN418" s="27" t="s">
        <v>7</v>
      </c>
    </row>
    <row r="419" spans="1:240" x14ac:dyDescent="0.25">
      <c r="A419" s="7">
        <v>27.850234480856578</v>
      </c>
      <c r="B419"/>
      <c r="C419"/>
      <c r="D419"/>
      <c r="E419" t="s">
        <v>8</v>
      </c>
      <c r="H419" s="27" t="s">
        <v>7</v>
      </c>
      <c r="I419" s="27" t="s">
        <v>8</v>
      </c>
      <c r="J419" s="27" t="s">
        <v>7</v>
      </c>
      <c r="K419" s="27" t="s">
        <v>8</v>
      </c>
      <c r="L419" s="27" t="s">
        <v>7</v>
      </c>
      <c r="BY419" s="27" t="s">
        <v>8</v>
      </c>
      <c r="BZ419" s="27" t="s">
        <v>7</v>
      </c>
      <c r="CA419" s="27" t="s">
        <v>8</v>
      </c>
      <c r="CD419" s="27" t="s">
        <v>7</v>
      </c>
      <c r="CE419" s="27" t="s">
        <v>8</v>
      </c>
      <c r="CH419" s="27" t="s">
        <v>7</v>
      </c>
      <c r="CI419" s="27" t="s">
        <v>8</v>
      </c>
      <c r="CK419" s="27" t="s">
        <v>8</v>
      </c>
      <c r="CL419" s="27" t="s">
        <v>7</v>
      </c>
      <c r="CO419" s="27" t="s">
        <v>8</v>
      </c>
      <c r="EJ419" s="27" t="s">
        <v>7</v>
      </c>
      <c r="EK419" s="27" t="s">
        <v>8</v>
      </c>
      <c r="EL419" s="27" t="s">
        <v>7</v>
      </c>
      <c r="GM419" s="27" t="s">
        <v>8</v>
      </c>
      <c r="GN419" s="27" t="s">
        <v>7</v>
      </c>
      <c r="HM419" s="27" t="s">
        <v>8</v>
      </c>
      <c r="HN419" s="27" t="s">
        <v>7</v>
      </c>
    </row>
    <row r="420" spans="1:240" x14ac:dyDescent="0.25">
      <c r="A420" s="7">
        <v>27.304151451820175</v>
      </c>
      <c r="B420"/>
      <c r="C420"/>
      <c r="D420"/>
      <c r="E420" t="s">
        <v>8</v>
      </c>
      <c r="H420" s="27" t="s">
        <v>7</v>
      </c>
      <c r="I420" s="27" t="s">
        <v>8</v>
      </c>
      <c r="J420" s="27" t="s">
        <v>7</v>
      </c>
      <c r="K420" s="27" t="s">
        <v>8</v>
      </c>
      <c r="L420" s="27" t="s">
        <v>7</v>
      </c>
      <c r="BY420" s="27" t="s">
        <v>8</v>
      </c>
      <c r="BZ420" s="27" t="s">
        <v>7</v>
      </c>
      <c r="CD420" s="27" t="s">
        <v>7</v>
      </c>
      <c r="CE420" s="27" t="s">
        <v>8</v>
      </c>
      <c r="CH420" s="27" t="s">
        <v>7</v>
      </c>
      <c r="CI420" s="27" t="s">
        <v>8</v>
      </c>
      <c r="CJ420" s="27" t="s">
        <v>7</v>
      </c>
      <c r="CK420" s="27" t="s">
        <v>8</v>
      </c>
      <c r="CL420" s="27" t="s">
        <v>7</v>
      </c>
      <c r="CO420" s="27" t="s">
        <v>8</v>
      </c>
      <c r="EJ420" s="27" t="s">
        <v>7</v>
      </c>
      <c r="EK420" s="27" t="s">
        <v>8</v>
      </c>
      <c r="EL420" s="27" t="s">
        <v>7</v>
      </c>
      <c r="GM420" s="27" t="s">
        <v>8</v>
      </c>
      <c r="GN420" s="27" t="s">
        <v>7</v>
      </c>
      <c r="HM420" s="27" t="s">
        <v>8</v>
      </c>
      <c r="HN420" s="27" t="s">
        <v>7</v>
      </c>
    </row>
    <row r="421" spans="1:240" x14ac:dyDescent="0.25">
      <c r="A421" s="7">
        <v>26.768775933157034</v>
      </c>
      <c r="B421"/>
      <c r="C421"/>
      <c r="D421"/>
      <c r="E421" t="s">
        <v>8</v>
      </c>
      <c r="H421" s="27" t="s">
        <v>7</v>
      </c>
      <c r="I421" s="27" t="s">
        <v>8</v>
      </c>
      <c r="J421" s="27" t="s">
        <v>7</v>
      </c>
      <c r="K421" s="27" t="s">
        <v>8</v>
      </c>
      <c r="L421" s="27" t="s">
        <v>7</v>
      </c>
      <c r="BY421" s="27" t="s">
        <v>8</v>
      </c>
      <c r="CD421" s="27" t="s">
        <v>7</v>
      </c>
      <c r="CE421" s="27" t="s">
        <v>8</v>
      </c>
      <c r="CH421" s="27" t="s">
        <v>7</v>
      </c>
      <c r="CI421" s="27" t="s">
        <v>8</v>
      </c>
      <c r="CJ421" s="27" t="s">
        <v>7</v>
      </c>
      <c r="CK421" s="27" t="s">
        <v>8</v>
      </c>
      <c r="CL421" s="27" t="s">
        <v>7</v>
      </c>
      <c r="CO421" s="27" t="s">
        <v>8</v>
      </c>
      <c r="EJ421" s="27" t="s">
        <v>7</v>
      </c>
      <c r="EK421" s="27" t="s">
        <v>8</v>
      </c>
      <c r="EL421" s="27" t="s">
        <v>7</v>
      </c>
      <c r="EO421" s="27" t="s">
        <v>8</v>
      </c>
      <c r="ES421" s="27" t="s">
        <v>8</v>
      </c>
      <c r="GM421" s="27" t="s">
        <v>8</v>
      </c>
      <c r="GN421" s="27" t="s">
        <v>7</v>
      </c>
      <c r="HM421" s="27" t="s">
        <v>8</v>
      </c>
      <c r="HN421" s="27" t="s">
        <v>7</v>
      </c>
    </row>
    <row r="422" spans="1:240" x14ac:dyDescent="0.25">
      <c r="A422" s="7">
        <v>26.243897973683367</v>
      </c>
      <c r="B422"/>
      <c r="C422"/>
      <c r="D422"/>
      <c r="E422" t="s">
        <v>8</v>
      </c>
      <c r="H422" s="27" t="s">
        <v>7</v>
      </c>
      <c r="I422" s="27" t="s">
        <v>8</v>
      </c>
      <c r="J422" s="27" t="s">
        <v>7</v>
      </c>
      <c r="K422" s="27" t="s">
        <v>8</v>
      </c>
      <c r="L422" s="27" t="s">
        <v>7</v>
      </c>
      <c r="BY422" s="27" t="s">
        <v>8</v>
      </c>
      <c r="CD422" s="27" t="s">
        <v>7</v>
      </c>
      <c r="CE422" s="27" t="s">
        <v>8</v>
      </c>
      <c r="CH422" s="27" t="s">
        <v>7</v>
      </c>
      <c r="CI422" s="27" t="s">
        <v>8</v>
      </c>
      <c r="CJ422" s="27" t="s">
        <v>7</v>
      </c>
      <c r="CK422" s="27" t="s">
        <v>8</v>
      </c>
      <c r="CL422" s="27" t="s">
        <v>7</v>
      </c>
      <c r="CO422" s="27" t="s">
        <v>8</v>
      </c>
      <c r="EJ422" s="27" t="s">
        <v>7</v>
      </c>
      <c r="EK422" s="27" t="s">
        <v>8</v>
      </c>
      <c r="EL422" s="27" t="s">
        <v>7</v>
      </c>
      <c r="EO422" s="27" t="s">
        <v>8</v>
      </c>
      <c r="EP422" s="27" t="s">
        <v>7</v>
      </c>
      <c r="ES422" s="27" t="s">
        <v>8</v>
      </c>
      <c r="ET422" s="27" t="s">
        <v>7</v>
      </c>
      <c r="GM422" s="27" t="s">
        <v>8</v>
      </c>
      <c r="GN422" s="27" t="s">
        <v>7</v>
      </c>
      <c r="HM422" s="27" t="s">
        <v>8</v>
      </c>
      <c r="HN422" s="27" t="s">
        <v>7</v>
      </c>
      <c r="HO422" s="27" t="s">
        <v>8</v>
      </c>
    </row>
    <row r="423" spans="1:240" x14ac:dyDescent="0.25">
      <c r="A423" s="7">
        <v>25.729311738905263</v>
      </c>
      <c r="B423"/>
      <c r="C423"/>
      <c r="D423"/>
      <c r="E423" t="s">
        <v>8</v>
      </c>
      <c r="H423" s="27" t="s">
        <v>7</v>
      </c>
      <c r="I423" s="27" t="s">
        <v>8</v>
      </c>
      <c r="J423" s="27" t="s">
        <v>7</v>
      </c>
      <c r="K423" s="27" t="s">
        <v>8</v>
      </c>
      <c r="L423" s="27" t="s">
        <v>7</v>
      </c>
      <c r="BY423" s="27" t="s">
        <v>8</v>
      </c>
      <c r="CD423" s="27" t="s">
        <v>7</v>
      </c>
      <c r="CH423" s="27" t="s">
        <v>7</v>
      </c>
      <c r="CI423" s="27" t="s">
        <v>8</v>
      </c>
      <c r="CJ423" s="27" t="s">
        <v>7</v>
      </c>
      <c r="CK423" s="27" t="s">
        <v>8</v>
      </c>
      <c r="CL423" s="27" t="s">
        <v>7</v>
      </c>
      <c r="CO423" s="27" t="s">
        <v>8</v>
      </c>
      <c r="EJ423" s="27" t="s">
        <v>7</v>
      </c>
      <c r="EK423" s="27" t="s">
        <v>8</v>
      </c>
      <c r="EL423" s="27" t="s">
        <v>7</v>
      </c>
      <c r="EO423" s="27" t="s">
        <v>8</v>
      </c>
      <c r="EP423" s="27" t="s">
        <v>7</v>
      </c>
      <c r="ES423" s="27" t="s">
        <v>8</v>
      </c>
      <c r="ET423" s="27" t="s">
        <v>7</v>
      </c>
      <c r="EU423" s="27" t="s">
        <v>8</v>
      </c>
      <c r="FY423" s="27" t="s">
        <v>8</v>
      </c>
      <c r="GA423" s="27" t="s">
        <v>8</v>
      </c>
      <c r="GE423" s="27" t="s">
        <v>8</v>
      </c>
      <c r="GM423" s="27" t="s">
        <v>8</v>
      </c>
      <c r="GN423" s="27" t="s">
        <v>7</v>
      </c>
      <c r="HM423" s="27" t="s">
        <v>8</v>
      </c>
      <c r="HN423" s="27" t="s">
        <v>7</v>
      </c>
      <c r="HO423" s="27" t="s">
        <v>8</v>
      </c>
      <c r="HP423" s="27" t="s">
        <v>7</v>
      </c>
      <c r="IE423" s="27" t="s">
        <v>8</v>
      </c>
    </row>
    <row r="424" spans="1:240" x14ac:dyDescent="0.25">
      <c r="A424" s="7">
        <v>25.224815430299277</v>
      </c>
      <c r="B424"/>
      <c r="C424"/>
      <c r="D424"/>
      <c r="E424" t="s">
        <v>8</v>
      </c>
      <c r="H424" s="27" t="s">
        <v>7</v>
      </c>
      <c r="I424" s="27" t="s">
        <v>8</v>
      </c>
      <c r="J424" s="27" t="s">
        <v>7</v>
      </c>
      <c r="K424" s="27" t="s">
        <v>8</v>
      </c>
      <c r="L424" s="27" t="s">
        <v>7</v>
      </c>
      <c r="M424" s="27" t="s">
        <v>8</v>
      </c>
      <c r="BW424" s="27" t="s">
        <v>8</v>
      </c>
      <c r="BY424" s="27" t="s">
        <v>8</v>
      </c>
      <c r="CH424" s="27" t="s">
        <v>7</v>
      </c>
      <c r="CI424" s="27" t="s">
        <v>8</v>
      </c>
      <c r="CJ424" s="27" t="s">
        <v>7</v>
      </c>
      <c r="CK424" s="27" t="s">
        <v>8</v>
      </c>
      <c r="CL424" s="27" t="s">
        <v>7</v>
      </c>
      <c r="CO424" s="27" t="s">
        <v>8</v>
      </c>
      <c r="EJ424" s="27" t="s">
        <v>7</v>
      </c>
      <c r="EK424" s="27" t="s">
        <v>8</v>
      </c>
      <c r="EL424" s="27" t="s">
        <v>7</v>
      </c>
      <c r="EO424" s="27" t="s">
        <v>8</v>
      </c>
      <c r="EP424" s="27" t="s">
        <v>7</v>
      </c>
      <c r="ES424" s="27" t="s">
        <v>8</v>
      </c>
      <c r="ET424" s="27" t="s">
        <v>7</v>
      </c>
      <c r="EU424" s="27" t="s">
        <v>8</v>
      </c>
      <c r="EV424" s="27" t="s">
        <v>7</v>
      </c>
      <c r="EY424" s="27" t="s">
        <v>8</v>
      </c>
      <c r="FY424" s="27" t="s">
        <v>8</v>
      </c>
      <c r="FZ424" s="27" t="s">
        <v>7</v>
      </c>
      <c r="GA424" s="27" t="s">
        <v>8</v>
      </c>
      <c r="GB424" s="27" t="s">
        <v>7</v>
      </c>
      <c r="GE424" s="27" t="s">
        <v>8</v>
      </c>
      <c r="GF424" s="27" t="s">
        <v>7</v>
      </c>
      <c r="GG424" s="27" t="s">
        <v>8</v>
      </c>
      <c r="GM424" s="27" t="s">
        <v>8</v>
      </c>
      <c r="GN424" s="27" t="s">
        <v>7</v>
      </c>
      <c r="GQ424" s="27" t="s">
        <v>8</v>
      </c>
      <c r="HM424" s="27" t="s">
        <v>8</v>
      </c>
      <c r="HN424" s="27" t="s">
        <v>7</v>
      </c>
      <c r="HO424" s="27" t="s">
        <v>8</v>
      </c>
      <c r="HP424" s="27" t="s">
        <v>7</v>
      </c>
      <c r="IE424" s="27" t="s">
        <v>8</v>
      </c>
      <c r="IF424" s="27" t="s">
        <v>7</v>
      </c>
    </row>
    <row r="425" spans="1:240" x14ac:dyDescent="0.25">
      <c r="A425" s="7">
        <v>24.73021120617576</v>
      </c>
      <c r="B425"/>
      <c r="C425"/>
      <c r="D425"/>
      <c r="E425" t="s">
        <v>8</v>
      </c>
      <c r="H425" s="27" t="s">
        <v>7</v>
      </c>
      <c r="I425" s="27" t="s">
        <v>8</v>
      </c>
      <c r="J425" s="27" t="s">
        <v>7</v>
      </c>
      <c r="K425" s="27" t="s">
        <v>8</v>
      </c>
      <c r="L425" s="27" t="s">
        <v>7</v>
      </c>
      <c r="M425" s="27" t="s">
        <v>8</v>
      </c>
      <c r="N425" s="27" t="s">
        <v>7</v>
      </c>
      <c r="BW425" s="27" t="s">
        <v>8</v>
      </c>
      <c r="BX425" s="27" t="s">
        <v>7</v>
      </c>
      <c r="BY425" s="27" t="s">
        <v>8</v>
      </c>
      <c r="CH425" s="27" t="s">
        <v>7</v>
      </c>
      <c r="CI425" s="27" t="s">
        <v>8</v>
      </c>
      <c r="CJ425" s="27" t="s">
        <v>7</v>
      </c>
      <c r="CK425" s="27" t="s">
        <v>8</v>
      </c>
      <c r="CL425" s="27" t="s">
        <v>7</v>
      </c>
      <c r="CO425" s="27" t="s">
        <v>8</v>
      </c>
      <c r="EJ425" s="27" t="s">
        <v>7</v>
      </c>
      <c r="EK425" s="27" t="s">
        <v>8</v>
      </c>
      <c r="EL425" s="27" t="s">
        <v>7</v>
      </c>
      <c r="EO425" s="27" t="s">
        <v>8</v>
      </c>
      <c r="EP425" s="27" t="s">
        <v>7</v>
      </c>
      <c r="ES425" s="27" t="s">
        <v>8</v>
      </c>
      <c r="ET425" s="27" t="s">
        <v>7</v>
      </c>
      <c r="EU425" s="27" t="s">
        <v>8</v>
      </c>
      <c r="EV425" s="27" t="s">
        <v>7</v>
      </c>
      <c r="EY425" s="27" t="s">
        <v>8</v>
      </c>
      <c r="EZ425" s="27" t="s">
        <v>7</v>
      </c>
      <c r="FW425" s="27" t="s">
        <v>8</v>
      </c>
      <c r="FY425" s="27" t="s">
        <v>8</v>
      </c>
      <c r="FZ425" s="27" t="s">
        <v>7</v>
      </c>
      <c r="GA425" s="27" t="s">
        <v>8</v>
      </c>
      <c r="GB425" s="27" t="s">
        <v>7</v>
      </c>
      <c r="GE425" s="27" t="s">
        <v>8</v>
      </c>
      <c r="GF425" s="27" t="s">
        <v>7</v>
      </c>
      <c r="GG425" s="27" t="s">
        <v>8</v>
      </c>
      <c r="GH425" s="27" t="s">
        <v>7</v>
      </c>
      <c r="GM425" s="27" t="s">
        <v>8</v>
      </c>
      <c r="GN425" s="27" t="s">
        <v>7</v>
      </c>
      <c r="GQ425" s="27" t="s">
        <v>8</v>
      </c>
      <c r="GR425" s="27" t="s">
        <v>7</v>
      </c>
      <c r="HM425" s="27" t="s">
        <v>8</v>
      </c>
      <c r="HN425" s="27" t="s">
        <v>7</v>
      </c>
      <c r="HO425" s="27" t="s">
        <v>8</v>
      </c>
      <c r="HP425" s="27" t="s">
        <v>7</v>
      </c>
      <c r="IE425" s="27" t="s">
        <v>8</v>
      </c>
      <c r="IF425" s="27" t="s">
        <v>7</v>
      </c>
    </row>
    <row r="426" spans="1:240" x14ac:dyDescent="0.25">
      <c r="A426" s="7">
        <v>24.24530510409388</v>
      </c>
      <c r="B426"/>
      <c r="C426"/>
      <c r="D426"/>
      <c r="E426" t="s">
        <v>8</v>
      </c>
      <c r="H426" s="27" t="s">
        <v>7</v>
      </c>
      <c r="J426" s="27" t="s">
        <v>7</v>
      </c>
      <c r="K426" s="27" t="s">
        <v>8</v>
      </c>
      <c r="L426" s="27" t="s">
        <v>7</v>
      </c>
      <c r="M426" s="27" t="s">
        <v>8</v>
      </c>
      <c r="N426" s="27" t="s">
        <v>7</v>
      </c>
      <c r="AQ426" s="27" t="s">
        <v>8</v>
      </c>
      <c r="BW426" s="27" t="s">
        <v>8</v>
      </c>
      <c r="BX426" s="27" t="s">
        <v>7</v>
      </c>
      <c r="BY426" s="27" t="s">
        <v>8</v>
      </c>
      <c r="CH426" s="27" t="s">
        <v>7</v>
      </c>
      <c r="CI426" s="27" t="s">
        <v>8</v>
      </c>
      <c r="CJ426" s="27" t="s">
        <v>7</v>
      </c>
      <c r="CK426" s="27" t="s">
        <v>8</v>
      </c>
      <c r="CL426" s="27" t="s">
        <v>7</v>
      </c>
      <c r="CO426" s="27" t="s">
        <v>8</v>
      </c>
      <c r="EJ426" s="27" t="s">
        <v>7</v>
      </c>
      <c r="EK426" s="27" t="s">
        <v>8</v>
      </c>
      <c r="EL426" s="27" t="s">
        <v>7</v>
      </c>
      <c r="EO426" s="27" t="s">
        <v>8</v>
      </c>
      <c r="EP426" s="27" t="s">
        <v>7</v>
      </c>
      <c r="ES426" s="27" t="s">
        <v>8</v>
      </c>
      <c r="ET426" s="27" t="s">
        <v>7</v>
      </c>
      <c r="EU426" s="27" t="s">
        <v>8</v>
      </c>
      <c r="EV426" s="27" t="s">
        <v>7</v>
      </c>
      <c r="EY426" s="27" t="s">
        <v>8</v>
      </c>
      <c r="EZ426" s="27" t="s">
        <v>7</v>
      </c>
      <c r="FU426" s="27" t="s">
        <v>8</v>
      </c>
      <c r="FW426" s="27" t="s">
        <v>8</v>
      </c>
      <c r="FX426" s="27" t="s">
        <v>7</v>
      </c>
      <c r="FY426" s="27" t="s">
        <v>8</v>
      </c>
      <c r="FZ426" s="27" t="s">
        <v>7</v>
      </c>
      <c r="GA426" s="27" t="s">
        <v>8</v>
      </c>
      <c r="GB426" s="27" t="s">
        <v>7</v>
      </c>
      <c r="GC426" s="27" t="s">
        <v>8</v>
      </c>
      <c r="GE426" s="27" t="s">
        <v>8</v>
      </c>
      <c r="GF426" s="27" t="s">
        <v>7</v>
      </c>
      <c r="GG426" s="27" t="s">
        <v>8</v>
      </c>
      <c r="GH426" s="27" t="s">
        <v>7</v>
      </c>
      <c r="GI426" s="27" t="s">
        <v>8</v>
      </c>
      <c r="GM426" s="27" t="s">
        <v>8</v>
      </c>
      <c r="GN426" s="27" t="s">
        <v>7</v>
      </c>
      <c r="GQ426" s="27" t="s">
        <v>8</v>
      </c>
      <c r="GR426" s="27" t="s">
        <v>7</v>
      </c>
      <c r="GS426" s="27" t="s">
        <v>8</v>
      </c>
      <c r="HM426" s="27" t="s">
        <v>8</v>
      </c>
      <c r="HN426" s="27" t="s">
        <v>7</v>
      </c>
      <c r="HO426" s="27" t="s">
        <v>8</v>
      </c>
      <c r="HP426" s="27" t="s">
        <v>7</v>
      </c>
      <c r="IE426" s="27" t="s">
        <v>8</v>
      </c>
      <c r="IF426" s="27" t="s">
        <v>7</v>
      </c>
    </row>
    <row r="427" spans="1:240" x14ac:dyDescent="0.25">
      <c r="A427" s="7">
        <v>23.769906964797922</v>
      </c>
      <c r="B427"/>
      <c r="C427"/>
      <c r="D427"/>
      <c r="E427" t="s">
        <v>8</v>
      </c>
      <c r="J427" s="27" t="s">
        <v>7</v>
      </c>
      <c r="K427" s="27" t="s">
        <v>8</v>
      </c>
      <c r="L427" s="27" t="s">
        <v>7</v>
      </c>
      <c r="M427" s="27" t="s">
        <v>8</v>
      </c>
      <c r="N427" s="27" t="s">
        <v>7</v>
      </c>
      <c r="AQ427" s="27" t="s">
        <v>8</v>
      </c>
      <c r="AR427" s="27" t="s">
        <v>7</v>
      </c>
      <c r="BW427" s="27" t="s">
        <v>8</v>
      </c>
      <c r="BX427" s="27" t="s">
        <v>7</v>
      </c>
      <c r="BY427" s="27" t="s">
        <v>8</v>
      </c>
      <c r="CH427" s="27" t="s">
        <v>7</v>
      </c>
      <c r="CI427" s="27" t="s">
        <v>8</v>
      </c>
      <c r="CJ427" s="27" t="s">
        <v>7</v>
      </c>
      <c r="CK427" s="27" t="s">
        <v>8</v>
      </c>
      <c r="CL427" s="27" t="s">
        <v>7</v>
      </c>
      <c r="CM427" s="27" t="s">
        <v>8</v>
      </c>
      <c r="CO427" s="27" t="s">
        <v>8</v>
      </c>
      <c r="EJ427" s="27" t="s">
        <v>7</v>
      </c>
      <c r="EK427" s="27" t="s">
        <v>8</v>
      </c>
      <c r="EL427" s="27" t="s">
        <v>7</v>
      </c>
      <c r="EM427" s="27" t="s">
        <v>8</v>
      </c>
      <c r="EO427" s="27" t="s">
        <v>8</v>
      </c>
      <c r="EP427" s="27" t="s">
        <v>7</v>
      </c>
      <c r="ES427" s="27" t="s">
        <v>8</v>
      </c>
      <c r="ET427" s="27" t="s">
        <v>7</v>
      </c>
      <c r="EU427" s="27" t="s">
        <v>8</v>
      </c>
      <c r="EV427" s="27" t="s">
        <v>7</v>
      </c>
      <c r="EW427" s="27" t="s">
        <v>8</v>
      </c>
      <c r="EY427" s="27" t="s">
        <v>8</v>
      </c>
      <c r="EZ427" s="27" t="s">
        <v>7</v>
      </c>
      <c r="FU427" s="27" t="s">
        <v>8</v>
      </c>
      <c r="FV427" s="27" t="s">
        <v>7</v>
      </c>
      <c r="FW427" s="27" t="s">
        <v>8</v>
      </c>
      <c r="FX427" s="27" t="s">
        <v>7</v>
      </c>
      <c r="FY427" s="27" t="s">
        <v>8</v>
      </c>
      <c r="FZ427" s="27" t="s">
        <v>7</v>
      </c>
      <c r="GB427" s="27" t="s">
        <v>7</v>
      </c>
      <c r="GC427" s="27" t="s">
        <v>8</v>
      </c>
      <c r="GD427" s="27" t="s">
        <v>7</v>
      </c>
      <c r="GE427" s="27" t="s">
        <v>8</v>
      </c>
      <c r="GF427" s="27" t="s">
        <v>7</v>
      </c>
      <c r="GG427" s="27" t="s">
        <v>8</v>
      </c>
      <c r="GH427" s="27" t="s">
        <v>7</v>
      </c>
      <c r="GI427" s="27" t="s">
        <v>8</v>
      </c>
      <c r="GJ427" s="27" t="s">
        <v>7</v>
      </c>
      <c r="GM427" s="27" t="s">
        <v>8</v>
      </c>
      <c r="GN427" s="27" t="s">
        <v>7</v>
      </c>
      <c r="GQ427" s="27" t="s">
        <v>8</v>
      </c>
      <c r="GR427" s="27" t="s">
        <v>7</v>
      </c>
      <c r="GS427" s="27" t="s">
        <v>8</v>
      </c>
      <c r="GT427" s="27" t="s">
        <v>7</v>
      </c>
      <c r="HM427" s="27" t="s">
        <v>8</v>
      </c>
      <c r="HN427" s="27" t="s">
        <v>7</v>
      </c>
      <c r="HO427" s="27" t="s">
        <v>8</v>
      </c>
      <c r="HP427" s="27" t="s">
        <v>7</v>
      </c>
      <c r="HW427" s="27" t="s">
        <v>8</v>
      </c>
      <c r="IE427" s="27" t="s">
        <v>8</v>
      </c>
      <c r="IF427" s="27" t="s">
        <v>7</v>
      </c>
    </row>
    <row r="428" spans="1:240" x14ac:dyDescent="0.25">
      <c r="A428" s="7">
        <v>23.303830357645023</v>
      </c>
      <c r="B428"/>
      <c r="C428"/>
      <c r="D428"/>
      <c r="E428" t="s">
        <v>8</v>
      </c>
      <c r="J428" s="27" t="s">
        <v>7</v>
      </c>
      <c r="K428" s="27" t="s">
        <v>8</v>
      </c>
      <c r="L428" s="27" t="s">
        <v>7</v>
      </c>
      <c r="M428" s="27" t="s">
        <v>8</v>
      </c>
      <c r="N428" s="27" t="s">
        <v>7</v>
      </c>
      <c r="AQ428" s="27" t="s">
        <v>8</v>
      </c>
      <c r="AR428" s="27" t="s">
        <v>7</v>
      </c>
      <c r="BU428" s="27" t="s">
        <v>8</v>
      </c>
      <c r="BW428" s="27" t="s">
        <v>8</v>
      </c>
      <c r="BX428" s="27" t="s">
        <v>7</v>
      </c>
      <c r="BY428" s="27" t="s">
        <v>8</v>
      </c>
      <c r="CH428" s="27" t="s">
        <v>7</v>
      </c>
      <c r="CI428" s="27" t="s">
        <v>8</v>
      </c>
      <c r="CJ428" s="27" t="s">
        <v>7</v>
      </c>
      <c r="CK428" s="27" t="s">
        <v>8</v>
      </c>
      <c r="CL428" s="27" t="s">
        <v>7</v>
      </c>
      <c r="CM428" s="27" t="s">
        <v>8</v>
      </c>
      <c r="CN428" s="27" t="s">
        <v>7</v>
      </c>
      <c r="CO428" s="27" t="s">
        <v>8</v>
      </c>
      <c r="EJ428" s="27" t="s">
        <v>7</v>
      </c>
      <c r="EK428" s="27" t="s">
        <v>8</v>
      </c>
      <c r="EL428" s="27" t="s">
        <v>7</v>
      </c>
      <c r="EM428" s="27" t="s">
        <v>8</v>
      </c>
      <c r="EN428" s="27" t="s">
        <v>7</v>
      </c>
      <c r="EO428" s="27" t="s">
        <v>8</v>
      </c>
      <c r="EP428" s="27" t="s">
        <v>7</v>
      </c>
      <c r="ES428" s="27" t="s">
        <v>8</v>
      </c>
      <c r="ET428" s="27" t="s">
        <v>7</v>
      </c>
      <c r="EU428" s="27" t="s">
        <v>8</v>
      </c>
      <c r="EV428" s="27" t="s">
        <v>7</v>
      </c>
      <c r="EW428" s="27" t="s">
        <v>8</v>
      </c>
      <c r="EX428" s="27" t="s">
        <v>7</v>
      </c>
      <c r="EY428" s="27" t="s">
        <v>8</v>
      </c>
      <c r="EZ428" s="27" t="s">
        <v>7</v>
      </c>
      <c r="FU428" s="27" t="s">
        <v>8</v>
      </c>
      <c r="FV428" s="27" t="s">
        <v>7</v>
      </c>
      <c r="FW428" s="27" t="s">
        <v>8</v>
      </c>
      <c r="FX428" s="27" t="s">
        <v>7</v>
      </c>
      <c r="FY428" s="27" t="s">
        <v>8</v>
      </c>
      <c r="GB428" s="27" t="s">
        <v>7</v>
      </c>
      <c r="GC428" s="27" t="s">
        <v>8</v>
      </c>
      <c r="GD428" s="27" t="s">
        <v>7</v>
      </c>
      <c r="GE428" s="27" t="s">
        <v>8</v>
      </c>
      <c r="GF428" s="27" t="s">
        <v>7</v>
      </c>
      <c r="GG428" s="27" t="s">
        <v>8</v>
      </c>
      <c r="GH428" s="27" t="s">
        <v>7</v>
      </c>
      <c r="GI428" s="27" t="s">
        <v>8</v>
      </c>
      <c r="GJ428" s="27" t="s">
        <v>7</v>
      </c>
      <c r="GM428" s="27" t="s">
        <v>8</v>
      </c>
      <c r="GN428" s="27" t="s">
        <v>7</v>
      </c>
      <c r="GQ428" s="27" t="s">
        <v>8</v>
      </c>
      <c r="GR428" s="27" t="s">
        <v>7</v>
      </c>
      <c r="GS428" s="27" t="s">
        <v>8</v>
      </c>
      <c r="GT428" s="27" t="s">
        <v>7</v>
      </c>
      <c r="HM428" s="27" t="s">
        <v>8</v>
      </c>
      <c r="HN428" s="27" t="s">
        <v>7</v>
      </c>
      <c r="HO428" s="27" t="s">
        <v>8</v>
      </c>
      <c r="HP428" s="27" t="s">
        <v>7</v>
      </c>
      <c r="HQ428" s="27" t="s">
        <v>8</v>
      </c>
      <c r="HW428" s="27" t="s">
        <v>8</v>
      </c>
      <c r="HX428" s="27" t="s">
        <v>7</v>
      </c>
      <c r="HY428" s="27" t="s">
        <v>8</v>
      </c>
      <c r="IA428" s="27" t="s">
        <v>8</v>
      </c>
      <c r="IE428" s="27" t="s">
        <v>8</v>
      </c>
      <c r="IF428" s="27" t="s">
        <v>7</v>
      </c>
    </row>
    <row r="429" spans="1:240" x14ac:dyDescent="0.25">
      <c r="A429" s="7">
        <v>22.84689250749512</v>
      </c>
      <c r="B429"/>
      <c r="C429"/>
      <c r="D429"/>
      <c r="E429" t="s">
        <v>8</v>
      </c>
      <c r="J429" s="27" t="s">
        <v>7</v>
      </c>
      <c r="K429" s="27" t="s">
        <v>8</v>
      </c>
      <c r="L429" s="27" t="s">
        <v>7</v>
      </c>
      <c r="M429" s="27" t="s">
        <v>8</v>
      </c>
      <c r="N429" s="27" t="s">
        <v>7</v>
      </c>
      <c r="O429" s="27" t="s">
        <v>8</v>
      </c>
      <c r="AQ429" s="27" t="s">
        <v>8</v>
      </c>
      <c r="AR429" s="27" t="s">
        <v>7</v>
      </c>
      <c r="BU429" s="27" t="s">
        <v>8</v>
      </c>
      <c r="BV429" s="27" t="s">
        <v>7</v>
      </c>
      <c r="BW429" s="27" t="s">
        <v>8</v>
      </c>
      <c r="BX429" s="27" t="s">
        <v>7</v>
      </c>
      <c r="BY429" s="27" t="s">
        <v>8</v>
      </c>
      <c r="CH429" s="27" t="s">
        <v>7</v>
      </c>
      <c r="CI429" s="27" t="s">
        <v>8</v>
      </c>
      <c r="CJ429" s="27" t="s">
        <v>7</v>
      </c>
      <c r="CK429" s="27" t="s">
        <v>8</v>
      </c>
      <c r="CL429" s="27" t="s">
        <v>7</v>
      </c>
      <c r="CM429" s="27" t="s">
        <v>8</v>
      </c>
      <c r="CN429" s="27" t="s">
        <v>7</v>
      </c>
      <c r="CO429" s="27" t="s">
        <v>8</v>
      </c>
      <c r="EJ429" s="27" t="s">
        <v>7</v>
      </c>
      <c r="EK429" s="27" t="s">
        <v>8</v>
      </c>
      <c r="EL429" s="27" t="s">
        <v>7</v>
      </c>
      <c r="EM429" s="27" t="s">
        <v>8</v>
      </c>
      <c r="EN429" s="27" t="s">
        <v>7</v>
      </c>
      <c r="EO429" s="27" t="s">
        <v>8</v>
      </c>
      <c r="EP429" s="27" t="s">
        <v>7</v>
      </c>
      <c r="ES429" s="27" t="s">
        <v>8</v>
      </c>
      <c r="ET429" s="27" t="s">
        <v>7</v>
      </c>
      <c r="EU429" s="27" t="s">
        <v>8</v>
      </c>
      <c r="EV429" s="27" t="s">
        <v>7</v>
      </c>
      <c r="EW429" s="27" t="s">
        <v>8</v>
      </c>
      <c r="EX429" s="27" t="s">
        <v>7</v>
      </c>
      <c r="EY429" s="27" t="s">
        <v>8</v>
      </c>
      <c r="EZ429" s="27" t="s">
        <v>7</v>
      </c>
      <c r="FI429" s="27" t="s">
        <v>8</v>
      </c>
      <c r="FU429" s="27" t="s">
        <v>8</v>
      </c>
      <c r="FV429" s="27" t="s">
        <v>7</v>
      </c>
      <c r="FW429" s="27" t="s">
        <v>8</v>
      </c>
      <c r="FX429" s="27" t="s">
        <v>7</v>
      </c>
      <c r="FY429" s="27" t="s">
        <v>8</v>
      </c>
      <c r="GB429" s="27" t="s">
        <v>7</v>
      </c>
      <c r="GC429" s="27" t="s">
        <v>8</v>
      </c>
      <c r="GD429" s="27" t="s">
        <v>7</v>
      </c>
      <c r="GF429" s="27" t="s">
        <v>7</v>
      </c>
      <c r="GG429" s="27" t="s">
        <v>8</v>
      </c>
      <c r="GH429" s="27" t="s">
        <v>7</v>
      </c>
      <c r="GJ429" s="27" t="s">
        <v>7</v>
      </c>
      <c r="GK429" s="27" t="s">
        <v>8</v>
      </c>
      <c r="GM429" s="27" t="s">
        <v>8</v>
      </c>
      <c r="GN429" s="27" t="s">
        <v>7</v>
      </c>
      <c r="GQ429" s="27" t="s">
        <v>8</v>
      </c>
      <c r="GR429" s="27" t="s">
        <v>7</v>
      </c>
      <c r="GS429" s="27" t="s">
        <v>8</v>
      </c>
      <c r="GT429" s="27" t="s">
        <v>7</v>
      </c>
      <c r="HM429" s="27" t="s">
        <v>8</v>
      </c>
      <c r="HN429" s="27" t="s">
        <v>7</v>
      </c>
      <c r="HO429" s="27" t="s">
        <v>8</v>
      </c>
      <c r="HP429" s="27" t="s">
        <v>7</v>
      </c>
      <c r="HQ429" s="27" t="s">
        <v>8</v>
      </c>
      <c r="HR429" s="27" t="s">
        <v>7</v>
      </c>
      <c r="HW429" s="27" t="s">
        <v>8</v>
      </c>
      <c r="HX429" s="27" t="s">
        <v>7</v>
      </c>
      <c r="HY429" s="27" t="s">
        <v>8</v>
      </c>
      <c r="HZ429" s="27" t="s">
        <v>7</v>
      </c>
      <c r="IA429" s="27" t="s">
        <v>8</v>
      </c>
      <c r="IB429" s="27" t="s">
        <v>7</v>
      </c>
      <c r="IC429" s="27" t="s">
        <v>8</v>
      </c>
      <c r="IE429" s="27" t="s">
        <v>8</v>
      </c>
      <c r="IF429" s="27" t="s">
        <v>7</v>
      </c>
    </row>
    <row r="430" spans="1:240" x14ac:dyDescent="0.25">
      <c r="A430" s="7">
        <v>22.398914223034431</v>
      </c>
      <c r="B430"/>
      <c r="C430"/>
      <c r="D430"/>
      <c r="E430" t="s">
        <v>8</v>
      </c>
      <c r="J430" s="27" t="s">
        <v>7</v>
      </c>
      <c r="K430" s="27" t="s">
        <v>8</v>
      </c>
      <c r="L430" s="27" t="s">
        <v>7</v>
      </c>
      <c r="M430" s="27" t="s">
        <v>8</v>
      </c>
      <c r="N430" s="27" t="s">
        <v>7</v>
      </c>
      <c r="O430" s="27" t="s">
        <v>8</v>
      </c>
      <c r="P430" s="27" t="s">
        <v>7</v>
      </c>
      <c r="AQ430" s="27" t="s">
        <v>8</v>
      </c>
      <c r="AR430" s="27" t="s">
        <v>7</v>
      </c>
      <c r="AW430" s="27" t="s">
        <v>8</v>
      </c>
      <c r="AY430" s="27" t="s">
        <v>8</v>
      </c>
      <c r="BU430" s="27" t="s">
        <v>8</v>
      </c>
      <c r="BV430" s="27" t="s">
        <v>7</v>
      </c>
      <c r="BW430" s="27" t="s">
        <v>8</v>
      </c>
      <c r="BX430" s="27" t="s">
        <v>7</v>
      </c>
      <c r="BY430" s="27" t="s">
        <v>8</v>
      </c>
      <c r="CH430" s="27" t="s">
        <v>7</v>
      </c>
      <c r="CI430" s="27" t="s">
        <v>8</v>
      </c>
      <c r="CJ430" s="27" t="s">
        <v>7</v>
      </c>
      <c r="CK430" s="27" t="s">
        <v>8</v>
      </c>
      <c r="CL430" s="27" t="s">
        <v>7</v>
      </c>
      <c r="CM430" s="27" t="s">
        <v>8</v>
      </c>
      <c r="CN430" s="27" t="s">
        <v>7</v>
      </c>
      <c r="EJ430" s="27" t="s">
        <v>7</v>
      </c>
      <c r="EK430" s="27" t="s">
        <v>8</v>
      </c>
      <c r="EL430" s="27" t="s">
        <v>7</v>
      </c>
      <c r="EM430" s="27" t="s">
        <v>8</v>
      </c>
      <c r="EN430" s="27" t="s">
        <v>7</v>
      </c>
      <c r="EO430" s="27" t="s">
        <v>8</v>
      </c>
      <c r="EP430" s="27" t="s">
        <v>7</v>
      </c>
      <c r="ES430" s="27" t="s">
        <v>8</v>
      </c>
      <c r="ET430" s="27" t="s">
        <v>7</v>
      </c>
      <c r="EU430" s="27" t="s">
        <v>8</v>
      </c>
      <c r="EV430" s="27" t="s">
        <v>7</v>
      </c>
      <c r="EW430" s="27" t="s">
        <v>8</v>
      </c>
      <c r="EX430" s="27" t="s">
        <v>7</v>
      </c>
      <c r="EY430" s="27" t="s">
        <v>8</v>
      </c>
      <c r="EZ430" s="27" t="s">
        <v>7</v>
      </c>
      <c r="FI430" s="27" t="s">
        <v>8</v>
      </c>
      <c r="FJ430" s="27" t="s">
        <v>7</v>
      </c>
      <c r="FU430" s="27" t="s">
        <v>8</v>
      </c>
      <c r="FV430" s="27" t="s">
        <v>7</v>
      </c>
      <c r="FW430" s="27" t="s">
        <v>8</v>
      </c>
      <c r="FX430" s="27" t="s">
        <v>7</v>
      </c>
      <c r="FY430" s="27" t="s">
        <v>8</v>
      </c>
      <c r="GB430" s="27" t="s">
        <v>7</v>
      </c>
      <c r="GC430" s="27" t="s">
        <v>8</v>
      </c>
      <c r="GF430" s="27" t="s">
        <v>7</v>
      </c>
      <c r="GG430" s="27" t="s">
        <v>8</v>
      </c>
      <c r="GJ430" s="27" t="s">
        <v>7</v>
      </c>
      <c r="GK430" s="27" t="s">
        <v>8</v>
      </c>
      <c r="GL430" s="27" t="s">
        <v>7</v>
      </c>
      <c r="GM430" s="27" t="s">
        <v>8</v>
      </c>
      <c r="GN430" s="27" t="s">
        <v>7</v>
      </c>
      <c r="GO430" s="27" t="s">
        <v>8</v>
      </c>
      <c r="GQ430" s="27" t="s">
        <v>8</v>
      </c>
      <c r="GR430" s="27" t="s">
        <v>7</v>
      </c>
      <c r="GS430" s="27" t="s">
        <v>8</v>
      </c>
      <c r="GT430" s="27" t="s">
        <v>7</v>
      </c>
      <c r="HM430" s="27" t="s">
        <v>8</v>
      </c>
      <c r="HN430" s="27" t="s">
        <v>7</v>
      </c>
      <c r="HO430" s="27" t="s">
        <v>8</v>
      </c>
      <c r="HP430" s="27" t="s">
        <v>7</v>
      </c>
      <c r="HQ430" s="27" t="s">
        <v>8</v>
      </c>
      <c r="HR430" s="27" t="s">
        <v>7</v>
      </c>
      <c r="HW430" s="27" t="s">
        <v>8</v>
      </c>
      <c r="HX430" s="27" t="s">
        <v>7</v>
      </c>
      <c r="HY430" s="27" t="s">
        <v>8</v>
      </c>
      <c r="HZ430" s="27" t="s">
        <v>7</v>
      </c>
      <c r="IA430" s="27" t="s">
        <v>8</v>
      </c>
      <c r="IB430" s="27" t="s">
        <v>7</v>
      </c>
      <c r="IC430" s="27" t="s">
        <v>8</v>
      </c>
      <c r="ID430" s="27" t="s">
        <v>7</v>
      </c>
      <c r="IE430" s="27" t="s">
        <v>8</v>
      </c>
      <c r="IF430" s="27" t="s">
        <v>7</v>
      </c>
    </row>
    <row r="431" spans="1:240" x14ac:dyDescent="0.25">
      <c r="A431" s="7">
        <v>21.959719826504344</v>
      </c>
      <c r="B431"/>
      <c r="C431"/>
      <c r="D431"/>
      <c r="E431" t="s">
        <v>8</v>
      </c>
      <c r="J431" s="27" t="s">
        <v>7</v>
      </c>
      <c r="K431" s="27" t="s">
        <v>8</v>
      </c>
      <c r="L431" s="27" t="s">
        <v>7</v>
      </c>
      <c r="M431" s="27" t="s">
        <v>8</v>
      </c>
      <c r="N431" s="27" t="s">
        <v>7</v>
      </c>
      <c r="O431" s="27" t="s">
        <v>8</v>
      </c>
      <c r="P431" s="27" t="s">
        <v>7</v>
      </c>
      <c r="AQ431" s="27" t="s">
        <v>8</v>
      </c>
      <c r="AR431" s="27" t="s">
        <v>7</v>
      </c>
      <c r="AW431" s="27" t="s">
        <v>8</v>
      </c>
      <c r="AX431" s="27" t="s">
        <v>7</v>
      </c>
      <c r="AY431" s="27" t="s">
        <v>8</v>
      </c>
      <c r="AZ431" s="27" t="s">
        <v>7</v>
      </c>
      <c r="BU431" s="27" t="s">
        <v>8</v>
      </c>
      <c r="BV431" s="27" t="s">
        <v>7</v>
      </c>
      <c r="BW431" s="27" t="s">
        <v>8</v>
      </c>
      <c r="BX431" s="27" t="s">
        <v>7</v>
      </c>
      <c r="BY431" s="27" t="s">
        <v>8</v>
      </c>
      <c r="CH431" s="27" t="s">
        <v>7</v>
      </c>
      <c r="CI431" s="27" t="s">
        <v>8</v>
      </c>
      <c r="CJ431" s="27" t="s">
        <v>7</v>
      </c>
      <c r="CK431" s="27" t="s">
        <v>8</v>
      </c>
      <c r="CL431" s="27" t="s">
        <v>7</v>
      </c>
      <c r="CM431" s="27" t="s">
        <v>8</v>
      </c>
      <c r="EJ431" s="27" t="s">
        <v>7</v>
      </c>
      <c r="EK431" s="27" t="s">
        <v>8</v>
      </c>
      <c r="EL431" s="27" t="s">
        <v>7</v>
      </c>
      <c r="EM431" s="27" t="s">
        <v>8</v>
      </c>
      <c r="EN431" s="27" t="s">
        <v>7</v>
      </c>
      <c r="EO431" s="27" t="s">
        <v>8</v>
      </c>
      <c r="EP431" s="27" t="s">
        <v>7</v>
      </c>
      <c r="EQ431" s="27" t="s">
        <v>8</v>
      </c>
      <c r="ES431" s="27" t="s">
        <v>8</v>
      </c>
      <c r="ET431" s="27" t="s">
        <v>7</v>
      </c>
      <c r="EU431" s="27" t="s">
        <v>8</v>
      </c>
      <c r="EV431" s="27" t="s">
        <v>7</v>
      </c>
      <c r="EW431" s="27" t="s">
        <v>8</v>
      </c>
      <c r="EX431" s="27" t="s">
        <v>7</v>
      </c>
      <c r="EY431" s="27" t="s">
        <v>8</v>
      </c>
      <c r="EZ431" s="27" t="s">
        <v>7</v>
      </c>
      <c r="FI431" s="27" t="s">
        <v>8</v>
      </c>
      <c r="FJ431" s="27" t="s">
        <v>7</v>
      </c>
      <c r="FU431" s="27" t="s">
        <v>8</v>
      </c>
      <c r="FV431" s="27" t="s">
        <v>7</v>
      </c>
      <c r="FW431" s="27" t="s">
        <v>8</v>
      </c>
      <c r="FX431" s="27" t="s">
        <v>7</v>
      </c>
      <c r="FY431" s="27" t="s">
        <v>8</v>
      </c>
      <c r="GB431" s="27" t="s">
        <v>7</v>
      </c>
      <c r="GC431" s="27" t="s">
        <v>8</v>
      </c>
      <c r="GF431" s="27" t="s">
        <v>7</v>
      </c>
      <c r="GJ431" s="27" t="s">
        <v>7</v>
      </c>
      <c r="GK431" s="27" t="s">
        <v>8</v>
      </c>
      <c r="GL431" s="27" t="s">
        <v>7</v>
      </c>
      <c r="GM431" s="27" t="s">
        <v>8</v>
      </c>
      <c r="GN431" s="27" t="s">
        <v>7</v>
      </c>
      <c r="GO431" s="27" t="s">
        <v>8</v>
      </c>
      <c r="GP431" s="27" t="s">
        <v>7</v>
      </c>
      <c r="GQ431" s="27" t="s">
        <v>8</v>
      </c>
      <c r="GR431" s="27" t="s">
        <v>7</v>
      </c>
      <c r="GS431" s="27" t="s">
        <v>8</v>
      </c>
      <c r="GT431" s="27" t="s">
        <v>7</v>
      </c>
      <c r="HM431" s="27" t="s">
        <v>8</v>
      </c>
      <c r="HN431" s="27" t="s">
        <v>7</v>
      </c>
      <c r="HO431" s="27" t="s">
        <v>8</v>
      </c>
      <c r="HP431" s="27" t="s">
        <v>7</v>
      </c>
      <c r="HQ431" s="27" t="s">
        <v>8</v>
      </c>
      <c r="HR431" s="27" t="s">
        <v>7</v>
      </c>
      <c r="HW431" s="27" t="s">
        <v>8</v>
      </c>
      <c r="HX431" s="27" t="s">
        <v>7</v>
      </c>
      <c r="HY431" s="27" t="s">
        <v>8</v>
      </c>
      <c r="HZ431" s="27" t="s">
        <v>7</v>
      </c>
      <c r="IA431" s="27" t="s">
        <v>8</v>
      </c>
      <c r="IB431" s="27" t="s">
        <v>7</v>
      </c>
      <c r="IC431" s="27" t="s">
        <v>8</v>
      </c>
      <c r="ID431" s="27" t="s">
        <v>7</v>
      </c>
      <c r="IE431" s="27" t="s">
        <v>8</v>
      </c>
      <c r="IF431" s="27" t="s">
        <v>7</v>
      </c>
    </row>
    <row r="432" spans="1:240" x14ac:dyDescent="0.25">
      <c r="A432" s="7">
        <v>21.52913708480818</v>
      </c>
      <c r="B432"/>
      <c r="C432"/>
      <c r="D432"/>
      <c r="E432" t="s">
        <v>8</v>
      </c>
      <c r="J432" s="27" t="s">
        <v>7</v>
      </c>
      <c r="K432" s="27" t="s">
        <v>8</v>
      </c>
      <c r="L432" s="27" t="s">
        <v>7</v>
      </c>
      <c r="M432" s="27" t="s">
        <v>8</v>
      </c>
      <c r="N432" s="27" t="s">
        <v>7</v>
      </c>
      <c r="O432" s="27" t="s">
        <v>8</v>
      </c>
      <c r="P432" s="27" t="s">
        <v>7</v>
      </c>
      <c r="AQ432" s="27" t="s">
        <v>8</v>
      </c>
      <c r="AR432" s="27" t="s">
        <v>7</v>
      </c>
      <c r="AW432" s="27" t="s">
        <v>8</v>
      </c>
      <c r="AX432" s="27" t="s">
        <v>7</v>
      </c>
      <c r="AY432" s="27" t="s">
        <v>8</v>
      </c>
      <c r="AZ432" s="27" t="s">
        <v>7</v>
      </c>
      <c r="BU432" s="27" t="s">
        <v>8</v>
      </c>
      <c r="BV432" s="27" t="s">
        <v>7</v>
      </c>
      <c r="BW432" s="27" t="s">
        <v>8</v>
      </c>
      <c r="BX432" s="27" t="s">
        <v>7</v>
      </c>
      <c r="BY432" s="27" t="s">
        <v>8</v>
      </c>
      <c r="CH432" s="27" t="s">
        <v>7</v>
      </c>
      <c r="CI432" s="27" t="s">
        <v>8</v>
      </c>
      <c r="CJ432" s="27" t="s">
        <v>7</v>
      </c>
      <c r="CK432" s="27" t="s">
        <v>8</v>
      </c>
      <c r="CL432" s="27" t="s">
        <v>7</v>
      </c>
      <c r="CM432" s="27" t="s">
        <v>8</v>
      </c>
      <c r="EJ432" s="27" t="s">
        <v>7</v>
      </c>
      <c r="EK432" s="27" t="s">
        <v>8</v>
      </c>
      <c r="EL432" s="27" t="s">
        <v>7</v>
      </c>
      <c r="EM432" s="27" t="s">
        <v>8</v>
      </c>
      <c r="EN432" s="27" t="s">
        <v>7</v>
      </c>
      <c r="EO432" s="27" t="s">
        <v>8</v>
      </c>
      <c r="EP432" s="27" t="s">
        <v>7</v>
      </c>
      <c r="EQ432" s="27" t="s">
        <v>8</v>
      </c>
      <c r="ER432" s="27" t="s">
        <v>7</v>
      </c>
      <c r="ES432" s="27" t="s">
        <v>8</v>
      </c>
      <c r="ET432" s="27" t="s">
        <v>7</v>
      </c>
      <c r="EU432" s="27" t="s">
        <v>8</v>
      </c>
      <c r="EV432" s="27" t="s">
        <v>7</v>
      </c>
      <c r="EW432" s="27" t="s">
        <v>8</v>
      </c>
      <c r="EX432" s="27" t="s">
        <v>7</v>
      </c>
      <c r="EY432" s="27" t="s">
        <v>8</v>
      </c>
      <c r="EZ432" s="27" t="s">
        <v>7</v>
      </c>
      <c r="FI432" s="27" t="s">
        <v>8</v>
      </c>
      <c r="FJ432" s="27" t="s">
        <v>7</v>
      </c>
      <c r="FU432" s="27" t="s">
        <v>8</v>
      </c>
      <c r="FV432" s="27" t="s">
        <v>7</v>
      </c>
      <c r="FW432" s="27" t="s">
        <v>8</v>
      </c>
      <c r="FX432" s="27" t="s">
        <v>7</v>
      </c>
      <c r="FY432" s="27" t="s">
        <v>8</v>
      </c>
      <c r="GB432" s="27" t="s">
        <v>7</v>
      </c>
      <c r="GJ432" s="27" t="s">
        <v>7</v>
      </c>
      <c r="GL432" s="27" t="s">
        <v>7</v>
      </c>
      <c r="GM432" s="27" t="s">
        <v>8</v>
      </c>
      <c r="GN432" s="27" t="s">
        <v>7</v>
      </c>
      <c r="GO432" s="27" t="s">
        <v>8</v>
      </c>
      <c r="GP432" s="27" t="s">
        <v>7</v>
      </c>
      <c r="GQ432" s="27" t="s">
        <v>8</v>
      </c>
      <c r="GR432" s="27" t="s">
        <v>7</v>
      </c>
      <c r="GS432" s="27" t="s">
        <v>8</v>
      </c>
      <c r="GT432" s="27" t="s">
        <v>7</v>
      </c>
      <c r="GU432" s="27" t="s">
        <v>8</v>
      </c>
      <c r="HM432" s="27" t="s">
        <v>8</v>
      </c>
      <c r="HN432" s="27" t="s">
        <v>7</v>
      </c>
      <c r="HO432" s="27" t="s">
        <v>8</v>
      </c>
      <c r="HP432" s="27" t="s">
        <v>7</v>
      </c>
      <c r="HR432" s="27" t="s">
        <v>7</v>
      </c>
      <c r="HS432" s="27" t="s">
        <v>8</v>
      </c>
      <c r="HW432" s="27" t="s">
        <v>8</v>
      </c>
      <c r="HX432" s="27" t="s">
        <v>7</v>
      </c>
      <c r="HY432" s="27" t="s">
        <v>8</v>
      </c>
      <c r="HZ432" s="27" t="s">
        <v>7</v>
      </c>
      <c r="IA432" s="27" t="s">
        <v>8</v>
      </c>
      <c r="IB432" s="27" t="s">
        <v>7</v>
      </c>
      <c r="IC432" s="27" t="s">
        <v>8</v>
      </c>
      <c r="ID432" s="27" t="s">
        <v>7</v>
      </c>
      <c r="IE432" s="27" t="s">
        <v>8</v>
      </c>
      <c r="IF432" s="27" t="s">
        <v>7</v>
      </c>
    </row>
    <row r="433" spans="1:267" x14ac:dyDescent="0.25">
      <c r="A433" s="7">
        <v>21.106997141968804</v>
      </c>
      <c r="B433"/>
      <c r="C433"/>
      <c r="D433"/>
      <c r="E433" t="s">
        <v>8</v>
      </c>
      <c r="J433" s="27" t="s">
        <v>7</v>
      </c>
      <c r="K433" s="27" t="s">
        <v>8</v>
      </c>
      <c r="L433" s="27" t="s">
        <v>7</v>
      </c>
      <c r="M433" s="27" t="s">
        <v>8</v>
      </c>
      <c r="N433" s="27" t="s">
        <v>7</v>
      </c>
      <c r="O433" s="27" t="s">
        <v>8</v>
      </c>
      <c r="P433" s="27" t="s">
        <v>7</v>
      </c>
      <c r="AQ433" s="27" t="s">
        <v>8</v>
      </c>
      <c r="AR433" s="27" t="s">
        <v>7</v>
      </c>
      <c r="AW433" s="27" t="s">
        <v>8</v>
      </c>
      <c r="AX433" s="27" t="s">
        <v>7</v>
      </c>
      <c r="AY433" s="27" t="s">
        <v>8</v>
      </c>
      <c r="AZ433" s="27" t="s">
        <v>7</v>
      </c>
      <c r="BU433" s="27" t="s">
        <v>8</v>
      </c>
      <c r="BV433" s="27" t="s">
        <v>7</v>
      </c>
      <c r="BW433" s="27" t="s">
        <v>8</v>
      </c>
      <c r="BX433" s="27" t="s">
        <v>7</v>
      </c>
      <c r="CH433" s="27" t="s">
        <v>7</v>
      </c>
      <c r="CI433" s="27" t="s">
        <v>8</v>
      </c>
      <c r="CJ433" s="27" t="s">
        <v>7</v>
      </c>
      <c r="CK433" s="27" t="s">
        <v>8</v>
      </c>
      <c r="CL433" s="27" t="s">
        <v>7</v>
      </c>
      <c r="CM433" s="27" t="s">
        <v>8</v>
      </c>
      <c r="EJ433" s="27" t="s">
        <v>7</v>
      </c>
      <c r="EK433" s="27" t="s">
        <v>8</v>
      </c>
      <c r="EL433" s="27" t="s">
        <v>7</v>
      </c>
      <c r="EM433" s="27" t="s">
        <v>8</v>
      </c>
      <c r="EN433" s="27" t="s">
        <v>7</v>
      </c>
      <c r="EO433" s="27" t="s">
        <v>8</v>
      </c>
      <c r="EP433" s="27" t="s">
        <v>7</v>
      </c>
      <c r="EQ433" s="27" t="s">
        <v>8</v>
      </c>
      <c r="ER433" s="27" t="s">
        <v>7</v>
      </c>
      <c r="ES433" s="27" t="s">
        <v>8</v>
      </c>
      <c r="ET433" s="27" t="s">
        <v>7</v>
      </c>
      <c r="EU433" s="27" t="s">
        <v>8</v>
      </c>
      <c r="EV433" s="27" t="s">
        <v>7</v>
      </c>
      <c r="EW433" s="27" t="s">
        <v>8</v>
      </c>
      <c r="EX433" s="27" t="s">
        <v>7</v>
      </c>
      <c r="EY433" s="27" t="s">
        <v>8</v>
      </c>
      <c r="EZ433" s="27" t="s">
        <v>7</v>
      </c>
      <c r="FI433" s="27" t="s">
        <v>8</v>
      </c>
      <c r="FJ433" s="27" t="s">
        <v>7</v>
      </c>
      <c r="FU433" s="27" t="s">
        <v>8</v>
      </c>
      <c r="FV433" s="27" t="s">
        <v>7</v>
      </c>
      <c r="FW433" s="27" t="s">
        <v>8</v>
      </c>
      <c r="FX433" s="27" t="s">
        <v>7</v>
      </c>
      <c r="GL433" s="27" t="s">
        <v>7</v>
      </c>
      <c r="GN433" s="27" t="s">
        <v>7</v>
      </c>
      <c r="GO433" s="27" t="s">
        <v>8</v>
      </c>
      <c r="GP433" s="27" t="s">
        <v>7</v>
      </c>
      <c r="GQ433" s="27" t="s">
        <v>8</v>
      </c>
      <c r="GR433" s="27" t="s">
        <v>7</v>
      </c>
      <c r="GS433" s="27" t="s">
        <v>8</v>
      </c>
      <c r="GT433" s="27" t="s">
        <v>7</v>
      </c>
      <c r="GU433" s="27" t="s">
        <v>8</v>
      </c>
      <c r="GV433" s="27" t="s">
        <v>7</v>
      </c>
      <c r="HK433" s="27" t="s">
        <v>8</v>
      </c>
      <c r="HM433" s="27" t="s">
        <v>8</v>
      </c>
      <c r="HN433" s="27" t="s">
        <v>7</v>
      </c>
      <c r="HR433" s="27" t="s">
        <v>7</v>
      </c>
      <c r="HS433" s="27" t="s">
        <v>8</v>
      </c>
      <c r="HT433" s="27" t="s">
        <v>7</v>
      </c>
      <c r="HW433" s="27" t="s">
        <v>8</v>
      </c>
      <c r="HX433" s="27" t="s">
        <v>7</v>
      </c>
      <c r="HY433" s="27" t="s">
        <v>8</v>
      </c>
      <c r="HZ433" s="27" t="s">
        <v>7</v>
      </c>
      <c r="IA433" s="27" t="s">
        <v>8</v>
      </c>
      <c r="IB433" s="27" t="s">
        <v>7</v>
      </c>
      <c r="IC433" s="27" t="s">
        <v>8</v>
      </c>
      <c r="ID433" s="27" t="s">
        <v>7</v>
      </c>
      <c r="IE433" s="27" t="s">
        <v>8</v>
      </c>
      <c r="IF433" s="27" t="s">
        <v>7</v>
      </c>
      <c r="IK433" s="27" t="s">
        <v>8</v>
      </c>
    </row>
    <row r="434" spans="1:267" x14ac:dyDescent="0.25">
      <c r="A434" s="7">
        <v>20.693134452910591</v>
      </c>
      <c r="B434"/>
      <c r="C434"/>
      <c r="D434"/>
      <c r="E434" t="s">
        <v>8</v>
      </c>
      <c r="J434" s="27" t="s">
        <v>7</v>
      </c>
      <c r="K434" s="27" t="s">
        <v>8</v>
      </c>
      <c r="L434" s="27" t="s">
        <v>7</v>
      </c>
      <c r="M434" s="27" t="s">
        <v>8</v>
      </c>
      <c r="N434" s="27" t="s">
        <v>7</v>
      </c>
      <c r="O434" s="27" t="s">
        <v>8</v>
      </c>
      <c r="P434" s="27" t="s">
        <v>7</v>
      </c>
      <c r="AQ434" s="27" t="s">
        <v>8</v>
      </c>
      <c r="AR434" s="27" t="s">
        <v>7</v>
      </c>
      <c r="AW434" s="27" t="s">
        <v>8</v>
      </c>
      <c r="AX434" s="27" t="s">
        <v>7</v>
      </c>
      <c r="AY434" s="27" t="s">
        <v>8</v>
      </c>
      <c r="AZ434" s="27" t="s">
        <v>7</v>
      </c>
      <c r="BU434" s="27" t="s">
        <v>8</v>
      </c>
      <c r="BV434" s="27" t="s">
        <v>7</v>
      </c>
      <c r="BW434" s="27" t="s">
        <v>8</v>
      </c>
      <c r="CH434" s="27" t="s">
        <v>7</v>
      </c>
      <c r="CI434" s="27" t="s">
        <v>8</v>
      </c>
      <c r="CJ434" s="27" t="s">
        <v>7</v>
      </c>
      <c r="CL434" s="27" t="s">
        <v>7</v>
      </c>
      <c r="CM434" s="27" t="s">
        <v>8</v>
      </c>
      <c r="EJ434" s="27" t="s">
        <v>7</v>
      </c>
      <c r="EK434" s="27" t="s">
        <v>8</v>
      </c>
      <c r="EL434" s="27" t="s">
        <v>7</v>
      </c>
      <c r="EM434" s="27" t="s">
        <v>8</v>
      </c>
      <c r="EN434" s="27" t="s">
        <v>7</v>
      </c>
      <c r="EO434" s="27" t="s">
        <v>8</v>
      </c>
      <c r="EP434" s="27" t="s">
        <v>7</v>
      </c>
      <c r="EQ434" s="27" t="s">
        <v>8</v>
      </c>
      <c r="ER434" s="27" t="s">
        <v>7</v>
      </c>
      <c r="ES434" s="27" t="s">
        <v>8</v>
      </c>
      <c r="ET434" s="27" t="s">
        <v>7</v>
      </c>
      <c r="EU434" s="27" t="s">
        <v>8</v>
      </c>
      <c r="EV434" s="27" t="s">
        <v>7</v>
      </c>
      <c r="EW434" s="27" t="s">
        <v>8</v>
      </c>
      <c r="EX434" s="27" t="s">
        <v>7</v>
      </c>
      <c r="EY434" s="27" t="s">
        <v>8</v>
      </c>
      <c r="EZ434" s="27" t="s">
        <v>7</v>
      </c>
      <c r="FI434" s="27" t="s">
        <v>8</v>
      </c>
      <c r="FJ434" s="27" t="s">
        <v>7</v>
      </c>
      <c r="FU434" s="27" t="s">
        <v>8</v>
      </c>
      <c r="FV434" s="27" t="s">
        <v>7</v>
      </c>
      <c r="GN434" s="27" t="s">
        <v>7</v>
      </c>
      <c r="GP434" s="27" t="s">
        <v>7</v>
      </c>
      <c r="GQ434" s="27" t="s">
        <v>8</v>
      </c>
      <c r="GR434" s="27" t="s">
        <v>7</v>
      </c>
      <c r="GS434" s="27" t="s">
        <v>8</v>
      </c>
      <c r="GT434" s="27" t="s">
        <v>7</v>
      </c>
      <c r="GU434" s="27" t="s">
        <v>8</v>
      </c>
      <c r="GV434" s="27" t="s">
        <v>7</v>
      </c>
      <c r="HG434" s="27" t="s">
        <v>8</v>
      </c>
      <c r="HK434" s="27" t="s">
        <v>8</v>
      </c>
      <c r="HL434" s="27" t="s">
        <v>7</v>
      </c>
      <c r="HM434" s="27" t="s">
        <v>8</v>
      </c>
      <c r="HR434" s="27" t="s">
        <v>7</v>
      </c>
      <c r="HS434" s="27" t="s">
        <v>8</v>
      </c>
      <c r="HT434" s="27" t="s">
        <v>7</v>
      </c>
      <c r="HW434" s="27" t="s">
        <v>8</v>
      </c>
      <c r="HX434" s="27" t="s">
        <v>7</v>
      </c>
      <c r="HY434" s="27" t="s">
        <v>8</v>
      </c>
      <c r="HZ434" s="27" t="s">
        <v>7</v>
      </c>
      <c r="IA434" s="27" t="s">
        <v>8</v>
      </c>
      <c r="IB434" s="27" t="s">
        <v>7</v>
      </c>
      <c r="ID434" s="27" t="s">
        <v>7</v>
      </c>
      <c r="IE434" s="27" t="s">
        <v>8</v>
      </c>
      <c r="IF434" s="27" t="s">
        <v>7</v>
      </c>
      <c r="IK434" s="27" t="s">
        <v>8</v>
      </c>
      <c r="IL434" s="27" t="s">
        <v>7</v>
      </c>
    </row>
    <row r="435" spans="1:267" x14ac:dyDescent="0.25">
      <c r="A435" s="7">
        <v>20.287386718539796</v>
      </c>
      <c r="B435"/>
      <c r="C435"/>
      <c r="D435"/>
      <c r="E435" t="s">
        <v>8</v>
      </c>
      <c r="J435" s="27" t="s">
        <v>7</v>
      </c>
      <c r="K435" s="27" t="s">
        <v>8</v>
      </c>
      <c r="L435" s="27" t="s">
        <v>7</v>
      </c>
      <c r="M435" s="27" t="s">
        <v>8</v>
      </c>
      <c r="N435" s="27" t="s">
        <v>7</v>
      </c>
      <c r="O435" s="27" t="s">
        <v>8</v>
      </c>
      <c r="P435" s="27" t="s">
        <v>7</v>
      </c>
      <c r="AQ435" s="27" t="s">
        <v>8</v>
      </c>
      <c r="AR435" s="27" t="s">
        <v>7</v>
      </c>
      <c r="AW435" s="27" t="s">
        <v>8</v>
      </c>
      <c r="AX435" s="27" t="s">
        <v>7</v>
      </c>
      <c r="AY435" s="27" t="s">
        <v>8</v>
      </c>
      <c r="AZ435" s="27" t="s">
        <v>7</v>
      </c>
      <c r="BU435" s="27" t="s">
        <v>8</v>
      </c>
      <c r="BV435" s="27" t="s">
        <v>7</v>
      </c>
      <c r="BW435" s="27" t="s">
        <v>8</v>
      </c>
      <c r="CH435" s="27" t="s">
        <v>7</v>
      </c>
      <c r="CI435" s="27" t="s">
        <v>8</v>
      </c>
      <c r="CL435" s="27" t="s">
        <v>7</v>
      </c>
      <c r="CM435" s="27" t="s">
        <v>8</v>
      </c>
      <c r="EJ435" s="27" t="s">
        <v>7</v>
      </c>
      <c r="EK435" s="27" t="s">
        <v>8</v>
      </c>
      <c r="EL435" s="27" t="s">
        <v>7</v>
      </c>
      <c r="EM435" s="27" t="s">
        <v>8</v>
      </c>
      <c r="EN435" s="27" t="s">
        <v>7</v>
      </c>
      <c r="EO435" s="27" t="s">
        <v>8</v>
      </c>
      <c r="EP435" s="27" t="s">
        <v>7</v>
      </c>
      <c r="EQ435" s="27" t="s">
        <v>8</v>
      </c>
      <c r="ER435" s="27" t="s">
        <v>7</v>
      </c>
      <c r="ES435" s="27" t="s">
        <v>8</v>
      </c>
      <c r="ET435" s="27" t="s">
        <v>7</v>
      </c>
      <c r="EU435" s="27" t="s">
        <v>8</v>
      </c>
      <c r="EV435" s="27" t="s">
        <v>7</v>
      </c>
      <c r="EW435" s="27" t="s">
        <v>8</v>
      </c>
      <c r="EX435" s="27" t="s">
        <v>7</v>
      </c>
      <c r="EY435" s="27" t="s">
        <v>8</v>
      </c>
      <c r="EZ435" s="27" t="s">
        <v>7</v>
      </c>
      <c r="FI435" s="27" t="s">
        <v>8</v>
      </c>
      <c r="FJ435" s="27" t="s">
        <v>7</v>
      </c>
      <c r="FU435" s="27" t="s">
        <v>8</v>
      </c>
      <c r="GP435" s="27" t="s">
        <v>7</v>
      </c>
      <c r="GQ435" s="27" t="s">
        <v>8</v>
      </c>
      <c r="GR435" s="27" t="s">
        <v>7</v>
      </c>
      <c r="GS435" s="27" t="s">
        <v>8</v>
      </c>
      <c r="GT435" s="27" t="s">
        <v>7</v>
      </c>
      <c r="GU435" s="27" t="s">
        <v>8</v>
      </c>
      <c r="GV435" s="27" t="s">
        <v>7</v>
      </c>
      <c r="HG435" s="27" t="s">
        <v>8</v>
      </c>
      <c r="HH435" s="27" t="s">
        <v>7</v>
      </c>
      <c r="HK435" s="27" t="s">
        <v>8</v>
      </c>
      <c r="HL435" s="27" t="s">
        <v>7</v>
      </c>
      <c r="HM435" s="27" t="s">
        <v>8</v>
      </c>
      <c r="HR435" s="27" t="s">
        <v>7</v>
      </c>
      <c r="HS435" s="27" t="s">
        <v>8</v>
      </c>
      <c r="HT435" s="27" t="s">
        <v>7</v>
      </c>
      <c r="HW435" s="27" t="s">
        <v>8</v>
      </c>
      <c r="HX435" s="27" t="s">
        <v>7</v>
      </c>
      <c r="HY435" s="27" t="s">
        <v>8</v>
      </c>
      <c r="HZ435" s="27" t="s">
        <v>7</v>
      </c>
      <c r="IA435" s="27" t="s">
        <v>8</v>
      </c>
      <c r="ID435" s="27" t="s">
        <v>7</v>
      </c>
      <c r="IE435" s="27" t="s">
        <v>8</v>
      </c>
      <c r="IF435" s="27" t="s">
        <v>7</v>
      </c>
      <c r="II435" s="27" t="s">
        <v>8</v>
      </c>
      <c r="IK435" s="27" t="s">
        <v>8</v>
      </c>
      <c r="IL435" s="27" t="s">
        <v>7</v>
      </c>
    </row>
    <row r="436" spans="1:267" x14ac:dyDescent="0.25">
      <c r="A436" s="7">
        <v>19.889594822097838</v>
      </c>
      <c r="B436"/>
      <c r="C436"/>
      <c r="D436"/>
      <c r="E436" t="s">
        <v>8</v>
      </c>
      <c r="J436" s="27" t="s">
        <v>7</v>
      </c>
      <c r="K436" s="27" t="s">
        <v>8</v>
      </c>
      <c r="L436" s="27" t="s">
        <v>7</v>
      </c>
      <c r="M436" s="27" t="s">
        <v>8</v>
      </c>
      <c r="N436" s="27" t="s">
        <v>7</v>
      </c>
      <c r="O436" s="27" t="s">
        <v>8</v>
      </c>
      <c r="P436" s="27" t="s">
        <v>7</v>
      </c>
      <c r="Q436" s="27" t="s">
        <v>8</v>
      </c>
      <c r="AQ436" s="27" t="s">
        <v>8</v>
      </c>
      <c r="AR436" s="27" t="s">
        <v>7</v>
      </c>
      <c r="AW436" s="27" t="s">
        <v>8</v>
      </c>
      <c r="AX436" s="27" t="s">
        <v>7</v>
      </c>
      <c r="AY436" s="27" t="s">
        <v>8</v>
      </c>
      <c r="AZ436" s="27" t="s">
        <v>7</v>
      </c>
      <c r="BU436" s="27" t="s">
        <v>8</v>
      </c>
      <c r="BV436" s="27" t="s">
        <v>7</v>
      </c>
      <c r="CH436" s="27" t="s">
        <v>7</v>
      </c>
      <c r="CI436" s="27" t="s">
        <v>8</v>
      </c>
      <c r="CL436" s="27" t="s">
        <v>7</v>
      </c>
      <c r="EJ436" s="27" t="s">
        <v>7</v>
      </c>
      <c r="EK436" s="27" t="s">
        <v>8</v>
      </c>
      <c r="EL436" s="27" t="s">
        <v>7</v>
      </c>
      <c r="EM436" s="27" t="s">
        <v>8</v>
      </c>
      <c r="EN436" s="27" t="s">
        <v>7</v>
      </c>
      <c r="EP436" s="27" t="s">
        <v>7</v>
      </c>
      <c r="EQ436" s="27" t="s">
        <v>8</v>
      </c>
      <c r="ER436" s="27" t="s">
        <v>7</v>
      </c>
      <c r="ES436" s="27" t="s">
        <v>8</v>
      </c>
      <c r="ET436" s="27" t="s">
        <v>7</v>
      </c>
      <c r="EU436" s="27" t="s">
        <v>8</v>
      </c>
      <c r="EV436" s="27" t="s">
        <v>7</v>
      </c>
      <c r="EW436" s="27" t="s">
        <v>8</v>
      </c>
      <c r="EX436" s="27" t="s">
        <v>7</v>
      </c>
      <c r="EZ436" s="27" t="s">
        <v>7</v>
      </c>
      <c r="FI436" s="27" t="s">
        <v>8</v>
      </c>
      <c r="FJ436" s="27" t="s">
        <v>7</v>
      </c>
      <c r="FU436" s="27" t="s">
        <v>8</v>
      </c>
      <c r="GP436" s="27" t="s">
        <v>7</v>
      </c>
      <c r="GQ436" s="27" t="s">
        <v>8</v>
      </c>
      <c r="GR436" s="27" t="s">
        <v>7</v>
      </c>
      <c r="GS436" s="27" t="s">
        <v>8</v>
      </c>
      <c r="GT436" s="27" t="s">
        <v>7</v>
      </c>
      <c r="GU436" s="27" t="s">
        <v>8</v>
      </c>
      <c r="GV436" s="27" t="s">
        <v>7</v>
      </c>
      <c r="HG436" s="27" t="s">
        <v>8</v>
      </c>
      <c r="HH436" s="27" t="s">
        <v>7</v>
      </c>
      <c r="HI436" s="27" t="s">
        <v>8</v>
      </c>
      <c r="HK436" s="27" t="s">
        <v>8</v>
      </c>
      <c r="HL436" s="27" t="s">
        <v>7</v>
      </c>
      <c r="HM436" s="27" t="s">
        <v>8</v>
      </c>
      <c r="HR436" s="27" t="s">
        <v>7</v>
      </c>
      <c r="HS436" s="27" t="s">
        <v>8</v>
      </c>
      <c r="HT436" s="27" t="s">
        <v>7</v>
      </c>
      <c r="HU436" s="27" t="s">
        <v>8</v>
      </c>
      <c r="HW436" s="27" t="s">
        <v>8</v>
      </c>
      <c r="HX436" s="27" t="s">
        <v>7</v>
      </c>
      <c r="HZ436" s="27" t="s">
        <v>7</v>
      </c>
      <c r="ID436" s="27" t="s">
        <v>7</v>
      </c>
      <c r="IE436" s="27" t="s">
        <v>8</v>
      </c>
      <c r="IF436" s="27" t="s">
        <v>7</v>
      </c>
      <c r="IG436" s="27" t="s">
        <v>8</v>
      </c>
      <c r="II436" s="27" t="s">
        <v>8</v>
      </c>
      <c r="IJ436" s="27" t="s">
        <v>7</v>
      </c>
      <c r="IK436" s="27" t="s">
        <v>8</v>
      </c>
      <c r="IL436" s="27" t="s">
        <v>7</v>
      </c>
    </row>
    <row r="437" spans="1:267" x14ac:dyDescent="0.25">
      <c r="A437" s="7">
        <v>19.499602766762585</v>
      </c>
      <c r="B437"/>
      <c r="C437"/>
      <c r="D437"/>
      <c r="E437" t="s">
        <v>8</v>
      </c>
      <c r="J437" s="27" t="s">
        <v>7</v>
      </c>
      <c r="K437" s="27" t="s">
        <v>8</v>
      </c>
      <c r="L437" s="27" t="s">
        <v>7</v>
      </c>
      <c r="M437" s="27" t="s">
        <v>8</v>
      </c>
      <c r="N437" s="27" t="s">
        <v>7</v>
      </c>
      <c r="O437" s="27" t="s">
        <v>8</v>
      </c>
      <c r="P437" s="27" t="s">
        <v>7</v>
      </c>
      <c r="Q437" s="27" t="s">
        <v>8</v>
      </c>
      <c r="R437" s="27" t="s">
        <v>7</v>
      </c>
      <c r="AQ437" s="27" t="s">
        <v>8</v>
      </c>
      <c r="AR437" s="27" t="s">
        <v>7</v>
      </c>
      <c r="AS437" s="27" t="s">
        <v>8</v>
      </c>
      <c r="AU437" s="27" t="s">
        <v>8</v>
      </c>
      <c r="AW437" s="27" t="s">
        <v>8</v>
      </c>
      <c r="AX437" s="27" t="s">
        <v>7</v>
      </c>
      <c r="AY437" s="27" t="s">
        <v>8</v>
      </c>
      <c r="AZ437" s="27" t="s">
        <v>7</v>
      </c>
      <c r="BU437" s="27" t="s">
        <v>8</v>
      </c>
      <c r="CH437" s="27" t="s">
        <v>7</v>
      </c>
      <c r="CI437" s="27" t="s">
        <v>8</v>
      </c>
      <c r="EJ437" s="27" t="s">
        <v>7</v>
      </c>
      <c r="EK437" s="27" t="s">
        <v>8</v>
      </c>
      <c r="EL437" s="27" t="s">
        <v>7</v>
      </c>
      <c r="EM437" s="27" t="s">
        <v>8</v>
      </c>
      <c r="EP437" s="27" t="s">
        <v>7</v>
      </c>
      <c r="EQ437" s="27" t="s">
        <v>8</v>
      </c>
      <c r="ER437" s="27" t="s">
        <v>7</v>
      </c>
      <c r="ET437" s="27" t="s">
        <v>7</v>
      </c>
      <c r="EU437" s="27" t="s">
        <v>8</v>
      </c>
      <c r="EV437" s="27" t="s">
        <v>7</v>
      </c>
      <c r="EW437" s="27" t="s">
        <v>8</v>
      </c>
      <c r="EZ437" s="27" t="s">
        <v>7</v>
      </c>
      <c r="FI437" s="27" t="s">
        <v>8</v>
      </c>
      <c r="FJ437" s="27" t="s">
        <v>7</v>
      </c>
      <c r="FU437" s="27" t="s">
        <v>8</v>
      </c>
      <c r="GP437" s="27" t="s">
        <v>7</v>
      </c>
      <c r="GR437" s="27" t="s">
        <v>7</v>
      </c>
      <c r="GT437" s="27" t="s">
        <v>7</v>
      </c>
      <c r="GU437" s="27" t="s">
        <v>8</v>
      </c>
      <c r="GV437" s="27" t="s">
        <v>7</v>
      </c>
      <c r="HG437" s="27" t="s">
        <v>8</v>
      </c>
      <c r="HH437" s="27" t="s">
        <v>7</v>
      </c>
      <c r="HI437" s="27" t="s">
        <v>8</v>
      </c>
      <c r="HJ437" s="27" t="s">
        <v>7</v>
      </c>
      <c r="HK437" s="27" t="s">
        <v>8</v>
      </c>
      <c r="HL437" s="27" t="s">
        <v>7</v>
      </c>
      <c r="HM437" s="27" t="s">
        <v>8</v>
      </c>
      <c r="HR437" s="27" t="s">
        <v>7</v>
      </c>
      <c r="HT437" s="27" t="s">
        <v>7</v>
      </c>
      <c r="HU437" s="27" t="s">
        <v>8</v>
      </c>
      <c r="HV437" s="27" t="s">
        <v>7</v>
      </c>
      <c r="HW437" s="27" t="s">
        <v>8</v>
      </c>
      <c r="ID437" s="27" t="s">
        <v>7</v>
      </c>
      <c r="IE437" s="27" t="s">
        <v>8</v>
      </c>
      <c r="IF437" s="27" t="s">
        <v>7</v>
      </c>
      <c r="IG437" s="27" t="s">
        <v>8</v>
      </c>
      <c r="IH437" s="27" t="s">
        <v>7</v>
      </c>
      <c r="II437" s="27" t="s">
        <v>8</v>
      </c>
      <c r="IJ437" s="27" t="s">
        <v>7</v>
      </c>
      <c r="IK437" s="27" t="s">
        <v>8</v>
      </c>
      <c r="IL437" s="27" t="s">
        <v>7</v>
      </c>
    </row>
    <row r="438" spans="1:267" x14ac:dyDescent="0.25">
      <c r="A438" s="7">
        <v>19.117257614473122</v>
      </c>
      <c r="B438"/>
      <c r="C438"/>
      <c r="D438"/>
      <c r="E438" t="s">
        <v>8</v>
      </c>
      <c r="J438" s="27" t="s">
        <v>7</v>
      </c>
      <c r="K438" s="27" t="s">
        <v>8</v>
      </c>
      <c r="L438" s="27" t="s">
        <v>7</v>
      </c>
      <c r="M438" s="27" t="s">
        <v>8</v>
      </c>
      <c r="N438" s="27" t="s">
        <v>7</v>
      </c>
      <c r="O438" s="27" t="s">
        <v>8</v>
      </c>
      <c r="P438" s="27" t="s">
        <v>7</v>
      </c>
      <c r="Q438" s="27" t="s">
        <v>8</v>
      </c>
      <c r="R438" s="27" t="s">
        <v>7</v>
      </c>
      <c r="AQ438" s="27" t="s">
        <v>8</v>
      </c>
      <c r="AR438" s="27" t="s">
        <v>7</v>
      </c>
      <c r="AS438" s="27" t="s">
        <v>8</v>
      </c>
      <c r="AT438" s="27" t="s">
        <v>7</v>
      </c>
      <c r="AU438" s="27" t="s">
        <v>8</v>
      </c>
      <c r="AV438" s="27" t="s">
        <v>7</v>
      </c>
      <c r="AW438" s="27" t="s">
        <v>8</v>
      </c>
      <c r="AX438" s="27" t="s">
        <v>7</v>
      </c>
      <c r="AY438" s="27" t="s">
        <v>8</v>
      </c>
      <c r="AZ438" s="27" t="s">
        <v>7</v>
      </c>
      <c r="BU438" s="27" t="s">
        <v>8</v>
      </c>
      <c r="CH438" s="27" t="s">
        <v>7</v>
      </c>
      <c r="EJ438" s="27" t="s">
        <v>7</v>
      </c>
      <c r="EK438" s="27" t="s">
        <v>8</v>
      </c>
      <c r="EL438" s="27" t="s">
        <v>7</v>
      </c>
      <c r="EM438" s="27" t="s">
        <v>8</v>
      </c>
      <c r="EP438" s="27" t="s">
        <v>7</v>
      </c>
      <c r="EQ438" s="27" t="s">
        <v>8</v>
      </c>
      <c r="ET438" s="27" t="s">
        <v>7</v>
      </c>
      <c r="EV438" s="27" t="s">
        <v>7</v>
      </c>
      <c r="EW438" s="27" t="s">
        <v>8</v>
      </c>
      <c r="EZ438" s="27" t="s">
        <v>7</v>
      </c>
      <c r="FI438" s="27" t="s">
        <v>8</v>
      </c>
      <c r="FJ438" s="27" t="s">
        <v>7</v>
      </c>
      <c r="FO438" s="27" t="s">
        <v>8</v>
      </c>
      <c r="FU438" s="27" t="s">
        <v>8</v>
      </c>
      <c r="GT438" s="27" t="s">
        <v>7</v>
      </c>
      <c r="GU438" s="27" t="s">
        <v>8</v>
      </c>
      <c r="GV438" s="27" t="s">
        <v>7</v>
      </c>
      <c r="HE438" s="27" t="s">
        <v>8</v>
      </c>
      <c r="HG438" s="27" t="s">
        <v>8</v>
      </c>
      <c r="HH438" s="27" t="s">
        <v>7</v>
      </c>
      <c r="HI438" s="27" t="s">
        <v>8</v>
      </c>
      <c r="HJ438" s="27" t="s">
        <v>7</v>
      </c>
      <c r="HK438" s="27" t="s">
        <v>8</v>
      </c>
      <c r="HL438" s="27" t="s">
        <v>7</v>
      </c>
      <c r="HM438" s="27" t="s">
        <v>8</v>
      </c>
      <c r="HT438" s="27" t="s">
        <v>7</v>
      </c>
      <c r="HU438" s="27" t="s">
        <v>8</v>
      </c>
      <c r="HV438" s="27" t="s">
        <v>7</v>
      </c>
      <c r="HW438" s="27" t="s">
        <v>8</v>
      </c>
      <c r="ID438" s="27" t="s">
        <v>7</v>
      </c>
      <c r="IE438" s="27" t="s">
        <v>8</v>
      </c>
      <c r="IF438" s="27" t="s">
        <v>7</v>
      </c>
      <c r="IG438" s="27" t="s">
        <v>8</v>
      </c>
      <c r="IH438" s="27" t="s">
        <v>7</v>
      </c>
      <c r="II438" s="27" t="s">
        <v>8</v>
      </c>
      <c r="IJ438" s="27" t="s">
        <v>7</v>
      </c>
      <c r="IK438" s="27" t="s">
        <v>8</v>
      </c>
      <c r="IL438" s="27" t="s">
        <v>7</v>
      </c>
    </row>
    <row r="439" spans="1:267" x14ac:dyDescent="0.25">
      <c r="A439" s="7">
        <v>18.74240942595404</v>
      </c>
      <c r="B439"/>
      <c r="C439"/>
      <c r="D439"/>
      <c r="E439" t="s">
        <v>8</v>
      </c>
      <c r="J439" s="27" t="s">
        <v>7</v>
      </c>
      <c r="K439" s="27" t="s">
        <v>8</v>
      </c>
      <c r="L439" s="27" t="s">
        <v>7</v>
      </c>
      <c r="M439" s="27" t="s">
        <v>8</v>
      </c>
      <c r="N439" s="27" t="s">
        <v>7</v>
      </c>
      <c r="O439" s="27" t="s">
        <v>8</v>
      </c>
      <c r="P439" s="27" t="s">
        <v>7</v>
      </c>
      <c r="Q439" s="27" t="s">
        <v>8</v>
      </c>
      <c r="R439" s="27" t="s">
        <v>7</v>
      </c>
      <c r="AQ439" s="27" t="s">
        <v>8</v>
      </c>
      <c r="AR439" s="27" t="s">
        <v>7</v>
      </c>
      <c r="AS439" s="27" t="s">
        <v>8</v>
      </c>
      <c r="AT439" s="27" t="s">
        <v>7</v>
      </c>
      <c r="AU439" s="27" t="s">
        <v>8</v>
      </c>
      <c r="AV439" s="27" t="s">
        <v>7</v>
      </c>
      <c r="AW439" s="27" t="s">
        <v>8</v>
      </c>
      <c r="AX439" s="27" t="s">
        <v>7</v>
      </c>
      <c r="AY439" s="27" t="s">
        <v>8</v>
      </c>
      <c r="AZ439" s="27" t="s">
        <v>7</v>
      </c>
      <c r="BU439" s="27" t="s">
        <v>8</v>
      </c>
      <c r="EJ439" s="27" t="s">
        <v>7</v>
      </c>
      <c r="EK439" s="27" t="s">
        <v>8</v>
      </c>
      <c r="EL439" s="27" t="s">
        <v>7</v>
      </c>
      <c r="EM439" s="27" t="s">
        <v>8</v>
      </c>
      <c r="EP439" s="27" t="s">
        <v>7</v>
      </c>
      <c r="EQ439" s="27" t="s">
        <v>8</v>
      </c>
      <c r="EV439" s="27" t="s">
        <v>7</v>
      </c>
      <c r="EW439" s="27" t="s">
        <v>8</v>
      </c>
      <c r="EZ439" s="27" t="s">
        <v>7</v>
      </c>
      <c r="FI439" s="27" t="s">
        <v>8</v>
      </c>
      <c r="FJ439" s="27" t="s">
        <v>7</v>
      </c>
      <c r="FK439" s="27" t="s">
        <v>8</v>
      </c>
      <c r="FO439" s="27" t="s">
        <v>8</v>
      </c>
      <c r="FP439" s="27" t="s">
        <v>7</v>
      </c>
      <c r="FU439" s="27" t="s">
        <v>8</v>
      </c>
      <c r="GT439" s="27" t="s">
        <v>7</v>
      </c>
      <c r="GU439" s="27" t="s">
        <v>8</v>
      </c>
      <c r="GV439" s="27" t="s">
        <v>7</v>
      </c>
      <c r="HE439" s="27" t="s">
        <v>8</v>
      </c>
      <c r="HF439" s="27" t="s">
        <v>7</v>
      </c>
      <c r="HG439" s="27" t="s">
        <v>8</v>
      </c>
      <c r="HH439" s="27" t="s">
        <v>7</v>
      </c>
      <c r="HJ439" s="27" t="s">
        <v>7</v>
      </c>
      <c r="HK439" s="27" t="s">
        <v>8</v>
      </c>
      <c r="HL439" s="27" t="s">
        <v>7</v>
      </c>
      <c r="HM439" s="27" t="s">
        <v>8</v>
      </c>
      <c r="HT439" s="27" t="s">
        <v>7</v>
      </c>
      <c r="HU439" s="27" t="s">
        <v>8</v>
      </c>
      <c r="HV439" s="27" t="s">
        <v>7</v>
      </c>
      <c r="ID439" s="27" t="s">
        <v>7</v>
      </c>
      <c r="IE439" s="27" t="s">
        <v>8</v>
      </c>
      <c r="IF439" s="27" t="s">
        <v>7</v>
      </c>
      <c r="IH439" s="27" t="s">
        <v>7</v>
      </c>
      <c r="II439" s="27" t="s">
        <v>8</v>
      </c>
      <c r="IJ439" s="27" t="s">
        <v>7</v>
      </c>
      <c r="IL439" s="27" t="s">
        <v>7</v>
      </c>
    </row>
    <row r="440" spans="1:267" x14ac:dyDescent="0.25">
      <c r="A440" s="7">
        <v>18.374911201915726</v>
      </c>
      <c r="B440"/>
      <c r="C440"/>
      <c r="D440"/>
      <c r="E440" t="s">
        <v>8</v>
      </c>
      <c r="J440" s="27" t="s">
        <v>7</v>
      </c>
      <c r="K440" s="27" t="s">
        <v>8</v>
      </c>
      <c r="L440" s="27" t="s">
        <v>7</v>
      </c>
      <c r="M440" s="27" t="s">
        <v>8</v>
      </c>
      <c r="N440" s="27" t="s">
        <v>7</v>
      </c>
      <c r="O440" s="27" t="s">
        <v>8</v>
      </c>
      <c r="P440" s="27" t="s">
        <v>7</v>
      </c>
      <c r="Q440" s="27" t="s">
        <v>8</v>
      </c>
      <c r="R440" s="27" t="s">
        <v>7</v>
      </c>
      <c r="AQ440" s="27" t="s">
        <v>8</v>
      </c>
      <c r="AR440" s="27" t="s">
        <v>7</v>
      </c>
      <c r="AS440" s="27" t="s">
        <v>8</v>
      </c>
      <c r="AT440" s="27" t="s">
        <v>7</v>
      </c>
      <c r="AU440" s="27" t="s">
        <v>8</v>
      </c>
      <c r="AV440" s="27" t="s">
        <v>7</v>
      </c>
      <c r="AW440" s="27" t="s">
        <v>8</v>
      </c>
      <c r="AX440" s="27" t="s">
        <v>7</v>
      </c>
      <c r="AY440" s="27" t="s">
        <v>8</v>
      </c>
      <c r="AZ440" s="27" t="s">
        <v>7</v>
      </c>
      <c r="BU440" s="27" t="s">
        <v>8</v>
      </c>
      <c r="EJ440" s="27" t="s">
        <v>7</v>
      </c>
      <c r="EK440" s="27" t="s">
        <v>8</v>
      </c>
      <c r="EL440" s="27" t="s">
        <v>7</v>
      </c>
      <c r="EM440" s="27" t="s">
        <v>8</v>
      </c>
      <c r="EP440" s="27" t="s">
        <v>7</v>
      </c>
      <c r="EQ440" s="27" t="s">
        <v>8</v>
      </c>
      <c r="EV440" s="27" t="s">
        <v>7</v>
      </c>
      <c r="EW440" s="27" t="s">
        <v>8</v>
      </c>
      <c r="EZ440" s="27" t="s">
        <v>7</v>
      </c>
      <c r="FI440" s="27" t="s">
        <v>8</v>
      </c>
      <c r="FJ440" s="27" t="s">
        <v>7</v>
      </c>
      <c r="FK440" s="27" t="s">
        <v>8</v>
      </c>
      <c r="FL440" s="27" t="s">
        <v>7</v>
      </c>
      <c r="FO440" s="27" t="s">
        <v>8</v>
      </c>
      <c r="FP440" s="27" t="s">
        <v>7</v>
      </c>
      <c r="FQ440" s="27" t="s">
        <v>8</v>
      </c>
      <c r="FS440" s="27" t="s">
        <v>8</v>
      </c>
      <c r="FU440" s="27" t="s">
        <v>8</v>
      </c>
      <c r="GT440" s="27" t="s">
        <v>7</v>
      </c>
      <c r="GU440" s="27" t="s">
        <v>8</v>
      </c>
      <c r="GV440" s="27" t="s">
        <v>7</v>
      </c>
      <c r="HE440" s="27" t="s">
        <v>8</v>
      </c>
      <c r="HF440" s="27" t="s">
        <v>7</v>
      </c>
      <c r="HG440" s="27" t="s">
        <v>8</v>
      </c>
      <c r="HJ440" s="27" t="s">
        <v>7</v>
      </c>
      <c r="HK440" s="27" t="s">
        <v>8</v>
      </c>
      <c r="HL440" s="27" t="s">
        <v>7</v>
      </c>
      <c r="HM440" s="27" t="s">
        <v>8</v>
      </c>
      <c r="HT440" s="27" t="s">
        <v>7</v>
      </c>
      <c r="HU440" s="27" t="s">
        <v>8</v>
      </c>
      <c r="ID440" s="27" t="s">
        <v>7</v>
      </c>
      <c r="IE440" s="27" t="s">
        <v>8</v>
      </c>
      <c r="IH440" s="27" t="s">
        <v>7</v>
      </c>
      <c r="II440" s="27" t="s">
        <v>8</v>
      </c>
      <c r="IL440" s="27" t="s">
        <v>7</v>
      </c>
      <c r="IU440" s="27" t="s">
        <v>8</v>
      </c>
    </row>
    <row r="441" spans="1:267" x14ac:dyDescent="0.25">
      <c r="A441" s="7">
        <v>18.014618825407574</v>
      </c>
      <c r="B441"/>
      <c r="C441"/>
      <c r="D441"/>
      <c r="E441" t="s">
        <v>8</v>
      </c>
      <c r="J441" s="27" t="s">
        <v>7</v>
      </c>
      <c r="K441" s="27" t="s">
        <v>8</v>
      </c>
      <c r="L441" s="27" t="s">
        <v>7</v>
      </c>
      <c r="M441" s="27" t="s">
        <v>8</v>
      </c>
      <c r="N441" s="27" t="s">
        <v>7</v>
      </c>
      <c r="O441" s="27" t="s">
        <v>8</v>
      </c>
      <c r="P441" s="27" t="s">
        <v>7</v>
      </c>
      <c r="R441" s="27" t="s">
        <v>7</v>
      </c>
      <c r="S441" s="27" t="s">
        <v>8</v>
      </c>
      <c r="AQ441" s="27" t="s">
        <v>8</v>
      </c>
      <c r="AR441" s="27" t="s">
        <v>7</v>
      </c>
      <c r="AS441" s="27" t="s">
        <v>8</v>
      </c>
      <c r="AT441" s="27" t="s">
        <v>7</v>
      </c>
      <c r="AU441" s="27" t="s">
        <v>8</v>
      </c>
      <c r="AV441" s="27" t="s">
        <v>7</v>
      </c>
      <c r="AW441" s="27" t="s">
        <v>8</v>
      </c>
      <c r="AX441" s="27" t="s">
        <v>7</v>
      </c>
      <c r="AY441" s="27" t="s">
        <v>8</v>
      </c>
      <c r="AZ441" s="27" t="s">
        <v>7</v>
      </c>
      <c r="BU441" s="27" t="s">
        <v>8</v>
      </c>
      <c r="EJ441" s="27" t="s">
        <v>7</v>
      </c>
      <c r="EK441" s="27" t="s">
        <v>8</v>
      </c>
      <c r="EL441" s="27" t="s">
        <v>7</v>
      </c>
      <c r="EM441" s="27" t="s">
        <v>8</v>
      </c>
      <c r="EP441" s="27" t="s">
        <v>7</v>
      </c>
      <c r="EQ441" s="27" t="s">
        <v>8</v>
      </c>
      <c r="EV441" s="27" t="s">
        <v>7</v>
      </c>
      <c r="EW441" s="27" t="s">
        <v>8</v>
      </c>
      <c r="EZ441" s="27" t="s">
        <v>7</v>
      </c>
      <c r="FI441" s="27" t="s">
        <v>8</v>
      </c>
      <c r="FJ441" s="27" t="s">
        <v>7</v>
      </c>
      <c r="FK441" s="27" t="s">
        <v>8</v>
      </c>
      <c r="FL441" s="27" t="s">
        <v>7</v>
      </c>
      <c r="FO441" s="27" t="s">
        <v>8</v>
      </c>
      <c r="FP441" s="27" t="s">
        <v>7</v>
      </c>
      <c r="FQ441" s="27" t="s">
        <v>8</v>
      </c>
      <c r="FR441" s="27" t="s">
        <v>7</v>
      </c>
      <c r="FS441" s="27" t="s">
        <v>8</v>
      </c>
      <c r="FT441" s="27" t="s">
        <v>7</v>
      </c>
      <c r="FU441" s="27" t="s">
        <v>8</v>
      </c>
      <c r="GT441" s="27" t="s">
        <v>7</v>
      </c>
      <c r="GU441" s="27" t="s">
        <v>8</v>
      </c>
      <c r="GV441" s="27" t="s">
        <v>7</v>
      </c>
      <c r="HC441" s="27" t="s">
        <v>8</v>
      </c>
      <c r="HE441" s="27" t="s">
        <v>8</v>
      </c>
      <c r="HF441" s="27" t="s">
        <v>7</v>
      </c>
      <c r="HG441" s="27" t="s">
        <v>8</v>
      </c>
      <c r="HJ441" s="27" t="s">
        <v>7</v>
      </c>
      <c r="HL441" s="27" t="s">
        <v>7</v>
      </c>
      <c r="HM441" s="27" t="s">
        <v>8</v>
      </c>
      <c r="HT441" s="27" t="s">
        <v>7</v>
      </c>
      <c r="ID441" s="27" t="s">
        <v>7</v>
      </c>
      <c r="IE441" s="27" t="s">
        <v>8</v>
      </c>
      <c r="IH441" s="27" t="s">
        <v>7</v>
      </c>
      <c r="IL441" s="27" t="s">
        <v>7</v>
      </c>
      <c r="IU441" s="27" t="s">
        <v>8</v>
      </c>
      <c r="IV441" s="27" t="s">
        <v>7</v>
      </c>
    </row>
    <row r="442" spans="1:267" x14ac:dyDescent="0.25">
      <c r="A442" s="7">
        <v>17.661391005301542</v>
      </c>
      <c r="B442"/>
      <c r="C442"/>
      <c r="D442"/>
      <c r="E442" t="s">
        <v>8</v>
      </c>
      <c r="J442" s="27" t="s">
        <v>7</v>
      </c>
      <c r="K442" s="27" t="s">
        <v>8</v>
      </c>
      <c r="L442" s="27" t="s">
        <v>7</v>
      </c>
      <c r="M442" s="27" t="s">
        <v>8</v>
      </c>
      <c r="N442" s="27" t="s">
        <v>7</v>
      </c>
      <c r="O442" s="27" t="s">
        <v>8</v>
      </c>
      <c r="R442" s="27" t="s">
        <v>7</v>
      </c>
      <c r="S442" s="27" t="s">
        <v>8</v>
      </c>
      <c r="T442" s="27" t="s">
        <v>7</v>
      </c>
      <c r="AQ442" s="27" t="s">
        <v>8</v>
      </c>
      <c r="AR442" s="27" t="s">
        <v>7</v>
      </c>
      <c r="AS442" s="27" t="s">
        <v>8</v>
      </c>
      <c r="AT442" s="27" t="s">
        <v>7</v>
      </c>
      <c r="AU442" s="27" t="s">
        <v>8</v>
      </c>
      <c r="AV442" s="27" t="s">
        <v>7</v>
      </c>
      <c r="AW442" s="27" t="s">
        <v>8</v>
      </c>
      <c r="AX442" s="27" t="s">
        <v>7</v>
      </c>
      <c r="AY442" s="27" t="s">
        <v>8</v>
      </c>
      <c r="AZ442" s="27" t="s">
        <v>7</v>
      </c>
      <c r="BM442" s="27" t="s">
        <v>8</v>
      </c>
      <c r="BU442" s="27" t="s">
        <v>8</v>
      </c>
      <c r="EJ442" s="27" t="s">
        <v>7</v>
      </c>
      <c r="EK442" s="27" t="s">
        <v>8</v>
      </c>
      <c r="EL442" s="27" t="s">
        <v>7</v>
      </c>
      <c r="EM442" s="27" t="s">
        <v>8</v>
      </c>
      <c r="EP442" s="27" t="s">
        <v>7</v>
      </c>
      <c r="EQ442" s="27" t="s">
        <v>8</v>
      </c>
      <c r="EV442" s="27" t="s">
        <v>7</v>
      </c>
      <c r="EW442" s="27" t="s">
        <v>8</v>
      </c>
      <c r="EZ442" s="27" t="s">
        <v>7</v>
      </c>
      <c r="FI442" s="27" t="s">
        <v>8</v>
      </c>
      <c r="FJ442" s="27" t="s">
        <v>7</v>
      </c>
      <c r="FK442" s="27" t="s">
        <v>8</v>
      </c>
      <c r="FL442" s="27" t="s">
        <v>7</v>
      </c>
      <c r="FO442" s="27" t="s">
        <v>8</v>
      </c>
      <c r="FP442" s="27" t="s">
        <v>7</v>
      </c>
      <c r="FQ442" s="27" t="s">
        <v>8</v>
      </c>
      <c r="FR442" s="27" t="s">
        <v>7</v>
      </c>
      <c r="FS442" s="27" t="s">
        <v>8</v>
      </c>
      <c r="FT442" s="27" t="s">
        <v>7</v>
      </c>
      <c r="FU442" s="27" t="s">
        <v>8</v>
      </c>
      <c r="GT442" s="27" t="s">
        <v>7</v>
      </c>
      <c r="GU442" s="27" t="s">
        <v>8</v>
      </c>
      <c r="GV442" s="27" t="s">
        <v>7</v>
      </c>
      <c r="GW442" s="27" t="s">
        <v>8</v>
      </c>
      <c r="HC442" s="27" t="s">
        <v>8</v>
      </c>
      <c r="HD442" s="27" t="s">
        <v>7</v>
      </c>
      <c r="HE442" s="27" t="s">
        <v>8</v>
      </c>
      <c r="HF442" s="27" t="s">
        <v>7</v>
      </c>
      <c r="HG442" s="27" t="s">
        <v>8</v>
      </c>
      <c r="HL442" s="27" t="s">
        <v>7</v>
      </c>
      <c r="HM442" s="27" t="s">
        <v>8</v>
      </c>
      <c r="ID442" s="27" t="s">
        <v>7</v>
      </c>
      <c r="IL442" s="27" t="s">
        <v>7</v>
      </c>
      <c r="IU442" s="27" t="s">
        <v>8</v>
      </c>
      <c r="IV442" s="27" t="s">
        <v>7</v>
      </c>
    </row>
    <row r="443" spans="1:267" x14ac:dyDescent="0.25">
      <c r="A443" s="7">
        <v>17.315089220883866</v>
      </c>
      <c r="B443"/>
      <c r="C443"/>
      <c r="D443"/>
      <c r="E443" t="s">
        <v>8</v>
      </c>
      <c r="J443" s="27" t="s">
        <v>7</v>
      </c>
      <c r="K443" s="27" t="s">
        <v>8</v>
      </c>
      <c r="L443" s="27" t="s">
        <v>7</v>
      </c>
      <c r="M443" s="27" t="s">
        <v>8</v>
      </c>
      <c r="N443" s="27" t="s">
        <v>7</v>
      </c>
      <c r="O443" s="27" t="s">
        <v>8</v>
      </c>
      <c r="R443" s="27" t="s">
        <v>7</v>
      </c>
      <c r="S443" s="27" t="s">
        <v>8</v>
      </c>
      <c r="T443" s="27" t="s">
        <v>7</v>
      </c>
      <c r="AQ443" s="27" t="s">
        <v>8</v>
      </c>
      <c r="AR443" s="27" t="s">
        <v>7</v>
      </c>
      <c r="AS443" s="27" t="s">
        <v>8</v>
      </c>
      <c r="AT443" s="27" t="s">
        <v>7</v>
      </c>
      <c r="AU443" s="27" t="s">
        <v>8</v>
      </c>
      <c r="AV443" s="27" t="s">
        <v>7</v>
      </c>
      <c r="AW443" s="27" t="s">
        <v>8</v>
      </c>
      <c r="AX443" s="27" t="s">
        <v>7</v>
      </c>
      <c r="AY443" s="27" t="s">
        <v>8</v>
      </c>
      <c r="AZ443" s="27" t="s">
        <v>7</v>
      </c>
      <c r="BM443" s="27" t="s">
        <v>8</v>
      </c>
      <c r="BN443" s="27" t="s">
        <v>7</v>
      </c>
      <c r="BQ443" s="27" t="s">
        <v>8</v>
      </c>
      <c r="BU443" s="27" t="s">
        <v>8</v>
      </c>
      <c r="EJ443" s="27" t="s">
        <v>7</v>
      </c>
      <c r="EK443" s="27" t="s">
        <v>8</v>
      </c>
      <c r="EL443" s="27" t="s">
        <v>7</v>
      </c>
      <c r="EM443" s="27" t="s">
        <v>8</v>
      </c>
      <c r="EP443" s="27" t="s">
        <v>7</v>
      </c>
      <c r="EV443" s="27" t="s">
        <v>7</v>
      </c>
      <c r="EW443" s="27" t="s">
        <v>8</v>
      </c>
      <c r="EZ443" s="27" t="s">
        <v>7</v>
      </c>
      <c r="FI443" s="27" t="s">
        <v>8</v>
      </c>
      <c r="FJ443" s="27" t="s">
        <v>7</v>
      </c>
      <c r="FK443" s="27" t="s">
        <v>8</v>
      </c>
      <c r="FL443" s="27" t="s">
        <v>7</v>
      </c>
      <c r="FO443" s="27" t="s">
        <v>8</v>
      </c>
      <c r="FP443" s="27" t="s">
        <v>7</v>
      </c>
      <c r="FQ443" s="27" t="s">
        <v>8</v>
      </c>
      <c r="FR443" s="27" t="s">
        <v>7</v>
      </c>
      <c r="FS443" s="27" t="s">
        <v>8</v>
      </c>
      <c r="FT443" s="27" t="s">
        <v>7</v>
      </c>
      <c r="FU443" s="27" t="s">
        <v>8</v>
      </c>
      <c r="GT443" s="27" t="s">
        <v>7</v>
      </c>
      <c r="GU443" s="27" t="s">
        <v>8</v>
      </c>
      <c r="GV443" s="27" t="s">
        <v>7</v>
      </c>
      <c r="GW443" s="27" t="s">
        <v>8</v>
      </c>
      <c r="GX443" s="27" t="s">
        <v>7</v>
      </c>
      <c r="GY443" s="27" t="s">
        <v>8</v>
      </c>
      <c r="HC443" s="27" t="s">
        <v>8</v>
      </c>
      <c r="HD443" s="27" t="s">
        <v>7</v>
      </c>
      <c r="HE443" s="27" t="s">
        <v>8</v>
      </c>
      <c r="HF443" s="27" t="s">
        <v>7</v>
      </c>
      <c r="HG443" s="27" t="s">
        <v>8</v>
      </c>
      <c r="HL443" s="27" t="s">
        <v>7</v>
      </c>
      <c r="HM443" s="27" t="s">
        <v>8</v>
      </c>
      <c r="IL443" s="27" t="s">
        <v>7</v>
      </c>
      <c r="IO443" s="27" t="s">
        <v>8</v>
      </c>
      <c r="IU443" s="27" t="s">
        <v>8</v>
      </c>
      <c r="IV443" s="27" t="s">
        <v>7</v>
      </c>
      <c r="IY443" s="27" t="s">
        <v>8</v>
      </c>
    </row>
    <row r="444" spans="1:267" x14ac:dyDescent="0.25">
      <c r="A444" s="7">
        <v>16.975577667533202</v>
      </c>
      <c r="B444"/>
      <c r="C444"/>
      <c r="D444"/>
      <c r="E444" t="s">
        <v>8</v>
      </c>
      <c r="J444" s="27" t="s">
        <v>7</v>
      </c>
      <c r="K444" s="27" t="s">
        <v>8</v>
      </c>
      <c r="L444" s="27" t="s">
        <v>7</v>
      </c>
      <c r="N444" s="27" t="s">
        <v>7</v>
      </c>
      <c r="R444" s="27" t="s">
        <v>7</v>
      </c>
      <c r="S444" s="27" t="s">
        <v>8</v>
      </c>
      <c r="T444" s="27" t="s">
        <v>7</v>
      </c>
      <c r="AQ444" s="27" t="s">
        <v>8</v>
      </c>
      <c r="AR444" s="27" t="s">
        <v>7</v>
      </c>
      <c r="AS444" s="27" t="s">
        <v>8</v>
      </c>
      <c r="AT444" s="27" t="s">
        <v>7</v>
      </c>
      <c r="AU444" s="27" t="s">
        <v>8</v>
      </c>
      <c r="AV444" s="27" t="s">
        <v>7</v>
      </c>
      <c r="AW444" s="27" t="s">
        <v>8</v>
      </c>
      <c r="AX444" s="27" t="s">
        <v>7</v>
      </c>
      <c r="AZ444" s="27" t="s">
        <v>7</v>
      </c>
      <c r="BM444" s="27" t="s">
        <v>8</v>
      </c>
      <c r="BN444" s="27" t="s">
        <v>7</v>
      </c>
      <c r="BQ444" s="27" t="s">
        <v>8</v>
      </c>
      <c r="BR444" s="27" t="s">
        <v>7</v>
      </c>
      <c r="BU444" s="27" t="s">
        <v>8</v>
      </c>
      <c r="EJ444" s="27" t="s">
        <v>7</v>
      </c>
      <c r="EK444" s="27" t="s">
        <v>8</v>
      </c>
      <c r="EL444" s="27" t="s">
        <v>7</v>
      </c>
      <c r="EM444" s="27" t="s">
        <v>8</v>
      </c>
      <c r="EV444" s="27" t="s">
        <v>7</v>
      </c>
      <c r="EZ444" s="27" t="s">
        <v>7</v>
      </c>
      <c r="FA444" s="27" t="s">
        <v>8</v>
      </c>
      <c r="FI444" s="27" t="s">
        <v>8</v>
      </c>
      <c r="FJ444" s="27" t="s">
        <v>7</v>
      </c>
      <c r="FK444" s="27" t="s">
        <v>8</v>
      </c>
      <c r="FL444" s="27" t="s">
        <v>7</v>
      </c>
      <c r="FO444" s="27" t="s">
        <v>8</v>
      </c>
      <c r="FP444" s="27" t="s">
        <v>7</v>
      </c>
      <c r="FQ444" s="27" t="s">
        <v>8</v>
      </c>
      <c r="FR444" s="27" t="s">
        <v>7</v>
      </c>
      <c r="FS444" s="27" t="s">
        <v>8</v>
      </c>
      <c r="FT444" s="27" t="s">
        <v>7</v>
      </c>
      <c r="FU444" s="27" t="s">
        <v>8</v>
      </c>
      <c r="GT444" s="27" t="s">
        <v>7</v>
      </c>
      <c r="GU444" s="27" t="s">
        <v>8</v>
      </c>
      <c r="GV444" s="27" t="s">
        <v>7</v>
      </c>
      <c r="GW444" s="27" t="s">
        <v>8</v>
      </c>
      <c r="GX444" s="27" t="s">
        <v>7</v>
      </c>
      <c r="GY444" s="27" t="s">
        <v>8</v>
      </c>
      <c r="GZ444" s="27" t="s">
        <v>7</v>
      </c>
      <c r="HC444" s="27" t="s">
        <v>8</v>
      </c>
      <c r="HD444" s="27" t="s">
        <v>7</v>
      </c>
      <c r="HE444" s="27" t="s">
        <v>8</v>
      </c>
      <c r="HF444" s="27" t="s">
        <v>7</v>
      </c>
      <c r="HL444" s="27" t="s">
        <v>7</v>
      </c>
      <c r="IL444" s="27" t="s">
        <v>7</v>
      </c>
      <c r="IO444" s="27" t="s">
        <v>8</v>
      </c>
      <c r="IP444" s="27" t="s">
        <v>7</v>
      </c>
      <c r="IU444" s="27" t="s">
        <v>8</v>
      </c>
      <c r="IV444" s="27" t="s">
        <v>7</v>
      </c>
      <c r="IY444" s="27" t="s">
        <v>8</v>
      </c>
      <c r="IZ444" s="27" t="s">
        <v>7</v>
      </c>
    </row>
    <row r="445" spans="1:267" x14ac:dyDescent="0.25">
      <c r="A445" s="7">
        <v>16.642723203463923</v>
      </c>
      <c r="B445"/>
      <c r="C445"/>
      <c r="D445"/>
      <c r="E445" t="s">
        <v>8</v>
      </c>
      <c r="J445" s="27" t="s">
        <v>7</v>
      </c>
      <c r="K445" s="27" t="s">
        <v>8</v>
      </c>
      <c r="R445" s="27" t="s">
        <v>7</v>
      </c>
      <c r="S445" s="27" t="s">
        <v>8</v>
      </c>
      <c r="T445" s="27" t="s">
        <v>7</v>
      </c>
      <c r="AQ445" s="27" t="s">
        <v>8</v>
      </c>
      <c r="AR445" s="27" t="s">
        <v>7</v>
      </c>
      <c r="AS445" s="27" t="s">
        <v>8</v>
      </c>
      <c r="AT445" s="27" t="s">
        <v>7</v>
      </c>
      <c r="AU445" s="27" t="s">
        <v>8</v>
      </c>
      <c r="AV445" s="27" t="s">
        <v>7</v>
      </c>
      <c r="AW445" s="27" t="s">
        <v>8</v>
      </c>
      <c r="AZ445" s="27" t="s">
        <v>7</v>
      </c>
      <c r="BA445" s="27" t="s">
        <v>8</v>
      </c>
      <c r="BC445" s="27" t="s">
        <v>8</v>
      </c>
      <c r="BM445" s="27" t="s">
        <v>8</v>
      </c>
      <c r="BN445" s="27" t="s">
        <v>7</v>
      </c>
      <c r="BO445" s="27" t="s">
        <v>8</v>
      </c>
      <c r="BQ445" s="27" t="s">
        <v>8</v>
      </c>
      <c r="BR445" s="27" t="s">
        <v>7</v>
      </c>
      <c r="BU445" s="27" t="s">
        <v>8</v>
      </c>
      <c r="EJ445" s="27" t="s">
        <v>7</v>
      </c>
      <c r="EL445" s="27" t="s">
        <v>7</v>
      </c>
      <c r="EM445" s="27" t="s">
        <v>8</v>
      </c>
      <c r="EZ445" s="27" t="s">
        <v>7</v>
      </c>
      <c r="FA445" s="27" t="s">
        <v>8</v>
      </c>
      <c r="FB445" s="27" t="s">
        <v>7</v>
      </c>
      <c r="FI445" s="27" t="s">
        <v>8</v>
      </c>
      <c r="FJ445" s="27" t="s">
        <v>7</v>
      </c>
      <c r="FK445" s="27" t="s">
        <v>8</v>
      </c>
      <c r="FL445" s="27" t="s">
        <v>7</v>
      </c>
      <c r="FO445" s="27" t="s">
        <v>8</v>
      </c>
      <c r="FP445" s="27" t="s">
        <v>7</v>
      </c>
      <c r="FQ445" s="27" t="s">
        <v>8</v>
      </c>
      <c r="FR445" s="27" t="s">
        <v>7</v>
      </c>
      <c r="FT445" s="27" t="s">
        <v>7</v>
      </c>
      <c r="FU445" s="27" t="s">
        <v>8</v>
      </c>
      <c r="GT445" s="27" t="s">
        <v>7</v>
      </c>
      <c r="GU445" s="27" t="s">
        <v>8</v>
      </c>
      <c r="GV445" s="27" t="s">
        <v>7</v>
      </c>
      <c r="GW445" s="27" t="s">
        <v>8</v>
      </c>
      <c r="GX445" s="27" t="s">
        <v>7</v>
      </c>
      <c r="GY445" s="27" t="s">
        <v>8</v>
      </c>
      <c r="GZ445" s="27" t="s">
        <v>7</v>
      </c>
      <c r="HC445" s="27" t="s">
        <v>8</v>
      </c>
      <c r="HD445" s="27" t="s">
        <v>7</v>
      </c>
      <c r="HE445" s="27" t="s">
        <v>8</v>
      </c>
      <c r="IL445" s="27" t="s">
        <v>7</v>
      </c>
      <c r="IM445" s="27" t="s">
        <v>8</v>
      </c>
      <c r="IO445" s="27" t="s">
        <v>8</v>
      </c>
      <c r="IP445" s="27" t="s">
        <v>7</v>
      </c>
      <c r="IU445" s="27" t="s">
        <v>8</v>
      </c>
      <c r="IV445" s="27" t="s">
        <v>7</v>
      </c>
      <c r="IY445" s="27" t="s">
        <v>8</v>
      </c>
      <c r="IZ445" s="27" t="s">
        <v>7</v>
      </c>
    </row>
    <row r="446" spans="1:267" x14ac:dyDescent="0.25">
      <c r="A446" s="7">
        <v>16.316395297513651</v>
      </c>
      <c r="B446"/>
      <c r="C446"/>
      <c r="D446"/>
      <c r="E446" t="s">
        <v>8</v>
      </c>
      <c r="J446" s="27" t="s">
        <v>7</v>
      </c>
      <c r="K446" s="27" t="s">
        <v>8</v>
      </c>
      <c r="R446" s="27" t="s">
        <v>7</v>
      </c>
      <c r="S446" s="27" t="s">
        <v>8</v>
      </c>
      <c r="T446" s="27" t="s">
        <v>7</v>
      </c>
      <c r="AQ446" s="27" t="s">
        <v>8</v>
      </c>
      <c r="AR446" s="27" t="s">
        <v>7</v>
      </c>
      <c r="AS446" s="27" t="s">
        <v>8</v>
      </c>
      <c r="AT446" s="27" t="s">
        <v>7</v>
      </c>
      <c r="AU446" s="27" t="s">
        <v>8</v>
      </c>
      <c r="AV446" s="27" t="s">
        <v>7</v>
      </c>
      <c r="AW446" s="27" t="s">
        <v>8</v>
      </c>
      <c r="AZ446" s="27" t="s">
        <v>7</v>
      </c>
      <c r="BA446" s="27" t="s">
        <v>8</v>
      </c>
      <c r="BB446" s="27" t="s">
        <v>7</v>
      </c>
      <c r="BC446" s="27" t="s">
        <v>8</v>
      </c>
      <c r="BD446" s="27" t="s">
        <v>7</v>
      </c>
      <c r="BM446" s="27" t="s">
        <v>8</v>
      </c>
      <c r="BN446" s="27" t="s">
        <v>7</v>
      </c>
      <c r="BO446" s="27" t="s">
        <v>8</v>
      </c>
      <c r="BP446" s="27" t="s">
        <v>7</v>
      </c>
      <c r="BQ446" s="27" t="s">
        <v>8</v>
      </c>
      <c r="BR446" s="27" t="s">
        <v>7</v>
      </c>
      <c r="BU446" s="27" t="s">
        <v>8</v>
      </c>
      <c r="EL446" s="27" t="s">
        <v>7</v>
      </c>
      <c r="EM446" s="27" t="s">
        <v>8</v>
      </c>
      <c r="EZ446" s="27" t="s">
        <v>7</v>
      </c>
      <c r="FA446" s="27" t="s">
        <v>8</v>
      </c>
      <c r="FB446" s="27" t="s">
        <v>7</v>
      </c>
      <c r="FE446" s="27" t="s">
        <v>8</v>
      </c>
      <c r="FG446" s="27" t="s">
        <v>8</v>
      </c>
      <c r="FI446" s="27" t="s">
        <v>8</v>
      </c>
      <c r="FJ446" s="27" t="s">
        <v>7</v>
      </c>
      <c r="FK446" s="27" t="s">
        <v>8</v>
      </c>
      <c r="FL446" s="27" t="s">
        <v>7</v>
      </c>
      <c r="FO446" s="27" t="s">
        <v>8</v>
      </c>
      <c r="FP446" s="27" t="s">
        <v>7</v>
      </c>
      <c r="FQ446" s="27" t="s">
        <v>8</v>
      </c>
      <c r="FT446" s="27" t="s">
        <v>7</v>
      </c>
      <c r="GT446" s="27" t="s">
        <v>7</v>
      </c>
      <c r="GV446" s="27" t="s">
        <v>7</v>
      </c>
      <c r="GX446" s="27" t="s">
        <v>7</v>
      </c>
      <c r="GY446" s="27" t="s">
        <v>8</v>
      </c>
      <c r="GZ446" s="27" t="s">
        <v>7</v>
      </c>
      <c r="HC446" s="27" t="s">
        <v>8</v>
      </c>
      <c r="HD446" s="27" t="s">
        <v>7</v>
      </c>
      <c r="IL446" s="27" t="s">
        <v>7</v>
      </c>
      <c r="IM446" s="27" t="s">
        <v>8</v>
      </c>
      <c r="IN446" s="27" t="s">
        <v>7</v>
      </c>
      <c r="IO446" s="27" t="s">
        <v>8</v>
      </c>
      <c r="IP446" s="27" t="s">
        <v>7</v>
      </c>
      <c r="IU446" s="27" t="s">
        <v>8</v>
      </c>
      <c r="IV446" s="27" t="s">
        <v>7</v>
      </c>
      <c r="IW446" s="27" t="s">
        <v>8</v>
      </c>
      <c r="IY446" s="27" t="s">
        <v>8</v>
      </c>
      <c r="IZ446" s="27" t="s">
        <v>7</v>
      </c>
      <c r="JA446" s="27" t="s">
        <v>8</v>
      </c>
    </row>
    <row r="447" spans="1:267" x14ac:dyDescent="0.25">
      <c r="A447" s="7">
        <v>15.996465977954561</v>
      </c>
      <c r="B447"/>
      <c r="C447"/>
      <c r="D447"/>
      <c r="E447" t="s">
        <v>8</v>
      </c>
      <c r="J447" s="27" t="s">
        <v>7</v>
      </c>
      <c r="K447" s="27" t="s">
        <v>8</v>
      </c>
      <c r="R447" s="27" t="s">
        <v>7</v>
      </c>
      <c r="S447" s="27" t="s">
        <v>8</v>
      </c>
      <c r="T447" s="27" t="s">
        <v>7</v>
      </c>
      <c r="U447" s="27" t="s">
        <v>8</v>
      </c>
      <c r="AQ447" s="27" t="s">
        <v>8</v>
      </c>
      <c r="AR447" s="27" t="s">
        <v>7</v>
      </c>
      <c r="AS447" s="27" t="s">
        <v>8</v>
      </c>
      <c r="AT447" s="27" t="s">
        <v>7</v>
      </c>
      <c r="AU447" s="27" t="s">
        <v>8</v>
      </c>
      <c r="AV447" s="27" t="s">
        <v>7</v>
      </c>
      <c r="AW447" s="27" t="s">
        <v>8</v>
      </c>
      <c r="AZ447" s="27" t="s">
        <v>7</v>
      </c>
      <c r="BA447" s="27" t="s">
        <v>8</v>
      </c>
      <c r="BB447" s="27" t="s">
        <v>7</v>
      </c>
      <c r="BC447" s="27" t="s">
        <v>8</v>
      </c>
      <c r="BD447" s="27" t="s">
        <v>7</v>
      </c>
      <c r="BI447" s="27" t="s">
        <v>8</v>
      </c>
      <c r="BM447" s="27" t="s">
        <v>8</v>
      </c>
      <c r="BN447" s="27" t="s">
        <v>7</v>
      </c>
      <c r="BO447" s="27" t="s">
        <v>8</v>
      </c>
      <c r="BP447" s="27" t="s">
        <v>7</v>
      </c>
      <c r="BQ447" s="27" t="s">
        <v>8</v>
      </c>
      <c r="BR447" s="27" t="s">
        <v>7</v>
      </c>
      <c r="BU447" s="27" t="s">
        <v>8</v>
      </c>
      <c r="EL447" s="27" t="s">
        <v>7</v>
      </c>
      <c r="EM447" s="27" t="s">
        <v>8</v>
      </c>
      <c r="EZ447" s="27" t="s">
        <v>7</v>
      </c>
      <c r="FA447" s="27" t="s">
        <v>8</v>
      </c>
      <c r="FB447" s="27" t="s">
        <v>7</v>
      </c>
      <c r="FE447" s="27" t="s">
        <v>8</v>
      </c>
      <c r="FF447" s="27" t="s">
        <v>7</v>
      </c>
      <c r="FG447" s="27" t="s">
        <v>8</v>
      </c>
      <c r="FH447" s="27" t="s">
        <v>7</v>
      </c>
      <c r="FI447" s="27" t="s">
        <v>8</v>
      </c>
      <c r="FJ447" s="27" t="s">
        <v>7</v>
      </c>
      <c r="FK447" s="27" t="s">
        <v>8</v>
      </c>
      <c r="FL447" s="27" t="s">
        <v>7</v>
      </c>
      <c r="FO447" s="27" t="s">
        <v>8</v>
      </c>
      <c r="FP447" s="27" t="s">
        <v>7</v>
      </c>
      <c r="FQ447" s="27" t="s">
        <v>8</v>
      </c>
      <c r="GX447" s="27" t="s">
        <v>7</v>
      </c>
      <c r="GY447" s="27" t="s">
        <v>8</v>
      </c>
      <c r="GZ447" s="27" t="s">
        <v>7</v>
      </c>
      <c r="HA447" s="27" t="s">
        <v>8</v>
      </c>
      <c r="HC447" s="27" t="s">
        <v>8</v>
      </c>
      <c r="IL447" s="27" t="s">
        <v>7</v>
      </c>
      <c r="IM447" s="27" t="s">
        <v>8</v>
      </c>
      <c r="IN447" s="27" t="s">
        <v>7</v>
      </c>
      <c r="IO447" s="27" t="s">
        <v>8</v>
      </c>
      <c r="IP447" s="27" t="s">
        <v>7</v>
      </c>
      <c r="IQ447" s="27" t="s">
        <v>8</v>
      </c>
      <c r="IU447" s="27" t="s">
        <v>8</v>
      </c>
      <c r="IV447" s="27" t="s">
        <v>7</v>
      </c>
      <c r="IW447" s="27" t="s">
        <v>8</v>
      </c>
      <c r="IX447" s="27" t="s">
        <v>7</v>
      </c>
      <c r="IY447" s="27" t="s">
        <v>8</v>
      </c>
      <c r="IZ447" s="27" t="s">
        <v>7</v>
      </c>
      <c r="JA447" s="27" t="s">
        <v>8</v>
      </c>
      <c r="JB447" s="27" t="s">
        <v>7</v>
      </c>
    </row>
    <row r="448" spans="1:267" x14ac:dyDescent="0.25">
      <c r="A448" s="7">
        <v>15.682809782308393</v>
      </c>
      <c r="B448"/>
      <c r="C448"/>
      <c r="D448"/>
      <c r="E448" t="s">
        <v>8</v>
      </c>
      <c r="J448" s="27" t="s">
        <v>7</v>
      </c>
      <c r="K448" s="27" t="s">
        <v>8</v>
      </c>
      <c r="R448" s="27" t="s">
        <v>7</v>
      </c>
      <c r="T448" s="27" t="s">
        <v>7</v>
      </c>
      <c r="U448" s="27" t="s">
        <v>8</v>
      </c>
      <c r="V448" s="27" t="s">
        <v>7</v>
      </c>
      <c r="AQ448" s="27" t="s">
        <v>8</v>
      </c>
      <c r="AR448" s="27" t="s">
        <v>7</v>
      </c>
      <c r="AT448" s="27" t="s">
        <v>7</v>
      </c>
      <c r="AU448" s="27" t="s">
        <v>8</v>
      </c>
      <c r="AV448" s="27" t="s">
        <v>7</v>
      </c>
      <c r="AW448" s="27" t="s">
        <v>8</v>
      </c>
      <c r="AZ448" s="27" t="s">
        <v>7</v>
      </c>
      <c r="BA448" s="27" t="s">
        <v>8</v>
      </c>
      <c r="BB448" s="27" t="s">
        <v>7</v>
      </c>
      <c r="BC448" s="27" t="s">
        <v>8</v>
      </c>
      <c r="BD448" s="27" t="s">
        <v>7</v>
      </c>
      <c r="BG448" s="27" t="s">
        <v>8</v>
      </c>
      <c r="BI448" s="27" t="s">
        <v>8</v>
      </c>
      <c r="BJ448" s="27" t="s">
        <v>7</v>
      </c>
      <c r="BM448" s="27" t="s">
        <v>8</v>
      </c>
      <c r="BN448" s="27" t="s">
        <v>7</v>
      </c>
      <c r="BO448" s="27" t="s">
        <v>8</v>
      </c>
      <c r="BP448" s="27" t="s">
        <v>7</v>
      </c>
      <c r="BQ448" s="27" t="s">
        <v>8</v>
      </c>
      <c r="BR448" s="27" t="s">
        <v>7</v>
      </c>
      <c r="BU448" s="27" t="s">
        <v>8</v>
      </c>
      <c r="EL448" s="27" t="s">
        <v>7</v>
      </c>
      <c r="EM448" s="27" t="s">
        <v>8</v>
      </c>
      <c r="EZ448" s="27" t="s">
        <v>7</v>
      </c>
      <c r="FA448" s="27" t="s">
        <v>8</v>
      </c>
      <c r="FB448" s="27" t="s">
        <v>7</v>
      </c>
      <c r="FE448" s="27" t="s">
        <v>8</v>
      </c>
      <c r="FF448" s="27" t="s">
        <v>7</v>
      </c>
      <c r="FG448" s="27" t="s">
        <v>8</v>
      </c>
      <c r="FH448" s="27" t="s">
        <v>7</v>
      </c>
      <c r="FI448" s="27" t="s">
        <v>8</v>
      </c>
      <c r="FJ448" s="27" t="s">
        <v>7</v>
      </c>
      <c r="FK448" s="27" t="s">
        <v>8</v>
      </c>
      <c r="FL448" s="27" t="s">
        <v>7</v>
      </c>
      <c r="FO448" s="27" t="s">
        <v>8</v>
      </c>
      <c r="FP448" s="27" t="s">
        <v>7</v>
      </c>
      <c r="GX448" s="27" t="s">
        <v>7</v>
      </c>
      <c r="GY448" s="27" t="s">
        <v>8</v>
      </c>
      <c r="GZ448" s="27" t="s">
        <v>7</v>
      </c>
      <c r="HA448" s="27" t="s">
        <v>8</v>
      </c>
      <c r="HB448" s="27" t="s">
        <v>7</v>
      </c>
      <c r="HC448" s="27" t="s">
        <v>8</v>
      </c>
      <c r="IL448" s="27" t="s">
        <v>7</v>
      </c>
      <c r="IM448" s="27" t="s">
        <v>8</v>
      </c>
      <c r="IN448" s="27" t="s">
        <v>7</v>
      </c>
      <c r="IO448" s="27" t="s">
        <v>8</v>
      </c>
      <c r="IP448" s="27" t="s">
        <v>7</v>
      </c>
      <c r="IQ448" s="27" t="s">
        <v>8</v>
      </c>
      <c r="IR448" s="27" t="s">
        <v>7</v>
      </c>
      <c r="IU448" s="27" t="s">
        <v>8</v>
      </c>
      <c r="IV448" s="27" t="s">
        <v>7</v>
      </c>
      <c r="IW448" s="27" t="s">
        <v>8</v>
      </c>
      <c r="IX448" s="27" t="s">
        <v>7</v>
      </c>
      <c r="IY448" s="27" t="s">
        <v>8</v>
      </c>
      <c r="IZ448" s="27" t="s">
        <v>7</v>
      </c>
      <c r="JA448" s="27" t="s">
        <v>8</v>
      </c>
      <c r="JB448" s="27" t="s">
        <v>7</v>
      </c>
      <c r="JC448" s="27" t="s">
        <v>8</v>
      </c>
      <c r="JG448" s="27" t="s">
        <v>8</v>
      </c>
    </row>
    <row r="449" spans="1:270" x14ac:dyDescent="0.25">
      <c r="A449" s="7">
        <v>15.375303708145482</v>
      </c>
      <c r="B449"/>
      <c r="C449"/>
      <c r="D449"/>
      <c r="E449" t="s">
        <v>8</v>
      </c>
      <c r="J449" s="27" t="s">
        <v>7</v>
      </c>
      <c r="K449" s="27" t="s">
        <v>8</v>
      </c>
      <c r="T449" s="27" t="s">
        <v>7</v>
      </c>
      <c r="U449" s="27" t="s">
        <v>8</v>
      </c>
      <c r="V449" s="27" t="s">
        <v>7</v>
      </c>
      <c r="AQ449" s="27" t="s">
        <v>8</v>
      </c>
      <c r="AT449" s="27" t="s">
        <v>7</v>
      </c>
      <c r="AU449" s="27" t="s">
        <v>8</v>
      </c>
      <c r="AV449" s="27" t="s">
        <v>7</v>
      </c>
      <c r="AW449" s="27" t="s">
        <v>8</v>
      </c>
      <c r="AZ449" s="27" t="s">
        <v>7</v>
      </c>
      <c r="BA449" s="27" t="s">
        <v>8</v>
      </c>
      <c r="BB449" s="27" t="s">
        <v>7</v>
      </c>
      <c r="BC449" s="27" t="s">
        <v>8</v>
      </c>
      <c r="BD449" s="27" t="s">
        <v>7</v>
      </c>
      <c r="BG449" s="27" t="s">
        <v>8</v>
      </c>
      <c r="BH449" s="27" t="s">
        <v>7</v>
      </c>
      <c r="BI449" s="27" t="s">
        <v>8</v>
      </c>
      <c r="BJ449" s="27" t="s">
        <v>7</v>
      </c>
      <c r="BM449" s="27" t="s">
        <v>8</v>
      </c>
      <c r="BN449" s="27" t="s">
        <v>7</v>
      </c>
      <c r="BO449" s="27" t="s">
        <v>8</v>
      </c>
      <c r="BP449" s="27" t="s">
        <v>7</v>
      </c>
      <c r="BQ449" s="27" t="s">
        <v>8</v>
      </c>
      <c r="BR449" s="27" t="s">
        <v>7</v>
      </c>
      <c r="BS449" s="27" t="s">
        <v>8</v>
      </c>
      <c r="BU449" s="27" t="s">
        <v>8</v>
      </c>
      <c r="EL449" s="27" t="s">
        <v>7</v>
      </c>
      <c r="EM449" s="27" t="s">
        <v>8</v>
      </c>
      <c r="EZ449" s="27" t="s">
        <v>7</v>
      </c>
      <c r="FA449" s="27" t="s">
        <v>8</v>
      </c>
      <c r="FB449" s="27" t="s">
        <v>7</v>
      </c>
      <c r="FE449" s="27" t="s">
        <v>8</v>
      </c>
      <c r="FF449" s="27" t="s">
        <v>7</v>
      </c>
      <c r="FG449" s="27" t="s">
        <v>8</v>
      </c>
      <c r="FH449" s="27" t="s">
        <v>7</v>
      </c>
      <c r="FI449" s="27" t="s">
        <v>8</v>
      </c>
      <c r="FJ449" s="27" t="s">
        <v>7</v>
      </c>
      <c r="FK449" s="27" t="s">
        <v>8</v>
      </c>
      <c r="FL449" s="27" t="s">
        <v>7</v>
      </c>
      <c r="FM449" s="27" t="s">
        <v>8</v>
      </c>
      <c r="FO449" s="27" t="s">
        <v>8</v>
      </c>
      <c r="GX449" s="27" t="s">
        <v>7</v>
      </c>
      <c r="GY449" s="27" t="s">
        <v>8</v>
      </c>
      <c r="GZ449" s="27" t="s">
        <v>7</v>
      </c>
      <c r="HA449" s="27" t="s">
        <v>8</v>
      </c>
      <c r="HB449" s="27" t="s">
        <v>7</v>
      </c>
      <c r="HC449" s="27" t="s">
        <v>8</v>
      </c>
      <c r="IL449" s="27" t="s">
        <v>7</v>
      </c>
      <c r="IM449" s="27" t="s">
        <v>8</v>
      </c>
      <c r="IN449" s="27" t="s">
        <v>7</v>
      </c>
      <c r="IO449" s="27" t="s">
        <v>8</v>
      </c>
      <c r="IP449" s="27" t="s">
        <v>7</v>
      </c>
      <c r="IQ449" s="27" t="s">
        <v>8</v>
      </c>
      <c r="IR449" s="27" t="s">
        <v>7</v>
      </c>
      <c r="IU449" s="27" t="s">
        <v>8</v>
      </c>
      <c r="IV449" s="27" t="s">
        <v>7</v>
      </c>
      <c r="IW449" s="27" t="s">
        <v>8</v>
      </c>
      <c r="IX449" s="27" t="s">
        <v>7</v>
      </c>
      <c r="IZ449" s="27" t="s">
        <v>7</v>
      </c>
      <c r="JB449" s="27" t="s">
        <v>7</v>
      </c>
      <c r="JC449" s="27" t="s">
        <v>8</v>
      </c>
      <c r="JD449" s="27" t="s">
        <v>7</v>
      </c>
      <c r="JG449" s="27" t="s">
        <v>8</v>
      </c>
      <c r="JH449" s="27" t="s">
        <v>7</v>
      </c>
    </row>
    <row r="450" spans="1:270" x14ac:dyDescent="0.25">
      <c r="A450" s="7">
        <v>15.073827164848511</v>
      </c>
      <c r="B450"/>
      <c r="C450"/>
      <c r="D450"/>
      <c r="E450" t="s">
        <v>8</v>
      </c>
      <c r="J450" s="27" t="s">
        <v>7</v>
      </c>
      <c r="K450" s="27" t="s">
        <v>8</v>
      </c>
      <c r="T450" s="27" t="s">
        <v>7</v>
      </c>
      <c r="U450" s="27" t="s">
        <v>8</v>
      </c>
      <c r="V450" s="27" t="s">
        <v>7</v>
      </c>
      <c r="AQ450" s="27" t="s">
        <v>8</v>
      </c>
      <c r="AT450" s="27" t="s">
        <v>7</v>
      </c>
      <c r="AU450" s="27" t="s">
        <v>8</v>
      </c>
      <c r="AV450" s="27" t="s">
        <v>7</v>
      </c>
      <c r="AW450" s="27" t="s">
        <v>8</v>
      </c>
      <c r="AZ450" s="27" t="s">
        <v>7</v>
      </c>
      <c r="BA450" s="27" t="s">
        <v>8</v>
      </c>
      <c r="BB450" s="27" t="s">
        <v>7</v>
      </c>
      <c r="BC450" s="27" t="s">
        <v>8</v>
      </c>
      <c r="BD450" s="27" t="s">
        <v>7</v>
      </c>
      <c r="BG450" s="27" t="s">
        <v>8</v>
      </c>
      <c r="BH450" s="27" t="s">
        <v>7</v>
      </c>
      <c r="BI450" s="27" t="s">
        <v>8</v>
      </c>
      <c r="BJ450" s="27" t="s">
        <v>7</v>
      </c>
      <c r="BM450" s="27" t="s">
        <v>8</v>
      </c>
      <c r="BN450" s="27" t="s">
        <v>7</v>
      </c>
      <c r="BO450" s="27" t="s">
        <v>8</v>
      </c>
      <c r="BP450" s="27" t="s">
        <v>7</v>
      </c>
      <c r="BQ450" s="27" t="s">
        <v>8</v>
      </c>
      <c r="BR450" s="27" t="s">
        <v>7</v>
      </c>
      <c r="BS450" s="27" t="s">
        <v>8</v>
      </c>
      <c r="BT450" s="27" t="s">
        <v>7</v>
      </c>
      <c r="BU450" s="27" t="s">
        <v>8</v>
      </c>
      <c r="EL450" s="27" t="s">
        <v>7</v>
      </c>
      <c r="EM450" s="27" t="s">
        <v>8</v>
      </c>
      <c r="EZ450" s="27" t="s">
        <v>7</v>
      </c>
      <c r="FA450" s="27" t="s">
        <v>8</v>
      </c>
      <c r="FB450" s="27" t="s">
        <v>7</v>
      </c>
      <c r="FE450" s="27" t="s">
        <v>8</v>
      </c>
      <c r="FF450" s="27" t="s">
        <v>7</v>
      </c>
      <c r="FG450" s="27" t="s">
        <v>8</v>
      </c>
      <c r="FH450" s="27" t="s">
        <v>7</v>
      </c>
      <c r="FI450" s="27" t="s">
        <v>8</v>
      </c>
      <c r="FJ450" s="27" t="s">
        <v>7</v>
      </c>
      <c r="FK450" s="27" t="s">
        <v>8</v>
      </c>
      <c r="FL450" s="27" t="s">
        <v>7</v>
      </c>
      <c r="FM450" s="27" t="s">
        <v>8</v>
      </c>
      <c r="FN450" s="27" t="s">
        <v>7</v>
      </c>
      <c r="FO450" s="27" t="s">
        <v>8</v>
      </c>
      <c r="GX450" s="27" t="s">
        <v>7</v>
      </c>
      <c r="GZ450" s="27" t="s">
        <v>7</v>
      </c>
      <c r="HA450" s="27" t="s">
        <v>8</v>
      </c>
      <c r="HB450" s="27" t="s">
        <v>7</v>
      </c>
      <c r="IL450" s="27" t="s">
        <v>7</v>
      </c>
      <c r="IM450" s="27" t="s">
        <v>8</v>
      </c>
      <c r="IN450" s="27" t="s">
        <v>7</v>
      </c>
      <c r="IO450" s="27" t="s">
        <v>8</v>
      </c>
      <c r="IP450" s="27" t="s">
        <v>7</v>
      </c>
      <c r="IQ450" s="27" t="s">
        <v>8</v>
      </c>
      <c r="IR450" s="27" t="s">
        <v>7</v>
      </c>
      <c r="IU450" s="27" t="s">
        <v>8</v>
      </c>
      <c r="IV450" s="27" t="s">
        <v>7</v>
      </c>
      <c r="IW450" s="27" t="s">
        <v>8</v>
      </c>
      <c r="JB450" s="27" t="s">
        <v>7</v>
      </c>
      <c r="JC450" s="27" t="s">
        <v>8</v>
      </c>
      <c r="JD450" s="27" t="s">
        <v>7</v>
      </c>
      <c r="JG450" s="27" t="s">
        <v>8</v>
      </c>
      <c r="JH450" s="27" t="s">
        <v>7</v>
      </c>
    </row>
    <row r="451" spans="1:270" x14ac:dyDescent="0.25">
      <c r="A451" s="7">
        <v>14.77826192632207</v>
      </c>
      <c r="B451"/>
      <c r="C451"/>
      <c r="D451"/>
      <c r="E451" t="s">
        <v>8</v>
      </c>
      <c r="J451" s="27" t="s">
        <v>7</v>
      </c>
      <c r="K451" s="27" t="s">
        <v>8</v>
      </c>
      <c r="T451" s="27" t="s">
        <v>7</v>
      </c>
      <c r="U451" s="27" t="s">
        <v>8</v>
      </c>
      <c r="V451" s="27" t="s">
        <v>7</v>
      </c>
      <c r="AE451" s="27" t="s">
        <v>8</v>
      </c>
      <c r="AQ451" s="27" t="s">
        <v>8</v>
      </c>
      <c r="AT451" s="27" t="s">
        <v>7</v>
      </c>
      <c r="AU451" s="27" t="s">
        <v>8</v>
      </c>
      <c r="AV451" s="27" t="s">
        <v>7</v>
      </c>
      <c r="AW451" s="27" t="s">
        <v>8</v>
      </c>
      <c r="AZ451" s="27" t="s">
        <v>7</v>
      </c>
      <c r="BA451" s="27" t="s">
        <v>8</v>
      </c>
      <c r="BB451" s="27" t="s">
        <v>7</v>
      </c>
      <c r="BC451" s="27" t="s">
        <v>8</v>
      </c>
      <c r="BD451" s="27" t="s">
        <v>7</v>
      </c>
      <c r="BG451" s="27" t="s">
        <v>8</v>
      </c>
      <c r="BH451" s="27" t="s">
        <v>7</v>
      </c>
      <c r="BI451" s="27" t="s">
        <v>8</v>
      </c>
      <c r="BJ451" s="27" t="s">
        <v>7</v>
      </c>
      <c r="BM451" s="27" t="s">
        <v>8</v>
      </c>
      <c r="BN451" s="27" t="s">
        <v>7</v>
      </c>
      <c r="BO451" s="27" t="s">
        <v>8</v>
      </c>
      <c r="BP451" s="27" t="s">
        <v>7</v>
      </c>
      <c r="BQ451" s="27" t="s">
        <v>8</v>
      </c>
      <c r="BR451" s="27" t="s">
        <v>7</v>
      </c>
      <c r="BS451" s="27" t="s">
        <v>8</v>
      </c>
      <c r="BT451" s="27" t="s">
        <v>7</v>
      </c>
      <c r="BU451" s="27" t="s">
        <v>8</v>
      </c>
      <c r="EL451" s="27" t="s">
        <v>7</v>
      </c>
      <c r="EM451" s="27" t="s">
        <v>8</v>
      </c>
      <c r="EZ451" s="27" t="s">
        <v>7</v>
      </c>
      <c r="FA451" s="27" t="s">
        <v>8</v>
      </c>
      <c r="FB451" s="27" t="s">
        <v>7</v>
      </c>
      <c r="FE451" s="27" t="s">
        <v>8</v>
      </c>
      <c r="FF451" s="27" t="s">
        <v>7</v>
      </c>
      <c r="FG451" s="27" t="s">
        <v>8</v>
      </c>
      <c r="FH451" s="27" t="s">
        <v>7</v>
      </c>
      <c r="FI451" s="27" t="s">
        <v>8</v>
      </c>
      <c r="FJ451" s="27" t="s">
        <v>7</v>
      </c>
      <c r="FK451" s="27" t="s">
        <v>8</v>
      </c>
      <c r="FL451" s="27" t="s">
        <v>7</v>
      </c>
      <c r="FM451" s="27" t="s">
        <v>8</v>
      </c>
      <c r="FN451" s="27" t="s">
        <v>7</v>
      </c>
      <c r="FO451" s="27" t="s">
        <v>8</v>
      </c>
      <c r="GZ451" s="27" t="s">
        <v>7</v>
      </c>
      <c r="IL451" s="27" t="s">
        <v>7</v>
      </c>
      <c r="IM451" s="27" t="s">
        <v>8</v>
      </c>
      <c r="IN451" s="27" t="s">
        <v>7</v>
      </c>
      <c r="IO451" s="27" t="s">
        <v>8</v>
      </c>
      <c r="IP451" s="27" t="s">
        <v>7</v>
      </c>
      <c r="IQ451" s="27" t="s">
        <v>8</v>
      </c>
      <c r="IR451" s="27" t="s">
        <v>7</v>
      </c>
      <c r="IS451" s="27" t="s">
        <v>8</v>
      </c>
      <c r="IU451" s="27" t="s">
        <v>8</v>
      </c>
      <c r="IV451" s="27" t="s">
        <v>7</v>
      </c>
      <c r="IW451" s="27" t="s">
        <v>8</v>
      </c>
      <c r="JB451" s="27" t="s">
        <v>7</v>
      </c>
      <c r="JD451" s="27" t="s">
        <v>7</v>
      </c>
      <c r="JG451" s="27" t="s">
        <v>8</v>
      </c>
      <c r="JH451" s="27" t="s">
        <v>7</v>
      </c>
    </row>
    <row r="452" spans="1:270" x14ac:dyDescent="0.25">
      <c r="A452" s="7">
        <v>14.488492084629481</v>
      </c>
      <c r="B452"/>
      <c r="C452"/>
      <c r="D452"/>
      <c r="E452" t="s">
        <v>8</v>
      </c>
      <c r="J452" s="27" t="s">
        <v>7</v>
      </c>
      <c r="K452" s="27" t="s">
        <v>8</v>
      </c>
      <c r="T452" s="27" t="s">
        <v>7</v>
      </c>
      <c r="U452" s="27" t="s">
        <v>8</v>
      </c>
      <c r="V452" s="27" t="s">
        <v>7</v>
      </c>
      <c r="AE452" s="27" t="s">
        <v>8</v>
      </c>
      <c r="AF452" s="27" t="s">
        <v>7</v>
      </c>
      <c r="AQ452" s="27" t="s">
        <v>8</v>
      </c>
      <c r="AT452" s="27" t="s">
        <v>7</v>
      </c>
      <c r="AU452" s="27" t="s">
        <v>8</v>
      </c>
      <c r="AV452" s="27" t="s">
        <v>7</v>
      </c>
      <c r="AZ452" s="27" t="s">
        <v>7</v>
      </c>
      <c r="BA452" s="27" t="s">
        <v>8</v>
      </c>
      <c r="BB452" s="27" t="s">
        <v>7</v>
      </c>
      <c r="BC452" s="27" t="s">
        <v>8</v>
      </c>
      <c r="BD452" s="27" t="s">
        <v>7</v>
      </c>
      <c r="BG452" s="27" t="s">
        <v>8</v>
      </c>
      <c r="BH452" s="27" t="s">
        <v>7</v>
      </c>
      <c r="BI452" s="27" t="s">
        <v>8</v>
      </c>
      <c r="BJ452" s="27" t="s">
        <v>7</v>
      </c>
      <c r="BM452" s="27" t="s">
        <v>8</v>
      </c>
      <c r="BN452" s="27" t="s">
        <v>7</v>
      </c>
      <c r="BO452" s="27" t="s">
        <v>8</v>
      </c>
      <c r="BP452" s="27" t="s">
        <v>7</v>
      </c>
      <c r="BQ452" s="27" t="s">
        <v>8</v>
      </c>
      <c r="BR452" s="27" t="s">
        <v>7</v>
      </c>
      <c r="BS452" s="27" t="s">
        <v>8</v>
      </c>
      <c r="BT452" s="27" t="s">
        <v>7</v>
      </c>
      <c r="BU452" s="27" t="s">
        <v>8</v>
      </c>
      <c r="EL452" s="27" t="s">
        <v>7</v>
      </c>
      <c r="EM452" s="27" t="s">
        <v>8</v>
      </c>
      <c r="EZ452" s="27" t="s">
        <v>7</v>
      </c>
      <c r="FA452" s="27" t="s">
        <v>8</v>
      </c>
      <c r="FB452" s="27" t="s">
        <v>7</v>
      </c>
      <c r="FC452" s="27" t="s">
        <v>8</v>
      </c>
      <c r="FE452" s="27" t="s">
        <v>8</v>
      </c>
      <c r="FF452" s="27" t="s">
        <v>7</v>
      </c>
      <c r="FG452" s="27" t="s">
        <v>8</v>
      </c>
      <c r="FH452" s="27" t="s">
        <v>7</v>
      </c>
      <c r="FI452" s="27" t="s">
        <v>8</v>
      </c>
      <c r="FJ452" s="27" t="s">
        <v>7</v>
      </c>
      <c r="FL452" s="27" t="s">
        <v>7</v>
      </c>
      <c r="FM452" s="27" t="s">
        <v>8</v>
      </c>
      <c r="FN452" s="27" t="s">
        <v>7</v>
      </c>
      <c r="IL452" s="27" t="s">
        <v>7</v>
      </c>
      <c r="IM452" s="27" t="s">
        <v>8</v>
      </c>
      <c r="IN452" s="27" t="s">
        <v>7</v>
      </c>
      <c r="IO452" s="27" t="s">
        <v>8</v>
      </c>
      <c r="IP452" s="27" t="s">
        <v>7</v>
      </c>
      <c r="IQ452" s="27" t="s">
        <v>8</v>
      </c>
      <c r="IR452" s="27" t="s">
        <v>7</v>
      </c>
      <c r="IS452" s="27" t="s">
        <v>8</v>
      </c>
      <c r="IT452" s="27" t="s">
        <v>7</v>
      </c>
      <c r="IU452" s="27" t="s">
        <v>8</v>
      </c>
      <c r="IV452" s="27" t="s">
        <v>7</v>
      </c>
      <c r="JD452" s="27" t="s">
        <v>7</v>
      </c>
      <c r="JG452" s="27" t="s">
        <v>8</v>
      </c>
      <c r="JH452" s="27" t="s">
        <v>7</v>
      </c>
    </row>
    <row r="453" spans="1:270" x14ac:dyDescent="0.25">
      <c r="A453" s="7">
        <v>14.204404004538707</v>
      </c>
      <c r="B453"/>
      <c r="C453"/>
      <c r="D453"/>
      <c r="E453" t="s">
        <v>8</v>
      </c>
      <c r="J453" s="27" t="s">
        <v>7</v>
      </c>
      <c r="T453" s="27" t="s">
        <v>7</v>
      </c>
      <c r="V453" s="27" t="s">
        <v>7</v>
      </c>
      <c r="AE453" s="27" t="s">
        <v>8</v>
      </c>
      <c r="AF453" s="27" t="s">
        <v>7</v>
      </c>
      <c r="AQ453" s="27" t="s">
        <v>8</v>
      </c>
      <c r="AT453" s="27" t="s">
        <v>7</v>
      </c>
      <c r="AU453" s="27" t="s">
        <v>8</v>
      </c>
      <c r="AZ453" s="27" t="s">
        <v>7</v>
      </c>
      <c r="BA453" s="27" t="s">
        <v>8</v>
      </c>
      <c r="BB453" s="27" t="s">
        <v>7</v>
      </c>
      <c r="BC453" s="27" t="s">
        <v>8</v>
      </c>
      <c r="BD453" s="27" t="s">
        <v>7</v>
      </c>
      <c r="BG453" s="27" t="s">
        <v>8</v>
      </c>
      <c r="BH453" s="27" t="s">
        <v>7</v>
      </c>
      <c r="BI453" s="27" t="s">
        <v>8</v>
      </c>
      <c r="BJ453" s="27" t="s">
        <v>7</v>
      </c>
      <c r="BM453" s="27" t="s">
        <v>8</v>
      </c>
      <c r="BN453" s="27" t="s">
        <v>7</v>
      </c>
      <c r="BO453" s="27" t="s">
        <v>8</v>
      </c>
      <c r="BP453" s="27" t="s">
        <v>7</v>
      </c>
      <c r="BQ453" s="27" t="s">
        <v>8</v>
      </c>
      <c r="BR453" s="27" t="s">
        <v>7</v>
      </c>
      <c r="BS453" s="27" t="s">
        <v>8</v>
      </c>
      <c r="BT453" s="27" t="s">
        <v>7</v>
      </c>
      <c r="EL453" s="27" t="s">
        <v>7</v>
      </c>
      <c r="EZ453" s="27" t="s">
        <v>7</v>
      </c>
      <c r="FA453" s="27" t="s">
        <v>8</v>
      </c>
      <c r="FB453" s="27" t="s">
        <v>7</v>
      </c>
      <c r="FC453" s="27" t="s">
        <v>8</v>
      </c>
      <c r="FD453" s="27" t="s">
        <v>7</v>
      </c>
      <c r="FE453" s="27" t="s">
        <v>8</v>
      </c>
      <c r="FF453" s="27" t="s">
        <v>7</v>
      </c>
      <c r="FG453" s="27" t="s">
        <v>8</v>
      </c>
      <c r="FH453" s="27" t="s">
        <v>7</v>
      </c>
      <c r="FI453" s="27" t="s">
        <v>8</v>
      </c>
      <c r="FL453" s="18" t="s">
        <v>7</v>
      </c>
      <c r="FM453" s="27" t="s">
        <v>8</v>
      </c>
      <c r="IL453" s="27" t="s">
        <v>7</v>
      </c>
      <c r="IM453" s="27" t="s">
        <v>8</v>
      </c>
      <c r="IN453" s="27" t="s">
        <v>7</v>
      </c>
      <c r="IO453" s="27" t="s">
        <v>8</v>
      </c>
      <c r="IP453" s="27" t="s">
        <v>7</v>
      </c>
      <c r="IR453" s="27" t="s">
        <v>7</v>
      </c>
      <c r="IS453" s="27" t="s">
        <v>8</v>
      </c>
      <c r="IT453" s="27" t="s">
        <v>7</v>
      </c>
      <c r="IU453" s="27" t="s">
        <v>8</v>
      </c>
      <c r="JD453" s="27" t="s">
        <v>7</v>
      </c>
      <c r="JG453" s="27" t="s">
        <v>8</v>
      </c>
      <c r="JH453" s="27" t="s">
        <v>7</v>
      </c>
    </row>
    <row r="454" spans="1:270" x14ac:dyDescent="0.25">
      <c r="A454" s="7">
        <v>13.925886278959517</v>
      </c>
      <c r="B454"/>
      <c r="C454"/>
      <c r="D454"/>
      <c r="E454" t="s">
        <v>8</v>
      </c>
      <c r="V454" s="27" t="s">
        <v>7</v>
      </c>
      <c r="AE454" s="27" t="s">
        <v>8</v>
      </c>
      <c r="AF454" s="27" t="s">
        <v>7</v>
      </c>
      <c r="AQ454" s="27" t="s">
        <v>8</v>
      </c>
      <c r="AT454" s="27" t="s">
        <v>7</v>
      </c>
      <c r="AU454" s="27" t="s">
        <v>8</v>
      </c>
      <c r="AZ454" s="27" t="s">
        <v>7</v>
      </c>
      <c r="BA454" s="27" t="s">
        <v>8</v>
      </c>
      <c r="BB454" s="27" t="s">
        <v>7</v>
      </c>
      <c r="BC454" s="27" t="s">
        <v>8</v>
      </c>
      <c r="BD454" s="27" t="s">
        <v>7</v>
      </c>
      <c r="BE454" s="27" t="s">
        <v>8</v>
      </c>
      <c r="BG454" s="27" t="s">
        <v>8</v>
      </c>
      <c r="BH454" s="27" t="s">
        <v>7</v>
      </c>
      <c r="BI454" s="27" t="s">
        <v>8</v>
      </c>
      <c r="BJ454" s="27" t="s">
        <v>7</v>
      </c>
      <c r="BM454" s="27" t="s">
        <v>8</v>
      </c>
      <c r="BN454" s="27" t="s">
        <v>7</v>
      </c>
      <c r="BP454" s="27" t="s">
        <v>7</v>
      </c>
      <c r="BQ454" s="27" t="s">
        <v>8</v>
      </c>
      <c r="BR454" s="27" t="s">
        <v>7</v>
      </c>
      <c r="BS454" s="27" t="s">
        <v>8</v>
      </c>
      <c r="EZ454" s="27" t="s">
        <v>7</v>
      </c>
      <c r="FA454" s="27" t="s">
        <v>8</v>
      </c>
      <c r="FB454" s="27" t="s">
        <v>7</v>
      </c>
      <c r="FC454" s="27" t="s">
        <v>8</v>
      </c>
      <c r="FD454" s="27" t="s">
        <v>7</v>
      </c>
      <c r="FE454" s="27" t="s">
        <v>8</v>
      </c>
      <c r="FF454" s="27" t="s">
        <v>7</v>
      </c>
      <c r="FG454" s="27" t="s">
        <v>8</v>
      </c>
      <c r="FH454" s="27" t="s">
        <v>7</v>
      </c>
      <c r="FI454" s="27" t="s">
        <v>8</v>
      </c>
      <c r="FL454" s="27" t="s">
        <v>7</v>
      </c>
      <c r="FM454" s="27" t="s">
        <v>8</v>
      </c>
      <c r="IL454" s="27" t="s">
        <v>7</v>
      </c>
      <c r="IN454" s="27" t="s">
        <v>7</v>
      </c>
      <c r="IR454" s="27" t="s">
        <v>7</v>
      </c>
      <c r="IS454" s="27" t="s">
        <v>8</v>
      </c>
      <c r="IT454" s="27" t="s">
        <v>7</v>
      </c>
      <c r="IU454" s="27" t="s">
        <v>8</v>
      </c>
      <c r="JD454" s="27" t="s">
        <v>7</v>
      </c>
      <c r="JG454" s="27" t="s">
        <v>8</v>
      </c>
      <c r="JH454" s="27" t="s">
        <v>7</v>
      </c>
    </row>
    <row r="455" spans="1:270" x14ac:dyDescent="0.25">
      <c r="A455" s="7">
        <v>13.652829685254428</v>
      </c>
      <c r="B455"/>
      <c r="C455"/>
      <c r="D455"/>
      <c r="E455" t="s">
        <v>8</v>
      </c>
      <c r="V455" s="27" t="s">
        <v>7</v>
      </c>
      <c r="AE455" s="27" t="s">
        <v>8</v>
      </c>
      <c r="AF455" s="27" t="s">
        <v>7</v>
      </c>
      <c r="AQ455" s="27" t="s">
        <v>8</v>
      </c>
      <c r="AT455" s="27" t="s">
        <v>7</v>
      </c>
      <c r="AU455" s="27" t="s">
        <v>8</v>
      </c>
      <c r="AZ455" s="27" t="s">
        <v>7</v>
      </c>
      <c r="BA455" s="27" t="s">
        <v>8</v>
      </c>
      <c r="BB455" s="27" t="s">
        <v>7</v>
      </c>
      <c r="BD455" s="27" t="s">
        <v>7</v>
      </c>
      <c r="BE455" s="27" t="s">
        <v>8</v>
      </c>
      <c r="BF455" s="27" t="s">
        <v>7</v>
      </c>
      <c r="BG455" s="27" t="s">
        <v>8</v>
      </c>
      <c r="BH455" s="27" t="s">
        <v>7</v>
      </c>
      <c r="BI455" s="27" t="s">
        <v>8</v>
      </c>
      <c r="BJ455" s="27" t="s">
        <v>7</v>
      </c>
      <c r="BK455" s="27" t="s">
        <v>8</v>
      </c>
      <c r="BM455" s="27" t="s">
        <v>8</v>
      </c>
      <c r="BP455" s="27" t="s">
        <v>7</v>
      </c>
      <c r="BQ455" s="27" t="s">
        <v>8</v>
      </c>
      <c r="BR455" s="27" t="s">
        <v>7</v>
      </c>
      <c r="EZ455" s="27" t="s">
        <v>7</v>
      </c>
      <c r="FA455" s="27" t="s">
        <v>8</v>
      </c>
      <c r="FB455" s="27" t="s">
        <v>7</v>
      </c>
      <c r="FC455" s="27" t="s">
        <v>8</v>
      </c>
      <c r="FD455" s="27" t="s">
        <v>7</v>
      </c>
      <c r="FF455" s="27" t="s">
        <v>7</v>
      </c>
      <c r="FG455" s="27" t="s">
        <v>8</v>
      </c>
      <c r="FH455" s="27" t="s">
        <v>7</v>
      </c>
      <c r="FL455" s="27" t="s">
        <v>7</v>
      </c>
      <c r="FM455" s="27" t="s">
        <v>8</v>
      </c>
      <c r="IR455" s="27" t="s">
        <v>7</v>
      </c>
      <c r="IT455" s="27" t="s">
        <v>7</v>
      </c>
      <c r="JD455" s="27" t="s">
        <v>7</v>
      </c>
      <c r="JG455" s="27" t="s">
        <v>8</v>
      </c>
      <c r="JH455" s="27" t="s">
        <v>7</v>
      </c>
    </row>
    <row r="456" spans="1:270" x14ac:dyDescent="0.25">
      <c r="A456" s="7">
        <v>13.385127142406303</v>
      </c>
      <c r="B456"/>
      <c r="C456"/>
      <c r="D456"/>
      <c r="E456" t="s">
        <v>8</v>
      </c>
      <c r="V456" s="27" t="s">
        <v>7</v>
      </c>
      <c r="AE456" s="27" t="s">
        <v>8</v>
      </c>
      <c r="AF456" s="27" t="s">
        <v>7</v>
      </c>
      <c r="AQ456" s="27" t="s">
        <v>8</v>
      </c>
      <c r="AT456" s="27" t="s">
        <v>7</v>
      </c>
      <c r="AU456" s="27" t="s">
        <v>8</v>
      </c>
      <c r="AZ456" s="27" t="s">
        <v>7</v>
      </c>
      <c r="BD456" s="27" t="s">
        <v>7</v>
      </c>
      <c r="BE456" s="27" t="s">
        <v>8</v>
      </c>
      <c r="BF456" s="27" t="s">
        <v>7</v>
      </c>
      <c r="BG456" s="27" t="s">
        <v>8</v>
      </c>
      <c r="BH456" s="27" t="s">
        <v>7</v>
      </c>
      <c r="BI456" s="27" t="s">
        <v>8</v>
      </c>
      <c r="BJ456" s="27" t="s">
        <v>7</v>
      </c>
      <c r="BK456" s="27" t="s">
        <v>8</v>
      </c>
      <c r="BL456" s="27" t="s">
        <v>7</v>
      </c>
      <c r="BM456" s="27" t="s">
        <v>8</v>
      </c>
      <c r="BP456" s="27" t="s">
        <v>7</v>
      </c>
      <c r="BQ456" s="27" t="s">
        <v>8</v>
      </c>
      <c r="EZ456" s="27" t="s">
        <v>7</v>
      </c>
      <c r="FA456" s="27" t="s">
        <v>8</v>
      </c>
      <c r="FB456" s="27" t="s">
        <v>7</v>
      </c>
      <c r="FC456" s="27" t="s">
        <v>8</v>
      </c>
      <c r="FF456" s="27" t="s">
        <v>7</v>
      </c>
      <c r="FG456" s="27" t="s">
        <v>8</v>
      </c>
      <c r="FL456" s="27" t="s">
        <v>7</v>
      </c>
      <c r="FM456" s="27" t="s">
        <v>8</v>
      </c>
      <c r="JD456" s="27" t="s">
        <v>7</v>
      </c>
      <c r="JE456" s="27" t="s">
        <v>8</v>
      </c>
      <c r="JG456" s="27" t="s">
        <v>8</v>
      </c>
      <c r="JH456" s="27" t="s">
        <v>7</v>
      </c>
    </row>
    <row r="457" spans="1:270" x14ac:dyDescent="0.25">
      <c r="A457" s="7">
        <v>13.122673669025787</v>
      </c>
      <c r="B457"/>
      <c r="C457"/>
      <c r="D457"/>
      <c r="E457" t="s">
        <v>8</v>
      </c>
      <c r="V457" s="27" t="s">
        <v>7</v>
      </c>
      <c r="AE457" s="27" t="s">
        <v>8</v>
      </c>
      <c r="AF457" s="27" t="s">
        <v>7</v>
      </c>
      <c r="AG457" s="27" t="s">
        <v>8</v>
      </c>
      <c r="AQ457" s="27" t="s">
        <v>8</v>
      </c>
      <c r="AT457" s="27" t="s">
        <v>7</v>
      </c>
      <c r="BD457" s="27" t="s">
        <v>7</v>
      </c>
      <c r="BE457" s="27" t="s">
        <v>8</v>
      </c>
      <c r="BF457" s="27" t="s">
        <v>7</v>
      </c>
      <c r="BG457" s="27" t="s">
        <v>8</v>
      </c>
      <c r="BH457" s="27" t="s">
        <v>7</v>
      </c>
      <c r="BJ457" s="27" t="s">
        <v>7</v>
      </c>
      <c r="BK457" s="27" t="s">
        <v>8</v>
      </c>
      <c r="BL457" s="27" t="s">
        <v>7</v>
      </c>
      <c r="BM457" s="27" t="s">
        <v>8</v>
      </c>
      <c r="BP457" s="27" t="s">
        <v>7</v>
      </c>
      <c r="EZ457" s="27" t="s">
        <v>7</v>
      </c>
      <c r="FA457" s="27" t="s">
        <v>8</v>
      </c>
      <c r="FB457" s="27" t="s">
        <v>7</v>
      </c>
      <c r="FC457" s="27" t="s">
        <v>8</v>
      </c>
      <c r="FF457" s="27" t="s">
        <v>7</v>
      </c>
      <c r="FL457" s="27" t="s">
        <v>7</v>
      </c>
      <c r="JD457" s="27" t="s">
        <v>7</v>
      </c>
      <c r="JE457" s="27" t="s">
        <v>8</v>
      </c>
      <c r="JF457" s="27" t="s">
        <v>7</v>
      </c>
      <c r="JG457" s="27" t="s">
        <v>8</v>
      </c>
      <c r="JH457" s="27" t="s">
        <v>7</v>
      </c>
    </row>
    <row r="458" spans="1:270" x14ac:dyDescent="0.25">
      <c r="A458" s="7">
        <v>12.865366342182144</v>
      </c>
      <c r="B458"/>
      <c r="C458"/>
      <c r="D458"/>
      <c r="E458" t="s">
        <v>8</v>
      </c>
      <c r="V458" s="27" t="s">
        <v>7</v>
      </c>
      <c r="AE458" s="27" t="s">
        <v>8</v>
      </c>
      <c r="AF458" s="27" t="s">
        <v>7</v>
      </c>
      <c r="AG458" s="27" t="s">
        <v>8</v>
      </c>
      <c r="AH458" s="27" t="s">
        <v>7</v>
      </c>
      <c r="AQ458" s="27" t="s">
        <v>8</v>
      </c>
      <c r="BD458" s="27" t="s">
        <v>7</v>
      </c>
      <c r="BE458" s="27" t="s">
        <v>8</v>
      </c>
      <c r="BF458" s="27" t="s">
        <v>7</v>
      </c>
      <c r="BG458" s="27" t="s">
        <v>8</v>
      </c>
      <c r="BJ458" s="27" t="s">
        <v>7</v>
      </c>
      <c r="BK458" s="27" t="s">
        <v>8</v>
      </c>
      <c r="BL458" s="27" t="s">
        <v>7</v>
      </c>
      <c r="BM458" s="27" t="s">
        <v>8</v>
      </c>
      <c r="EZ458" s="27" t="s">
        <v>7</v>
      </c>
      <c r="FA458" s="27" t="s">
        <v>8</v>
      </c>
      <c r="FB458" s="27" t="s">
        <v>7</v>
      </c>
      <c r="FC458" s="27" t="s">
        <v>8</v>
      </c>
      <c r="JD458" s="27" t="s">
        <v>7</v>
      </c>
      <c r="JE458" s="27" t="s">
        <v>8</v>
      </c>
      <c r="JF458" s="27" t="s">
        <v>7</v>
      </c>
      <c r="JG458" s="27" t="s">
        <v>8</v>
      </c>
      <c r="JH458" s="27" t="s">
        <v>7</v>
      </c>
    </row>
    <row r="459" spans="1:270" x14ac:dyDescent="0.25">
      <c r="A459" s="7">
        <v>12.613104257041318</v>
      </c>
      <c r="B459"/>
      <c r="C459"/>
      <c r="D459"/>
      <c r="E459" t="s">
        <v>8</v>
      </c>
      <c r="V459" s="27" t="s">
        <v>7</v>
      </c>
      <c r="AE459" s="27" t="s">
        <v>8</v>
      </c>
      <c r="AF459" s="27" t="s">
        <v>7</v>
      </c>
      <c r="AG459" s="27" t="s">
        <v>8</v>
      </c>
      <c r="AH459" s="27" t="s">
        <v>7</v>
      </c>
      <c r="AI459" s="27" t="s">
        <v>8</v>
      </c>
      <c r="AQ459" s="27" t="s">
        <v>8</v>
      </c>
      <c r="BD459" s="27" t="s">
        <v>7</v>
      </c>
      <c r="BF459" s="27" t="s">
        <v>7</v>
      </c>
      <c r="BG459" s="27" t="s">
        <v>8</v>
      </c>
      <c r="BJ459" s="27" t="s">
        <v>7</v>
      </c>
      <c r="BK459" s="27" t="s">
        <v>8</v>
      </c>
      <c r="BL459" s="27" t="s">
        <v>7</v>
      </c>
      <c r="BM459" s="27" t="s">
        <v>8</v>
      </c>
      <c r="EZ459" s="27" t="s">
        <v>7</v>
      </c>
      <c r="FA459" s="27" t="s">
        <v>8</v>
      </c>
      <c r="FB459" s="27" t="s">
        <v>7</v>
      </c>
      <c r="FC459" s="27" t="s">
        <v>8</v>
      </c>
      <c r="JD459" s="27" t="s">
        <v>7</v>
      </c>
      <c r="JE459" s="27" t="s">
        <v>8</v>
      </c>
      <c r="JF459" s="27" t="s">
        <v>7</v>
      </c>
      <c r="JH459" s="27" t="s">
        <v>7</v>
      </c>
      <c r="JI459" s="27" t="s">
        <v>8</v>
      </c>
    </row>
    <row r="460" spans="1:270" x14ac:dyDescent="0.25">
      <c r="A460" s="7">
        <v>12.36578848729541</v>
      </c>
      <c r="B460"/>
      <c r="C460"/>
      <c r="D460"/>
      <c r="E460" t="s">
        <v>8</v>
      </c>
      <c r="V460" s="27" t="s">
        <v>7</v>
      </c>
      <c r="AE460" s="27" t="s">
        <v>8</v>
      </c>
      <c r="AF460" s="27" t="s">
        <v>7</v>
      </c>
      <c r="AG460" s="27" t="s">
        <v>8</v>
      </c>
      <c r="AH460" s="27" t="s">
        <v>7</v>
      </c>
      <c r="AI460" s="27" t="s">
        <v>8</v>
      </c>
      <c r="AJ460" s="27" t="s">
        <v>7</v>
      </c>
      <c r="AK460" s="27" t="s">
        <v>8</v>
      </c>
      <c r="AQ460" s="27" t="s">
        <v>8</v>
      </c>
      <c r="BF460" s="27" t="s">
        <v>7</v>
      </c>
      <c r="BG460" s="27" t="s">
        <v>8</v>
      </c>
      <c r="BJ460" s="27" t="s">
        <v>7</v>
      </c>
      <c r="BK460" s="27" t="s">
        <v>8</v>
      </c>
      <c r="BL460" s="27" t="s">
        <v>7</v>
      </c>
      <c r="BM460" s="27" t="s">
        <v>8</v>
      </c>
      <c r="EZ460" s="27" t="s">
        <v>7</v>
      </c>
      <c r="FA460" s="27" t="s">
        <v>8</v>
      </c>
      <c r="FB460" s="27" t="s">
        <v>7</v>
      </c>
      <c r="FC460" s="27" t="s">
        <v>8</v>
      </c>
      <c r="JD460" s="27" t="s">
        <v>7</v>
      </c>
      <c r="JE460" s="27" t="s">
        <v>8</v>
      </c>
      <c r="JH460" s="27" t="s">
        <v>7</v>
      </c>
      <c r="JI460" s="27" t="s">
        <v>8</v>
      </c>
      <c r="JJ460" s="27" t="s">
        <v>7</v>
      </c>
    </row>
    <row r="461" spans="1:270" x14ac:dyDescent="0.25">
      <c r="A461" s="7">
        <v>12.123322046368049</v>
      </c>
      <c r="B461"/>
      <c r="C461"/>
      <c r="D461"/>
      <c r="E461" t="s">
        <v>8</v>
      </c>
      <c r="V461" s="27" t="s">
        <v>7</v>
      </c>
      <c r="AE461" s="27" t="s">
        <v>8</v>
      </c>
      <c r="AF461" s="27" t="s">
        <v>7</v>
      </c>
      <c r="AG461" s="27" t="s">
        <v>8</v>
      </c>
      <c r="AH461" s="27" t="s">
        <v>7</v>
      </c>
      <c r="AI461" s="27" t="s">
        <v>8</v>
      </c>
      <c r="AJ461" s="27" t="s">
        <v>7</v>
      </c>
      <c r="AK461" s="27" t="s">
        <v>8</v>
      </c>
      <c r="AL461" s="27" t="s">
        <v>7</v>
      </c>
      <c r="AQ461" s="27" t="s">
        <v>8</v>
      </c>
      <c r="BF461" s="27" t="s">
        <v>7</v>
      </c>
      <c r="BJ461" s="27" t="s">
        <v>7</v>
      </c>
      <c r="BK461" s="27" t="s">
        <v>8</v>
      </c>
      <c r="BL461" s="27" t="s">
        <v>7</v>
      </c>
      <c r="BM461" s="27" t="s">
        <v>8</v>
      </c>
      <c r="EZ461" s="27" t="s">
        <v>7</v>
      </c>
      <c r="FA461" s="27" t="s">
        <v>8</v>
      </c>
      <c r="FB461" s="27" t="s">
        <v>7</v>
      </c>
      <c r="JD461" s="27" t="s">
        <v>7</v>
      </c>
      <c r="JE461" s="27" t="s">
        <v>8</v>
      </c>
      <c r="JH461" s="27" t="s">
        <v>7</v>
      </c>
      <c r="JI461" s="27" t="s">
        <v>8</v>
      </c>
      <c r="JJ461" s="27" t="s">
        <v>7</v>
      </c>
    </row>
    <row r="462" spans="1:270" x14ac:dyDescent="0.25">
      <c r="A462" s="7">
        <v>11.88560984938044</v>
      </c>
      <c r="B462"/>
      <c r="C462"/>
      <c r="D462"/>
      <c r="E462" t="s">
        <v>8</v>
      </c>
      <c r="V462" s="27" t="s">
        <v>7</v>
      </c>
      <c r="AE462" s="27" t="s">
        <v>8</v>
      </c>
      <c r="AF462" s="27" t="s">
        <v>7</v>
      </c>
      <c r="AG462" s="27" t="s">
        <v>8</v>
      </c>
      <c r="AH462" s="27" t="s">
        <v>7</v>
      </c>
      <c r="AI462" s="27" t="s">
        <v>8</v>
      </c>
      <c r="AJ462" s="27" t="s">
        <v>7</v>
      </c>
      <c r="AK462" s="27" t="s">
        <v>8</v>
      </c>
      <c r="AL462" s="27" t="s">
        <v>7</v>
      </c>
      <c r="AQ462" s="27" t="s">
        <v>8</v>
      </c>
      <c r="BJ462" s="27" t="s">
        <v>7</v>
      </c>
      <c r="BK462" s="27" t="s">
        <v>8</v>
      </c>
      <c r="BL462" s="27" t="s">
        <v>7</v>
      </c>
      <c r="BM462" s="27" t="s">
        <v>8</v>
      </c>
      <c r="EZ462" s="27" t="s">
        <v>7</v>
      </c>
      <c r="FA462" s="27" t="s">
        <v>8</v>
      </c>
      <c r="JD462" s="27" t="s">
        <v>7</v>
      </c>
      <c r="JH462" s="27" t="s">
        <v>7</v>
      </c>
      <c r="JJ462" s="27" t="s">
        <v>7</v>
      </c>
    </row>
    <row r="463" spans="1:270" x14ac:dyDescent="0.25">
      <c r="A463" s="7">
        <v>11.652558675863176</v>
      </c>
      <c r="B463"/>
      <c r="C463"/>
      <c r="D463"/>
      <c r="E463" t="s">
        <v>8</v>
      </c>
      <c r="V463" s="27" t="s">
        <v>7</v>
      </c>
      <c r="AE463" s="27" t="s">
        <v>8</v>
      </c>
      <c r="AF463" s="27" t="s">
        <v>7</v>
      </c>
      <c r="AG463" s="27" t="s">
        <v>8</v>
      </c>
      <c r="AH463" s="27" t="s">
        <v>7</v>
      </c>
      <c r="AJ463" s="27" t="s">
        <v>7</v>
      </c>
      <c r="AK463" s="27" t="s">
        <v>8</v>
      </c>
      <c r="AL463" s="27" t="s">
        <v>7</v>
      </c>
      <c r="AO463" s="27" t="s">
        <v>8</v>
      </c>
      <c r="AQ463" s="27" t="s">
        <v>8</v>
      </c>
      <c r="BJ463" s="27" t="s">
        <v>7</v>
      </c>
      <c r="BK463" s="27" t="s">
        <v>8</v>
      </c>
      <c r="BL463" s="27" t="s">
        <v>7</v>
      </c>
      <c r="EZ463" s="27" t="s">
        <v>7</v>
      </c>
      <c r="JJ463" s="27" t="s">
        <v>7</v>
      </c>
    </row>
    <row r="464" spans="1:270" x14ac:dyDescent="0.25">
      <c r="A464" s="7">
        <v>11.424077133199193</v>
      </c>
      <c r="B464"/>
      <c r="C464"/>
      <c r="D464"/>
      <c r="E464" t="s">
        <v>8</v>
      </c>
      <c r="V464" s="27" t="s">
        <v>7</v>
      </c>
      <c r="AC464" s="27" t="s">
        <v>8</v>
      </c>
      <c r="AE464" s="27" t="s">
        <v>8</v>
      </c>
      <c r="AF464" s="27" t="s">
        <v>7</v>
      </c>
      <c r="AG464" s="27" t="s">
        <v>8</v>
      </c>
      <c r="AJ464" s="27" t="s">
        <v>7</v>
      </c>
      <c r="AK464" s="27" t="s">
        <v>8</v>
      </c>
      <c r="AL464" s="27" t="s">
        <v>7</v>
      </c>
      <c r="AO464" s="27" t="s">
        <v>8</v>
      </c>
      <c r="AP464" s="27" t="s">
        <v>7</v>
      </c>
      <c r="AQ464" s="27" t="s">
        <v>8</v>
      </c>
      <c r="BJ464" s="27" t="s">
        <v>7</v>
      </c>
      <c r="JJ464" s="27" t="s">
        <v>7</v>
      </c>
    </row>
    <row r="465" spans="1:274" x14ac:dyDescent="0.25">
      <c r="A465" s="7">
        <v>11.200075620783522</v>
      </c>
      <c r="B465"/>
      <c r="C465"/>
      <c r="D465"/>
      <c r="E465" t="s">
        <v>8</v>
      </c>
      <c r="V465" s="27" t="s">
        <v>7</v>
      </c>
      <c r="AC465" s="27" t="s">
        <v>8</v>
      </c>
      <c r="AD465" s="27" t="s">
        <v>7</v>
      </c>
      <c r="AE465" s="27" t="s">
        <v>8</v>
      </c>
      <c r="AF465" s="27" t="s">
        <v>7</v>
      </c>
      <c r="AG465" s="27" t="s">
        <v>8</v>
      </c>
      <c r="AJ465" s="27" t="s">
        <v>7</v>
      </c>
      <c r="AK465" s="27" t="s">
        <v>8</v>
      </c>
      <c r="AL465" s="27" t="s">
        <v>7</v>
      </c>
      <c r="AO465" s="27" t="s">
        <v>8</v>
      </c>
      <c r="AP465" s="27" t="s">
        <v>7</v>
      </c>
      <c r="AQ465" s="27" t="s">
        <v>8</v>
      </c>
      <c r="JJ465" s="27" t="s">
        <v>7</v>
      </c>
    </row>
    <row r="466" spans="1:274" x14ac:dyDescent="0.25">
      <c r="A466" s="7">
        <v>10.980466294885806</v>
      </c>
      <c r="B466"/>
      <c r="C466"/>
      <c r="D466"/>
      <c r="E466" t="s">
        <v>8</v>
      </c>
      <c r="V466" s="27" t="s">
        <v>7</v>
      </c>
      <c r="AC466" s="27" t="s">
        <v>8</v>
      </c>
      <c r="AD466" s="27" t="s">
        <v>7</v>
      </c>
      <c r="AE466" s="27" t="s">
        <v>8</v>
      </c>
      <c r="AF466" s="27" t="s">
        <v>7</v>
      </c>
      <c r="AG466" s="27" t="s">
        <v>8</v>
      </c>
      <c r="AJ466" s="27" t="s">
        <v>7</v>
      </c>
      <c r="AK466" s="27" t="s">
        <v>8</v>
      </c>
      <c r="AL466" s="27" t="s">
        <v>7</v>
      </c>
      <c r="AO466" s="27" t="s">
        <v>8</v>
      </c>
      <c r="AP466" s="27" t="s">
        <v>7</v>
      </c>
      <c r="AQ466" s="27" t="s">
        <v>8</v>
      </c>
      <c r="JJ466" s="27" t="s">
        <v>7</v>
      </c>
    </row>
    <row r="467" spans="1:274" x14ac:dyDescent="0.25">
      <c r="A467" s="7">
        <v>10.765163034201771</v>
      </c>
      <c r="B467"/>
      <c r="C467"/>
      <c r="D467"/>
      <c r="E467" t="s">
        <v>8</v>
      </c>
      <c r="V467" s="27" t="s">
        <v>7</v>
      </c>
      <c r="Y467" s="27" t="s">
        <v>8</v>
      </c>
      <c r="AC467" s="27" t="s">
        <v>8</v>
      </c>
      <c r="AD467" s="27" t="s">
        <v>7</v>
      </c>
      <c r="AE467" s="27" t="s">
        <v>8</v>
      </c>
      <c r="AF467" s="27" t="s">
        <v>7</v>
      </c>
      <c r="AG467" s="27" t="s">
        <v>8</v>
      </c>
      <c r="AJ467" s="27" t="s">
        <v>7</v>
      </c>
      <c r="AK467" s="27" t="s">
        <v>8</v>
      </c>
      <c r="AL467" s="27" t="s">
        <v>7</v>
      </c>
      <c r="AO467" s="27" t="s">
        <v>8</v>
      </c>
      <c r="AP467" s="27" t="s">
        <v>7</v>
      </c>
      <c r="AQ467" s="27" t="s">
        <v>8</v>
      </c>
      <c r="JJ467" s="27" t="s">
        <v>7</v>
      </c>
    </row>
    <row r="468" spans="1:274" x14ac:dyDescent="0.25">
      <c r="A468" s="7">
        <v>10.554081406080169</v>
      </c>
      <c r="B468"/>
      <c r="C468"/>
      <c r="D468"/>
      <c r="E468" t="s">
        <v>8</v>
      </c>
      <c r="V468" s="27" t="s">
        <v>7</v>
      </c>
      <c r="W468" s="27" t="s">
        <v>8</v>
      </c>
      <c r="Y468" s="27" t="s">
        <v>8</v>
      </c>
      <c r="Z468" s="27" t="s">
        <v>7</v>
      </c>
      <c r="AC468" s="27" t="s">
        <v>8</v>
      </c>
      <c r="AD468" s="27" t="s">
        <v>7</v>
      </c>
      <c r="AE468" s="27" t="s">
        <v>8</v>
      </c>
      <c r="AF468" s="27" t="s">
        <v>7</v>
      </c>
      <c r="AJ468" s="27" t="s">
        <v>7</v>
      </c>
      <c r="AL468" s="27" t="s">
        <v>7</v>
      </c>
      <c r="AM468" s="27" t="s">
        <v>8</v>
      </c>
      <c r="AO468" s="27" t="s">
        <v>8</v>
      </c>
      <c r="AP468" s="27" t="s">
        <v>7</v>
      </c>
      <c r="AQ468" s="27" t="s">
        <v>8</v>
      </c>
      <c r="JJ468" s="27" t="s">
        <v>7</v>
      </c>
    </row>
    <row r="469" spans="1:274" x14ac:dyDescent="0.25">
      <c r="A469" s="7">
        <v>10.34713863341193</v>
      </c>
      <c r="B469"/>
      <c r="C469"/>
      <c r="D469"/>
      <c r="E469" t="s">
        <v>8</v>
      </c>
      <c r="V469" s="27" t="s">
        <v>7</v>
      </c>
      <c r="W469" s="27" t="s">
        <v>8</v>
      </c>
      <c r="X469" s="27" t="s">
        <v>7</v>
      </c>
      <c r="Y469" s="27" t="s">
        <v>8</v>
      </c>
      <c r="Z469" s="27" t="s">
        <v>7</v>
      </c>
      <c r="AC469" s="27" t="s">
        <v>8</v>
      </c>
      <c r="AD469" s="27" t="s">
        <v>7</v>
      </c>
      <c r="AE469" s="27" t="s">
        <v>8</v>
      </c>
      <c r="AL469" s="27" t="s">
        <v>7</v>
      </c>
      <c r="AM469" s="27" t="s">
        <v>8</v>
      </c>
      <c r="AN469" s="27" t="s">
        <v>7</v>
      </c>
      <c r="AO469" s="27" t="s">
        <v>8</v>
      </c>
      <c r="AP469" s="27" t="s">
        <v>7</v>
      </c>
      <c r="AQ469" s="27" t="s">
        <v>8</v>
      </c>
      <c r="JJ469" s="27" t="s">
        <v>7</v>
      </c>
    </row>
    <row r="470" spans="1:274" x14ac:dyDescent="0.25">
      <c r="A470" s="7">
        <v>10.14425356216856</v>
      </c>
      <c r="B470"/>
      <c r="C470"/>
      <c r="D470"/>
      <c r="E470" t="s">
        <v>8</v>
      </c>
      <c r="V470" s="27" t="s">
        <v>7</v>
      </c>
      <c r="W470" s="27" t="s">
        <v>8</v>
      </c>
      <c r="X470" s="27" t="s">
        <v>7</v>
      </c>
      <c r="Y470" s="27" t="s">
        <v>8</v>
      </c>
      <c r="Z470" s="27" t="s">
        <v>7</v>
      </c>
      <c r="AC470" s="27" t="s">
        <v>8</v>
      </c>
      <c r="AD470" s="27" t="s">
        <v>7</v>
      </c>
      <c r="AE470" s="27" t="s">
        <v>8</v>
      </c>
      <c r="AL470" s="27" t="s">
        <v>7</v>
      </c>
      <c r="AM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  <c r="JJ470" s="27" t="s">
        <v>7</v>
      </c>
    </row>
    <row r="471" spans="1:274" x14ac:dyDescent="0.25">
      <c r="A471" s="7">
        <v>9.9453466295770188</v>
      </c>
      <c r="B471"/>
      <c r="C471"/>
      <c r="D471"/>
      <c r="E471" t="s">
        <v>8</v>
      </c>
      <c r="V471" s="27" t="s">
        <v>7</v>
      </c>
      <c r="W471" s="27" t="s">
        <v>8</v>
      </c>
      <c r="X471" s="27" t="s">
        <v>7</v>
      </c>
      <c r="Y471" s="27" t="s">
        <v>8</v>
      </c>
      <c r="Z471" s="27" t="s">
        <v>7</v>
      </c>
      <c r="AC471" s="27" t="s">
        <v>8</v>
      </c>
      <c r="AD471" s="27" t="s">
        <v>7</v>
      </c>
      <c r="AE471" s="27" t="s">
        <v>8</v>
      </c>
      <c r="AL471" s="27" t="s">
        <v>7</v>
      </c>
      <c r="AM471" s="27" t="s">
        <v>8</v>
      </c>
      <c r="AN471" s="27" t="s">
        <v>7</v>
      </c>
      <c r="AO471" s="27" t="s">
        <v>8</v>
      </c>
      <c r="AP471" s="27" t="s">
        <v>7</v>
      </c>
      <c r="AQ471" s="27" t="s">
        <v>8</v>
      </c>
      <c r="JJ471" s="27" t="s">
        <v>7</v>
      </c>
      <c r="JM471" s="27" t="s">
        <v>8</v>
      </c>
    </row>
    <row r="472" spans="1:274" x14ac:dyDescent="0.25">
      <c r="A472" s="7">
        <v>9.7503398329186464</v>
      </c>
      <c r="B472"/>
      <c r="C472"/>
      <c r="D472"/>
      <c r="E472" t="s">
        <v>8</v>
      </c>
      <c r="V472" s="27" t="s">
        <v>7</v>
      </c>
      <c r="W472" s="27" t="s">
        <v>8</v>
      </c>
      <c r="X472" s="27" t="s">
        <v>7</v>
      </c>
      <c r="Y472" s="27" t="s">
        <v>8</v>
      </c>
      <c r="Z472" s="27" t="s">
        <v>7</v>
      </c>
      <c r="AC472" s="27" t="s">
        <v>8</v>
      </c>
      <c r="AD472" s="27" t="s">
        <v>7</v>
      </c>
      <c r="AE472" s="27" t="s">
        <v>8</v>
      </c>
      <c r="AL472" s="27" t="s">
        <v>7</v>
      </c>
      <c r="AM472" s="27" t="s">
        <v>8</v>
      </c>
      <c r="AN472" s="27" t="s">
        <v>7</v>
      </c>
      <c r="AO472" s="27" t="s">
        <v>8</v>
      </c>
      <c r="AP472" s="27" t="s">
        <v>7</v>
      </c>
      <c r="JJ472" s="27" t="s">
        <v>7</v>
      </c>
      <c r="JM472" s="27" t="s">
        <v>8</v>
      </c>
      <c r="JN472" s="27" t="s">
        <v>7</v>
      </c>
    </row>
    <row r="473" spans="1:274" x14ac:dyDescent="0.25">
      <c r="A473" s="7">
        <v>9.5591566989398498</v>
      </c>
      <c r="B473"/>
      <c r="C473"/>
      <c r="D473"/>
      <c r="E473" t="s">
        <v>8</v>
      </c>
      <c r="V473" s="27" t="s">
        <v>7</v>
      </c>
      <c r="W473" s="27" t="s">
        <v>8</v>
      </c>
      <c r="X473" s="27" t="s">
        <v>7</v>
      </c>
      <c r="Y473" s="27" t="s">
        <v>8</v>
      </c>
      <c r="Z473" s="27" t="s">
        <v>7</v>
      </c>
      <c r="AC473" s="27" t="s">
        <v>8</v>
      </c>
      <c r="AD473" s="27" t="s">
        <v>7</v>
      </c>
      <c r="AE473" s="27" t="s">
        <v>8</v>
      </c>
      <c r="AL473" s="27" t="s">
        <v>7</v>
      </c>
      <c r="AM473" s="27" t="s">
        <v>8</v>
      </c>
      <c r="AN473" s="27" t="s">
        <v>7</v>
      </c>
      <c r="JJ473" s="27" t="s">
        <v>7</v>
      </c>
      <c r="JK473" s="27" t="s">
        <v>8</v>
      </c>
      <c r="JM473" s="27" t="s">
        <v>8</v>
      </c>
      <c r="JN473" s="27" t="s">
        <v>7</v>
      </c>
    </row>
    <row r="474" spans="1:274" x14ac:dyDescent="0.25">
      <c r="A474" s="7">
        <v>9.3717222538625968</v>
      </c>
      <c r="B474"/>
      <c r="C474"/>
      <c r="D474"/>
      <c r="E474" t="s">
        <v>8</v>
      </c>
      <c r="V474" s="27" t="s">
        <v>7</v>
      </c>
      <c r="W474" s="27" t="s">
        <v>8</v>
      </c>
      <c r="X474" s="27" t="s">
        <v>7</v>
      </c>
      <c r="Y474" s="27" t="s">
        <v>8</v>
      </c>
      <c r="Z474" s="27" t="s">
        <v>7</v>
      </c>
      <c r="AA474" s="27" t="s">
        <v>8</v>
      </c>
      <c r="AC474" s="27" t="s">
        <v>8</v>
      </c>
      <c r="AD474" s="27" t="s">
        <v>7</v>
      </c>
      <c r="AE474" s="27" t="s">
        <v>8</v>
      </c>
      <c r="AL474" s="27" t="s">
        <v>7</v>
      </c>
      <c r="AM474" s="27" t="s">
        <v>8</v>
      </c>
      <c r="JJ474" s="27" t="s">
        <v>7</v>
      </c>
      <c r="JK474" s="27" t="s">
        <v>8</v>
      </c>
      <c r="JL474" s="27" t="s">
        <v>7</v>
      </c>
      <c r="JM474" s="27" t="s">
        <v>8</v>
      </c>
      <c r="JN474" s="27" t="s">
        <v>7</v>
      </c>
    </row>
    <row r="475" spans="1:274" x14ac:dyDescent="0.25">
      <c r="A475" s="7">
        <v>9.1879629939829375</v>
      </c>
      <c r="B475"/>
      <c r="C475"/>
      <c r="D475"/>
      <c r="E475" t="s">
        <v>8</v>
      </c>
      <c r="V475" s="27" t="s">
        <v>7</v>
      </c>
      <c r="X475" s="27" t="s">
        <v>7</v>
      </c>
      <c r="Y475" s="27" t="s">
        <v>8</v>
      </c>
      <c r="Z475" s="27" t="s">
        <v>7</v>
      </c>
      <c r="AA475" s="27" t="s">
        <v>8</v>
      </c>
      <c r="AB475" s="27" t="s">
        <v>7</v>
      </c>
      <c r="AC475" s="27" t="s">
        <v>8</v>
      </c>
      <c r="AD475" s="27" t="s">
        <v>7</v>
      </c>
      <c r="AE475" s="27" t="s">
        <v>8</v>
      </c>
      <c r="AL475" s="27" t="s">
        <v>7</v>
      </c>
      <c r="AM475" s="27" t="s">
        <v>8</v>
      </c>
      <c r="JJ475" s="27" t="s">
        <v>7</v>
      </c>
      <c r="JK475" s="27" t="s">
        <v>8</v>
      </c>
      <c r="JL475" s="27" t="s">
        <v>7</v>
      </c>
      <c r="JM475" s="27" t="s">
        <v>8</v>
      </c>
      <c r="JN475" s="27" t="s">
        <v>7</v>
      </c>
    </row>
    <row r="476" spans="1:274" x14ac:dyDescent="0.25">
      <c r="A476" s="7">
        <v>9.0078068568460168</v>
      </c>
      <c r="B476"/>
      <c r="C476"/>
      <c r="D476"/>
      <c r="E476" t="s">
        <v>8</v>
      </c>
      <c r="X476" s="27" t="s">
        <v>7</v>
      </c>
      <c r="Y476" s="27" t="s">
        <v>8</v>
      </c>
      <c r="Z476" s="27" t="s">
        <v>7</v>
      </c>
      <c r="AA476" s="27" t="s">
        <v>8</v>
      </c>
      <c r="AB476" s="27" t="s">
        <v>7</v>
      </c>
      <c r="AC476" s="27" t="s">
        <v>8</v>
      </c>
      <c r="AD476" s="27" t="s">
        <v>7</v>
      </c>
      <c r="AE476" s="27" t="s">
        <v>8</v>
      </c>
      <c r="AL476" s="27" t="s">
        <v>7</v>
      </c>
      <c r="AM476" s="27" t="s">
        <v>8</v>
      </c>
      <c r="JJ476" s="27" t="s">
        <v>7</v>
      </c>
      <c r="JK476" s="27" t="s">
        <v>8</v>
      </c>
      <c r="JL476" s="27" t="s">
        <v>7</v>
      </c>
      <c r="JM476" s="27" t="s">
        <v>8</v>
      </c>
      <c r="JN476" s="27" t="s">
        <v>7</v>
      </c>
    </row>
    <row r="477" spans="1:274" x14ac:dyDescent="0.25">
      <c r="A477" s="7">
        <v>8.8311831929862912</v>
      </c>
      <c r="B477"/>
      <c r="C477"/>
      <c r="D477"/>
      <c r="E477" t="s">
        <v>8</v>
      </c>
      <c r="X477" s="27" t="s">
        <v>7</v>
      </c>
      <c r="Y477" s="27" t="s">
        <v>8</v>
      </c>
      <c r="Z477" s="27" t="s">
        <v>7</v>
      </c>
      <c r="AA477" s="27" t="s">
        <v>8</v>
      </c>
      <c r="AB477" s="27" t="s">
        <v>7</v>
      </c>
      <c r="AC477" s="27" t="s">
        <v>8</v>
      </c>
      <c r="AD477" s="27" t="s">
        <v>7</v>
      </c>
      <c r="AE477" s="27" t="s">
        <v>8</v>
      </c>
      <c r="AL477" s="27" t="s">
        <v>7</v>
      </c>
      <c r="AM477" s="27" t="s">
        <v>8</v>
      </c>
      <c r="JJ477" s="27" t="s">
        <v>7</v>
      </c>
      <c r="JK477" s="27" t="s">
        <v>8</v>
      </c>
      <c r="JL477" s="27" t="s">
        <v>7</v>
      </c>
      <c r="JM477" s="27" t="s">
        <v>8</v>
      </c>
      <c r="JN477" s="27" t="s">
        <v>7</v>
      </c>
    </row>
    <row r="478" spans="1:274" x14ac:dyDescent="0.25">
      <c r="A478" s="7">
        <v>8.6580227382218542</v>
      </c>
      <c r="B478"/>
      <c r="C478"/>
      <c r="D478"/>
      <c r="E478" t="s">
        <v>8</v>
      </c>
      <c r="X478" s="27" t="s">
        <v>7</v>
      </c>
      <c r="Y478" s="27" t="s">
        <v>8</v>
      </c>
      <c r="Z478" s="27" t="s">
        <v>7</v>
      </c>
      <c r="AA478" s="27" t="s">
        <v>8</v>
      </c>
      <c r="AB478" s="27" t="s">
        <v>7</v>
      </c>
      <c r="AC478" s="27" t="s">
        <v>8</v>
      </c>
      <c r="AD478" s="27" t="s">
        <v>7</v>
      </c>
      <c r="AL478" s="27" t="s">
        <v>7</v>
      </c>
      <c r="AM478" s="27" t="s">
        <v>8</v>
      </c>
      <c r="JJ478" s="27" t="s">
        <v>7</v>
      </c>
      <c r="JL478" s="27" t="s">
        <v>7</v>
      </c>
      <c r="JM478" s="27" t="s">
        <v>8</v>
      </c>
      <c r="JN478" s="27" t="s">
        <v>7</v>
      </c>
    </row>
    <row r="479" spans="1:274" x14ac:dyDescent="0.25">
      <c r="A479" s="7">
        <v>8.4882575864920131</v>
      </c>
      <c r="B479"/>
      <c r="C479"/>
      <c r="D479"/>
      <c r="E479" t="s">
        <v>8</v>
      </c>
      <c r="X479" s="27" t="s">
        <v>7</v>
      </c>
      <c r="Y479" s="27" t="s">
        <v>8</v>
      </c>
      <c r="Z479" s="27" t="s">
        <v>7</v>
      </c>
      <c r="AA479" s="27" t="s">
        <v>8</v>
      </c>
      <c r="AB479" s="27" t="s">
        <v>7</v>
      </c>
      <c r="AC479" s="27" t="s">
        <v>8</v>
      </c>
      <c r="AL479" s="27" t="s">
        <v>7</v>
      </c>
      <c r="JL479" s="27" t="s">
        <v>7</v>
      </c>
      <c r="JM479" s="27" t="s">
        <v>8</v>
      </c>
    </row>
    <row r="480" spans="1:274" x14ac:dyDescent="0.25">
      <c r="A480" s="7">
        <v>8.3218211632274635</v>
      </c>
      <c r="B480"/>
      <c r="C480"/>
      <c r="D480"/>
      <c r="E480" t="s">
        <v>8</v>
      </c>
      <c r="X480" s="27" t="s">
        <v>7</v>
      </c>
      <c r="Y480" s="27" t="s">
        <v>8</v>
      </c>
      <c r="Z480" s="27" t="s">
        <v>7</v>
      </c>
      <c r="AA480" s="27" t="s">
        <v>8</v>
      </c>
      <c r="AB480" s="27" t="s">
        <v>7</v>
      </c>
      <c r="AC480" s="27" t="s">
        <v>8</v>
      </c>
      <c r="JL480" s="27" t="s">
        <v>7</v>
      </c>
      <c r="JM480" s="27" t="s">
        <v>8</v>
      </c>
    </row>
    <row r="481" spans="1:272" x14ac:dyDescent="0.25">
      <c r="A481" s="7">
        <v>8.1586481992426112</v>
      </c>
      <c r="B481"/>
      <c r="C481"/>
      <c r="D481"/>
      <c r="E481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  <c r="AB481" s="27" t="s">
        <v>7</v>
      </c>
      <c r="AC481" s="27" t="s">
        <v>8</v>
      </c>
      <c r="JL481" s="27" t="s">
        <v>7</v>
      </c>
    </row>
    <row r="482" spans="1:272" x14ac:dyDescent="0.25">
      <c r="A482" s="7">
        <v>7.9986747051398144</v>
      </c>
      <c r="B482"/>
      <c r="C482"/>
      <c r="D482"/>
      <c r="E482" t="s">
        <v>8</v>
      </c>
      <c r="X482" s="27" t="s">
        <v>7</v>
      </c>
      <c r="Y482" s="27" t="s">
        <v>8</v>
      </c>
      <c r="Z482" s="27" t="s">
        <v>7</v>
      </c>
      <c r="AA482" s="27" t="s">
        <v>8</v>
      </c>
      <c r="AB482" s="27" t="s">
        <v>7</v>
      </c>
      <c r="AC482" s="27" t="s">
        <v>8</v>
      </c>
    </row>
    <row r="483" spans="1:272" x14ac:dyDescent="0.25">
      <c r="A483" s="7">
        <v>7.8418379462155041</v>
      </c>
      <c r="B483"/>
      <c r="C483"/>
      <c r="D483"/>
      <c r="E483" t="s">
        <v>8</v>
      </c>
      <c r="X483" s="27" t="s">
        <v>7</v>
      </c>
      <c r="Y483" s="27" t="s">
        <v>8</v>
      </c>
      <c r="Z483" s="27" t="s">
        <v>7</v>
      </c>
      <c r="AA483" s="27" t="s">
        <v>8</v>
      </c>
      <c r="AB483" s="27" t="s">
        <v>7</v>
      </c>
      <c r="AC483" s="27" t="s">
        <v>8</v>
      </c>
    </row>
    <row r="484" spans="1:272" x14ac:dyDescent="0.25">
      <c r="A484" s="7">
        <v>7.688076417858337</v>
      </c>
      <c r="B484"/>
      <c r="C484"/>
      <c r="D484"/>
      <c r="E484" t="s">
        <v>8</v>
      </c>
      <c r="X484" s="27" t="s">
        <v>7</v>
      </c>
      <c r="Y484" s="27" t="s">
        <v>8</v>
      </c>
      <c r="Z484" s="27" t="s">
        <v>7</v>
      </c>
      <c r="AA484" s="27" t="s">
        <v>8</v>
      </c>
      <c r="AB484" s="27" t="s">
        <v>7</v>
      </c>
      <c r="AC484" s="27" t="s">
        <v>8</v>
      </c>
    </row>
    <row r="485" spans="1:272" x14ac:dyDescent="0.25">
      <c r="A485" s="7">
        <v>7.5373298214297417</v>
      </c>
      <c r="B485"/>
      <c r="C485"/>
      <c r="D485"/>
      <c r="E485" t="s">
        <v>8</v>
      </c>
      <c r="X485" s="27" t="s">
        <v>7</v>
      </c>
      <c r="Y485" s="27" t="s">
        <v>8</v>
      </c>
      <c r="Z485" s="27" t="s">
        <v>7</v>
      </c>
      <c r="AA485" s="27" t="s">
        <v>8</v>
      </c>
      <c r="AB485" s="27" t="s">
        <v>7</v>
      </c>
    </row>
    <row r="486" spans="1:272" x14ac:dyDescent="0.25">
      <c r="A486" s="7">
        <v>7.389539040617394</v>
      </c>
      <c r="B486"/>
      <c r="C486"/>
      <c r="D486"/>
      <c r="E486" t="s">
        <v>8</v>
      </c>
      <c r="X486" s="27" t="s">
        <v>7</v>
      </c>
      <c r="Y486" s="27" t="s">
        <v>8</v>
      </c>
      <c r="Z486" s="27" t="s">
        <v>7</v>
      </c>
    </row>
    <row r="487" spans="1:272" x14ac:dyDescent="0.25">
      <c r="A487" s="7">
        <v>7.2446461182523469</v>
      </c>
      <c r="B487"/>
      <c r="C487"/>
      <c r="D487"/>
      <c r="E487" t="s">
        <v>8</v>
      </c>
      <c r="X487" s="27" t="s">
        <v>7</v>
      </c>
      <c r="Y487" s="27" t="s">
        <v>8</v>
      </c>
    </row>
    <row r="488" spans="1:272" x14ac:dyDescent="0.25">
      <c r="A488" s="7">
        <v>7.1025942335807324</v>
      </c>
      <c r="B488"/>
      <c r="C488"/>
      <c r="D488"/>
      <c r="E488" t="s">
        <v>8</v>
      </c>
      <c r="X488" s="27" t="s">
        <v>7</v>
      </c>
    </row>
    <row r="489" spans="1:272" x14ac:dyDescent="0.25">
      <c r="A489" s="7">
        <v>6.9633276799811101</v>
      </c>
      <c r="B489"/>
      <c r="C489"/>
      <c r="D489"/>
      <c r="E489" t="s">
        <v>8</v>
      </c>
    </row>
    <row r="490" spans="1:272" x14ac:dyDescent="0.25">
      <c r="A490" s="7">
        <v>6.8267918431187349</v>
      </c>
      <c r="B490"/>
      <c r="C490"/>
      <c r="D490"/>
      <c r="E490" t="s">
        <v>8</v>
      </c>
    </row>
    <row r="491" spans="1:272" x14ac:dyDescent="0.25">
      <c r="A491" s="7">
        <v>6.692933179528171</v>
      </c>
      <c r="B491"/>
      <c r="C491"/>
      <c r="D491"/>
      <c r="E491" t="s">
        <v>8</v>
      </c>
    </row>
    <row r="492" spans="1:272" x14ac:dyDescent="0.25">
      <c r="A492" s="7">
        <v>6.5616991956158541</v>
      </c>
      <c r="B492"/>
      <c r="C492"/>
      <c r="D492"/>
      <c r="E492" t="s">
        <v>8</v>
      </c>
    </row>
    <row r="493" spans="1:272" x14ac:dyDescent="0.25">
      <c r="A493" s="7">
        <v>6.4330384270743668</v>
      </c>
      <c r="B493"/>
      <c r="C493"/>
      <c r="D493"/>
      <c r="E493" t="s">
        <v>8</v>
      </c>
    </row>
    <row r="494" spans="1:272" x14ac:dyDescent="0.25">
      <c r="A494" s="7">
        <v>6.3069004187003594</v>
      </c>
      <c r="B494"/>
      <c r="C494"/>
      <c r="D494"/>
      <c r="E494" t="s">
        <v>8</v>
      </c>
    </row>
    <row r="495" spans="1:272" x14ac:dyDescent="0.25">
      <c r="A495" s="7">
        <v>6.1832357046081956</v>
      </c>
      <c r="B495"/>
      <c r="C495"/>
      <c r="D495"/>
      <c r="E495" t="s">
        <v>8</v>
      </c>
    </row>
    <row r="496" spans="1:272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04" operator="equal">
      <formula>$U$1</formula>
    </cfRule>
    <cfRule type="cellIs" dxfId="89" priority="905" operator="equal">
      <formula>$S$1</formula>
    </cfRule>
  </conditionalFormatting>
  <conditionalFormatting sqref="D27">
    <cfRule type="cellIs" dxfId="88" priority="902" operator="equal">
      <formula>$S$1</formula>
    </cfRule>
    <cfRule type="cellIs" dxfId="87" priority="903" operator="equal">
      <formula>$U$1</formula>
    </cfRule>
  </conditionalFormatting>
  <conditionalFormatting sqref="C164">
    <cfRule type="cellIs" dxfId="86" priority="900" operator="equal">
      <formula>$U$1</formula>
    </cfRule>
    <cfRule type="cellIs" dxfId="85" priority="901" operator="equal">
      <formula>$S$1</formula>
    </cfRule>
  </conditionalFormatting>
  <conditionalFormatting sqref="D164">
    <cfRule type="cellIs" dxfId="84" priority="898" operator="equal">
      <formula>$S$1</formula>
    </cfRule>
    <cfRule type="cellIs" dxfId="83" priority="899" operator="equal">
      <formula>$U$1</formula>
    </cfRule>
  </conditionalFormatting>
  <conditionalFormatting sqref="C55">
    <cfRule type="cellIs" dxfId="82" priority="896" operator="equal">
      <formula>$U$1</formula>
    </cfRule>
    <cfRule type="cellIs" dxfId="81" priority="897" operator="equal">
      <formula>$S$1</formula>
    </cfRule>
  </conditionalFormatting>
  <conditionalFormatting sqref="D55">
    <cfRule type="cellIs" dxfId="80" priority="894" operator="equal">
      <formula>$S$1</formula>
    </cfRule>
    <cfRule type="cellIs" dxfId="79" priority="895" operator="equal">
      <formula>$U$1</formula>
    </cfRule>
  </conditionalFormatting>
  <conditionalFormatting sqref="C89">
    <cfRule type="cellIs" dxfId="78" priority="892" operator="equal">
      <formula>$U$1</formula>
    </cfRule>
    <cfRule type="cellIs" dxfId="77" priority="893" operator="equal">
      <formula>$S$1</formula>
    </cfRule>
  </conditionalFormatting>
  <conditionalFormatting sqref="D89">
    <cfRule type="cellIs" dxfId="76" priority="890" operator="equal">
      <formula>$S$1</formula>
    </cfRule>
    <cfRule type="cellIs" dxfId="75" priority="891" operator="equal">
      <formula>$U$1</formula>
    </cfRule>
  </conditionalFormatting>
  <conditionalFormatting sqref="C136">
    <cfRule type="cellIs" dxfId="74" priority="888" operator="equal">
      <formula>$U$1</formula>
    </cfRule>
    <cfRule type="cellIs" dxfId="73" priority="889" operator="equal">
      <formula>$S$1</formula>
    </cfRule>
  </conditionalFormatting>
  <conditionalFormatting sqref="D136">
    <cfRule type="cellIs" dxfId="72" priority="886" operator="equal">
      <formula>$S$1</formula>
    </cfRule>
    <cfRule type="cellIs" dxfId="71" priority="887" operator="equal">
      <formula>$U$1</formula>
    </cfRule>
  </conditionalFormatting>
  <conditionalFormatting sqref="C1">
    <cfRule type="cellIs" dxfId="70" priority="88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K193" sqref="FK19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$A$192</v>
      </c>
      <c r="D111" s="1" t="str">
        <f>ADDRESS(C121-1,D121,1,1)</f>
        <v>$FK$192</v>
      </c>
      <c r="E111"/>
    </row>
    <row r="112" spans="1:5" x14ac:dyDescent="0.25">
      <c r="A112" s="30">
        <v>515.50191262726139</v>
      </c>
      <c r="C112" s="1" t="str">
        <f>ADDRESS(C121,1,1,1)</f>
        <v>$A$193</v>
      </c>
      <c r="D112" s="1" t="str">
        <f>ADDRESS(C121,D121-1,1,1)</f>
        <v>$FJ$193</v>
      </c>
      <c r="E112"/>
    </row>
    <row r="113" spans="1:5" x14ac:dyDescent="0.25">
      <c r="A113" s="30">
        <v>490.95420250215363</v>
      </c>
      <c r="C113" s="1" t="str">
        <f>ADDRESS(C121+1,1,1,1)</f>
        <v>$A$194</v>
      </c>
      <c r="D113" s="1" t="str">
        <f>ADDRESS(C121-1,D121+1,1,1)</f>
        <v>$FL$192</v>
      </c>
    </row>
    <row r="114" spans="1:5" x14ac:dyDescent="0.25">
      <c r="A114" s="30">
        <v>467.57543095443202</v>
      </c>
      <c r="C114" s="1" t="str">
        <f>ADDRESS(C121,D121,1,1)</f>
        <v>$FK$193</v>
      </c>
      <c r="D114" s="1" t="str">
        <f>ADDRESS(C121+1,D121+1,1,1)</f>
        <v>$FL$194</v>
      </c>
    </row>
    <row r="115" spans="1:5" x14ac:dyDescent="0.25">
      <c r="A115" s="30">
        <v>445.30993424231622</v>
      </c>
      <c r="C115" s="1" t="str">
        <f>ADDRESS(C121+1,D121,1,1)</f>
        <v>$FK$194</v>
      </c>
    </row>
    <row r="116" spans="1:5" x14ac:dyDescent="0.25">
      <c r="A116" s="30">
        <v>424.10469927839637</v>
      </c>
      <c r="C116" s="1">
        <f>C117-1</f>
        <v>192</v>
      </c>
    </row>
    <row r="117" spans="1:5" x14ac:dyDescent="0.25">
      <c r="A117" s="30">
        <v>403.9092374079965</v>
      </c>
      <c r="C117" s="1">
        <f>C121</f>
        <v>193</v>
      </c>
      <c r="D117" s="1">
        <f>D121</f>
        <v>167</v>
      </c>
    </row>
    <row r="118" spans="1:5" x14ac:dyDescent="0.25">
      <c r="A118" s="30">
        <v>384.6754641980919</v>
      </c>
      <c r="C118" s="1">
        <f>C117+1</f>
        <v>194</v>
      </c>
      <c r="D118" s="1">
        <f>D117+1</f>
        <v>168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193</v>
      </c>
      <c r="D121" s="19">
        <v>167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R193</v>
      </c>
      <c r="D123" s="1" t="str">
        <f>"C"&amp;D121</f>
        <v>C167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9.9059710923258422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00" x14ac:dyDescent="0.25">
      <c r="A145" s="30">
        <v>103.03467644609493</v>
      </c>
      <c r="E145" t="s">
        <v>8</v>
      </c>
    </row>
    <row r="146" spans="1:100" x14ac:dyDescent="0.25">
      <c r="A146" s="30">
        <v>98.128263281995174</v>
      </c>
      <c r="E146" t="s">
        <v>8</v>
      </c>
      <c r="F146" s="27" t="s">
        <v>7</v>
      </c>
    </row>
    <row r="147" spans="1:100" x14ac:dyDescent="0.25">
      <c r="A147" s="30">
        <v>93.455488839995397</v>
      </c>
      <c r="E147" t="s">
        <v>8</v>
      </c>
      <c r="F147" s="27" t="s">
        <v>7</v>
      </c>
    </row>
    <row r="148" spans="1:100" x14ac:dyDescent="0.25">
      <c r="A148" s="30">
        <v>89.005227466662276</v>
      </c>
      <c r="E148" t="s">
        <v>8</v>
      </c>
      <c r="F148" s="27" t="s">
        <v>7</v>
      </c>
    </row>
    <row r="149" spans="1:100" x14ac:dyDescent="0.25">
      <c r="A149" s="30">
        <v>84.766883301583121</v>
      </c>
      <c r="E149" t="s">
        <v>8</v>
      </c>
      <c r="F149" s="27" t="s">
        <v>7</v>
      </c>
    </row>
    <row r="150" spans="1:100" x14ac:dyDescent="0.25">
      <c r="A150" s="30">
        <v>80.730365049126775</v>
      </c>
      <c r="E150" t="s">
        <v>8</v>
      </c>
      <c r="F150" s="27" t="s">
        <v>7</v>
      </c>
    </row>
    <row r="151" spans="1:100" x14ac:dyDescent="0.25">
      <c r="A151" s="30">
        <v>76.886061951549308</v>
      </c>
      <c r="E151" t="s">
        <v>8</v>
      </c>
      <c r="F151" s="27" t="s">
        <v>7</v>
      </c>
      <c r="G151" s="27" t="s">
        <v>8</v>
      </c>
    </row>
    <row r="152" spans="1:100" x14ac:dyDescent="0.25">
      <c r="A152" s="30">
        <v>73.22482090623744</v>
      </c>
      <c r="E152" t="s">
        <v>8</v>
      </c>
      <c r="F152" s="27" t="s">
        <v>7</v>
      </c>
      <c r="G152" s="27" t="s">
        <v>8</v>
      </c>
      <c r="H152" s="27" t="s">
        <v>7</v>
      </c>
      <c r="CK152" s="27" t="s">
        <v>8</v>
      </c>
      <c r="CM152" s="27" t="s">
        <v>8</v>
      </c>
    </row>
    <row r="153" spans="1:100" x14ac:dyDescent="0.25">
      <c r="A153" s="30">
        <v>69.737924672607079</v>
      </c>
      <c r="C153" s="7"/>
      <c r="D153"/>
      <c r="E153" t="s">
        <v>8</v>
      </c>
      <c r="F153" s="27" t="s">
        <v>7</v>
      </c>
      <c r="G153" s="27" t="s">
        <v>8</v>
      </c>
      <c r="H153" s="27" t="s">
        <v>7</v>
      </c>
      <c r="CK153" s="27" t="s">
        <v>8</v>
      </c>
      <c r="CL153" s="27" t="s">
        <v>7</v>
      </c>
      <c r="CM153" s="27" t="s">
        <v>8</v>
      </c>
      <c r="CN153" s="27" t="s">
        <v>7</v>
      </c>
    </row>
    <row r="154" spans="1:100" x14ac:dyDescent="0.25">
      <c r="A154" s="30">
        <v>66.417071116768639</v>
      </c>
      <c r="E154" t="s">
        <v>8</v>
      </c>
      <c r="F154" s="27" t="s">
        <v>7</v>
      </c>
      <c r="G154" s="27" t="s">
        <v>8</v>
      </c>
      <c r="H154" s="27" t="s">
        <v>7</v>
      </c>
      <c r="CG154" s="27" t="s">
        <v>8</v>
      </c>
      <c r="CK154" s="27" t="s">
        <v>8</v>
      </c>
      <c r="CL154" s="27" t="s">
        <v>7</v>
      </c>
      <c r="CM154" s="27" t="s">
        <v>8</v>
      </c>
      <c r="CN154" s="27" t="s">
        <v>7</v>
      </c>
    </row>
    <row r="155" spans="1:100" x14ac:dyDescent="0.25">
      <c r="A155" s="30">
        <v>63.254353444541557</v>
      </c>
      <c r="E155" t="s">
        <v>8</v>
      </c>
      <c r="F155" s="27" t="s">
        <v>7</v>
      </c>
      <c r="G155" s="27" t="s">
        <v>8</v>
      </c>
      <c r="H155" s="27" t="s">
        <v>7</v>
      </c>
      <c r="CE155" s="27" t="s">
        <v>8</v>
      </c>
      <c r="CG155" s="27" t="s">
        <v>8</v>
      </c>
      <c r="CH155" s="27" t="s">
        <v>7</v>
      </c>
      <c r="CI155" s="27" t="s">
        <v>8</v>
      </c>
      <c r="CK155" s="27" t="s">
        <v>8</v>
      </c>
      <c r="CL155" s="27" t="s">
        <v>7</v>
      </c>
      <c r="CM155" s="27" t="s">
        <v>8</v>
      </c>
      <c r="CN155" s="27" t="s">
        <v>7</v>
      </c>
    </row>
    <row r="156" spans="1:100" x14ac:dyDescent="0.25">
      <c r="A156" s="30">
        <v>60.242241375753864</v>
      </c>
      <c r="C156"/>
      <c r="D156"/>
      <c r="E156" t="s">
        <v>8</v>
      </c>
      <c r="F156" s="27" t="s">
        <v>7</v>
      </c>
      <c r="G156" s="27" t="s">
        <v>8</v>
      </c>
      <c r="H156" s="27" t="s">
        <v>7</v>
      </c>
      <c r="CE156" s="27" t="s">
        <v>8</v>
      </c>
      <c r="CF156" s="27" t="s">
        <v>7</v>
      </c>
      <c r="CG156" s="27" t="s">
        <v>8</v>
      </c>
      <c r="CH156" s="27" t="s">
        <v>7</v>
      </c>
      <c r="CI156" s="27" t="s">
        <v>8</v>
      </c>
      <c r="CJ156" s="27" t="s">
        <v>7</v>
      </c>
      <c r="CK156" s="27" t="s">
        <v>8</v>
      </c>
      <c r="CL156" s="27" t="s">
        <v>7</v>
      </c>
      <c r="CM156" s="27" t="s">
        <v>8</v>
      </c>
      <c r="CN156" s="27" t="s">
        <v>7</v>
      </c>
    </row>
    <row r="157" spans="1:100" x14ac:dyDescent="0.25">
      <c r="A157" s="30">
        <v>57.373563215003678</v>
      </c>
      <c r="E157" t="s">
        <v>8</v>
      </c>
      <c r="F157" s="27" t="s">
        <v>7</v>
      </c>
      <c r="G157" s="27" t="s">
        <v>8</v>
      </c>
      <c r="H157" s="27" t="s">
        <v>7</v>
      </c>
      <c r="CE157" s="27" t="s">
        <v>8</v>
      </c>
      <c r="CF157" s="27" t="s">
        <v>7</v>
      </c>
      <c r="CG157" s="27" t="s">
        <v>8</v>
      </c>
      <c r="CH157" s="27" t="s">
        <v>7</v>
      </c>
      <c r="CI157" s="27" t="s">
        <v>8</v>
      </c>
      <c r="CJ157" s="27" t="s">
        <v>7</v>
      </c>
      <c r="CK157" s="27" t="s">
        <v>8</v>
      </c>
      <c r="CL157" s="27" t="s">
        <v>7</v>
      </c>
      <c r="CN157" s="27" t="s">
        <v>7</v>
      </c>
    </row>
    <row r="158" spans="1:100" x14ac:dyDescent="0.25">
      <c r="A158" s="30">
        <v>54.641488776193974</v>
      </c>
      <c r="E158" t="s">
        <v>8</v>
      </c>
      <c r="F158" s="27" t="s">
        <v>7</v>
      </c>
      <c r="G158" s="27" t="s">
        <v>8</v>
      </c>
      <c r="H158" s="27" t="s">
        <v>7</v>
      </c>
      <c r="CE158" s="27" t="s">
        <v>8</v>
      </c>
      <c r="CF158" s="27" t="s">
        <v>7</v>
      </c>
      <c r="CG158" s="27" t="s">
        <v>8</v>
      </c>
      <c r="CH158" s="27" t="s">
        <v>7</v>
      </c>
      <c r="CJ158" s="27" t="s">
        <v>7</v>
      </c>
      <c r="CN158" s="27" t="s">
        <v>7</v>
      </c>
    </row>
    <row r="159" spans="1:100" x14ac:dyDescent="0.25">
      <c r="A159" s="30">
        <v>52.039513120184736</v>
      </c>
      <c r="E159" t="s">
        <v>8</v>
      </c>
      <c r="F159" s="27" t="s">
        <v>7</v>
      </c>
      <c r="H159" s="27" t="s">
        <v>7</v>
      </c>
      <c r="CE159" s="27" t="s">
        <v>8</v>
      </c>
      <c r="CF159" s="27" t="s">
        <v>7</v>
      </c>
      <c r="CN159" s="27" t="s">
        <v>7</v>
      </c>
      <c r="CO159" s="27" t="s">
        <v>8</v>
      </c>
      <c r="CU159" s="27" t="s">
        <v>8</v>
      </c>
    </row>
    <row r="160" spans="1:100" x14ac:dyDescent="0.25">
      <c r="A160" s="30">
        <v>49.561441066842605</v>
      </c>
      <c r="C160"/>
      <c r="E160" t="s">
        <v>8</v>
      </c>
      <c r="H160" s="27" t="s">
        <v>7</v>
      </c>
      <c r="BY160" s="27" t="s">
        <v>8</v>
      </c>
      <c r="CA160" s="27" t="s">
        <v>8</v>
      </c>
      <c r="CE160" s="27" t="s">
        <v>8</v>
      </c>
      <c r="CN160" s="27" t="s">
        <v>7</v>
      </c>
      <c r="CO160" s="27" t="s">
        <v>8</v>
      </c>
      <c r="CP160" s="27" t="s">
        <v>7</v>
      </c>
      <c r="CQ160" s="27" t="s">
        <v>8</v>
      </c>
      <c r="CU160" s="27" t="s">
        <v>8</v>
      </c>
      <c r="CV160" s="27" t="s">
        <v>7</v>
      </c>
    </row>
    <row r="161" spans="1:154" x14ac:dyDescent="0.25">
      <c r="A161" s="30">
        <v>47.201372444612005</v>
      </c>
      <c r="E161" t="s">
        <v>8</v>
      </c>
      <c r="H161" s="27" t="s">
        <v>7</v>
      </c>
      <c r="BY161" s="27" t="s">
        <v>8</v>
      </c>
      <c r="BZ161" s="27" t="s">
        <v>7</v>
      </c>
      <c r="CA161" s="27" t="s">
        <v>8</v>
      </c>
      <c r="CB161" s="27" t="s">
        <v>7</v>
      </c>
      <c r="CE161" s="27" t="s">
        <v>8</v>
      </c>
      <c r="CN161" s="27" t="s">
        <v>7</v>
      </c>
      <c r="CO161" s="27" t="s">
        <v>8</v>
      </c>
      <c r="CP161" s="27" t="s">
        <v>7</v>
      </c>
      <c r="CQ161" s="27" t="s">
        <v>8</v>
      </c>
      <c r="CR161" s="27" t="s">
        <v>7</v>
      </c>
      <c r="CS161" s="27" t="s">
        <v>8</v>
      </c>
      <c r="CU161" s="27" t="s">
        <v>8</v>
      </c>
      <c r="CV161" s="27" t="s">
        <v>7</v>
      </c>
    </row>
    <row r="162" spans="1:154" x14ac:dyDescent="0.25">
      <c r="A162" s="30">
        <v>44.95368804248762</v>
      </c>
      <c r="E162" t="s">
        <v>8</v>
      </c>
      <c r="H162" s="27" t="s">
        <v>7</v>
      </c>
      <c r="BY162" s="27" t="s">
        <v>8</v>
      </c>
      <c r="BZ162" s="27" t="s">
        <v>7</v>
      </c>
      <c r="CA162" s="27" t="s">
        <v>8</v>
      </c>
      <c r="CB162" s="27" t="s">
        <v>7</v>
      </c>
      <c r="CC162" s="27" t="s">
        <v>8</v>
      </c>
      <c r="CE162" s="27" t="s">
        <v>8</v>
      </c>
      <c r="CN162" s="27" t="s">
        <v>7</v>
      </c>
      <c r="CO162" s="27" t="s">
        <v>8</v>
      </c>
      <c r="CP162" s="27" t="s">
        <v>7</v>
      </c>
      <c r="CQ162" s="27" t="s">
        <v>8</v>
      </c>
      <c r="CR162" s="27" t="s">
        <v>7</v>
      </c>
      <c r="CS162" s="27" t="s">
        <v>8</v>
      </c>
      <c r="CT162" s="27" t="s">
        <v>7</v>
      </c>
      <c r="CU162" s="27" t="s">
        <v>8</v>
      </c>
      <c r="CV162" s="27" t="s">
        <v>7</v>
      </c>
    </row>
    <row r="163" spans="1:154" x14ac:dyDescent="0.25">
      <c r="A163" s="30">
        <v>42.81303623094059</v>
      </c>
      <c r="E163" t="s">
        <v>8</v>
      </c>
      <c r="H163" s="27" t="s">
        <v>7</v>
      </c>
      <c r="BY163" s="27" t="s">
        <v>8</v>
      </c>
      <c r="BZ163" s="27" t="s">
        <v>7</v>
      </c>
      <c r="CA163" s="27" t="s">
        <v>8</v>
      </c>
      <c r="CB163" s="27" t="s">
        <v>7</v>
      </c>
      <c r="CC163" s="27" t="s">
        <v>8</v>
      </c>
      <c r="CD163" s="27" t="s">
        <v>7</v>
      </c>
      <c r="CE163" s="27" t="s">
        <v>8</v>
      </c>
      <c r="CN163" s="27" t="s">
        <v>7</v>
      </c>
      <c r="CP163" s="27" t="s">
        <v>7</v>
      </c>
      <c r="CQ163" s="27" t="s">
        <v>8</v>
      </c>
      <c r="CR163" s="27" t="s">
        <v>7</v>
      </c>
      <c r="CS163" s="27" t="s">
        <v>8</v>
      </c>
      <c r="CT163" s="27" t="s">
        <v>7</v>
      </c>
      <c r="CU163" s="27" t="s">
        <v>8</v>
      </c>
      <c r="CV163" s="27" t="s">
        <v>7</v>
      </c>
      <c r="CW163" s="27" t="s">
        <v>8</v>
      </c>
      <c r="CY163" s="27" t="s">
        <v>8</v>
      </c>
    </row>
    <row r="164" spans="1:154" x14ac:dyDescent="0.25">
      <c r="A164" s="30">
        <v>40.774320219943419</v>
      </c>
      <c r="E164" t="s">
        <v>8</v>
      </c>
      <c r="H164" s="27" t="s">
        <v>7</v>
      </c>
      <c r="BW164" s="27" t="s">
        <v>8</v>
      </c>
      <c r="BY164" s="27" t="s">
        <v>8</v>
      </c>
      <c r="BZ164" s="27" t="s">
        <v>7</v>
      </c>
      <c r="CA164" s="27" t="s">
        <v>8</v>
      </c>
      <c r="CB164" s="27" t="s">
        <v>7</v>
      </c>
      <c r="CC164" s="27" t="s">
        <v>8</v>
      </c>
      <c r="CD164" s="27" t="s">
        <v>7</v>
      </c>
      <c r="CE164" s="27" t="s">
        <v>8</v>
      </c>
      <c r="CP164" s="27" t="s">
        <v>7</v>
      </c>
      <c r="CQ164" s="27" t="s">
        <v>8</v>
      </c>
      <c r="CR164" s="27" t="s">
        <v>7</v>
      </c>
      <c r="CS164" s="27" t="s">
        <v>8</v>
      </c>
      <c r="CT164" s="27" t="s">
        <v>7</v>
      </c>
      <c r="CV164" s="27" t="s">
        <v>7</v>
      </c>
      <c r="CW164" s="27" t="s">
        <v>8</v>
      </c>
      <c r="CX164" s="27" t="s">
        <v>7</v>
      </c>
      <c r="CY164" s="27" t="s">
        <v>8</v>
      </c>
      <c r="CZ164" s="27" t="s">
        <v>7</v>
      </c>
    </row>
    <row r="165" spans="1:154" x14ac:dyDescent="0.25">
      <c r="A165" s="30">
        <v>38.832685923755633</v>
      </c>
      <c r="E165" t="s">
        <v>8</v>
      </c>
      <c r="H165" s="27" t="s">
        <v>7</v>
      </c>
      <c r="BW165" s="27" t="s">
        <v>8</v>
      </c>
      <c r="BX165" s="27" t="s">
        <v>7</v>
      </c>
      <c r="BY165" s="27" t="s">
        <v>8</v>
      </c>
      <c r="BZ165" s="27" t="s">
        <v>7</v>
      </c>
      <c r="CB165" s="27" t="s">
        <v>7</v>
      </c>
      <c r="CD165" s="27" t="s">
        <v>7</v>
      </c>
      <c r="CE165" s="27" t="s">
        <v>8</v>
      </c>
      <c r="CP165" s="27" t="s">
        <v>7</v>
      </c>
      <c r="CR165" s="27" t="s">
        <v>7</v>
      </c>
      <c r="CS165" s="27" t="s">
        <v>8</v>
      </c>
      <c r="CV165" s="27" t="s">
        <v>7</v>
      </c>
      <c r="CW165" s="27" t="s">
        <v>8</v>
      </c>
      <c r="CX165" s="27" t="s">
        <v>7</v>
      </c>
      <c r="CY165" s="27" t="s">
        <v>8</v>
      </c>
      <c r="CZ165" s="27" t="s">
        <v>7</v>
      </c>
    </row>
    <row r="166" spans="1:154" x14ac:dyDescent="0.25">
      <c r="A166" s="30">
        <v>36.983510403576794</v>
      </c>
      <c r="E166" t="s">
        <v>8</v>
      </c>
      <c r="H166" s="27" t="s">
        <v>7</v>
      </c>
      <c r="BI166" s="27" t="s">
        <v>8</v>
      </c>
      <c r="BM166" s="27" t="s">
        <v>8</v>
      </c>
      <c r="BW166" s="27" t="s">
        <v>8</v>
      </c>
      <c r="BX166" s="27" t="s">
        <v>7</v>
      </c>
      <c r="BY166" s="27" t="s">
        <v>8</v>
      </c>
      <c r="CD166" s="27" t="s">
        <v>7</v>
      </c>
      <c r="CE166" s="27" t="s">
        <v>8</v>
      </c>
      <c r="CR166" s="27" t="s">
        <v>7</v>
      </c>
      <c r="CS166" s="27" t="s">
        <v>8</v>
      </c>
      <c r="CV166" s="27" t="s">
        <v>7</v>
      </c>
      <c r="CX166" s="27" t="s">
        <v>7</v>
      </c>
      <c r="CY166" s="27" t="s">
        <v>8</v>
      </c>
      <c r="CZ166" s="27" t="s">
        <v>7</v>
      </c>
      <c r="DA166" s="27" t="s">
        <v>8</v>
      </c>
      <c r="DC166" s="27" t="s">
        <v>8</v>
      </c>
    </row>
    <row r="167" spans="1:154" x14ac:dyDescent="0.25">
      <c r="A167" s="30">
        <v>35.222390860549325</v>
      </c>
      <c r="E167" t="s">
        <v>8</v>
      </c>
      <c r="H167" s="27" t="s">
        <v>7</v>
      </c>
      <c r="BG167" s="27" t="s">
        <v>8</v>
      </c>
      <c r="BI167" s="27" t="s">
        <v>8</v>
      </c>
      <c r="BJ167" s="27" t="s">
        <v>7</v>
      </c>
      <c r="BM167" s="27" t="s">
        <v>8</v>
      </c>
      <c r="BN167" s="27" t="s">
        <v>7</v>
      </c>
      <c r="BO167" s="27" t="s">
        <v>8</v>
      </c>
      <c r="BU167" s="27" t="s">
        <v>8</v>
      </c>
      <c r="BW167" s="27" t="s">
        <v>8</v>
      </c>
      <c r="BX167" s="27" t="s">
        <v>7</v>
      </c>
      <c r="BY167" s="27" t="s">
        <v>8</v>
      </c>
      <c r="CD167" s="27" t="s">
        <v>7</v>
      </c>
      <c r="CR167" s="27" t="s">
        <v>7</v>
      </c>
      <c r="CS167" s="27" t="s">
        <v>8</v>
      </c>
      <c r="CX167" s="27" t="s">
        <v>7</v>
      </c>
      <c r="CY167" s="27" t="s">
        <v>8</v>
      </c>
      <c r="CZ167" s="27" t="s">
        <v>7</v>
      </c>
      <c r="DA167" s="27" t="s">
        <v>8</v>
      </c>
      <c r="DB167" s="27" t="s">
        <v>7</v>
      </c>
      <c r="DC167" s="27" t="s">
        <v>8</v>
      </c>
      <c r="DD167" s="27" t="s">
        <v>7</v>
      </c>
    </row>
    <row r="168" spans="1:154" x14ac:dyDescent="0.25">
      <c r="A168" s="30">
        <v>33.545134152904119</v>
      </c>
      <c r="E168" t="s">
        <v>8</v>
      </c>
      <c r="H168" s="27" t="s">
        <v>7</v>
      </c>
      <c r="BG168" s="27" t="s">
        <v>8</v>
      </c>
      <c r="BH168" s="27" t="s">
        <v>7</v>
      </c>
      <c r="BI168" s="27" t="s">
        <v>8</v>
      </c>
      <c r="BJ168" s="27" t="s">
        <v>7</v>
      </c>
      <c r="BM168" s="27" t="s">
        <v>8</v>
      </c>
      <c r="BN168" s="27" t="s">
        <v>7</v>
      </c>
      <c r="BO168" s="27" t="s">
        <v>8</v>
      </c>
      <c r="BP168" s="27" t="s">
        <v>7</v>
      </c>
      <c r="BU168" s="27" t="s">
        <v>8</v>
      </c>
      <c r="BV168" s="27" t="s">
        <v>7</v>
      </c>
      <c r="BW168" s="27" t="s">
        <v>8</v>
      </c>
      <c r="BX168" s="27" t="s">
        <v>7</v>
      </c>
      <c r="BY168" s="27" t="s">
        <v>8</v>
      </c>
      <c r="CR168" s="27" t="s">
        <v>7</v>
      </c>
      <c r="CS168" s="27" t="s">
        <v>8</v>
      </c>
      <c r="CX168" s="27" t="s">
        <v>7</v>
      </c>
      <c r="CY168" s="27" t="s">
        <v>8</v>
      </c>
      <c r="CZ168" s="27" t="s">
        <v>7</v>
      </c>
      <c r="DA168" s="27" t="s">
        <v>8</v>
      </c>
      <c r="DB168" s="27" t="s">
        <v>7</v>
      </c>
      <c r="DC168" s="27" t="s">
        <v>8</v>
      </c>
      <c r="DD168" s="27" t="s">
        <v>7</v>
      </c>
    </row>
    <row r="169" spans="1:154" x14ac:dyDescent="0.25">
      <c r="A169" s="30">
        <v>31.947746812289637</v>
      </c>
      <c r="E169" t="s">
        <v>8</v>
      </c>
      <c r="H169" s="27" t="s">
        <v>7</v>
      </c>
      <c r="I169" s="27" t="s">
        <v>8</v>
      </c>
      <c r="BG169" s="27" t="s">
        <v>8</v>
      </c>
      <c r="BH169" s="27" t="s">
        <v>7</v>
      </c>
      <c r="BI169" s="27" t="s">
        <v>8</v>
      </c>
      <c r="BJ169" s="27" t="s">
        <v>7</v>
      </c>
      <c r="BK169" s="27" t="s">
        <v>8</v>
      </c>
      <c r="BM169" s="27" t="s">
        <v>8</v>
      </c>
      <c r="BN169" s="27" t="s">
        <v>7</v>
      </c>
      <c r="BO169" s="27" t="s">
        <v>8</v>
      </c>
      <c r="BP169" s="27" t="s">
        <v>7</v>
      </c>
      <c r="BU169" s="27" t="s">
        <v>8</v>
      </c>
      <c r="BV169" s="27" t="s">
        <v>7</v>
      </c>
      <c r="BW169" s="27" t="s">
        <v>8</v>
      </c>
      <c r="BX169" s="27" t="s">
        <v>7</v>
      </c>
      <c r="BY169" s="27" t="s">
        <v>8</v>
      </c>
      <c r="CR169" s="27" t="s">
        <v>7</v>
      </c>
      <c r="CS169" s="27" t="s">
        <v>8</v>
      </c>
      <c r="CX169" s="27" t="s">
        <v>7</v>
      </c>
      <c r="CZ169" s="27" t="s">
        <v>7</v>
      </c>
      <c r="DB169" s="27" t="s">
        <v>7</v>
      </c>
      <c r="DC169" s="27" t="s">
        <v>8</v>
      </c>
      <c r="DD169" s="27" t="s">
        <v>7</v>
      </c>
      <c r="EE169" s="27" t="s">
        <v>8</v>
      </c>
    </row>
    <row r="170" spans="1:154" x14ac:dyDescent="0.25">
      <c r="A170" s="30">
        <v>30.426425535513939</v>
      </c>
      <c r="E170" t="s">
        <v>8</v>
      </c>
      <c r="H170" s="27" t="s">
        <v>7</v>
      </c>
      <c r="I170" s="27" t="s">
        <v>8</v>
      </c>
      <c r="J170" s="27" t="s">
        <v>7</v>
      </c>
      <c r="K170" s="27" t="s">
        <v>8</v>
      </c>
      <c r="BG170" s="27" t="s">
        <v>8</v>
      </c>
      <c r="BH170" s="27" t="s">
        <v>7</v>
      </c>
      <c r="BI170" s="27" t="s">
        <v>8</v>
      </c>
      <c r="BJ170" s="27" t="s">
        <v>7</v>
      </c>
      <c r="BK170" s="27" t="s">
        <v>8</v>
      </c>
      <c r="BL170" s="27" t="s">
        <v>7</v>
      </c>
      <c r="BM170" s="27" t="s">
        <v>8</v>
      </c>
      <c r="BN170" s="27" t="s">
        <v>7</v>
      </c>
      <c r="BP170" s="27" t="s">
        <v>7</v>
      </c>
      <c r="BU170" s="27" t="s">
        <v>8</v>
      </c>
      <c r="BV170" s="27" t="s">
        <v>7</v>
      </c>
      <c r="BW170" s="27" t="s">
        <v>8</v>
      </c>
      <c r="BX170" s="27" t="s">
        <v>7</v>
      </c>
      <c r="CR170" s="27" t="s">
        <v>7</v>
      </c>
      <c r="DB170" s="27" t="s">
        <v>7</v>
      </c>
      <c r="DC170" s="27" t="s">
        <v>8</v>
      </c>
      <c r="DD170" s="27" t="s">
        <v>7</v>
      </c>
      <c r="EE170" s="27" t="s">
        <v>8</v>
      </c>
      <c r="EF170" s="27" t="s">
        <v>7</v>
      </c>
    </row>
    <row r="171" spans="1:154" x14ac:dyDescent="0.25">
      <c r="A171" s="30">
        <v>28.977548129060892</v>
      </c>
      <c r="E171" t="s">
        <v>8</v>
      </c>
      <c r="H171" s="27" t="s">
        <v>7</v>
      </c>
      <c r="I171" s="27" t="s">
        <v>8</v>
      </c>
      <c r="J171" s="27" t="s">
        <v>7</v>
      </c>
      <c r="K171" s="27" t="s">
        <v>8</v>
      </c>
      <c r="L171" s="27" t="s">
        <v>7</v>
      </c>
      <c r="BG171" s="27" t="s">
        <v>8</v>
      </c>
      <c r="BH171" s="27" t="s">
        <v>7</v>
      </c>
      <c r="BI171" s="27" t="s">
        <v>8</v>
      </c>
      <c r="BJ171" s="27" t="s">
        <v>7</v>
      </c>
      <c r="BK171" s="27" t="s">
        <v>8</v>
      </c>
      <c r="BL171" s="27" t="s">
        <v>7</v>
      </c>
      <c r="BM171" s="27" t="s">
        <v>8</v>
      </c>
      <c r="BP171" s="27" t="s">
        <v>7</v>
      </c>
      <c r="BS171" s="27" t="s">
        <v>8</v>
      </c>
      <c r="BU171" s="27" t="s">
        <v>8</v>
      </c>
      <c r="BV171" s="27" t="s">
        <v>7</v>
      </c>
      <c r="DB171" s="27" t="s">
        <v>7</v>
      </c>
      <c r="DC171" s="27" t="s">
        <v>8</v>
      </c>
      <c r="DD171" s="27" t="s">
        <v>7</v>
      </c>
      <c r="EE171" s="27" t="s">
        <v>8</v>
      </c>
      <c r="EF171" s="27" t="s">
        <v>7</v>
      </c>
      <c r="EO171" s="27" t="s">
        <v>8</v>
      </c>
    </row>
    <row r="172" spans="1:154" x14ac:dyDescent="0.25">
      <c r="A172" s="30">
        <v>27.597664884819896</v>
      </c>
      <c r="E172" t="s">
        <v>8</v>
      </c>
      <c r="H172" s="27" t="s">
        <v>7</v>
      </c>
      <c r="I172" s="27" t="s">
        <v>8</v>
      </c>
      <c r="J172" s="27" t="s">
        <v>7</v>
      </c>
      <c r="K172" s="27" t="s">
        <v>8</v>
      </c>
      <c r="L172" s="27" t="s">
        <v>7</v>
      </c>
      <c r="BG172" s="27" t="s">
        <v>8</v>
      </c>
      <c r="BH172" s="27" t="s">
        <v>7</v>
      </c>
      <c r="BJ172" s="27" t="s">
        <v>7</v>
      </c>
      <c r="BK172" s="27" t="s">
        <v>8</v>
      </c>
      <c r="BL172" s="27" t="s">
        <v>7</v>
      </c>
      <c r="BM172" s="27" t="s">
        <v>8</v>
      </c>
      <c r="BP172" s="27" t="s">
        <v>7</v>
      </c>
      <c r="BQ172" s="27" t="s">
        <v>8</v>
      </c>
      <c r="BS172" s="27" t="s">
        <v>8</v>
      </c>
      <c r="BT172" s="27" t="s">
        <v>7</v>
      </c>
      <c r="BU172" s="27" t="s">
        <v>8</v>
      </c>
      <c r="DB172" s="27" t="s">
        <v>7</v>
      </c>
      <c r="DC172" s="27" t="s">
        <v>8</v>
      </c>
      <c r="DD172" s="27" t="s">
        <v>7</v>
      </c>
      <c r="EE172" s="27" t="s">
        <v>8</v>
      </c>
      <c r="EF172" s="27" t="s">
        <v>7</v>
      </c>
      <c r="EO172" s="27" t="s">
        <v>8</v>
      </c>
      <c r="EP172" s="27" t="s">
        <v>7</v>
      </c>
    </row>
    <row r="173" spans="1:154" x14ac:dyDescent="0.25">
      <c r="A173" s="30">
        <v>26.283490366495137</v>
      </c>
      <c r="E173" t="s">
        <v>8</v>
      </c>
      <c r="H173" s="27" t="s">
        <v>7</v>
      </c>
      <c r="I173" s="27" t="s">
        <v>8</v>
      </c>
      <c r="J173" s="27" t="s">
        <v>7</v>
      </c>
      <c r="K173" s="27" t="s">
        <v>8</v>
      </c>
      <c r="L173" s="27" t="s">
        <v>7</v>
      </c>
      <c r="BG173" s="27" t="s">
        <v>8</v>
      </c>
      <c r="BJ173" s="27" t="s">
        <v>7</v>
      </c>
      <c r="BL173" s="27" t="s">
        <v>7</v>
      </c>
      <c r="BP173" s="27" t="s">
        <v>7</v>
      </c>
      <c r="BQ173" s="27" t="s">
        <v>8</v>
      </c>
      <c r="BR173" s="27" t="s">
        <v>7</v>
      </c>
      <c r="BS173" s="27" t="s">
        <v>8</v>
      </c>
      <c r="BT173" s="27" t="s">
        <v>7</v>
      </c>
      <c r="BU173" s="27" t="s">
        <v>8</v>
      </c>
      <c r="DB173" s="27" t="s">
        <v>7</v>
      </c>
      <c r="DC173" s="27" t="s">
        <v>8</v>
      </c>
      <c r="DD173" s="27" t="s">
        <v>7</v>
      </c>
      <c r="DE173" s="27" t="s">
        <v>8</v>
      </c>
      <c r="DG173" s="27" t="s">
        <v>8</v>
      </c>
      <c r="DK173" s="27" t="s">
        <v>8</v>
      </c>
      <c r="EE173" s="27" t="s">
        <v>8</v>
      </c>
      <c r="EF173" s="27" t="s">
        <v>7</v>
      </c>
      <c r="EO173" s="27" t="s">
        <v>8</v>
      </c>
      <c r="EP173" s="27" t="s">
        <v>7</v>
      </c>
      <c r="EQ173" s="27" t="s">
        <v>8</v>
      </c>
    </row>
    <row r="174" spans="1:154" x14ac:dyDescent="0.25">
      <c r="A174" s="30">
        <v>25.031895587138223</v>
      </c>
      <c r="E174" t="s">
        <v>8</v>
      </c>
      <c r="H174" s="27" t="s">
        <v>7</v>
      </c>
      <c r="J174" s="27" t="s">
        <v>7</v>
      </c>
      <c r="K174" s="27" t="s">
        <v>8</v>
      </c>
      <c r="L174" s="27" t="s">
        <v>7</v>
      </c>
      <c r="M174" s="27" t="s">
        <v>8</v>
      </c>
      <c r="BE174" s="27" t="s">
        <v>8</v>
      </c>
      <c r="BG174" s="27" t="s">
        <v>8</v>
      </c>
      <c r="BP174" s="27" t="s">
        <v>7</v>
      </c>
      <c r="BQ174" s="27" t="s">
        <v>8</v>
      </c>
      <c r="BR174" s="27" t="s">
        <v>7</v>
      </c>
      <c r="BS174" s="27" t="s">
        <v>8</v>
      </c>
      <c r="BT174" s="27" t="s">
        <v>7</v>
      </c>
      <c r="BU174" s="27" t="s">
        <v>8</v>
      </c>
      <c r="DB174" s="27" t="s">
        <v>7</v>
      </c>
      <c r="DC174" s="27" t="s">
        <v>8</v>
      </c>
      <c r="DD174" s="27" t="s">
        <v>7</v>
      </c>
      <c r="DE174" s="27" t="s">
        <v>8</v>
      </c>
      <c r="DF174" s="27" t="s">
        <v>7</v>
      </c>
      <c r="DG174" s="27" t="s">
        <v>8</v>
      </c>
      <c r="DH174" s="27" t="s">
        <v>7</v>
      </c>
      <c r="DI174" s="27" t="s">
        <v>8</v>
      </c>
      <c r="DK174" s="27" t="s">
        <v>8</v>
      </c>
      <c r="DL174" s="27" t="s">
        <v>7</v>
      </c>
      <c r="DM174" s="27" t="s">
        <v>8</v>
      </c>
      <c r="EA174" s="27" t="s">
        <v>8</v>
      </c>
      <c r="EC174" s="27" t="s">
        <v>8</v>
      </c>
      <c r="EE174" s="27" t="s">
        <v>8</v>
      </c>
      <c r="EF174" s="27" t="s">
        <v>7</v>
      </c>
      <c r="EG174" s="27" t="s">
        <v>8</v>
      </c>
      <c r="EO174" s="27" t="s">
        <v>8</v>
      </c>
      <c r="EP174" s="27" t="s">
        <v>7</v>
      </c>
      <c r="EQ174" s="27" t="s">
        <v>8</v>
      </c>
      <c r="ER174" s="27" t="s">
        <v>7</v>
      </c>
      <c r="EW174" s="27" t="s">
        <v>8</v>
      </c>
    </row>
    <row r="175" spans="1:154" x14ac:dyDescent="0.25">
      <c r="A175" s="30">
        <v>23.839900559179259</v>
      </c>
      <c r="E175" t="s">
        <v>8</v>
      </c>
      <c r="J175" s="27" t="s">
        <v>7</v>
      </c>
      <c r="K175" s="27" t="s">
        <v>8</v>
      </c>
      <c r="L175" s="27" t="s">
        <v>7</v>
      </c>
      <c r="M175" s="27" t="s">
        <v>8</v>
      </c>
      <c r="N175" s="27" t="s">
        <v>7</v>
      </c>
      <c r="AE175" s="27" t="s">
        <v>8</v>
      </c>
      <c r="BE175" s="27" t="s">
        <v>8</v>
      </c>
      <c r="BF175" s="27" t="s">
        <v>7</v>
      </c>
      <c r="BG175" s="27" t="s">
        <v>8</v>
      </c>
      <c r="BP175" s="27" t="s">
        <v>7</v>
      </c>
      <c r="BQ175" s="27" t="s">
        <v>8</v>
      </c>
      <c r="BR175" s="27" t="s">
        <v>7</v>
      </c>
      <c r="BS175" s="27" t="s">
        <v>8</v>
      </c>
      <c r="BT175" s="27" t="s">
        <v>7</v>
      </c>
      <c r="BU175" s="27" t="s">
        <v>8</v>
      </c>
      <c r="DB175" s="27" t="s">
        <v>7</v>
      </c>
      <c r="DC175" s="27" t="s">
        <v>8</v>
      </c>
      <c r="DD175" s="27" t="s">
        <v>7</v>
      </c>
      <c r="DE175" s="27" t="s">
        <v>8</v>
      </c>
      <c r="DF175" s="27" t="s">
        <v>7</v>
      </c>
      <c r="DG175" s="27" t="s">
        <v>8</v>
      </c>
      <c r="DH175" s="27" t="s">
        <v>7</v>
      </c>
      <c r="DI175" s="27" t="s">
        <v>8</v>
      </c>
      <c r="DJ175" s="27" t="s">
        <v>7</v>
      </c>
      <c r="DK175" s="27" t="s">
        <v>8</v>
      </c>
      <c r="DL175" s="27" t="s">
        <v>7</v>
      </c>
      <c r="DM175" s="27" t="s">
        <v>8</v>
      </c>
      <c r="DN175" s="27" t="s">
        <v>7</v>
      </c>
      <c r="EA175" s="27" t="s">
        <v>8</v>
      </c>
      <c r="EB175" s="27" t="s">
        <v>7</v>
      </c>
      <c r="EC175" s="27" t="s">
        <v>8</v>
      </c>
      <c r="ED175" s="27" t="s">
        <v>7</v>
      </c>
      <c r="EE175" s="27" t="s">
        <v>8</v>
      </c>
      <c r="EF175" s="27" t="s">
        <v>7</v>
      </c>
      <c r="EG175" s="27" t="s">
        <v>8</v>
      </c>
      <c r="EH175" s="27" t="s">
        <v>7</v>
      </c>
      <c r="EI175" s="27" t="s">
        <v>8</v>
      </c>
      <c r="EO175" s="27" t="s">
        <v>8</v>
      </c>
      <c r="EP175" s="27" t="s">
        <v>7</v>
      </c>
      <c r="EQ175" s="27" t="s">
        <v>8</v>
      </c>
      <c r="ER175" s="27" t="s">
        <v>7</v>
      </c>
      <c r="ES175" s="27" t="s">
        <v>8</v>
      </c>
      <c r="EW175" s="27" t="s">
        <v>8</v>
      </c>
      <c r="EX175" s="27" t="s">
        <v>7</v>
      </c>
    </row>
    <row r="176" spans="1:154" x14ac:dyDescent="0.25">
      <c r="A176" s="30">
        <v>22.704667199218342</v>
      </c>
      <c r="E176" t="s">
        <v>8</v>
      </c>
      <c r="J176" s="27" t="s">
        <v>7</v>
      </c>
      <c r="K176" s="27" t="s">
        <v>8</v>
      </c>
      <c r="L176" s="27" t="s">
        <v>7</v>
      </c>
      <c r="M176" s="27" t="s">
        <v>8</v>
      </c>
      <c r="N176" s="27" t="s">
        <v>7</v>
      </c>
      <c r="O176" s="27" t="s">
        <v>8</v>
      </c>
      <c r="AE176" s="27" t="s">
        <v>8</v>
      </c>
      <c r="AF176" s="27" t="s">
        <v>7</v>
      </c>
      <c r="AK176" s="27" t="s">
        <v>8</v>
      </c>
      <c r="BC176" s="27" t="s">
        <v>8</v>
      </c>
      <c r="BE176" s="27" t="s">
        <v>8</v>
      </c>
      <c r="BF176" s="27" t="s">
        <v>7</v>
      </c>
      <c r="BG176" s="27" t="s">
        <v>8</v>
      </c>
      <c r="BP176" s="27" t="s">
        <v>7</v>
      </c>
      <c r="BQ176" s="27" t="s">
        <v>8</v>
      </c>
      <c r="BR176" s="27" t="s">
        <v>7</v>
      </c>
      <c r="BS176" s="27" t="s">
        <v>8</v>
      </c>
      <c r="BT176" s="27" t="s">
        <v>7</v>
      </c>
      <c r="BU176" s="27" t="s">
        <v>8</v>
      </c>
      <c r="DB176" s="27" t="s">
        <v>7</v>
      </c>
      <c r="DC176" s="27" t="s">
        <v>8</v>
      </c>
      <c r="DD176" s="27" t="s">
        <v>7</v>
      </c>
      <c r="DE176" s="27" t="s">
        <v>8</v>
      </c>
      <c r="DF176" s="27" t="s">
        <v>7</v>
      </c>
      <c r="DG176" s="27" t="s">
        <v>8</v>
      </c>
      <c r="DH176" s="27" t="s">
        <v>7</v>
      </c>
      <c r="DI176" s="27" t="s">
        <v>8</v>
      </c>
      <c r="DJ176" s="27" t="s">
        <v>7</v>
      </c>
      <c r="DK176" s="27" t="s">
        <v>8</v>
      </c>
      <c r="DL176" s="27" t="s">
        <v>7</v>
      </c>
      <c r="DM176" s="27" t="s">
        <v>8</v>
      </c>
      <c r="DN176" s="27" t="s">
        <v>7</v>
      </c>
      <c r="DU176" s="27" t="s">
        <v>8</v>
      </c>
      <c r="EA176" s="27" t="s">
        <v>8</v>
      </c>
      <c r="EB176" s="27" t="s">
        <v>7</v>
      </c>
      <c r="EC176" s="27" t="s">
        <v>8</v>
      </c>
      <c r="ED176" s="27" t="s">
        <v>7</v>
      </c>
      <c r="EE176" s="27" t="s">
        <v>8</v>
      </c>
      <c r="EF176" s="27" t="s">
        <v>7</v>
      </c>
      <c r="EG176" s="27" t="s">
        <v>8</v>
      </c>
      <c r="EH176" s="27" t="s">
        <v>7</v>
      </c>
      <c r="EI176" s="27" t="s">
        <v>8</v>
      </c>
      <c r="EJ176" s="27" t="s">
        <v>7</v>
      </c>
      <c r="EO176" s="27" t="s">
        <v>8</v>
      </c>
      <c r="EP176" s="27" t="s">
        <v>7</v>
      </c>
      <c r="EQ176" s="27" t="s">
        <v>8</v>
      </c>
      <c r="ER176" s="27" t="s">
        <v>7</v>
      </c>
      <c r="ES176" s="27" t="s">
        <v>8</v>
      </c>
      <c r="ET176" s="27" t="s">
        <v>7</v>
      </c>
      <c r="EU176" s="27" t="s">
        <v>8</v>
      </c>
      <c r="EW176" s="27" t="s">
        <v>8</v>
      </c>
      <c r="EX176" s="27" t="s">
        <v>7</v>
      </c>
    </row>
    <row r="177" spans="1:166" x14ac:dyDescent="0.25">
      <c r="A177" s="30">
        <v>21.623492570684135</v>
      </c>
      <c r="E177" t="s">
        <v>8</v>
      </c>
      <c r="J177" s="27" t="s">
        <v>7</v>
      </c>
      <c r="K177" s="27" t="s">
        <v>8</v>
      </c>
      <c r="L177" s="27" t="s">
        <v>7</v>
      </c>
      <c r="M177" s="27" t="s">
        <v>8</v>
      </c>
      <c r="N177" s="27" t="s">
        <v>7</v>
      </c>
      <c r="O177" s="27" t="s">
        <v>8</v>
      </c>
      <c r="P177" s="27" t="s">
        <v>7</v>
      </c>
      <c r="AE177" s="27" t="s">
        <v>8</v>
      </c>
      <c r="AF177" s="27" t="s">
        <v>7</v>
      </c>
      <c r="AK177" s="27" t="s">
        <v>8</v>
      </c>
      <c r="AL177" s="27" t="s">
        <v>7</v>
      </c>
      <c r="AM177" s="27" t="s">
        <v>8</v>
      </c>
      <c r="BC177" s="27" t="s">
        <v>8</v>
      </c>
      <c r="BD177" s="27" t="s">
        <v>7</v>
      </c>
      <c r="BE177" s="27" t="s">
        <v>8</v>
      </c>
      <c r="BF177" s="27" t="s">
        <v>7</v>
      </c>
      <c r="BP177" s="27" t="s">
        <v>7</v>
      </c>
      <c r="BQ177" s="27" t="s">
        <v>8</v>
      </c>
      <c r="BR177" s="27" t="s">
        <v>7</v>
      </c>
      <c r="BT177" s="27" t="s">
        <v>7</v>
      </c>
      <c r="BU177" s="27" t="s">
        <v>8</v>
      </c>
      <c r="DB177" s="27" t="s">
        <v>7</v>
      </c>
      <c r="DC177" s="27" t="s">
        <v>8</v>
      </c>
      <c r="DD177" s="27" t="s">
        <v>7</v>
      </c>
      <c r="DE177" s="27" t="s">
        <v>8</v>
      </c>
      <c r="DF177" s="27" t="s">
        <v>7</v>
      </c>
      <c r="DG177" s="27" t="s">
        <v>8</v>
      </c>
      <c r="DH177" s="27" t="s">
        <v>7</v>
      </c>
      <c r="DI177" s="27" t="s">
        <v>8</v>
      </c>
      <c r="DJ177" s="27" t="s">
        <v>7</v>
      </c>
      <c r="DK177" s="27" t="s">
        <v>8</v>
      </c>
      <c r="DL177" s="27" t="s">
        <v>7</v>
      </c>
      <c r="DM177" s="27" t="s">
        <v>8</v>
      </c>
      <c r="DN177" s="27" t="s">
        <v>7</v>
      </c>
      <c r="DU177" s="27" t="s">
        <v>8</v>
      </c>
      <c r="DV177" s="27" t="s">
        <v>7</v>
      </c>
      <c r="EA177" s="27" t="s">
        <v>8</v>
      </c>
      <c r="EB177" s="27" t="s">
        <v>7</v>
      </c>
      <c r="ED177" s="27" t="s">
        <v>7</v>
      </c>
      <c r="EF177" s="27" t="s">
        <v>7</v>
      </c>
      <c r="EG177" s="27" t="s">
        <v>8</v>
      </c>
      <c r="EH177" s="27" t="s">
        <v>7</v>
      </c>
      <c r="EI177" s="27" t="s">
        <v>8</v>
      </c>
      <c r="EJ177" s="27" t="s">
        <v>7</v>
      </c>
      <c r="EO177" s="27" t="s">
        <v>8</v>
      </c>
      <c r="EP177" s="27" t="s">
        <v>7</v>
      </c>
      <c r="ER177" s="27" t="s">
        <v>7</v>
      </c>
      <c r="ES177" s="27" t="s">
        <v>8</v>
      </c>
      <c r="ET177" s="27" t="s">
        <v>7</v>
      </c>
      <c r="EU177" s="27" t="s">
        <v>8</v>
      </c>
      <c r="EV177" s="27" t="s">
        <v>7</v>
      </c>
      <c r="EW177" s="27" t="s">
        <v>8</v>
      </c>
      <c r="EX177" s="27" t="s">
        <v>7</v>
      </c>
    </row>
    <row r="178" spans="1:166" x14ac:dyDescent="0.25">
      <c r="A178" s="30">
        <v>20.593802448270605</v>
      </c>
      <c r="C178" s="7"/>
      <c r="D178"/>
      <c r="E178" t="s">
        <v>8</v>
      </c>
      <c r="J178" s="27" t="s">
        <v>7</v>
      </c>
      <c r="K178" s="27" t="s">
        <v>8</v>
      </c>
      <c r="L178" s="27" t="s">
        <v>7</v>
      </c>
      <c r="M178" s="27" t="s">
        <v>8</v>
      </c>
      <c r="N178" s="27" t="s">
        <v>7</v>
      </c>
      <c r="O178" s="27" t="s">
        <v>8</v>
      </c>
      <c r="P178" s="27" t="s">
        <v>7</v>
      </c>
      <c r="AE178" s="27" t="s">
        <v>8</v>
      </c>
      <c r="AF178" s="27" t="s">
        <v>7</v>
      </c>
      <c r="AK178" s="27" t="s">
        <v>8</v>
      </c>
      <c r="AL178" s="27" t="s">
        <v>7</v>
      </c>
      <c r="AM178" s="27" t="s">
        <v>8</v>
      </c>
      <c r="AN178" s="27" t="s">
        <v>7</v>
      </c>
      <c r="BC178" s="27" t="s">
        <v>8</v>
      </c>
      <c r="BD178" s="27" t="s">
        <v>7</v>
      </c>
      <c r="BE178" s="27" t="s">
        <v>8</v>
      </c>
      <c r="BP178" s="27" t="s">
        <v>7</v>
      </c>
      <c r="BQ178" s="27" t="s">
        <v>8</v>
      </c>
      <c r="BT178" s="27" t="s">
        <v>7</v>
      </c>
      <c r="DB178" s="27" t="s">
        <v>7</v>
      </c>
      <c r="DC178" s="27" t="s">
        <v>8</v>
      </c>
      <c r="DD178" s="27" t="s">
        <v>7</v>
      </c>
      <c r="DE178" s="27" t="s">
        <v>8</v>
      </c>
      <c r="DF178" s="27" t="s">
        <v>7</v>
      </c>
      <c r="DG178" s="27" t="s">
        <v>8</v>
      </c>
      <c r="DH178" s="27" t="s">
        <v>7</v>
      </c>
      <c r="DI178" s="27" t="s">
        <v>8</v>
      </c>
      <c r="DJ178" s="27" t="s">
        <v>7</v>
      </c>
      <c r="DK178" s="27" t="s">
        <v>8</v>
      </c>
      <c r="DL178" s="27" t="s">
        <v>7</v>
      </c>
      <c r="DM178" s="27" t="s">
        <v>8</v>
      </c>
      <c r="DN178" s="27" t="s">
        <v>7</v>
      </c>
      <c r="DU178" s="27" t="s">
        <v>8</v>
      </c>
      <c r="DV178" s="27" t="s">
        <v>7</v>
      </c>
      <c r="EA178" s="27" t="s">
        <v>8</v>
      </c>
      <c r="EF178" s="27" t="s">
        <v>7</v>
      </c>
      <c r="EG178" s="27" t="s">
        <v>8</v>
      </c>
      <c r="EH178" s="27" t="s">
        <v>7</v>
      </c>
      <c r="EI178" s="27" t="s">
        <v>8</v>
      </c>
      <c r="EJ178" s="27" t="s">
        <v>7</v>
      </c>
      <c r="EK178" s="27" t="s">
        <v>8</v>
      </c>
      <c r="EM178" s="27" t="s">
        <v>8</v>
      </c>
      <c r="EO178" s="27" t="s">
        <v>8</v>
      </c>
      <c r="ER178" s="27" t="s">
        <v>7</v>
      </c>
      <c r="ES178" s="27" t="s">
        <v>8</v>
      </c>
      <c r="ET178" s="27" t="s">
        <v>7</v>
      </c>
      <c r="EU178" s="27" t="s">
        <v>8</v>
      </c>
      <c r="EV178" s="27" t="s">
        <v>7</v>
      </c>
      <c r="EW178" s="27" t="s">
        <v>8</v>
      </c>
      <c r="EX178" s="27" t="s">
        <v>7</v>
      </c>
    </row>
    <row r="179" spans="1:166" x14ac:dyDescent="0.25">
      <c r="A179" s="30">
        <v>19.613145188829147</v>
      </c>
      <c r="E179" t="s">
        <v>8</v>
      </c>
      <c r="J179" s="27" t="s">
        <v>7</v>
      </c>
      <c r="K179" s="27" t="s">
        <v>8</v>
      </c>
      <c r="L179" s="27" t="s">
        <v>7</v>
      </c>
      <c r="M179" s="27" t="s">
        <v>8</v>
      </c>
      <c r="N179" s="27" t="s">
        <v>7</v>
      </c>
      <c r="O179" s="27" t="s">
        <v>8</v>
      </c>
      <c r="P179" s="27" t="s">
        <v>7</v>
      </c>
      <c r="AE179" s="27" t="s">
        <v>8</v>
      </c>
      <c r="AF179" s="27" t="s">
        <v>7</v>
      </c>
      <c r="AI179" s="27" t="s">
        <v>8</v>
      </c>
      <c r="AK179" s="27" t="s">
        <v>8</v>
      </c>
      <c r="AL179" s="27" t="s">
        <v>7</v>
      </c>
      <c r="AM179" s="27" t="s">
        <v>8</v>
      </c>
      <c r="AN179" s="27" t="s">
        <v>7</v>
      </c>
      <c r="BC179" s="27" t="s">
        <v>8</v>
      </c>
      <c r="BD179" s="27" t="s">
        <v>7</v>
      </c>
      <c r="BP179" s="27" t="s">
        <v>7</v>
      </c>
      <c r="DB179" s="27" t="s">
        <v>7</v>
      </c>
      <c r="DC179" s="27" t="s">
        <v>8</v>
      </c>
      <c r="DD179" s="27" t="s">
        <v>7</v>
      </c>
      <c r="DE179" s="27" t="s">
        <v>8</v>
      </c>
      <c r="DF179" s="27" t="s">
        <v>7</v>
      </c>
      <c r="DG179" s="27" t="s">
        <v>8</v>
      </c>
      <c r="DH179" s="27" t="s">
        <v>7</v>
      </c>
      <c r="DJ179" s="27" t="s">
        <v>7</v>
      </c>
      <c r="DK179" s="27" t="s">
        <v>8</v>
      </c>
      <c r="DL179" s="27" t="s">
        <v>7</v>
      </c>
      <c r="DN179" s="27" t="s">
        <v>7</v>
      </c>
      <c r="DU179" s="27" t="s">
        <v>8</v>
      </c>
      <c r="DV179" s="27" t="s">
        <v>7</v>
      </c>
      <c r="EA179" s="27" t="s">
        <v>8</v>
      </c>
      <c r="EF179" s="27" t="s">
        <v>7</v>
      </c>
      <c r="EH179" s="27" t="s">
        <v>7</v>
      </c>
      <c r="EJ179" s="27" t="s">
        <v>7</v>
      </c>
      <c r="EK179" s="27" t="s">
        <v>8</v>
      </c>
      <c r="EL179" s="27" t="s">
        <v>7</v>
      </c>
      <c r="EM179" s="27" t="s">
        <v>8</v>
      </c>
      <c r="EN179" s="27" t="s">
        <v>7</v>
      </c>
      <c r="EO179" s="27" t="s">
        <v>8</v>
      </c>
      <c r="ER179" s="27" t="s">
        <v>7</v>
      </c>
      <c r="ES179" s="27" t="s">
        <v>8</v>
      </c>
      <c r="ET179" s="27" t="s">
        <v>7</v>
      </c>
      <c r="EV179" s="27" t="s">
        <v>7</v>
      </c>
      <c r="EW179" s="27" t="s">
        <v>8</v>
      </c>
      <c r="EX179" s="27" t="s">
        <v>7</v>
      </c>
    </row>
    <row r="180" spans="1:166" x14ac:dyDescent="0.25">
      <c r="A180" s="30">
        <v>18.679185894122998</v>
      </c>
      <c r="E180" t="s">
        <v>8</v>
      </c>
      <c r="J180" s="27" t="s">
        <v>7</v>
      </c>
      <c r="K180" s="27" t="s">
        <v>8</v>
      </c>
      <c r="L180" s="27" t="s">
        <v>7</v>
      </c>
      <c r="M180" s="27" t="s">
        <v>8</v>
      </c>
      <c r="N180" s="27" t="s">
        <v>7</v>
      </c>
      <c r="O180" s="27" t="s">
        <v>8</v>
      </c>
      <c r="P180" s="27" t="s">
        <v>7</v>
      </c>
      <c r="AE180" s="27" t="s">
        <v>8</v>
      </c>
      <c r="AF180" s="27" t="s">
        <v>7</v>
      </c>
      <c r="AG180" s="27" t="s">
        <v>8</v>
      </c>
      <c r="AI180" s="27" t="s">
        <v>8</v>
      </c>
      <c r="AJ180" s="27" t="s">
        <v>7</v>
      </c>
      <c r="AK180" s="27" t="s">
        <v>8</v>
      </c>
      <c r="AL180" s="27" t="s">
        <v>7</v>
      </c>
      <c r="AM180" s="27" t="s">
        <v>8</v>
      </c>
      <c r="AN180" s="27" t="s">
        <v>7</v>
      </c>
      <c r="BC180" s="27" t="s">
        <v>8</v>
      </c>
      <c r="DB180" s="27" t="s">
        <v>7</v>
      </c>
      <c r="DC180" s="27" t="s">
        <v>8</v>
      </c>
      <c r="DD180" s="27" t="s">
        <v>7</v>
      </c>
      <c r="DE180" s="27" t="s">
        <v>8</v>
      </c>
      <c r="DF180" s="27" t="s">
        <v>7</v>
      </c>
      <c r="DG180" s="27" t="s">
        <v>8</v>
      </c>
      <c r="DJ180" s="27" t="s">
        <v>7</v>
      </c>
      <c r="DK180" s="27" t="s">
        <v>8</v>
      </c>
      <c r="DN180" s="27" t="s">
        <v>7</v>
      </c>
      <c r="DU180" s="27" t="s">
        <v>8</v>
      </c>
      <c r="DV180" s="27" t="s">
        <v>7</v>
      </c>
      <c r="DW180" s="27" t="s">
        <v>8</v>
      </c>
      <c r="DY180" s="27" t="s">
        <v>8</v>
      </c>
      <c r="EA180" s="27" t="s">
        <v>8</v>
      </c>
      <c r="EJ180" s="27" t="s">
        <v>7</v>
      </c>
      <c r="EK180" s="27" t="s">
        <v>8</v>
      </c>
      <c r="EL180" s="27" t="s">
        <v>7</v>
      </c>
      <c r="EM180" s="27" t="s">
        <v>8</v>
      </c>
      <c r="EN180" s="27" t="s">
        <v>7</v>
      </c>
      <c r="EO180" s="27" t="s">
        <v>8</v>
      </c>
      <c r="ER180" s="27" t="s">
        <v>7</v>
      </c>
      <c r="EV180" s="27" t="s">
        <v>7</v>
      </c>
      <c r="EW180" s="27" t="s">
        <v>8</v>
      </c>
      <c r="EX180" s="27" t="s">
        <v>7</v>
      </c>
      <c r="FC180" s="27" t="s">
        <v>8</v>
      </c>
    </row>
    <row r="181" spans="1:166" x14ac:dyDescent="0.25">
      <c r="A181" s="30">
        <v>17.78970085154571</v>
      </c>
      <c r="C181"/>
      <c r="D181"/>
      <c r="E181" t="s">
        <v>8</v>
      </c>
      <c r="J181" s="27" t="s">
        <v>7</v>
      </c>
      <c r="K181" s="27" t="s">
        <v>8</v>
      </c>
      <c r="L181" s="27" t="s">
        <v>7</v>
      </c>
      <c r="M181" s="27" t="s">
        <v>8</v>
      </c>
      <c r="N181" s="27" t="s">
        <v>7</v>
      </c>
      <c r="O181" s="27" t="s">
        <v>8</v>
      </c>
      <c r="P181" s="27" t="s">
        <v>7</v>
      </c>
      <c r="AE181" s="27" t="s">
        <v>8</v>
      </c>
      <c r="AF181" s="27" t="s">
        <v>7</v>
      </c>
      <c r="AG181" s="27" t="s">
        <v>8</v>
      </c>
      <c r="AH181" s="27" t="s">
        <v>7</v>
      </c>
      <c r="AI181" s="27" t="s">
        <v>8</v>
      </c>
      <c r="AJ181" s="27" t="s">
        <v>7</v>
      </c>
      <c r="AK181" s="27" t="s">
        <v>8</v>
      </c>
      <c r="AL181" s="27" t="s">
        <v>7</v>
      </c>
      <c r="AM181" s="27" t="s">
        <v>8</v>
      </c>
      <c r="AN181" s="27" t="s">
        <v>7</v>
      </c>
      <c r="AW181" s="27" t="s">
        <v>8</v>
      </c>
      <c r="BC181" s="27" t="s">
        <v>8</v>
      </c>
      <c r="DB181" s="27" t="s">
        <v>7</v>
      </c>
      <c r="DC181" s="27" t="s">
        <v>8</v>
      </c>
      <c r="DD181" s="27" t="s">
        <v>7</v>
      </c>
      <c r="DE181" s="27" t="s">
        <v>8</v>
      </c>
      <c r="DF181" s="27" t="s">
        <v>7</v>
      </c>
      <c r="DJ181" s="27" t="s">
        <v>7</v>
      </c>
      <c r="DK181" s="27" t="s">
        <v>8</v>
      </c>
      <c r="DN181" s="27" t="s">
        <v>7</v>
      </c>
      <c r="DU181" s="27" t="s">
        <v>8</v>
      </c>
      <c r="DV181" s="27" t="s">
        <v>7</v>
      </c>
      <c r="DW181" s="27" t="s">
        <v>8</v>
      </c>
      <c r="DX181" s="27" t="s">
        <v>7</v>
      </c>
      <c r="DY181" s="27" t="s">
        <v>8</v>
      </c>
      <c r="DZ181" s="27" t="s">
        <v>7</v>
      </c>
      <c r="EA181" s="27" t="s">
        <v>8</v>
      </c>
      <c r="EJ181" s="27" t="s">
        <v>7</v>
      </c>
      <c r="EK181" s="27" t="s">
        <v>8</v>
      </c>
      <c r="EL181" s="27" t="s">
        <v>7</v>
      </c>
      <c r="EM181" s="27" t="s">
        <v>8</v>
      </c>
      <c r="EN181" s="27" t="s">
        <v>7</v>
      </c>
      <c r="EV181" s="27" t="s">
        <v>7</v>
      </c>
      <c r="EX181" s="27" t="s">
        <v>7</v>
      </c>
      <c r="FC181" s="27" t="s">
        <v>8</v>
      </c>
      <c r="FD181" s="27" t="s">
        <v>7</v>
      </c>
    </row>
    <row r="182" spans="1:166" x14ac:dyDescent="0.25">
      <c r="A182" s="30">
        <v>16.942572239567344</v>
      </c>
      <c r="E182" t="s">
        <v>8</v>
      </c>
      <c r="J182" s="27" t="s">
        <v>7</v>
      </c>
      <c r="K182" s="27" t="s">
        <v>8</v>
      </c>
      <c r="L182" s="27" t="s">
        <v>7</v>
      </c>
      <c r="N182" s="27" t="s">
        <v>7</v>
      </c>
      <c r="P182" s="27" t="s">
        <v>7</v>
      </c>
      <c r="AE182" s="27" t="s">
        <v>8</v>
      </c>
      <c r="AF182" s="27" t="s">
        <v>7</v>
      </c>
      <c r="AG182" s="27" t="s">
        <v>8</v>
      </c>
      <c r="AH182" s="27" t="s">
        <v>7</v>
      </c>
      <c r="AI182" s="27" t="s">
        <v>8</v>
      </c>
      <c r="AJ182" s="27" t="s">
        <v>7</v>
      </c>
      <c r="AK182" s="27" t="s">
        <v>8</v>
      </c>
      <c r="AL182" s="27" t="s">
        <v>7</v>
      </c>
      <c r="AN182" s="27" t="s">
        <v>7</v>
      </c>
      <c r="AW182" s="27" t="s">
        <v>8</v>
      </c>
      <c r="AX182" s="27" t="s">
        <v>7</v>
      </c>
      <c r="BA182" s="27" t="s">
        <v>8</v>
      </c>
      <c r="BC182" s="27" t="s">
        <v>8</v>
      </c>
      <c r="DB182" s="27" t="s">
        <v>7</v>
      </c>
      <c r="DD182" s="27" t="s">
        <v>7</v>
      </c>
      <c r="DE182" s="27" t="s">
        <v>8</v>
      </c>
      <c r="DJ182" s="27" t="s">
        <v>7</v>
      </c>
      <c r="DN182" s="27" t="s">
        <v>7</v>
      </c>
      <c r="DO182" s="27" t="s">
        <v>8</v>
      </c>
      <c r="DU182" s="27" t="s">
        <v>8</v>
      </c>
      <c r="DV182" s="27" t="s">
        <v>7</v>
      </c>
      <c r="DW182" s="27" t="s">
        <v>8</v>
      </c>
      <c r="DX182" s="27" t="s">
        <v>7</v>
      </c>
      <c r="DY182" s="27" t="s">
        <v>8</v>
      </c>
      <c r="DZ182" s="27" t="s">
        <v>7</v>
      </c>
      <c r="EA182" s="27" t="s">
        <v>8</v>
      </c>
      <c r="EJ182" s="27" t="s">
        <v>7</v>
      </c>
      <c r="EK182" s="27" t="s">
        <v>8</v>
      </c>
      <c r="EL182" s="27" t="s">
        <v>7</v>
      </c>
      <c r="EM182" s="27" t="s">
        <v>8</v>
      </c>
      <c r="EX182" s="27" t="s">
        <v>7</v>
      </c>
      <c r="FA182" s="27" t="s">
        <v>8</v>
      </c>
      <c r="FC182" s="27" t="s">
        <v>8</v>
      </c>
      <c r="FD182" s="27" t="s">
        <v>7</v>
      </c>
      <c r="FE182" s="27" t="s">
        <v>8</v>
      </c>
    </row>
    <row r="183" spans="1:166" x14ac:dyDescent="0.25">
      <c r="A183" s="30">
        <v>16.135783085302233</v>
      </c>
      <c r="E183" t="s">
        <v>8</v>
      </c>
      <c r="J183" s="27" t="s">
        <v>7</v>
      </c>
      <c r="K183" s="27" t="s">
        <v>8</v>
      </c>
      <c r="P183" s="27" t="s">
        <v>7</v>
      </c>
      <c r="AE183" s="27" t="s">
        <v>8</v>
      </c>
      <c r="AF183" s="27" t="s">
        <v>7</v>
      </c>
      <c r="AH183" s="27" t="s">
        <v>7</v>
      </c>
      <c r="AI183" s="27" t="s">
        <v>8</v>
      </c>
      <c r="AJ183" s="27" t="s">
        <v>7</v>
      </c>
      <c r="AK183" s="27" t="s">
        <v>8</v>
      </c>
      <c r="AN183" s="27" t="s">
        <v>7</v>
      </c>
      <c r="AO183" s="27" t="s">
        <v>8</v>
      </c>
      <c r="AQ183" s="27" t="s">
        <v>8</v>
      </c>
      <c r="AW183" s="27" t="s">
        <v>8</v>
      </c>
      <c r="AX183" s="27" t="s">
        <v>7</v>
      </c>
      <c r="AY183" s="27" t="s">
        <v>8</v>
      </c>
      <c r="BA183" s="27" t="s">
        <v>8</v>
      </c>
      <c r="BB183" s="27" t="s">
        <v>7</v>
      </c>
      <c r="BC183" s="27" t="s">
        <v>8</v>
      </c>
      <c r="DD183" s="27" t="s">
        <v>7</v>
      </c>
      <c r="DE183" s="27" t="s">
        <v>8</v>
      </c>
      <c r="DN183" s="27" t="s">
        <v>7</v>
      </c>
      <c r="DO183" s="27" t="s">
        <v>8</v>
      </c>
      <c r="DP183" s="27" t="s">
        <v>7</v>
      </c>
      <c r="DQ183" s="27" t="s">
        <v>8</v>
      </c>
      <c r="DS183" s="27" t="s">
        <v>8</v>
      </c>
      <c r="DU183" s="27" t="s">
        <v>8</v>
      </c>
      <c r="DV183" s="27" t="s">
        <v>7</v>
      </c>
      <c r="DW183" s="27" t="s">
        <v>8</v>
      </c>
      <c r="DX183" s="27" t="s">
        <v>7</v>
      </c>
      <c r="DY183" s="27" t="s">
        <v>8</v>
      </c>
      <c r="DZ183" s="27" t="s">
        <v>7</v>
      </c>
      <c r="EJ183" s="27" t="s">
        <v>7</v>
      </c>
      <c r="EL183" s="27" t="s">
        <v>7</v>
      </c>
      <c r="EM183" s="27" t="s">
        <v>8</v>
      </c>
      <c r="EX183" s="27" t="s">
        <v>7</v>
      </c>
      <c r="EY183" s="27" t="s">
        <v>8</v>
      </c>
      <c r="FA183" s="27" t="s">
        <v>8</v>
      </c>
      <c r="FB183" s="27" t="s">
        <v>7</v>
      </c>
      <c r="FC183" s="27" t="s">
        <v>8</v>
      </c>
      <c r="FD183" s="27" t="s">
        <v>7</v>
      </c>
      <c r="FE183" s="27" t="s">
        <v>8</v>
      </c>
      <c r="FF183" s="27" t="s">
        <v>7</v>
      </c>
    </row>
    <row r="184" spans="1:166" x14ac:dyDescent="0.25">
      <c r="A184" s="30">
        <v>15.367412462192602</v>
      </c>
      <c r="E184" t="s">
        <v>8</v>
      </c>
      <c r="J184" s="27" t="s">
        <v>7</v>
      </c>
      <c r="K184" s="27" t="s">
        <v>8</v>
      </c>
      <c r="P184" s="27" t="s">
        <v>7</v>
      </c>
      <c r="AE184" s="27" t="s">
        <v>8</v>
      </c>
      <c r="AH184" s="27" t="s">
        <v>7</v>
      </c>
      <c r="AI184" s="27" t="s">
        <v>8</v>
      </c>
      <c r="AJ184" s="27" t="s">
        <v>7</v>
      </c>
      <c r="AK184" s="27" t="s">
        <v>8</v>
      </c>
      <c r="AN184" s="27" t="s">
        <v>7</v>
      </c>
      <c r="AO184" s="27" t="s">
        <v>8</v>
      </c>
      <c r="AP184" s="27" t="s">
        <v>7</v>
      </c>
      <c r="AQ184" s="27" t="s">
        <v>8</v>
      </c>
      <c r="AR184" s="27" t="s">
        <v>7</v>
      </c>
      <c r="AS184" s="27" t="s">
        <v>8</v>
      </c>
      <c r="AU184" s="27" t="s">
        <v>8</v>
      </c>
      <c r="AW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  <c r="BB184" s="27" t="s">
        <v>7</v>
      </c>
      <c r="BC184" s="27" t="s">
        <v>8</v>
      </c>
      <c r="DD184" s="27" t="s">
        <v>7</v>
      </c>
      <c r="DE184" s="27" t="s">
        <v>8</v>
      </c>
      <c r="DN184" s="27" t="s">
        <v>7</v>
      </c>
      <c r="DO184" s="27" t="s">
        <v>8</v>
      </c>
      <c r="DP184" s="27" t="s">
        <v>7</v>
      </c>
      <c r="DQ184" s="27" t="s">
        <v>8</v>
      </c>
      <c r="DR184" s="27" t="s">
        <v>7</v>
      </c>
      <c r="DS184" s="27" t="s">
        <v>8</v>
      </c>
      <c r="DT184" s="27" t="s">
        <v>7</v>
      </c>
      <c r="DU184" s="27" t="s">
        <v>8</v>
      </c>
      <c r="DV184" s="27" t="s">
        <v>7</v>
      </c>
      <c r="DW184" s="27" t="s">
        <v>8</v>
      </c>
      <c r="DX184" s="27" t="s">
        <v>7</v>
      </c>
      <c r="DY184" s="27" t="s">
        <v>8</v>
      </c>
      <c r="EL184" s="27" t="s">
        <v>7</v>
      </c>
      <c r="EM184" s="27" t="s">
        <v>8</v>
      </c>
      <c r="EX184" s="27" t="s">
        <v>7</v>
      </c>
      <c r="EY184" s="27" t="s">
        <v>8</v>
      </c>
      <c r="EZ184" s="27" t="s">
        <v>7</v>
      </c>
      <c r="FA184" s="27" t="s">
        <v>8</v>
      </c>
      <c r="FB184" s="27" t="s">
        <v>7</v>
      </c>
      <c r="FC184" s="27" t="s">
        <v>8</v>
      </c>
      <c r="FD184" s="27" t="s">
        <v>7</v>
      </c>
      <c r="FE184" s="27" t="s">
        <v>8</v>
      </c>
      <c r="FF184" s="27" t="s">
        <v>7</v>
      </c>
      <c r="FI184" s="27" t="s">
        <v>8</v>
      </c>
    </row>
    <row r="185" spans="1:166" x14ac:dyDescent="0.25">
      <c r="A185" s="30">
        <v>14.635630916373906</v>
      </c>
      <c r="C185"/>
      <c r="E185" t="s">
        <v>8</v>
      </c>
      <c r="J185" s="27" t="s">
        <v>7</v>
      </c>
      <c r="P185" s="27" t="s">
        <v>7</v>
      </c>
      <c r="W185" s="27" t="s">
        <v>8</v>
      </c>
      <c r="AE185" s="27" t="s">
        <v>8</v>
      </c>
      <c r="AH185" s="27" t="s">
        <v>7</v>
      </c>
      <c r="AI185" s="27" t="s">
        <v>8</v>
      </c>
      <c r="AJ185" s="27" t="s">
        <v>7</v>
      </c>
      <c r="AN185" s="27" t="s">
        <v>7</v>
      </c>
      <c r="AO185" s="27" t="s">
        <v>8</v>
      </c>
      <c r="AP185" s="27" t="s">
        <v>7</v>
      </c>
      <c r="AQ185" s="27" t="s">
        <v>8</v>
      </c>
      <c r="AR185" s="27" t="s">
        <v>7</v>
      </c>
      <c r="AS185" s="27" t="s">
        <v>8</v>
      </c>
      <c r="AT185" s="27" t="s">
        <v>7</v>
      </c>
      <c r="AU185" s="27" t="s">
        <v>8</v>
      </c>
      <c r="AV185" s="27" t="s">
        <v>7</v>
      </c>
      <c r="AW185" s="27" t="s">
        <v>8</v>
      </c>
      <c r="AX185" s="27" t="s">
        <v>7</v>
      </c>
      <c r="AY185" s="27" t="s">
        <v>8</v>
      </c>
      <c r="AZ185" s="27" t="s">
        <v>7</v>
      </c>
      <c r="BA185" s="27" t="s">
        <v>8</v>
      </c>
      <c r="BB185" s="27" t="s">
        <v>7</v>
      </c>
      <c r="BC185" s="27" t="s">
        <v>8</v>
      </c>
      <c r="DD185" s="27" t="s">
        <v>7</v>
      </c>
      <c r="DN185" s="27" t="s">
        <v>7</v>
      </c>
      <c r="DO185" s="27" t="s">
        <v>8</v>
      </c>
      <c r="DP185" s="27" t="s">
        <v>7</v>
      </c>
      <c r="DQ185" s="27" t="s">
        <v>8</v>
      </c>
      <c r="DR185" s="27" t="s">
        <v>7</v>
      </c>
      <c r="DS185" s="27" t="s">
        <v>8</v>
      </c>
      <c r="DT185" s="27" t="s">
        <v>7</v>
      </c>
      <c r="DU185" s="27" t="s">
        <v>8</v>
      </c>
      <c r="DV185" s="27" t="s">
        <v>7</v>
      </c>
      <c r="DX185" s="18" t="s">
        <v>7</v>
      </c>
      <c r="DY185" s="27" t="s">
        <v>8</v>
      </c>
      <c r="EL185" s="27" t="s">
        <v>7</v>
      </c>
      <c r="EX185" s="27" t="s">
        <v>7</v>
      </c>
      <c r="EY185" s="27" t="s">
        <v>8</v>
      </c>
      <c r="EZ185" s="27" t="s">
        <v>7</v>
      </c>
      <c r="FA185" s="27" t="s">
        <v>8</v>
      </c>
      <c r="FB185" s="27" t="s">
        <v>7</v>
      </c>
      <c r="FC185" s="27" t="s">
        <v>8</v>
      </c>
      <c r="FD185" s="27" t="s">
        <v>7</v>
      </c>
      <c r="FF185" s="27" t="s">
        <v>7</v>
      </c>
      <c r="FG185" s="27" t="s">
        <v>8</v>
      </c>
      <c r="FI185" s="27" t="s">
        <v>8</v>
      </c>
      <c r="FJ185" s="27" t="s">
        <v>7</v>
      </c>
    </row>
    <row r="186" spans="1:166" x14ac:dyDescent="0.25">
      <c r="A186" s="30">
        <v>13.938696110832291</v>
      </c>
      <c r="E186" t="s">
        <v>8</v>
      </c>
      <c r="P186" s="27" t="s">
        <v>7</v>
      </c>
      <c r="W186" s="27" t="s">
        <v>8</v>
      </c>
      <c r="X186" s="27" t="s">
        <v>7</v>
      </c>
      <c r="AE186" s="27" t="s">
        <v>8</v>
      </c>
      <c r="AH186" s="27" t="s">
        <v>7</v>
      </c>
      <c r="AI186" s="27" t="s">
        <v>8</v>
      </c>
      <c r="AN186" s="27" t="s">
        <v>7</v>
      </c>
      <c r="AO186" s="27" t="s">
        <v>8</v>
      </c>
      <c r="AP186" s="27" t="s">
        <v>7</v>
      </c>
      <c r="AR186" s="27" t="s">
        <v>7</v>
      </c>
      <c r="AS186" s="27" t="s">
        <v>8</v>
      </c>
      <c r="AT186" s="27" t="s">
        <v>7</v>
      </c>
      <c r="AU186" s="27" t="s">
        <v>8</v>
      </c>
      <c r="AV186" s="27" t="s">
        <v>7</v>
      </c>
      <c r="AW186" s="27" t="s">
        <v>8</v>
      </c>
      <c r="AX186" s="27" t="s">
        <v>7</v>
      </c>
      <c r="AZ186" s="27" t="s">
        <v>7</v>
      </c>
      <c r="BA186" s="27" t="s">
        <v>8</v>
      </c>
      <c r="BB186" s="27" t="s">
        <v>7</v>
      </c>
      <c r="DN186" s="27" t="s">
        <v>7</v>
      </c>
      <c r="DO186" s="27" t="s">
        <v>8</v>
      </c>
      <c r="DP186" s="27" t="s">
        <v>7</v>
      </c>
      <c r="DQ186" s="27" t="s">
        <v>8</v>
      </c>
      <c r="DR186" s="27" t="s">
        <v>7</v>
      </c>
      <c r="DS186" s="27" t="s">
        <v>8</v>
      </c>
      <c r="DT186" s="27" t="s">
        <v>7</v>
      </c>
      <c r="DX186" s="27" t="s">
        <v>7</v>
      </c>
      <c r="DY186" s="27" t="s">
        <v>8</v>
      </c>
      <c r="EX186" s="27" t="s">
        <v>7</v>
      </c>
      <c r="EZ186" s="27" t="s">
        <v>7</v>
      </c>
      <c r="FB186" s="27" t="s">
        <v>7</v>
      </c>
      <c r="FF186" s="27" t="s">
        <v>7</v>
      </c>
      <c r="FG186" s="27" t="s">
        <v>8</v>
      </c>
      <c r="FH186" s="27" t="s">
        <v>7</v>
      </c>
      <c r="FI186" s="27" t="s">
        <v>8</v>
      </c>
      <c r="FJ186" s="27" t="s">
        <v>7</v>
      </c>
    </row>
    <row r="187" spans="1:16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P187" s="27" t="s">
        <v>7</v>
      </c>
      <c r="W187" s="27" t="s">
        <v>8</v>
      </c>
      <c r="X187" s="27" t="s">
        <v>7</v>
      </c>
      <c r="AE187" s="27" t="s">
        <v>8</v>
      </c>
      <c r="AH187" s="27" t="s">
        <v>7</v>
      </c>
      <c r="AN187" s="27" t="s">
        <v>7</v>
      </c>
      <c r="AR187" s="27" t="s">
        <v>7</v>
      </c>
      <c r="AS187" s="27" t="s">
        <v>8</v>
      </c>
      <c r="AT187" s="27" t="s">
        <v>7</v>
      </c>
      <c r="AV187" s="27" t="s">
        <v>7</v>
      </c>
      <c r="AW187" s="27" t="s">
        <v>8</v>
      </c>
      <c r="AZ187" s="27" t="s">
        <v>7</v>
      </c>
      <c r="DN187" s="27" t="s">
        <v>7</v>
      </c>
      <c r="DO187" s="27" t="s">
        <v>8</v>
      </c>
      <c r="DP187" s="27" t="s">
        <v>7</v>
      </c>
      <c r="DQ187" s="27" t="s">
        <v>8</v>
      </c>
      <c r="DR187" s="27" t="s">
        <v>7</v>
      </c>
      <c r="DX187" s="27" t="s">
        <v>7</v>
      </c>
      <c r="FF187" s="27" t="s">
        <v>7</v>
      </c>
      <c r="FG187" s="27" t="s">
        <v>8</v>
      </c>
      <c r="FH187" s="27" t="s">
        <v>7</v>
      </c>
      <c r="FI187" s="27" t="s">
        <v>8</v>
      </c>
      <c r="FJ187" s="27" t="s">
        <v>7</v>
      </c>
    </row>
    <row r="188" spans="1:166" x14ac:dyDescent="0.25">
      <c r="A188" s="30">
        <v>12.64280826379346</v>
      </c>
      <c r="E188" t="s">
        <v>8</v>
      </c>
      <c r="P188" s="27" t="s">
        <v>7</v>
      </c>
      <c r="W188" s="27" t="s">
        <v>8</v>
      </c>
      <c r="X188" s="27" t="s">
        <v>7</v>
      </c>
      <c r="Y188" s="27" t="s">
        <v>8</v>
      </c>
      <c r="AE188" s="27" t="s">
        <v>8</v>
      </c>
      <c r="AR188" s="27" t="s">
        <v>7</v>
      </c>
      <c r="AV188" s="27" t="s">
        <v>7</v>
      </c>
      <c r="AW188" s="27" t="s">
        <v>8</v>
      </c>
      <c r="DN188" s="27" t="s">
        <v>7</v>
      </c>
      <c r="DO188" s="27" t="s">
        <v>8</v>
      </c>
      <c r="DP188" s="27" t="s">
        <v>7</v>
      </c>
      <c r="FF188" s="27" t="s">
        <v>7</v>
      </c>
      <c r="FH188" s="27" t="s">
        <v>7</v>
      </c>
      <c r="FI188" s="27" t="s">
        <v>8</v>
      </c>
      <c r="FJ188" s="27" t="s">
        <v>7</v>
      </c>
    </row>
    <row r="189" spans="1:166" x14ac:dyDescent="0.25">
      <c r="A189" s="30">
        <v>12.04076977504139</v>
      </c>
      <c r="E189" t="s">
        <v>8</v>
      </c>
      <c r="P189" s="27" t="s">
        <v>7</v>
      </c>
      <c r="W189" s="27" t="s">
        <v>8</v>
      </c>
      <c r="X189" s="27" t="s">
        <v>7</v>
      </c>
      <c r="Y189" s="27" t="s">
        <v>8</v>
      </c>
      <c r="Z189" s="27" t="s">
        <v>7</v>
      </c>
      <c r="AE189" s="27" t="s">
        <v>8</v>
      </c>
      <c r="AV189" s="27" t="s">
        <v>7</v>
      </c>
      <c r="AW189" s="27" t="s">
        <v>8</v>
      </c>
      <c r="DN189" s="27" t="s">
        <v>7</v>
      </c>
      <c r="FH189" s="27" t="s">
        <v>7</v>
      </c>
      <c r="FJ189" s="27" t="s">
        <v>7</v>
      </c>
    </row>
    <row r="190" spans="1:166" x14ac:dyDescent="0.25">
      <c r="A190" s="30">
        <v>11.467399785753704</v>
      </c>
      <c r="E190" t="s">
        <v>8</v>
      </c>
      <c r="P190" s="27" t="s">
        <v>7</v>
      </c>
      <c r="U190" s="27" t="s">
        <v>8</v>
      </c>
      <c r="W190" s="27" t="s">
        <v>8</v>
      </c>
      <c r="X190" s="27" t="s">
        <v>7</v>
      </c>
      <c r="Y190" s="27" t="s">
        <v>8</v>
      </c>
      <c r="Z190" s="27" t="s">
        <v>7</v>
      </c>
      <c r="AA190" s="27" t="s">
        <v>8</v>
      </c>
      <c r="AC190" s="27" t="s">
        <v>8</v>
      </c>
      <c r="AE190" s="27" t="s">
        <v>8</v>
      </c>
      <c r="AV190" s="27" t="s">
        <v>7</v>
      </c>
      <c r="FJ190" s="27" t="s">
        <v>7</v>
      </c>
    </row>
    <row r="191" spans="1:166" x14ac:dyDescent="0.25">
      <c r="A191" s="30">
        <v>10.921333129289241</v>
      </c>
      <c r="E191" t="s">
        <v>8</v>
      </c>
      <c r="P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Y191" s="27" t="s">
        <v>8</v>
      </c>
      <c r="Z191" s="27" t="s">
        <v>7</v>
      </c>
      <c r="AA191" s="27" t="s">
        <v>8</v>
      </c>
      <c r="AB191" s="27" t="s">
        <v>7</v>
      </c>
      <c r="AC191" s="27" t="s">
        <v>8</v>
      </c>
      <c r="AD191" s="27" t="s">
        <v>7</v>
      </c>
      <c r="AE191" s="27" t="s">
        <v>8</v>
      </c>
      <c r="FJ191" s="27" t="s">
        <v>7</v>
      </c>
    </row>
    <row r="192" spans="1:166" x14ac:dyDescent="0.25">
      <c r="A192" s="30">
        <v>10.401269646942135</v>
      </c>
      <c r="E192" t="s">
        <v>8</v>
      </c>
      <c r="P192" s="27" t="s">
        <v>7</v>
      </c>
      <c r="Q192" s="27" t="s">
        <v>8</v>
      </c>
      <c r="U192" s="27" t="s">
        <v>8</v>
      </c>
      <c r="V192" s="27" t="s">
        <v>7</v>
      </c>
      <c r="W192" s="27" t="s">
        <v>8</v>
      </c>
      <c r="X192" s="27" t="s">
        <v>7</v>
      </c>
      <c r="Z192" s="27" t="s">
        <v>7</v>
      </c>
      <c r="AA192" s="27" t="s">
        <v>8</v>
      </c>
      <c r="AB192" s="27" t="s">
        <v>7</v>
      </c>
      <c r="AC192" s="27" t="s">
        <v>8</v>
      </c>
      <c r="AD192" s="27" t="s">
        <v>7</v>
      </c>
      <c r="AE192" s="27" t="s">
        <v>8</v>
      </c>
      <c r="FJ192" s="27" t="s">
        <v>7</v>
      </c>
    </row>
    <row r="193" spans="1:167" x14ac:dyDescent="0.25">
      <c r="A193" s="30">
        <v>9.9059710923258422</v>
      </c>
      <c r="E193" t="s">
        <v>8</v>
      </c>
      <c r="P193" s="27" t="s">
        <v>7</v>
      </c>
      <c r="Q193" s="27" t="s">
        <v>8</v>
      </c>
      <c r="R193" s="27" t="s">
        <v>7</v>
      </c>
      <c r="U193" s="27" t="s">
        <v>8</v>
      </c>
      <c r="V193" s="27" t="s">
        <v>7</v>
      </c>
      <c r="W193" s="27" t="s">
        <v>8</v>
      </c>
      <c r="Z193" s="27" t="s">
        <v>7</v>
      </c>
      <c r="AB193" s="27" t="s">
        <v>7</v>
      </c>
      <c r="AC193" s="27" t="s">
        <v>8</v>
      </c>
      <c r="AD193" s="27" t="s">
        <v>7</v>
      </c>
      <c r="FJ193" s="27" t="s">
        <v>7</v>
      </c>
      <c r="FK193" s="27" t="s">
        <v>8</v>
      </c>
    </row>
    <row r="194" spans="1:167" x14ac:dyDescent="0.25">
      <c r="A194" s="30">
        <v>9.4342581831674686</v>
      </c>
      <c r="E194" t="s">
        <v>8</v>
      </c>
      <c r="P194" s="27" t="s">
        <v>7</v>
      </c>
      <c r="Q194" s="27" t="s">
        <v>8</v>
      </c>
      <c r="R194" s="27" t="s">
        <v>7</v>
      </c>
      <c r="S194" s="27" t="s">
        <v>8</v>
      </c>
      <c r="U194" s="27" t="s">
        <v>8</v>
      </c>
      <c r="V194" s="27" t="s">
        <v>7</v>
      </c>
      <c r="W194" s="27" t="s">
        <v>8</v>
      </c>
      <c r="AB194" s="27" t="s">
        <v>7</v>
      </c>
      <c r="AC194" s="27" t="s">
        <v>8</v>
      </c>
      <c r="FJ194" s="27" t="s">
        <v>7</v>
      </c>
      <c r="FK194" s="27" t="s">
        <v>8</v>
      </c>
    </row>
    <row r="195" spans="1:167" x14ac:dyDescent="0.25">
      <c r="A195" s="30">
        <v>8.9850077934928265</v>
      </c>
      <c r="E195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AB195" s="27" t="s">
        <v>7</v>
      </c>
      <c r="AC195" s="27" t="s">
        <v>8</v>
      </c>
      <c r="FJ195" s="27" t="s">
        <v>7</v>
      </c>
      <c r="FK195" s="27" t="s">
        <v>8</v>
      </c>
    </row>
    <row r="196" spans="1:167" x14ac:dyDescent="0.25">
      <c r="A196" s="30">
        <v>8.5571502795169767</v>
      </c>
      <c r="E196" t="s">
        <v>8</v>
      </c>
      <c r="P196" s="27" t="s">
        <v>7</v>
      </c>
      <c r="Q196" s="27" t="s">
        <v>8</v>
      </c>
      <c r="R196" s="27" t="s">
        <v>7</v>
      </c>
      <c r="S196" s="27" t="s">
        <v>8</v>
      </c>
      <c r="T196" s="27" t="s">
        <v>7</v>
      </c>
      <c r="U196" s="27" t="s">
        <v>8</v>
      </c>
      <c r="AB196" s="27" t="s">
        <v>7</v>
      </c>
      <c r="FJ196" s="27" t="s">
        <v>7</v>
      </c>
      <c r="FK196" s="27" t="s">
        <v>8</v>
      </c>
    </row>
    <row r="197" spans="1:167" x14ac:dyDescent="0.25">
      <c r="A197" s="30">
        <v>8.1496669328733109</v>
      </c>
      <c r="E197" t="s">
        <v>8</v>
      </c>
      <c r="P197" s="27" t="s">
        <v>7</v>
      </c>
      <c r="Q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FJ197" s="27" t="s">
        <v>7</v>
      </c>
    </row>
    <row r="198" spans="1:167" x14ac:dyDescent="0.25">
      <c r="A198" s="30">
        <v>7.7615875551174378</v>
      </c>
      <c r="E198" t="s">
        <v>8</v>
      </c>
      <c r="P198" s="27" t="s">
        <v>7</v>
      </c>
      <c r="Q198" s="27" t="s">
        <v>8</v>
      </c>
      <c r="R198" s="27" t="s">
        <v>7</v>
      </c>
      <c r="S198" s="27" t="s">
        <v>8</v>
      </c>
      <c r="T198" s="27" t="s">
        <v>7</v>
      </c>
    </row>
    <row r="199" spans="1:167" x14ac:dyDescent="0.25">
      <c r="A199" s="30">
        <v>7.3919881477308929</v>
      </c>
      <c r="E199" t="s">
        <v>8</v>
      </c>
      <c r="P199" s="27" t="s">
        <v>7</v>
      </c>
      <c r="R199" s="27" t="s">
        <v>7</v>
      </c>
    </row>
    <row r="200" spans="1:167" x14ac:dyDescent="0.25">
      <c r="A200" s="30">
        <v>7.0399887121246598</v>
      </c>
      <c r="E200" t="s">
        <v>8</v>
      </c>
    </row>
    <row r="201" spans="1:167" x14ac:dyDescent="0.25">
      <c r="A201" s="30">
        <v>6.7047511544044376</v>
      </c>
      <c r="E201" t="s">
        <v>8</v>
      </c>
    </row>
    <row r="202" spans="1:167" x14ac:dyDescent="0.25">
      <c r="A202" s="30">
        <v>6.3854772899089882</v>
      </c>
      <c r="E202" t="s">
        <v>8</v>
      </c>
    </row>
    <row r="203" spans="1:167" x14ac:dyDescent="0.25">
      <c r="A203" s="30">
        <v>6.0814069427704647</v>
      </c>
      <c r="C203" s="7"/>
      <c r="D203"/>
      <c r="E203" t="s">
        <v>8</v>
      </c>
    </row>
    <row r="204" spans="1:167" x14ac:dyDescent="0.25">
      <c r="A204" s="30">
        <v>5.7918161359718709</v>
      </c>
      <c r="E204" t="s">
        <v>8</v>
      </c>
    </row>
    <row r="205" spans="1:167" x14ac:dyDescent="0.25">
      <c r="A205" s="30">
        <v>5.5160153675922574</v>
      </c>
      <c r="E205" t="s">
        <v>8</v>
      </c>
    </row>
    <row r="206" spans="1:167" x14ac:dyDescent="0.25">
      <c r="A206" s="30">
        <v>5.2533479691354827</v>
      </c>
      <c r="C206"/>
      <c r="D206"/>
      <c r="E206" t="s">
        <v>8</v>
      </c>
    </row>
    <row r="207" spans="1:167" x14ac:dyDescent="0.25">
      <c r="A207" s="30">
        <v>5.0031885420337927</v>
      </c>
      <c r="E207" t="s">
        <v>8</v>
      </c>
    </row>
    <row r="208" spans="1:167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9" operator="equal">
      <formula>$U$1</formula>
    </cfRule>
    <cfRule type="cellIs" dxfId="67" priority="920" operator="equal">
      <formula>$S$1</formula>
    </cfRule>
  </conditionalFormatting>
  <conditionalFormatting sqref="D136">
    <cfRule type="cellIs" dxfId="66" priority="917" operator="equal">
      <formula>$S$1</formula>
    </cfRule>
    <cfRule type="cellIs" dxfId="65" priority="918" operator="equal">
      <formula>$U$1</formula>
    </cfRule>
  </conditionalFormatting>
  <conditionalFormatting sqref="C162">
    <cfRule type="cellIs" dxfId="64" priority="915" operator="equal">
      <formula>$U$1</formula>
    </cfRule>
    <cfRule type="cellIs" dxfId="63" priority="916" operator="equal">
      <formula>$S$1</formula>
    </cfRule>
  </conditionalFormatting>
  <conditionalFormatting sqref="D162">
    <cfRule type="cellIs" dxfId="62" priority="913" operator="equal">
      <formula>$S$1</formula>
    </cfRule>
    <cfRule type="cellIs" dxfId="61" priority="914" operator="equal">
      <formula>$U$1</formula>
    </cfRule>
  </conditionalFormatting>
  <conditionalFormatting sqref="C187">
    <cfRule type="cellIs" dxfId="60" priority="911" operator="equal">
      <formula>$U$1</formula>
    </cfRule>
    <cfRule type="cellIs" dxfId="59" priority="912" operator="equal">
      <formula>$S$1</formula>
    </cfRule>
  </conditionalFormatting>
  <conditionalFormatting sqref="D187">
    <cfRule type="cellIs" dxfId="58" priority="909" operator="equal">
      <formula>$S$1</formula>
    </cfRule>
    <cfRule type="cellIs" dxfId="57" priority="910" operator="equal">
      <formula>$U$1</formula>
    </cfRule>
  </conditionalFormatting>
  <conditionalFormatting sqref="C212">
    <cfRule type="cellIs" dxfId="56" priority="907" operator="equal">
      <formula>$U$1</formula>
    </cfRule>
    <cfRule type="cellIs" dxfId="55" priority="908" operator="equal">
      <formula>$S$1</formula>
    </cfRule>
  </conditionalFormatting>
  <conditionalFormatting sqref="D212">
    <cfRule type="cellIs" dxfId="54" priority="905" operator="equal">
      <formula>$S$1</formula>
    </cfRule>
    <cfRule type="cellIs" dxfId="53" priority="906" operator="equal">
      <formula>$U$1</formula>
    </cfRule>
  </conditionalFormatting>
  <conditionalFormatting sqref="C237">
    <cfRule type="cellIs" dxfId="52" priority="903" operator="equal">
      <formula>$U$1</formula>
    </cfRule>
    <cfRule type="cellIs" dxfId="51" priority="904" operator="equal">
      <formula>$S$1</formula>
    </cfRule>
  </conditionalFormatting>
  <conditionalFormatting sqref="D237">
    <cfRule type="cellIs" dxfId="50" priority="901" operator="equal">
      <formula>$S$1</formula>
    </cfRule>
    <cfRule type="cellIs" dxfId="49" priority="902" operator="equal">
      <formula>$U$1</formula>
    </cfRule>
  </conditionalFormatting>
  <conditionalFormatting sqref="C106">
    <cfRule type="cellIs" dxfId="48" priority="899" operator="equal">
      <formula>$U$1</formula>
    </cfRule>
    <cfRule type="cellIs" dxfId="47" priority="900" operator="equal">
      <formula>$S$1</formula>
    </cfRule>
  </conditionalFormatting>
  <conditionalFormatting sqref="D106">
    <cfRule type="cellIs" dxfId="46" priority="897" operator="equal">
      <formula>$S$1</formula>
    </cfRule>
    <cfRule type="cellIs" dxfId="45" priority="898" operator="equal">
      <formula>$U$1</formula>
    </cfRule>
  </conditionalFormatting>
  <conditionalFormatting sqref="C81">
    <cfRule type="cellIs" dxfId="44" priority="895" operator="equal">
      <formula>$U$1</formula>
    </cfRule>
    <cfRule type="cellIs" dxfId="43" priority="896" operator="equal">
      <formula>$S$1</formula>
    </cfRule>
  </conditionalFormatting>
  <conditionalFormatting sqref="D81">
    <cfRule type="cellIs" dxfId="42" priority="893" operator="equal">
      <formula>$S$1</formula>
    </cfRule>
    <cfRule type="cellIs" dxfId="41" priority="894" operator="equal">
      <formula>$U$1</formula>
    </cfRule>
  </conditionalFormatting>
  <conditionalFormatting sqref="C56">
    <cfRule type="cellIs" dxfId="40" priority="891" operator="equal">
      <formula>$U$1</formula>
    </cfRule>
    <cfRule type="cellIs" dxfId="39" priority="892" operator="equal">
      <formula>$S$1</formula>
    </cfRule>
  </conditionalFormatting>
  <conditionalFormatting sqref="D56">
    <cfRule type="cellIs" dxfId="38" priority="889" operator="equal">
      <formula>$S$1</formula>
    </cfRule>
    <cfRule type="cellIs" dxfId="37" priority="890" operator="equal">
      <formula>$U$1</formula>
    </cfRule>
  </conditionalFormatting>
  <conditionalFormatting sqref="C31">
    <cfRule type="cellIs" dxfId="36" priority="887" operator="equal">
      <formula>$U$1</formula>
    </cfRule>
    <cfRule type="cellIs" dxfId="35" priority="888" operator="equal">
      <formula>$S$1</formula>
    </cfRule>
  </conditionalFormatting>
  <conditionalFormatting sqref="D31">
    <cfRule type="cellIs" dxfId="34" priority="885" operator="equal">
      <formula>$S$1</formula>
    </cfRule>
    <cfRule type="cellIs" dxfId="33" priority="88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99" sqref="BD9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5" x14ac:dyDescent="0.25">
      <c r="A65" s="30">
        <v>207.96505671840671</v>
      </c>
      <c r="E65"/>
    </row>
    <row r="66" spans="1:35" x14ac:dyDescent="0.25">
      <c r="A66" s="30">
        <v>189.05914247127882</v>
      </c>
      <c r="E66"/>
    </row>
    <row r="67" spans="1:35" x14ac:dyDescent="0.25">
      <c r="A67" s="30">
        <v>171.87194770116255</v>
      </c>
      <c r="C67" s="1" t="s">
        <v>15</v>
      </c>
      <c r="E67"/>
    </row>
    <row r="68" spans="1:35" x14ac:dyDescent="0.25">
      <c r="A68" s="30">
        <v>156.24722518287504</v>
      </c>
      <c r="C68" s="7">
        <v>0.11167815779424731</v>
      </c>
      <c r="D68"/>
      <c r="E68"/>
    </row>
    <row r="69" spans="1:35" x14ac:dyDescent="0.25">
      <c r="A69" s="30">
        <v>142.04293198443185</v>
      </c>
      <c r="E69"/>
    </row>
    <row r="70" spans="1:35" x14ac:dyDescent="0.25">
      <c r="A70" s="30">
        <v>129.1299381676653</v>
      </c>
      <c r="C70" s="1" t="s">
        <v>11</v>
      </c>
      <c r="D70" s="1" t="s">
        <v>12</v>
      </c>
      <c r="E70"/>
    </row>
    <row r="71" spans="1:35" x14ac:dyDescent="0.25">
      <c r="A71" s="30">
        <v>117.39085287969573</v>
      </c>
      <c r="C71"/>
      <c r="D71"/>
      <c r="E71"/>
    </row>
    <row r="72" spans="1:35" x14ac:dyDescent="0.25">
      <c r="A72" s="30">
        <v>106.71895716335975</v>
      </c>
      <c r="E72" t="s">
        <v>8</v>
      </c>
    </row>
    <row r="73" spans="1:35" x14ac:dyDescent="0.25">
      <c r="A73" s="30">
        <v>97.017233784872488</v>
      </c>
      <c r="C73" s="1" t="s">
        <v>13</v>
      </c>
      <c r="E73" t="s">
        <v>8</v>
      </c>
      <c r="F73" s="27" t="s">
        <v>7</v>
      </c>
    </row>
    <row r="74" spans="1:35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</row>
    <row r="75" spans="1:35" x14ac:dyDescent="0.25">
      <c r="A75" s="30">
        <v>80.179532053613613</v>
      </c>
      <c r="C75"/>
      <c r="D75"/>
      <c r="E75" t="s">
        <v>8</v>
      </c>
      <c r="F75" s="27" t="s">
        <v>7</v>
      </c>
    </row>
    <row r="76" spans="1:35" x14ac:dyDescent="0.25">
      <c r="A76" s="30">
        <v>72.890483685103277</v>
      </c>
      <c r="C76" s="1" t="s">
        <v>14</v>
      </c>
      <c r="E76" t="s">
        <v>8</v>
      </c>
      <c r="F76" s="27" t="s">
        <v>7</v>
      </c>
      <c r="G76" s="27" t="s">
        <v>8</v>
      </c>
      <c r="AG76" s="27" t="s">
        <v>8</v>
      </c>
    </row>
    <row r="77" spans="1:3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G77" s="27" t="s">
        <v>8</v>
      </c>
      <c r="H77" s="27" t="s">
        <v>7</v>
      </c>
      <c r="AG77" s="27" t="s">
        <v>8</v>
      </c>
      <c r="AH77" s="27" t="s">
        <v>7</v>
      </c>
    </row>
    <row r="78" spans="1:35" x14ac:dyDescent="0.25">
      <c r="A78" s="30">
        <v>60.240069161242367</v>
      </c>
      <c r="E78" t="s">
        <v>8</v>
      </c>
      <c r="F78" s="27" t="s">
        <v>7</v>
      </c>
      <c r="G78" s="27" t="s">
        <v>8</v>
      </c>
      <c r="H78" s="27" t="s">
        <v>7</v>
      </c>
      <c r="AG78" s="27" t="s">
        <v>8</v>
      </c>
      <c r="AH78" s="27" t="s">
        <v>7</v>
      </c>
    </row>
    <row r="79" spans="1:35" x14ac:dyDescent="0.25">
      <c r="A79" s="30">
        <v>54.763699237493057</v>
      </c>
      <c r="E79" t="s">
        <v>8</v>
      </c>
      <c r="F79" s="27" t="s">
        <v>7</v>
      </c>
      <c r="H79" s="27" t="s">
        <v>7</v>
      </c>
      <c r="AG79" s="27" t="s">
        <v>8</v>
      </c>
      <c r="AH79" s="27" t="s">
        <v>7</v>
      </c>
    </row>
    <row r="80" spans="1:35" x14ac:dyDescent="0.25">
      <c r="A80" s="30">
        <v>49.785181124993684</v>
      </c>
      <c r="E80" t="s">
        <v>8</v>
      </c>
      <c r="H80" s="27" t="s">
        <v>7</v>
      </c>
      <c r="AE80" s="27" t="s">
        <v>8</v>
      </c>
      <c r="AG80" s="27" t="s">
        <v>8</v>
      </c>
      <c r="AH80" s="27" t="s">
        <v>7</v>
      </c>
      <c r="AI80" s="27" t="s">
        <v>8</v>
      </c>
    </row>
    <row r="81" spans="1:56" x14ac:dyDescent="0.25">
      <c r="A81" s="30">
        <v>45.259255568176073</v>
      </c>
      <c r="E81" t="s">
        <v>8</v>
      </c>
      <c r="H81" s="27" t="s">
        <v>7</v>
      </c>
      <c r="AE81" s="27" t="s">
        <v>8</v>
      </c>
      <c r="AF81" s="27" t="s">
        <v>7</v>
      </c>
      <c r="AG81" s="27" t="s">
        <v>8</v>
      </c>
      <c r="AH81" s="27" t="s">
        <v>7</v>
      </c>
      <c r="AI81" s="27" t="s">
        <v>8</v>
      </c>
      <c r="AJ81" s="27" t="s">
        <v>7</v>
      </c>
    </row>
    <row r="82" spans="1:56" x14ac:dyDescent="0.25">
      <c r="A82" s="30">
        <v>41.144777789250973</v>
      </c>
      <c r="E82" t="s">
        <v>8</v>
      </c>
      <c r="H82" s="27" t="s">
        <v>7</v>
      </c>
      <c r="AE82" s="27" t="s">
        <v>8</v>
      </c>
      <c r="AF82" s="27" t="s">
        <v>7</v>
      </c>
      <c r="AG82" s="27" t="s">
        <v>8</v>
      </c>
      <c r="AH82" s="27" t="s">
        <v>7</v>
      </c>
      <c r="AI82" s="27" t="s">
        <v>8</v>
      </c>
      <c r="AJ82" s="27" t="s">
        <v>7</v>
      </c>
    </row>
    <row r="83" spans="1:56" x14ac:dyDescent="0.25">
      <c r="A83" s="30">
        <v>37.404343444773609</v>
      </c>
      <c r="E83" t="s">
        <v>8</v>
      </c>
      <c r="H83" s="27" t="s">
        <v>7</v>
      </c>
      <c r="Y83" s="27" t="s">
        <v>8</v>
      </c>
      <c r="AA83" s="27" t="s">
        <v>8</v>
      </c>
      <c r="AE83" s="27" t="s">
        <v>8</v>
      </c>
      <c r="AF83" s="27" t="s">
        <v>7</v>
      </c>
      <c r="AH83" s="27" t="s">
        <v>7</v>
      </c>
      <c r="AI83" s="27" t="s">
        <v>8</v>
      </c>
      <c r="AJ83" s="27" t="s">
        <v>7</v>
      </c>
      <c r="AK83" s="27" t="s">
        <v>8</v>
      </c>
    </row>
    <row r="84" spans="1:56" x14ac:dyDescent="0.25">
      <c r="A84" s="30">
        <v>34.003948586157826</v>
      </c>
      <c r="E84" t="s">
        <v>8</v>
      </c>
      <c r="H84" s="27" t="s">
        <v>7</v>
      </c>
      <c r="Y84" s="27" t="s">
        <v>8</v>
      </c>
      <c r="Z84" s="27" t="s">
        <v>7</v>
      </c>
      <c r="AA84" s="27" t="s">
        <v>8</v>
      </c>
      <c r="AB84" s="27" t="s">
        <v>7</v>
      </c>
      <c r="AE84" s="27" t="s">
        <v>8</v>
      </c>
      <c r="AH84" s="27" t="s">
        <v>7</v>
      </c>
      <c r="AI84" s="27" t="s">
        <v>8</v>
      </c>
      <c r="AJ84" s="27" t="s">
        <v>7</v>
      </c>
      <c r="AK84" s="27" t="s">
        <v>8</v>
      </c>
      <c r="AL84" s="27" t="s">
        <v>7</v>
      </c>
    </row>
    <row r="85" spans="1:56" x14ac:dyDescent="0.25">
      <c r="A85" s="30">
        <v>30.912680532870748</v>
      </c>
      <c r="E85" t="s">
        <v>8</v>
      </c>
      <c r="H85" s="27" t="s">
        <v>7</v>
      </c>
      <c r="Y85" s="27" t="s">
        <v>8</v>
      </c>
      <c r="Z85" s="27" t="s">
        <v>7</v>
      </c>
      <c r="AA85" s="27" t="s">
        <v>8</v>
      </c>
      <c r="AB85" s="27" t="s">
        <v>7</v>
      </c>
      <c r="AE85" s="27" t="s">
        <v>8</v>
      </c>
      <c r="AH85" s="27" t="s">
        <v>7</v>
      </c>
      <c r="AJ85" s="27" t="s">
        <v>7</v>
      </c>
      <c r="AK85" s="27" t="s">
        <v>8</v>
      </c>
      <c r="AL85" s="27" t="s">
        <v>7</v>
      </c>
      <c r="AY85" s="27" t="s">
        <v>8</v>
      </c>
    </row>
    <row r="86" spans="1:56" x14ac:dyDescent="0.25">
      <c r="A86" s="30">
        <v>28.102436848064315</v>
      </c>
      <c r="E86" t="s">
        <v>8</v>
      </c>
      <c r="H86" s="27" t="s">
        <v>7</v>
      </c>
      <c r="I86" s="27" t="s">
        <v>8</v>
      </c>
      <c r="Y86" s="27" t="s">
        <v>8</v>
      </c>
      <c r="Z86" s="27" t="s">
        <v>7</v>
      </c>
      <c r="AB86" s="27" t="s">
        <v>7</v>
      </c>
      <c r="AC86" s="27" t="s">
        <v>8</v>
      </c>
      <c r="AE86" s="27" t="s">
        <v>8</v>
      </c>
      <c r="AJ86" s="27" t="s">
        <v>7</v>
      </c>
      <c r="AK86" s="27" t="s">
        <v>8</v>
      </c>
      <c r="AL86" s="27" t="s">
        <v>7</v>
      </c>
      <c r="AY86" s="27" t="s">
        <v>8</v>
      </c>
      <c r="AZ86" s="27" t="s">
        <v>7</v>
      </c>
      <c r="BA86" s="27" t="s">
        <v>8</v>
      </c>
    </row>
    <row r="87" spans="1:56" x14ac:dyDescent="0.25">
      <c r="A87" s="30">
        <v>25.547669861876649</v>
      </c>
      <c r="E87" t="s">
        <v>8</v>
      </c>
      <c r="H87" s="27" t="s">
        <v>7</v>
      </c>
      <c r="I87" s="27" t="s">
        <v>8</v>
      </c>
      <c r="J87" s="27" t="s">
        <v>7</v>
      </c>
      <c r="K87" s="27" t="s">
        <v>8</v>
      </c>
      <c r="Y87" s="27" t="s">
        <v>8</v>
      </c>
      <c r="AB87" s="27" t="s">
        <v>7</v>
      </c>
      <c r="AC87" s="27" t="s">
        <v>8</v>
      </c>
      <c r="AD87" s="27" t="s">
        <v>7</v>
      </c>
      <c r="AE87" s="27" t="s">
        <v>8</v>
      </c>
      <c r="AJ87" s="27" t="s">
        <v>7</v>
      </c>
      <c r="AK87" s="27" t="s">
        <v>8</v>
      </c>
      <c r="AL87" s="27" t="s">
        <v>7</v>
      </c>
      <c r="AM87" s="27" t="s">
        <v>8</v>
      </c>
      <c r="AO87" s="27" t="s">
        <v>8</v>
      </c>
      <c r="AQ87" s="27" t="s">
        <v>8</v>
      </c>
      <c r="AS87" s="27" t="s">
        <v>8</v>
      </c>
      <c r="AW87" s="27" t="s">
        <v>8</v>
      </c>
      <c r="AY87" s="27" t="s">
        <v>8</v>
      </c>
      <c r="AZ87" s="27" t="s">
        <v>7</v>
      </c>
      <c r="BA87" s="27" t="s">
        <v>8</v>
      </c>
      <c r="BB87" s="27" t="s">
        <v>7</v>
      </c>
      <c r="BC87" s="27" t="s">
        <v>8</v>
      </c>
    </row>
    <row r="88" spans="1:56" x14ac:dyDescent="0.25">
      <c r="A88" s="30">
        <v>23.225154419887861</v>
      </c>
      <c r="E88" t="s">
        <v>8</v>
      </c>
      <c r="H88" s="27" t="s">
        <v>7</v>
      </c>
      <c r="I88" s="27" t="s">
        <v>8</v>
      </c>
      <c r="J88" s="27" t="s">
        <v>7</v>
      </c>
      <c r="K88" s="27" t="s">
        <v>8</v>
      </c>
      <c r="L88" s="27" t="s">
        <v>7</v>
      </c>
      <c r="Q88" s="27" t="s">
        <v>8</v>
      </c>
      <c r="Y88" s="27" t="s">
        <v>8</v>
      </c>
      <c r="AB88" s="27" t="s">
        <v>7</v>
      </c>
      <c r="AC88" s="27" t="s">
        <v>8</v>
      </c>
      <c r="AD88" s="27" t="s">
        <v>7</v>
      </c>
      <c r="AE88" s="27" t="s">
        <v>8</v>
      </c>
      <c r="AJ88" s="27" t="s">
        <v>7</v>
      </c>
      <c r="AK88" s="27" t="s">
        <v>8</v>
      </c>
      <c r="AL88" s="27" t="s">
        <v>7</v>
      </c>
      <c r="AM88" s="27" t="s">
        <v>8</v>
      </c>
      <c r="AN88" s="27" t="s">
        <v>7</v>
      </c>
      <c r="AO88" s="27" t="s">
        <v>8</v>
      </c>
      <c r="AP88" s="27" t="s">
        <v>7</v>
      </c>
      <c r="AQ88" s="27" t="s">
        <v>8</v>
      </c>
      <c r="AR88" s="27" t="s">
        <v>7</v>
      </c>
      <c r="AS88" s="27" t="s">
        <v>8</v>
      </c>
      <c r="AT88" s="27" t="s">
        <v>7</v>
      </c>
      <c r="AU88" s="27" t="s">
        <v>8</v>
      </c>
      <c r="AW88" s="27" t="s">
        <v>8</v>
      </c>
      <c r="AX88" s="27" t="s">
        <v>7</v>
      </c>
      <c r="AY88" s="27" t="s">
        <v>8</v>
      </c>
      <c r="AZ88" s="27" t="s">
        <v>7</v>
      </c>
      <c r="BA88" s="27" t="s">
        <v>8</v>
      </c>
      <c r="BB88" s="27" t="s">
        <v>7</v>
      </c>
      <c r="BC88" s="27" t="s">
        <v>8</v>
      </c>
      <c r="BD88" s="27" t="s">
        <v>7</v>
      </c>
    </row>
    <row r="89" spans="1:56" x14ac:dyDescent="0.25">
      <c r="A89" s="30">
        <v>21.113776745352599</v>
      </c>
      <c r="E89" t="s">
        <v>8</v>
      </c>
      <c r="H89" s="27" t="s">
        <v>7</v>
      </c>
      <c r="I89" s="27" t="s">
        <v>8</v>
      </c>
      <c r="J89" s="27" t="s">
        <v>7</v>
      </c>
      <c r="K89" s="27" t="s">
        <v>8</v>
      </c>
      <c r="L89" s="27" t="s">
        <v>7</v>
      </c>
      <c r="Q89" s="27" t="s">
        <v>8</v>
      </c>
      <c r="R89" s="27" t="s">
        <v>7</v>
      </c>
      <c r="U89" s="27" t="s">
        <v>8</v>
      </c>
      <c r="Y89" s="27" t="s">
        <v>8</v>
      </c>
      <c r="AB89" s="27" t="s">
        <v>7</v>
      </c>
      <c r="AC89" s="27" t="s">
        <v>8</v>
      </c>
      <c r="AD89" s="27" t="s">
        <v>7</v>
      </c>
      <c r="AJ89" s="27" t="s">
        <v>7</v>
      </c>
      <c r="AK89" s="27" t="s">
        <v>8</v>
      </c>
      <c r="AL89" s="27" t="s">
        <v>7</v>
      </c>
      <c r="AM89" s="27" t="s">
        <v>8</v>
      </c>
      <c r="AN89" s="27" t="s">
        <v>7</v>
      </c>
      <c r="AO89" s="27" t="s">
        <v>8</v>
      </c>
      <c r="AP89" s="27" t="s">
        <v>7</v>
      </c>
      <c r="AQ89" s="27" t="s">
        <v>8</v>
      </c>
      <c r="AR89" s="27" t="s">
        <v>7</v>
      </c>
      <c r="AS89" s="27" t="s">
        <v>8</v>
      </c>
      <c r="AT89" s="27" t="s">
        <v>7</v>
      </c>
      <c r="AU89" s="27" t="s">
        <v>8</v>
      </c>
      <c r="AV89" s="27" t="s">
        <v>7</v>
      </c>
      <c r="AW89" s="27" t="s">
        <v>8</v>
      </c>
      <c r="AX89" s="27" t="s">
        <v>7</v>
      </c>
      <c r="AY89" s="27" t="s">
        <v>8</v>
      </c>
      <c r="AZ89" s="27" t="s">
        <v>7</v>
      </c>
      <c r="BA89" s="27" t="s">
        <v>8</v>
      </c>
      <c r="BB89" s="27" t="s">
        <v>7</v>
      </c>
      <c r="BC89" s="27" t="s">
        <v>8</v>
      </c>
      <c r="BD89" s="27" t="s">
        <v>7</v>
      </c>
    </row>
    <row r="90" spans="1:56" x14ac:dyDescent="0.25">
      <c r="A90" s="30">
        <v>19.194342495775089</v>
      </c>
      <c r="E90" t="s">
        <v>8</v>
      </c>
      <c r="H90" s="27" t="s">
        <v>7</v>
      </c>
      <c r="I90" s="27" t="s">
        <v>8</v>
      </c>
      <c r="J90" s="27" t="s">
        <v>7</v>
      </c>
      <c r="K90" s="27" t="s">
        <v>8</v>
      </c>
      <c r="L90" s="27" t="s">
        <v>7</v>
      </c>
      <c r="Q90" s="27" t="s">
        <v>8</v>
      </c>
      <c r="R90" s="27" t="s">
        <v>7</v>
      </c>
      <c r="S90" s="27" t="s">
        <v>8</v>
      </c>
      <c r="U90" s="27" t="s">
        <v>8</v>
      </c>
      <c r="V90" s="27" t="s">
        <v>7</v>
      </c>
      <c r="Y90" s="27" t="s">
        <v>8</v>
      </c>
      <c r="AB90" s="27" t="s">
        <v>7</v>
      </c>
      <c r="AJ90" s="27" t="s">
        <v>7</v>
      </c>
      <c r="AK90" s="27" t="s">
        <v>8</v>
      </c>
      <c r="AL90" s="27" t="s">
        <v>7</v>
      </c>
      <c r="AM90" s="27" t="s">
        <v>8</v>
      </c>
      <c r="AN90" s="27" t="s">
        <v>7</v>
      </c>
      <c r="AO90" s="27" t="s">
        <v>8</v>
      </c>
      <c r="AP90" s="27" t="s">
        <v>7</v>
      </c>
      <c r="AR90" s="27" t="s">
        <v>7</v>
      </c>
      <c r="AS90" s="27" t="s">
        <v>8</v>
      </c>
      <c r="AT90" s="27" t="s">
        <v>7</v>
      </c>
      <c r="AU90" s="27" t="s">
        <v>8</v>
      </c>
      <c r="AV90" s="27" t="s">
        <v>7</v>
      </c>
      <c r="AW90" s="27" t="s">
        <v>8</v>
      </c>
      <c r="AX90" s="27" t="s">
        <v>7</v>
      </c>
      <c r="AY90" s="27" t="s">
        <v>8</v>
      </c>
      <c r="AZ90" s="27" t="s">
        <v>7</v>
      </c>
      <c r="BA90" s="27" t="s">
        <v>8</v>
      </c>
      <c r="BB90" s="27" t="s">
        <v>7</v>
      </c>
      <c r="BC90" s="27" t="s">
        <v>8</v>
      </c>
      <c r="BD90" s="27" t="s">
        <v>7</v>
      </c>
    </row>
    <row r="91" spans="1:56" x14ac:dyDescent="0.25">
      <c r="A91" s="30">
        <v>17.449402268886445</v>
      </c>
      <c r="E91" t="s">
        <v>8</v>
      </c>
      <c r="H91" s="27" t="s">
        <v>7</v>
      </c>
      <c r="I91" s="27" t="s">
        <v>8</v>
      </c>
      <c r="J91" s="27" t="s">
        <v>7</v>
      </c>
      <c r="L91" s="27" t="s">
        <v>7</v>
      </c>
      <c r="Q91" s="27" t="s">
        <v>8</v>
      </c>
      <c r="R91" s="27" t="s">
        <v>7</v>
      </c>
      <c r="S91" s="27" t="s">
        <v>8</v>
      </c>
      <c r="T91" s="27" t="s">
        <v>7</v>
      </c>
      <c r="U91" s="27" t="s">
        <v>8</v>
      </c>
      <c r="V91" s="27" t="s">
        <v>7</v>
      </c>
      <c r="W91" s="27" t="s">
        <v>8</v>
      </c>
      <c r="Y91" s="27" t="s">
        <v>8</v>
      </c>
      <c r="AJ91" s="27" t="s">
        <v>7</v>
      </c>
      <c r="AL91" s="27" t="s">
        <v>7</v>
      </c>
      <c r="AM91" s="27" t="s">
        <v>8</v>
      </c>
      <c r="AN91" s="27" t="s">
        <v>7</v>
      </c>
      <c r="AR91" s="27" t="s">
        <v>7</v>
      </c>
      <c r="AT91" s="27" t="s">
        <v>7</v>
      </c>
      <c r="AU91" s="27" t="s">
        <v>8</v>
      </c>
      <c r="AV91" s="27" t="s">
        <v>7</v>
      </c>
      <c r="AW91" s="27" t="s">
        <v>8</v>
      </c>
      <c r="AX91" s="27" t="s">
        <v>7</v>
      </c>
      <c r="AZ91" s="27" t="s">
        <v>7</v>
      </c>
      <c r="BA91" s="27" t="s">
        <v>8</v>
      </c>
      <c r="BB91" s="27" t="s">
        <v>7</v>
      </c>
      <c r="BD91" s="27" t="s">
        <v>7</v>
      </c>
    </row>
    <row r="92" spans="1:56" x14ac:dyDescent="0.25">
      <c r="A92" s="30">
        <v>15.863092971714948</v>
      </c>
      <c r="C92" s="1" t="s">
        <v>15</v>
      </c>
      <c r="E92" t="s">
        <v>8</v>
      </c>
      <c r="H92" s="27" t="s">
        <v>7</v>
      </c>
      <c r="I92" s="27" t="s">
        <v>8</v>
      </c>
      <c r="L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U92" s="27" t="s">
        <v>8</v>
      </c>
      <c r="V92" s="27" t="s">
        <v>7</v>
      </c>
      <c r="W92" s="27" t="s">
        <v>8</v>
      </c>
      <c r="X92" s="27" t="s">
        <v>7</v>
      </c>
      <c r="Y92" s="27" t="s">
        <v>8</v>
      </c>
      <c r="AL92" s="27" t="s">
        <v>7</v>
      </c>
      <c r="AM92" s="27" t="s">
        <v>8</v>
      </c>
      <c r="AT92" s="27" t="s">
        <v>7</v>
      </c>
      <c r="AU92" s="27" t="s">
        <v>8</v>
      </c>
      <c r="AV92" s="27" t="s">
        <v>7</v>
      </c>
      <c r="AW92" s="27" t="s">
        <v>8</v>
      </c>
      <c r="AZ92" s="27" t="s">
        <v>7</v>
      </c>
      <c r="BD92" s="27" t="s">
        <v>7</v>
      </c>
    </row>
    <row r="93" spans="1:56" x14ac:dyDescent="0.25">
      <c r="A93" s="30">
        <v>14.420993610649951</v>
      </c>
      <c r="C93" s="7">
        <v>0.11167815779424731</v>
      </c>
      <c r="D93"/>
      <c r="E93" t="s">
        <v>8</v>
      </c>
      <c r="H93" s="27" t="s">
        <v>7</v>
      </c>
      <c r="L93" s="27" t="s">
        <v>7</v>
      </c>
      <c r="O93" s="27" t="s">
        <v>8</v>
      </c>
      <c r="Q93" s="27" t="s">
        <v>8</v>
      </c>
      <c r="R93" s="27" t="s">
        <v>7</v>
      </c>
      <c r="S93" s="27" t="s">
        <v>8</v>
      </c>
      <c r="T93" s="27" t="s">
        <v>7</v>
      </c>
      <c r="V93" s="27" t="s">
        <v>7</v>
      </c>
      <c r="W93" s="27" t="s">
        <v>8</v>
      </c>
      <c r="X93" s="27" t="s">
        <v>7</v>
      </c>
      <c r="Y93" s="27" t="s">
        <v>8</v>
      </c>
      <c r="AL93" s="27" t="s">
        <v>7</v>
      </c>
      <c r="AT93" s="27" t="s">
        <v>7</v>
      </c>
      <c r="AU93" s="27" t="s">
        <v>8</v>
      </c>
      <c r="AV93" s="18" t="s">
        <v>7</v>
      </c>
      <c r="AW93" s="27" t="s">
        <v>8</v>
      </c>
      <c r="BD93" s="27" t="s">
        <v>7</v>
      </c>
    </row>
    <row r="94" spans="1:56" x14ac:dyDescent="0.25">
      <c r="A94" s="30">
        <v>13.109994191499954</v>
      </c>
      <c r="E94" t="s">
        <v>8</v>
      </c>
      <c r="L94" s="27" t="s">
        <v>7</v>
      </c>
      <c r="O94" s="27" t="s">
        <v>8</v>
      </c>
      <c r="P94" s="27" t="s">
        <v>7</v>
      </c>
      <c r="Q94" s="27" t="s">
        <v>8</v>
      </c>
      <c r="R94" s="27" t="s">
        <v>7</v>
      </c>
      <c r="V94" s="27" t="s">
        <v>7</v>
      </c>
      <c r="W94" s="27" t="s">
        <v>8</v>
      </c>
      <c r="X94" s="27" t="s">
        <v>7</v>
      </c>
      <c r="AT94" s="27" t="s">
        <v>7</v>
      </c>
      <c r="AU94" s="27" t="s">
        <v>8</v>
      </c>
      <c r="AV94" s="27" t="s">
        <v>7</v>
      </c>
      <c r="BD94" s="27" t="s">
        <v>7</v>
      </c>
    </row>
    <row r="95" spans="1:56" x14ac:dyDescent="0.25">
      <c r="A95" s="30">
        <v>11.918176537727231</v>
      </c>
      <c r="C95" s="1" t="s">
        <v>11</v>
      </c>
      <c r="D95" s="1" t="s">
        <v>12</v>
      </c>
      <c r="E95" t="s">
        <v>8</v>
      </c>
      <c r="L95" s="27" t="s">
        <v>7</v>
      </c>
      <c r="O95" s="27" t="s">
        <v>8</v>
      </c>
      <c r="P95" s="27" t="s">
        <v>7</v>
      </c>
      <c r="Q95" s="27" t="s">
        <v>8</v>
      </c>
      <c r="V95" s="27" t="s">
        <v>7</v>
      </c>
      <c r="AT95" s="27" t="s">
        <v>7</v>
      </c>
      <c r="BD95" s="27" t="s">
        <v>7</v>
      </c>
    </row>
    <row r="96" spans="1:56" x14ac:dyDescent="0.25">
      <c r="A96" s="30">
        <v>10.834705943388391</v>
      </c>
      <c r="C96"/>
      <c r="D96"/>
      <c r="E96" t="s">
        <v>8</v>
      </c>
      <c r="L96" s="27" t="s">
        <v>7</v>
      </c>
      <c r="M96" s="27" t="s">
        <v>8</v>
      </c>
      <c r="O96" s="27" t="s">
        <v>8</v>
      </c>
      <c r="P96" s="27" t="s">
        <v>7</v>
      </c>
      <c r="Q96" s="27" t="s">
        <v>8</v>
      </c>
      <c r="BD96" s="27" t="s">
        <v>7</v>
      </c>
    </row>
    <row r="97" spans="1:56" x14ac:dyDescent="0.25">
      <c r="A97" s="30">
        <v>9.849732675807628</v>
      </c>
      <c r="E97" t="s">
        <v>8</v>
      </c>
      <c r="L97" s="27" t="s">
        <v>7</v>
      </c>
      <c r="M97" s="27" t="s">
        <v>8</v>
      </c>
      <c r="N97" s="27" t="s">
        <v>7</v>
      </c>
      <c r="O97" s="27" t="s">
        <v>8</v>
      </c>
      <c r="P97" s="27" t="s">
        <v>7</v>
      </c>
      <c r="Q97" s="27" t="s">
        <v>8</v>
      </c>
      <c r="BD97" s="27" t="s">
        <v>7</v>
      </c>
    </row>
    <row r="98" spans="1:56" x14ac:dyDescent="0.25">
      <c r="A98" s="30">
        <v>8.9543024325523888</v>
      </c>
      <c r="C98" s="1" t="s">
        <v>13</v>
      </c>
      <c r="E98" t="s">
        <v>8</v>
      </c>
      <c r="L98" s="27" t="s">
        <v>7</v>
      </c>
      <c r="M98" s="27" t="s">
        <v>8</v>
      </c>
      <c r="N98" s="27" t="s">
        <v>7</v>
      </c>
      <c r="O98" s="27" t="s">
        <v>8</v>
      </c>
      <c r="P98" s="27" t="s">
        <v>7</v>
      </c>
      <c r="BD98" s="27" t="s">
        <v>7</v>
      </c>
    </row>
    <row r="99" spans="1:56" x14ac:dyDescent="0.25">
      <c r="A99" s="30">
        <v>8.140274938683989</v>
      </c>
      <c r="C99" s="1">
        <f>C88</f>
        <v>0</v>
      </c>
      <c r="E99" t="s">
        <v>8</v>
      </c>
      <c r="L99" s="27" t="s">
        <v>7</v>
      </c>
      <c r="M99" s="27" t="s">
        <v>8</v>
      </c>
      <c r="N99" s="27" t="s">
        <v>7</v>
      </c>
      <c r="O99" s="27" t="s">
        <v>8</v>
      </c>
      <c r="BD99" s="27" t="s">
        <v>7</v>
      </c>
    </row>
    <row r="100" spans="1:56" x14ac:dyDescent="0.25">
      <c r="A100" s="30">
        <v>7.4002499442581717</v>
      </c>
      <c r="C100"/>
      <c r="D100"/>
      <c r="E100" t="s">
        <v>8</v>
      </c>
      <c r="L100" s="27" t="s">
        <v>7</v>
      </c>
      <c r="N100" s="27" t="s">
        <v>7</v>
      </c>
    </row>
    <row r="101" spans="1:56" x14ac:dyDescent="0.25">
      <c r="A101" s="30">
        <v>6.72749994932561</v>
      </c>
      <c r="C101" s="1" t="s">
        <v>14</v>
      </c>
      <c r="E101" t="s">
        <v>8</v>
      </c>
    </row>
    <row r="102" spans="1:5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6" x14ac:dyDescent="0.25">
      <c r="A103" s="30">
        <v>5.5599173134922388</v>
      </c>
      <c r="E103" t="s">
        <v>8</v>
      </c>
    </row>
    <row r="104" spans="1:56" x14ac:dyDescent="0.25">
      <c r="A104" s="30">
        <v>5.0544702849929442</v>
      </c>
      <c r="E104" t="s">
        <v>8</v>
      </c>
    </row>
    <row r="105" spans="1:56" x14ac:dyDescent="0.25">
      <c r="A105" s="30">
        <v>4.594972986357222</v>
      </c>
      <c r="E105" t="s">
        <v>8</v>
      </c>
    </row>
    <row r="106" spans="1:56" x14ac:dyDescent="0.25">
      <c r="A106" s="30">
        <v>4.1772481694156562</v>
      </c>
      <c r="E106" t="s">
        <v>8</v>
      </c>
    </row>
    <row r="107" spans="1:56" x14ac:dyDescent="0.25">
      <c r="A107" s="30">
        <v>3.7974983358324148</v>
      </c>
      <c r="E107" t="s">
        <v>8</v>
      </c>
    </row>
    <row r="108" spans="1:56" x14ac:dyDescent="0.25">
      <c r="A108" s="30">
        <v>3.4522712143931042</v>
      </c>
      <c r="E108" t="s">
        <v>8</v>
      </c>
    </row>
    <row r="109" spans="1:56" x14ac:dyDescent="0.25">
      <c r="A109" s="30">
        <v>3.1384283767210035</v>
      </c>
      <c r="E109" t="s">
        <v>8</v>
      </c>
    </row>
    <row r="110" spans="1:56" x14ac:dyDescent="0.25">
      <c r="A110" s="30">
        <v>2.8531167061100029</v>
      </c>
      <c r="E110" t="s">
        <v>8</v>
      </c>
    </row>
    <row r="111" spans="1:56" x14ac:dyDescent="0.25">
      <c r="A111" s="30">
        <v>2.5937424601000023</v>
      </c>
      <c r="C111" s="1" t="str">
        <f>ADDRESS(C121-1,1,1,1)</f>
        <v>$A$98</v>
      </c>
      <c r="D111" s="1" t="str">
        <f>ADDRESS(C121-1,D121,1,1)</f>
        <v>$BD$98</v>
      </c>
      <c r="E111" t="s">
        <v>8</v>
      </c>
    </row>
    <row r="112" spans="1:56" x14ac:dyDescent="0.25">
      <c r="A112" s="30">
        <v>2.3579476910000019</v>
      </c>
      <c r="C112" s="1" t="str">
        <f>ADDRESS(C121,1,1,1)</f>
        <v>$A$99</v>
      </c>
      <c r="D112" s="1" t="str">
        <f>ADDRESS(C121,D121-1,1,1)</f>
        <v>$BC$99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$A$100</v>
      </c>
      <c r="D113" s="1" t="str">
        <f>ADDRESS(C121-1,D121+1,1,1)</f>
        <v>$BE$98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$BD$99</v>
      </c>
      <c r="D114" s="1" t="str">
        <f>ADDRESS(C121+1,D121+1,1,1)</f>
        <v>$BE$100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$BD$100</v>
      </c>
      <c r="E115" s="1" t="s">
        <v>8</v>
      </c>
    </row>
    <row r="116" spans="1:5" x14ac:dyDescent="0.25">
      <c r="A116" s="30">
        <v>1.6105100000000008</v>
      </c>
      <c r="C116" s="1">
        <f>C117-1</f>
        <v>98</v>
      </c>
      <c r="E116" s="1" t="s">
        <v>8</v>
      </c>
    </row>
    <row r="117" spans="1:5" x14ac:dyDescent="0.25">
      <c r="A117" s="30">
        <v>1.4641000000000006</v>
      </c>
      <c r="C117" s="1">
        <f>C121</f>
        <v>99</v>
      </c>
      <c r="D117" s="1">
        <f>D121</f>
        <v>56</v>
      </c>
      <c r="E117" s="1" t="s">
        <v>8</v>
      </c>
    </row>
    <row r="118" spans="1:5" x14ac:dyDescent="0.25">
      <c r="A118" s="30">
        <v>1.3310000000000004</v>
      </c>
      <c r="C118" s="1">
        <f>C117+1</f>
        <v>100</v>
      </c>
      <c r="D118" s="1">
        <f>D117+1</f>
        <v>57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99</v>
      </c>
      <c r="D121" s="19">
        <v>56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R99</v>
      </c>
      <c r="D123" s="1" t="str">
        <f>"C"&amp;D121</f>
        <v>C56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8.140274938683989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03" operator="equal">
      <formula>$U$1</formula>
    </cfRule>
    <cfRule type="cellIs" dxfId="30" priority="904" operator="equal">
      <formula>$S$1</formula>
    </cfRule>
  </conditionalFormatting>
  <conditionalFormatting sqref="D136">
    <cfRule type="cellIs" dxfId="29" priority="901" operator="equal">
      <formula>$S$1</formula>
    </cfRule>
    <cfRule type="cellIs" dxfId="28" priority="902" operator="equal">
      <formula>$U$1</formula>
    </cfRule>
  </conditionalFormatting>
  <conditionalFormatting sqref="C102">
    <cfRule type="cellIs" dxfId="27" priority="899" operator="equal">
      <formula>$U$1</formula>
    </cfRule>
    <cfRule type="cellIs" dxfId="26" priority="900" operator="equal">
      <formula>$S$1</formula>
    </cfRule>
  </conditionalFormatting>
  <conditionalFormatting sqref="D102">
    <cfRule type="cellIs" dxfId="25" priority="897" operator="equal">
      <formula>$S$1</formula>
    </cfRule>
    <cfRule type="cellIs" dxfId="24" priority="898" operator="equal">
      <formula>$U$1</formula>
    </cfRule>
  </conditionalFormatting>
  <conditionalFormatting sqref="C77">
    <cfRule type="cellIs" dxfId="23" priority="895" operator="equal">
      <formula>$U$1</formula>
    </cfRule>
    <cfRule type="cellIs" dxfId="22" priority="896" operator="equal">
      <formula>$S$1</formula>
    </cfRule>
  </conditionalFormatting>
  <conditionalFormatting sqref="D77">
    <cfRule type="cellIs" dxfId="21" priority="893" operator="equal">
      <formula>$S$1</formula>
    </cfRule>
    <cfRule type="cellIs" dxfId="20" priority="894" operator="equal">
      <formula>$U$1</formula>
    </cfRule>
  </conditionalFormatting>
  <conditionalFormatting sqref="C52">
    <cfRule type="cellIs" dxfId="19" priority="891" operator="equal">
      <formula>$U$1</formula>
    </cfRule>
    <cfRule type="cellIs" dxfId="18" priority="892" operator="equal">
      <formula>$S$1</formula>
    </cfRule>
  </conditionalFormatting>
  <conditionalFormatting sqref="D52">
    <cfRule type="cellIs" dxfId="17" priority="889" operator="equal">
      <formula>$S$1</formula>
    </cfRule>
    <cfRule type="cellIs" dxfId="16" priority="890" operator="equal">
      <formula>$U$1</formula>
    </cfRule>
  </conditionalFormatting>
  <conditionalFormatting sqref="C26">
    <cfRule type="cellIs" dxfId="15" priority="887" operator="equal">
      <formula>$U$1</formula>
    </cfRule>
    <cfRule type="cellIs" dxfId="14" priority="888" operator="equal">
      <formula>$S$1</formula>
    </cfRule>
  </conditionalFormatting>
  <conditionalFormatting sqref="D26">
    <cfRule type="cellIs" dxfId="13" priority="885" operator="equal">
      <formula>$S$1</formula>
    </cfRule>
    <cfRule type="cellIs" dxfId="12" priority="88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2022-01-28T01:23:02Z</dcterms:modified>
</cp:coreProperties>
</file>