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31BC1439-9564-41E1-83FD-3DD27FB6F713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C136" i="5" s="1"/>
  <c r="C116" i="5"/>
  <c r="C116" i="4"/>
  <c r="C122" i="4"/>
  <c r="C133" i="4" s="1"/>
  <c r="D136" i="4" s="1"/>
  <c r="C116" i="3"/>
  <c r="C122" i="3"/>
  <c r="C133" i="3" s="1"/>
  <c r="C136" i="3" s="1"/>
  <c r="R765" i="1"/>
  <c r="D136" i="5" l="1"/>
  <c r="C138" i="5" s="1"/>
  <c r="C136" i="4"/>
  <c r="C138" i="4" s="1"/>
  <c r="D136" i="3"/>
  <c r="C138" i="3" s="1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S239" i="1" l="1"/>
  <c r="T239" i="1" s="1"/>
  <c r="R238" i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S228" i="1" l="1"/>
  <c r="T228" i="1" s="1"/>
  <c r="R227" i="1"/>
  <c r="S227" i="1" l="1"/>
  <c r="T227" i="1" s="1"/>
  <c r="R226" i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S215" i="1" l="1"/>
  <c r="T215" i="1" s="1"/>
  <c r="R214" i="1"/>
  <c r="R213" i="1" l="1"/>
  <c r="S214" i="1"/>
  <c r="T214" i="1" s="1"/>
  <c r="R212" i="1" l="1"/>
  <c r="S213" i="1"/>
  <c r="T213" i="1" s="1"/>
  <c r="S212" i="1" l="1"/>
  <c r="T212" i="1" s="1"/>
  <c r="R211" i="1"/>
  <c r="S211" i="1" l="1"/>
  <c r="T211" i="1" s="1"/>
  <c r="R210" i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S204" i="1" l="1"/>
  <c r="T204" i="1" s="1"/>
  <c r="R203" i="1"/>
  <c r="S203" i="1" l="1"/>
  <c r="T203" i="1" s="1"/>
  <c r="R202" i="1"/>
  <c r="R201" i="1" l="1"/>
  <c r="S202" i="1"/>
  <c r="T202" i="1" s="1"/>
  <c r="R200" i="1" l="1"/>
  <c r="S201" i="1"/>
  <c r="T201" i="1" s="1"/>
  <c r="R199" i="1" l="1"/>
  <c r="S200" i="1"/>
  <c r="T200" i="1" s="1"/>
  <c r="S199" i="1" l="1"/>
  <c r="T199" i="1" s="1"/>
  <c r="R198" i="1"/>
  <c r="R197" i="1" l="1"/>
  <c r="S198" i="1"/>
  <c r="T198" i="1" s="1"/>
  <c r="R196" i="1" l="1"/>
  <c r="S197" i="1"/>
  <c r="T197" i="1" s="1"/>
  <c r="S196" i="1" l="1"/>
  <c r="T196" i="1" s="1"/>
  <c r="R195" i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S191" i="1" l="1"/>
  <c r="T191" i="1" s="1"/>
  <c r="R190" i="1"/>
  <c r="R189" i="1" l="1"/>
  <c r="S190" i="1"/>
  <c r="T190" i="1" s="1"/>
  <c r="R188" i="1" l="1"/>
  <c r="S189" i="1"/>
  <c r="T189" i="1" s="1"/>
  <c r="S188" i="1" l="1"/>
  <c r="T188" i="1" s="1"/>
  <c r="R187" i="1"/>
  <c r="S187" i="1" l="1"/>
  <c r="T187" i="1" s="1"/>
  <c r="R186" i="1"/>
  <c r="R185" i="1" l="1"/>
  <c r="S186" i="1"/>
  <c r="T186" i="1" s="1"/>
  <c r="R184" i="1" l="1"/>
  <c r="S185" i="1"/>
  <c r="T185" i="1" s="1"/>
  <c r="R183" i="1" l="1"/>
  <c r="S184" i="1"/>
  <c r="T184" i="1" s="1"/>
  <c r="S183" i="1" l="1"/>
  <c r="T183" i="1" s="1"/>
  <c r="R182" i="1"/>
  <c r="R181" i="1" l="1"/>
  <c r="S182" i="1"/>
  <c r="T182" i="1" s="1"/>
  <c r="R180" i="1" l="1"/>
  <c r="S181" i="1"/>
  <c r="T181" i="1" s="1"/>
  <c r="S180" i="1" l="1"/>
  <c r="T180" i="1" s="1"/>
  <c r="R179" i="1"/>
  <c r="S179" i="1" l="1"/>
  <c r="T179" i="1" s="1"/>
  <c r="R178" i="1"/>
  <c r="R177" i="1" l="1"/>
  <c r="S178" i="1"/>
  <c r="T178" i="1" s="1"/>
  <c r="R176" i="1" l="1"/>
  <c r="S177" i="1"/>
  <c r="T177" i="1" s="1"/>
  <c r="R175" i="1" l="1"/>
  <c r="S176" i="1"/>
  <c r="T176" i="1" s="1"/>
  <c r="S175" i="1" l="1"/>
  <c r="T175" i="1" s="1"/>
  <c r="R174" i="1"/>
  <c r="R173" i="1" l="1"/>
  <c r="S174" i="1"/>
  <c r="T174" i="1" s="1"/>
  <c r="R172" i="1" l="1"/>
  <c r="S173" i="1"/>
  <c r="T173" i="1" s="1"/>
  <c r="R171" i="1" l="1"/>
  <c r="S172" i="1"/>
  <c r="T172" i="1" s="1"/>
  <c r="S171" i="1" l="1"/>
  <c r="T171" i="1" s="1"/>
  <c r="R170" i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S156" i="1" l="1"/>
  <c r="T156" i="1" s="1"/>
  <c r="R155" i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S143" i="1" l="1"/>
  <c r="T143" i="1" s="1"/>
  <c r="R142" i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S132" i="1" l="1"/>
  <c r="T132" i="1" s="1"/>
  <c r="R131" i="1"/>
  <c r="S131" i="1" l="1"/>
  <c r="T131" i="1" s="1"/>
  <c r="R130" i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S119" i="1" l="1"/>
  <c r="T119" i="1" s="1"/>
  <c r="R118" i="1"/>
  <c r="R117" i="1" l="1"/>
  <c r="S118" i="1"/>
  <c r="T118" i="1" s="1"/>
  <c r="R116" i="1" l="1"/>
  <c r="S117" i="1"/>
  <c r="T117" i="1" s="1"/>
  <c r="S116" i="1" l="1"/>
  <c r="T116" i="1" s="1"/>
  <c r="R115" i="1"/>
  <c r="S115" i="1" l="1"/>
  <c r="T115" i="1" s="1"/>
  <c r="R114" i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S108" i="1" l="1"/>
  <c r="T108" i="1" s="1"/>
  <c r="R107" i="1"/>
  <c r="S107" i="1" l="1"/>
  <c r="T107" i="1" s="1"/>
  <c r="R106" i="1"/>
  <c r="R105" i="1" l="1"/>
  <c r="S106" i="1"/>
  <c r="T106" i="1" s="1"/>
  <c r="R104" i="1" l="1"/>
  <c r="S105" i="1"/>
  <c r="T105" i="1" s="1"/>
  <c r="R103" i="1" l="1"/>
  <c r="S104" i="1"/>
  <c r="T104" i="1" s="1"/>
  <c r="S103" i="1" l="1"/>
  <c r="T103" i="1" s="1"/>
  <c r="R102" i="1"/>
  <c r="R101" i="1" l="1"/>
  <c r="S102" i="1"/>
  <c r="T102" i="1" s="1"/>
  <c r="R100" i="1" l="1"/>
  <c r="S101" i="1"/>
  <c r="T101" i="1" s="1"/>
  <c r="S100" i="1" l="1"/>
  <c r="T100" i="1" s="1"/>
  <c r="R99" i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S95" i="1" l="1"/>
  <c r="T95" i="1" s="1"/>
  <c r="R94" i="1"/>
  <c r="R93" i="1" l="1"/>
  <c r="S94" i="1"/>
  <c r="T94" i="1" s="1"/>
  <c r="R92" i="1" l="1"/>
  <c r="S93" i="1"/>
  <c r="T93" i="1" s="1"/>
  <c r="S92" i="1" l="1"/>
  <c r="T92" i="1" s="1"/>
  <c r="R91" i="1"/>
  <c r="S91" i="1" l="1"/>
  <c r="T91" i="1" s="1"/>
  <c r="R90" i="1"/>
  <c r="S90" i="1" l="1"/>
  <c r="T90" i="1" s="1"/>
  <c r="R89" i="1"/>
  <c r="S89" i="1" l="1"/>
  <c r="T89" i="1" s="1"/>
  <c r="R88" i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S84" i="1" l="1"/>
  <c r="T84" i="1" s="1"/>
  <c r="R83" i="1"/>
  <c r="S83" i="1" l="1"/>
  <c r="T83" i="1" s="1"/>
  <c r="R82" i="1"/>
  <c r="S82" i="1" l="1"/>
  <c r="T82" i="1" s="1"/>
  <c r="R81" i="1"/>
  <c r="S81" i="1" l="1"/>
  <c r="T81" i="1" s="1"/>
  <c r="R80" i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S71" i="1" l="1"/>
  <c r="T71" i="1" s="1"/>
  <c r="R70" i="1"/>
  <c r="S70" i="1" l="1"/>
  <c r="T70" i="1" s="1"/>
  <c r="R69" i="1"/>
  <c r="S69" i="1" l="1"/>
  <c r="T69" i="1" s="1"/>
  <c r="R68" i="1"/>
  <c r="S68" i="1" l="1"/>
  <c r="T68" i="1" s="1"/>
  <c r="R67" i="1"/>
  <c r="S67" i="1" l="1"/>
  <c r="T67" i="1" s="1"/>
  <c r="R66" i="1"/>
  <c r="S66" i="1" l="1"/>
  <c r="T66" i="1" s="1"/>
  <c r="R65" i="1"/>
  <c r="S65" i="1" l="1"/>
  <c r="T65" i="1" s="1"/>
  <c r="R64" i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S60" i="1" l="1"/>
  <c r="T60" i="1" s="1"/>
  <c r="R59" i="1"/>
  <c r="S59" i="1" l="1"/>
  <c r="T59" i="1" s="1"/>
  <c r="R58" i="1"/>
  <c r="S58" i="1" l="1"/>
  <c r="T58" i="1" s="1"/>
  <c r="R57" i="1"/>
  <c r="S57" i="1" l="1"/>
  <c r="T57" i="1" s="1"/>
  <c r="R56" i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S47" i="1" l="1"/>
  <c r="T47" i="1" s="1"/>
  <c r="R46" i="1"/>
  <c r="S46" i="1" l="1"/>
  <c r="T46" i="1" s="1"/>
  <c r="R45" i="1"/>
  <c r="S45" i="1" l="1"/>
  <c r="T45" i="1" s="1"/>
  <c r="R44" i="1"/>
  <c r="S44" i="1" l="1"/>
  <c r="T44" i="1" s="1"/>
  <c r="R43" i="1"/>
  <c r="R42" i="1" l="1"/>
  <c r="S43" i="1"/>
  <c r="T43" i="1" s="1"/>
  <c r="S42" i="1" l="1"/>
  <c r="T42" i="1" s="1"/>
  <c r="R41" i="1"/>
  <c r="S41" i="1" l="1"/>
  <c r="T41" i="1" s="1"/>
  <c r="R40" i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S35" i="1" l="1"/>
  <c r="T35" i="1" s="1"/>
  <c r="R34" i="1"/>
  <c r="R33" i="1" l="1"/>
  <c r="S34" i="1"/>
  <c r="T34" i="1" s="1"/>
  <c r="S33" i="1" l="1"/>
  <c r="T33" i="1" s="1"/>
  <c r="R32" i="1"/>
  <c r="R31" i="1" l="1"/>
  <c r="S32" i="1"/>
  <c r="T32" i="1" s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S26" i="1" l="1"/>
  <c r="T26" i="1" s="1"/>
  <c r="R25" i="1"/>
  <c r="S25" i="1" l="1"/>
  <c r="T25" i="1" s="1"/>
  <c r="R24" i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<sst xmlns="http://schemas.openxmlformats.org/spreadsheetml/2006/main" count="8455" uniqueCount="34">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</sst>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0.19489999999999999</c:v>
                </c:pt>
                <c:pt idx="1">
                  <c:v>0.19869999999999999</c:v>
                </c:pt>
                <c:pt idx="2">
                  <c:v>0.20580000000000001</c:v>
                </c:pt>
                <c:pt idx="3">
                  <c:v>0.19900000000000001</c:v>
                </c:pt>
                <c:pt idx="4">
                  <c:v>0.2006</c:v>
                </c:pt>
                <c:pt idx="5">
                  <c:v>0.19409999999999999</c:v>
                </c:pt>
                <c:pt idx="6">
                  <c:v>0.21629999999999999</c:v>
                </c:pt>
                <c:pt idx="7">
                  <c:v>0.27579999999999999</c:v>
                </c:pt>
                <c:pt idx="8">
                  <c:v>0.2974</c:v>
                </c:pt>
                <c:pt idx="9">
                  <c:v>0.30890000000000001</c:v>
                </c:pt>
                <c:pt idx="10">
                  <c:v>0.30919999999999997</c:v>
                </c:pt>
                <c:pt idx="11">
                  <c:v>0.32779999999999998</c:v>
                </c:pt>
                <c:pt idx="12">
                  <c:v>0.32550000000000001</c:v>
                </c:pt>
                <c:pt idx="13">
                  <c:v>0.33560000000000001</c:v>
                </c:pt>
                <c:pt idx="14">
                  <c:v>0.32169999999999999</c:v>
                </c:pt>
                <c:pt idx="15">
                  <c:v>0.3483</c:v>
                </c:pt>
                <c:pt idx="16">
                  <c:v>0.3478</c:v>
                </c:pt>
                <c:pt idx="17">
                  <c:v>0.31130000000000002</c:v>
                </c:pt>
                <c:pt idx="18">
                  <c:v>0.32040000000000002</c:v>
                </c:pt>
                <c:pt idx="19">
                  <c:v>0.30149999999999999</c:v>
                </c:pt>
                <c:pt idx="20">
                  <c:v>0.32450000000000001</c:v>
                </c:pt>
                <c:pt idx="21">
                  <c:v>0.34329999999999999</c:v>
                </c:pt>
                <c:pt idx="22">
                  <c:v>0.34920000000000001</c:v>
                </c:pt>
                <c:pt idx="23">
                  <c:v>0.37780000000000002</c:v>
                </c:pt>
                <c:pt idx="24">
                  <c:v>0.37830000000000003</c:v>
                </c:pt>
                <c:pt idx="25">
                  <c:v>0.3846</c:v>
                </c:pt>
                <c:pt idx="26">
                  <c:v>0.40060000000000001</c:v>
                </c:pt>
                <c:pt idx="27">
                  <c:v>0.36799999999999999</c:v>
                </c:pt>
                <c:pt idx="28">
                  <c:v>0.3866</c:v>
                </c:pt>
                <c:pt idx="29">
                  <c:v>0.38100000000000001</c:v>
                </c:pt>
                <c:pt idx="30">
                  <c:v>0.4047</c:v>
                </c:pt>
                <c:pt idx="31">
                  <c:v>0.41830000000000001</c:v>
                </c:pt>
                <c:pt idx="32">
                  <c:v>0.41089999999999999</c:v>
                </c:pt>
                <c:pt idx="33">
                  <c:v>0.38650000000000001</c:v>
                </c:pt>
                <c:pt idx="34">
                  <c:v>0.37330000000000002</c:v>
                </c:pt>
                <c:pt idx="35">
                  <c:v>0.40849999999999997</c:v>
                </c:pt>
                <c:pt idx="36">
                  <c:v>0.36809999999999998</c:v>
                </c:pt>
                <c:pt idx="37">
                  <c:v>0.35339999999999999</c:v>
                </c:pt>
                <c:pt idx="38">
                  <c:v>0.32190000000000002</c:v>
                </c:pt>
                <c:pt idx="39">
                  <c:v>0.34</c:v>
                </c:pt>
                <c:pt idx="40">
                  <c:v>0.3473</c:v>
                </c:pt>
                <c:pt idx="41">
                  <c:v>0.35580000000000001</c:v>
                </c:pt>
                <c:pt idx="42">
                  <c:v>0.35149999999999998</c:v>
                </c:pt>
                <c:pt idx="43">
                  <c:v>0.3241</c:v>
                </c:pt>
                <c:pt idx="44">
                  <c:v>0.34179999999999999</c:v>
                </c:pt>
                <c:pt idx="45">
                  <c:v>0.30430000000000001</c:v>
                </c:pt>
                <c:pt idx="46">
                  <c:v>0.3518</c:v>
                </c:pt>
                <c:pt idx="47">
                  <c:v>0.32740000000000002</c:v>
                </c:pt>
                <c:pt idx="48">
                  <c:v>0.3221</c:v>
                </c:pt>
                <c:pt idx="49">
                  <c:v>0.34370000000000001</c:v>
                </c:pt>
                <c:pt idx="50">
                  <c:v>0.38769999999999999</c:v>
                </c:pt>
                <c:pt idx="51">
                  <c:v>0.36220000000000002</c:v>
                </c:pt>
                <c:pt idx="52">
                  <c:v>0.33090000000000003</c:v>
                </c:pt>
                <c:pt idx="53">
                  <c:v>0.32590000000000002</c:v>
                </c:pt>
                <c:pt idx="54">
                  <c:v>0.3659</c:v>
                </c:pt>
                <c:pt idx="55">
                  <c:v>0.4365</c:v>
                </c:pt>
                <c:pt idx="56">
                  <c:v>0.47289999999999999</c:v>
                </c:pt>
                <c:pt idx="57">
                  <c:v>0.53459999999999996</c:v>
                </c:pt>
                <c:pt idx="58">
                  <c:v>0.47089999999999999</c:v>
                </c:pt>
                <c:pt idx="59">
                  <c:v>0.4783</c:v>
                </c:pt>
                <c:pt idx="60">
                  <c:v>0.48599999999999999</c:v>
                </c:pt>
                <c:pt idx="61">
                  <c:v>0.48299999999999998</c:v>
                </c:pt>
                <c:pt idx="62">
                  <c:v>0.49740000000000001</c:v>
                </c:pt>
                <c:pt idx="63">
                  <c:v>0.58620000000000005</c:v>
                </c:pt>
                <c:pt idx="64">
                  <c:v>0.59219999999999995</c:v>
                </c:pt>
                <c:pt idx="65">
                  <c:v>0.59299999999999997</c:v>
                </c:pt>
                <c:pt idx="66">
                  <c:v>0.56140000000000001</c:v>
                </c:pt>
                <c:pt idx="67">
                  <c:v>0.6079</c:v>
                </c:pt>
                <c:pt idx="68">
                  <c:v>0.53769999999999996</c:v>
                </c:pt>
                <c:pt idx="69">
                  <c:v>0.49969999999999998</c:v>
                </c:pt>
                <c:pt idx="70">
                  <c:v>0.4909</c:v>
                </c:pt>
                <c:pt idx="71">
                  <c:v>0.59509999999999996</c:v>
                </c:pt>
                <c:pt idx="72">
                  <c:v>0.66349999999999998</c:v>
                </c:pt>
                <c:pt idx="73">
                  <c:v>0.62890000000000001</c:v>
                </c:pt>
                <c:pt idx="74">
                  <c:v>0.69799999999999995</c:v>
                </c:pt>
                <c:pt idx="75">
                  <c:v>0.55520000000000003</c:v>
                </c:pt>
                <c:pt idx="76">
                  <c:v>0.49270000000000003</c:v>
                </c:pt>
                <c:pt idx="77">
                  <c:v>0.38729999999999998</c:v>
                </c:pt>
                <c:pt idx="78">
                  <c:v>0.33500000000000002</c:v>
                </c:pt>
                <c:pt idx="79">
                  <c:v>0.38069999999999998</c:v>
                </c:pt>
                <c:pt idx="80">
                  <c:v>0.31469999999999998</c:v>
                </c:pt>
                <c:pt idx="81">
                  <c:v>0.2974</c:v>
                </c:pt>
                <c:pt idx="82">
                  <c:v>0.28549999999999998</c:v>
                </c:pt>
                <c:pt idx="83">
                  <c:v>0.28739999999999999</c:v>
                </c:pt>
                <c:pt idx="84">
                  <c:v>0.2903</c:v>
                </c:pt>
                <c:pt idx="85">
                  <c:v>0.2923</c:v>
                </c:pt>
                <c:pt idx="86">
                  <c:v>0.28489999999999999</c:v>
                </c:pt>
                <c:pt idx="87">
                  <c:v>0.2868</c:v>
                </c:pt>
                <c:pt idx="88">
                  <c:v>0.2893</c:v>
                </c:pt>
                <c:pt idx="89">
                  <c:v>0.2823</c:v>
                </c:pt>
                <c:pt idx="90">
                  <c:v>0.27700000000000002</c:v>
                </c:pt>
                <c:pt idx="91">
                  <c:v>0.28139999999999998</c:v>
                </c:pt>
                <c:pt idx="92">
                  <c:v>0.24740000000000001</c:v>
                </c:pt>
                <c:pt idx="93">
                  <c:v>0.27689999999999998</c:v>
                </c:pt>
                <c:pt idx="94">
                  <c:v>0.27479999999999999</c:v>
                </c:pt>
                <c:pt idx="95">
                  <c:v>0.26790000000000003</c:v>
                </c:pt>
                <c:pt idx="96">
                  <c:v>0.27950000000000003</c:v>
                </c:pt>
                <c:pt idx="97">
                  <c:v>0.27239999999999998</c:v>
                </c:pt>
                <c:pt idx="98">
                  <c:v>0.27660000000000001</c:v>
                </c:pt>
                <c:pt idx="99">
                  <c:v>0.28710000000000002</c:v>
                </c:pt>
                <c:pt idx="100">
                  <c:v>0.27650000000000002</c:v>
                </c:pt>
                <c:pt idx="101">
                  <c:v>0.28489999999999999</c:v>
                </c:pt>
                <c:pt idx="102">
                  <c:v>0.28889999999999999</c:v>
                </c:pt>
                <c:pt idx="103">
                  <c:v>0.28760000000000002</c:v>
                </c:pt>
                <c:pt idx="104">
                  <c:v>0.29599999999999999</c:v>
                </c:pt>
                <c:pt idx="105">
                  <c:v>0.2767</c:v>
                </c:pt>
                <c:pt idx="106">
                  <c:v>0.27050000000000002</c:v>
                </c:pt>
                <c:pt idx="107">
                  <c:v>0.27229999999999999</c:v>
                </c:pt>
                <c:pt idx="108">
                  <c:v>0.27929999999999999</c:v>
                </c:pt>
                <c:pt idx="109">
                  <c:v>0.28079999999999999</c:v>
                </c:pt>
                <c:pt idx="110">
                  <c:v>0.29020000000000001</c:v>
                </c:pt>
                <c:pt idx="111">
                  <c:v>0.28199999999999997</c:v>
                </c:pt>
                <c:pt idx="112">
                  <c:v>0.27589999999999998</c:v>
                </c:pt>
                <c:pt idx="113">
                  <c:v>0.26340000000000002</c:v>
                </c:pt>
                <c:pt idx="114">
                  <c:v>0.26950000000000002</c:v>
                </c:pt>
                <c:pt idx="115">
                  <c:v>0.26469999999999999</c:v>
                </c:pt>
                <c:pt idx="116">
                  <c:v>0.27379999999999999</c:v>
                </c:pt>
                <c:pt idx="117">
                  <c:v>0.27410000000000001</c:v>
                </c:pt>
                <c:pt idx="118">
                  <c:v>0.26829999999999998</c:v>
                </c:pt>
                <c:pt idx="119">
                  <c:v>0.24970000000000001</c:v>
                </c:pt>
                <c:pt idx="120">
                  <c:v>0.23930000000000001</c:v>
                </c:pt>
                <c:pt idx="121">
                  <c:v>0.23580000000000001</c:v>
                </c:pt>
                <c:pt idx="122">
                  <c:v>0.25690000000000002</c:v>
                </c:pt>
                <c:pt idx="123">
                  <c:v>0.28470000000000001</c:v>
                </c:pt>
                <c:pt idx="124">
                  <c:v>0.28470000000000001</c:v>
                </c:pt>
                <c:pt idx="125">
                  <c:v>0.2452</c:v>
                </c:pt>
                <c:pt idx="126">
                  <c:v>0.27010000000000001</c:v>
                </c:pt>
                <c:pt idx="127">
                  <c:v>0.26090000000000002</c:v>
                </c:pt>
                <c:pt idx="128">
                  <c:v>0.22900000000000001</c:v>
                </c:pt>
                <c:pt idx="129">
                  <c:v>0.26790000000000003</c:v>
                </c:pt>
                <c:pt idx="130">
                  <c:v>0.29420000000000002</c:v>
                </c:pt>
                <c:pt idx="131">
                  <c:v>0.29730000000000001</c:v>
                </c:pt>
                <c:pt idx="132">
                  <c:v>0.28129999999999999</c:v>
                </c:pt>
                <c:pt idx="133">
                  <c:v>0.29880000000000001</c:v>
                </c:pt>
                <c:pt idx="134">
                  <c:v>0.30409999999999998</c:v>
                </c:pt>
                <c:pt idx="135">
                  <c:v>0.29249999999999998</c:v>
                </c:pt>
                <c:pt idx="136">
                  <c:v>0.28249999999999997</c:v>
                </c:pt>
                <c:pt idx="137">
                  <c:v>0.3034</c:v>
                </c:pt>
                <c:pt idx="138">
                  <c:v>0.30380000000000001</c:v>
                </c:pt>
                <c:pt idx="139">
                  <c:v>0.29459999999999997</c:v>
                </c:pt>
                <c:pt idx="140">
                  <c:v>0.32</c:v>
                </c:pt>
                <c:pt idx="141">
                  <c:v>0.29420000000000002</c:v>
                </c:pt>
                <c:pt idx="142">
                  <c:v>0.2848</c:v>
                </c:pt>
                <c:pt idx="143">
                  <c:v>0.34910000000000002</c:v>
                </c:pt>
                <c:pt idx="144">
                  <c:v>0.33329999999999999</c:v>
                </c:pt>
                <c:pt idx="145">
                  <c:v>0.3231</c:v>
                </c:pt>
                <c:pt idx="146">
                  <c:v>0.31219999999999998</c:v>
                </c:pt>
                <c:pt idx="147">
                  <c:v>0.30409999999999998</c:v>
                </c:pt>
                <c:pt idx="148">
                  <c:v>0.31030000000000002</c:v>
                </c:pt>
                <c:pt idx="149">
                  <c:v>0.30009999999999998</c:v>
                </c:pt>
                <c:pt idx="150">
                  <c:v>0.29909999999999998</c:v>
                </c:pt>
                <c:pt idx="151">
                  <c:v>0.28639999999999999</c:v>
                </c:pt>
                <c:pt idx="152">
                  <c:v>0.28939999999999999</c:v>
                </c:pt>
                <c:pt idx="153">
                  <c:v>0.28170000000000001</c:v>
                </c:pt>
                <c:pt idx="154">
                  <c:v>0.26190000000000002</c:v>
                </c:pt>
                <c:pt idx="155">
                  <c:v>0.29019</c:v>
                </c:pt>
                <c:pt idx="156">
                  <c:v>0.28255999999999998</c:v>
                </c:pt>
                <c:pt idx="157">
                  <c:v>0.31241999999999998</c:v>
                </c:pt>
                <c:pt idx="158">
                  <c:v>0.30993999999999999</c:v>
                </c:pt>
                <c:pt idx="159">
                  <c:v>0.30549999999999999</c:v>
                </c:pt>
                <c:pt idx="160">
                  <c:v>0.30679000000000001</c:v>
                </c:pt>
                <c:pt idx="161">
                  <c:v>0.31186999999999998</c:v>
                </c:pt>
                <c:pt idx="162">
                  <c:v>0.28000999999999998</c:v>
                </c:pt>
                <c:pt idx="163">
                  <c:v>0.28083999999999998</c:v>
                </c:pt>
                <c:pt idx="164">
                  <c:v>0.31035000000000001</c:v>
                </c:pt>
                <c:pt idx="165">
                  <c:v>0.31790000000000002</c:v>
                </c:pt>
                <c:pt idx="166">
                  <c:v>0.31244</c:v>
                </c:pt>
                <c:pt idx="167">
                  <c:v>0.32035000000000002</c:v>
                </c:pt>
                <c:pt idx="168">
                  <c:v>0.29386000000000001</c:v>
                </c:pt>
                <c:pt idx="169">
                  <c:v>0.29942999999999997</c:v>
                </c:pt>
                <c:pt idx="170">
                  <c:v>0.27306999999999998</c:v>
                </c:pt>
                <c:pt idx="171">
                  <c:v>0.27442</c:v>
                </c:pt>
                <c:pt idx="172">
                  <c:v>0.25179000000000001</c:v>
                </c:pt>
                <c:pt idx="173">
                  <c:v>0.28756999999999999</c:v>
                </c:pt>
                <c:pt idx="174">
                  <c:v>0.26358999999999999</c:v>
                </c:pt>
                <c:pt idx="175">
                  <c:v>0.26869999999999999</c:v>
                </c:pt>
                <c:pt idx="176">
                  <c:v>0.27989999999999998</c:v>
                </c:pt>
                <c:pt idx="177">
                  <c:v>0.23585999999999999</c:v>
                </c:pt>
                <c:pt idx="178">
                  <c:v>0.25091000000000002</c:v>
                </c:pt>
                <c:pt idx="179">
                  <c:v>0.26863999999999999</c:v>
                </c:pt>
                <c:pt idx="180">
                  <c:v>0.22900999999999999</c:v>
                </c:pt>
                <c:pt idx="181">
                  <c:v>0.19864999999999999</c:v>
                </c:pt>
                <c:pt idx="182">
                  <c:v>0.19982</c:v>
                </c:pt>
                <c:pt idx="183">
                  <c:v>0.20688000000000001</c:v>
                </c:pt>
                <c:pt idx="184">
                  <c:v>0.20471</c:v>
                </c:pt>
                <c:pt idx="185">
                  <c:v>0.16985</c:v>
                </c:pt>
                <c:pt idx="186">
                  <c:v>0.16259999999999999</c:v>
                </c:pt>
                <c:pt idx="187">
                  <c:v>0.16331999999999999</c:v>
                </c:pt>
                <c:pt idx="188">
                  <c:v>0.16048000000000001</c:v>
                </c:pt>
                <c:pt idx="189">
                  <c:v>0.16011</c:v>
                </c:pt>
                <c:pt idx="190">
                  <c:v>0.15240000000000001</c:v>
                </c:pt>
                <c:pt idx="191">
                  <c:v>0.13907</c:v>
                </c:pt>
                <c:pt idx="192">
                  <c:v>0.14659</c:v>
                </c:pt>
                <c:pt idx="193">
                  <c:v>0.16045000000000001</c:v>
                </c:pt>
                <c:pt idx="194">
                  <c:v>0.16344</c:v>
                </c:pt>
                <c:pt idx="195">
                  <c:v>0.1623</c:v>
                </c:pt>
                <c:pt idx="196">
                  <c:v>0.17996000000000001</c:v>
                </c:pt>
                <c:pt idx="197">
                  <c:v>0.16954</c:v>
                </c:pt>
                <c:pt idx="198">
                  <c:v>0.16558999999999999</c:v>
                </c:pt>
                <c:pt idx="199">
                  <c:v>0.16755999999999999</c:v>
                </c:pt>
                <c:pt idx="200">
                  <c:v>0.17535999999999999</c:v>
                </c:pt>
                <c:pt idx="201">
                  <c:v>0.16864000000000001</c:v>
                </c:pt>
                <c:pt idx="202">
                  <c:v>0.17623</c:v>
                </c:pt>
                <c:pt idx="203">
                  <c:v>0.17143</c:v>
                </c:pt>
                <c:pt idx="204">
                  <c:v>0.19314999999999999</c:v>
                </c:pt>
                <c:pt idx="205">
                  <c:v>0.17077000000000001</c:v>
                </c:pt>
                <c:pt idx="206">
                  <c:v>0.16206000000000001</c:v>
                </c:pt>
                <c:pt idx="207">
                  <c:v>0.17022000000000001</c:v>
                </c:pt>
                <c:pt idx="208">
                  <c:v>0.16927</c:v>
                </c:pt>
                <c:pt idx="209">
                  <c:v>0.16317999999999999</c:v>
                </c:pt>
                <c:pt idx="210">
                  <c:v>0.16411000000000001</c:v>
                </c:pt>
                <c:pt idx="211">
                  <c:v>0.17413000000000001</c:v>
                </c:pt>
                <c:pt idx="212">
                  <c:v>0.17593</c:v>
                </c:pt>
                <c:pt idx="213">
                  <c:v>0.17368</c:v>
                </c:pt>
                <c:pt idx="214">
                  <c:v>0.16769000000000001</c:v>
                </c:pt>
                <c:pt idx="215">
                  <c:v>0.16355</c:v>
                </c:pt>
                <c:pt idx="216">
                  <c:v>0.15987999999999999</c:v>
                </c:pt>
                <c:pt idx="217">
                  <c:v>0.18409</c:v>
                </c:pt>
                <c:pt idx="218">
                  <c:v>0.17946000000000001</c:v>
                </c:pt>
                <c:pt idx="219">
                  <c:v>0.16017000000000001</c:v>
                </c:pt>
                <c:pt idx="220">
                  <c:v>0.15901999999999999</c:v>
                </c:pt>
                <c:pt idx="221">
                  <c:v>0.20852000000000001</c:v>
                </c:pt>
                <c:pt idx="222">
                  <c:v>0.20502000000000001</c:v>
                </c:pt>
                <c:pt idx="223">
                  <c:v>0.21554000000000001</c:v>
                </c:pt>
                <c:pt idx="224">
                  <c:v>0.2273</c:v>
                </c:pt>
                <c:pt idx="225">
                  <c:v>0.23122999999999999</c:v>
                </c:pt>
                <c:pt idx="226">
                  <c:v>0.23885000000000001</c:v>
                </c:pt>
                <c:pt idx="227">
                  <c:v>0.25491999999999998</c:v>
                </c:pt>
                <c:pt idx="228">
                  <c:v>0.26049</c:v>
                </c:pt>
                <c:pt idx="229">
                  <c:v>0.22167999999999999</c:v>
                </c:pt>
                <c:pt idx="230">
                  <c:v>0.22958999999999999</c:v>
                </c:pt>
                <c:pt idx="231">
                  <c:v>0.25892999999999999</c:v>
                </c:pt>
                <c:pt idx="232">
                  <c:v>0.27994999999999998</c:v>
                </c:pt>
                <c:pt idx="233">
                  <c:v>0.22431999999999999</c:v>
                </c:pt>
                <c:pt idx="234">
                  <c:v>0.22498000000000001</c:v>
                </c:pt>
                <c:pt idx="235">
                  <c:v>0.23613999999999999</c:v>
                </c:pt>
                <c:pt idx="236">
                  <c:v>0.21249000000000001</c:v>
                </c:pt>
                <c:pt idx="237">
                  <c:v>0.21926000000000001</c:v>
                </c:pt>
                <c:pt idx="238">
                  <c:v>0.24826000000000001</c:v>
                </c:pt>
                <c:pt idx="239">
                  <c:v>0.24243999999999999</c:v>
                </c:pt>
                <c:pt idx="240">
                  <c:v>0.22112999999999999</c:v>
                </c:pt>
                <c:pt idx="241">
                  <c:v>0.22600000000000001</c:v>
                </c:pt>
                <c:pt idx="242">
                  <c:v>0.20654</c:v>
                </c:pt>
                <c:pt idx="243">
                  <c:v>0.19263</c:v>
                </c:pt>
                <c:pt idx="244">
                  <c:v>0.20762</c:v>
                </c:pt>
                <c:pt idx="245">
                  <c:v>0.23791000000000001</c:v>
                </c:pt>
                <c:pt idx="246">
                  <c:v>0.26500000000000001</c:v>
                </c:pt>
                <c:pt idx="247">
                  <c:v>0.23293</c:v>
                </c:pt>
                <c:pt idx="248">
                  <c:v>0.21704999999999999</c:v>
                </c:pt>
                <c:pt idx="249">
                  <c:v>0.17097999999999999</c:v>
                </c:pt>
                <c:pt idx="250">
                  <c:v>0.20541000000000001</c:v>
                </c:pt>
                <c:pt idx="251">
                  <c:v>0.23544999999999999</c:v>
                </c:pt>
                <c:pt idx="252">
                  <c:v>0.30266999999999999</c:v>
                </c:pt>
                <c:pt idx="253">
                  <c:v>0.27001999999999998</c:v>
                </c:pt>
                <c:pt idx="254">
                  <c:v>0.39837</c:v>
                </c:pt>
                <c:pt idx="255">
                  <c:v>0.39942</c:v>
                </c:pt>
                <c:pt idx="256">
                  <c:v>0.4325</c:v>
                </c:pt>
                <c:pt idx="257">
                  <c:v>0.43425999999999998</c:v>
                </c:pt>
                <c:pt idx="258">
                  <c:v>0.47545999999999999</c:v>
                </c:pt>
                <c:pt idx="259">
                  <c:v>0.43779000000000001</c:v>
                </c:pt>
                <c:pt idx="260">
                  <c:v>0.42362</c:v>
                </c:pt>
                <c:pt idx="261">
                  <c:v>0.5161</c:v>
                </c:pt>
                <c:pt idx="262">
                  <c:v>0.50183</c:v>
                </c:pt>
                <c:pt idx="263">
                  <c:v>0.56540000000000001</c:v>
                </c:pt>
                <c:pt idx="264">
                  <c:v>0.56810000000000005</c:v>
                </c:pt>
                <c:pt idx="265">
                  <c:v>0.54574999999999996</c:v>
                </c:pt>
                <c:pt idx="266">
                  <c:v>0.57301999999999997</c:v>
                </c:pt>
                <c:pt idx="267">
                  <c:v>0.62372000000000005</c:v>
                </c:pt>
                <c:pt idx="268">
                  <c:v>0.55298999999999998</c:v>
                </c:pt>
                <c:pt idx="269">
                  <c:v>0.61399999999999999</c:v>
                </c:pt>
                <c:pt idx="270">
                  <c:v>0.62421000000000004</c:v>
                </c:pt>
                <c:pt idx="271">
                  <c:v>0.65127999999999997</c:v>
                </c:pt>
                <c:pt idx="272">
                  <c:v>0.67986999999999997</c:v>
                </c:pt>
                <c:pt idx="273">
                  <c:v>0.51014000000000004</c:v>
                </c:pt>
                <c:pt idx="274">
                  <c:v>0.49915999999999999</c:v>
                </c:pt>
                <c:pt idx="275">
                  <c:v>0.52595000000000003</c:v>
                </c:pt>
                <c:pt idx="276">
                  <c:v>0.52537</c:v>
                </c:pt>
                <c:pt idx="277">
                  <c:v>0.43745000000000001</c:v>
                </c:pt>
                <c:pt idx="278">
                  <c:v>0.38258999999999999</c:v>
                </c:pt>
                <c:pt idx="279">
                  <c:v>0.41879</c:v>
                </c:pt>
                <c:pt idx="280">
                  <c:v>0.44094</c:v>
                </c:pt>
                <c:pt idx="281">
                  <c:v>0.50397999999999998</c:v>
                </c:pt>
                <c:pt idx="282">
                  <c:v>0.56799999999999995</c:v>
                </c:pt>
                <c:pt idx="283">
                  <c:v>0.55925999999999998</c:v>
                </c:pt>
                <c:pt idx="284">
                  <c:v>0.61443999999999999</c:v>
                </c:pt>
                <c:pt idx="285">
                  <c:v>0.69852999999999998</c:v>
                </c:pt>
                <c:pt idx="286">
                  <c:v>0.68655999999999995</c:v>
                </c:pt>
                <c:pt idx="287">
                  <c:v>0.69993000000000005</c:v>
                </c:pt>
                <c:pt idx="288">
                  <c:v>0.72</c:v>
                </c:pt>
                <c:pt idx="289">
                  <c:v>0.68713999999999997</c:v>
                </c:pt>
                <c:pt idx="290">
                  <c:v>0.72860999999999998</c:v>
                </c:pt>
                <c:pt idx="291">
                  <c:v>0.76837999999999995</c:v>
                </c:pt>
                <c:pt idx="292">
                  <c:v>0.75927</c:v>
                </c:pt>
                <c:pt idx="293">
                  <c:v>0.80500000000000005</c:v>
                </c:pt>
                <c:pt idx="294">
                  <c:v>0.82899999999999996</c:v>
                </c:pt>
                <c:pt idx="295">
                  <c:v>0.78383000000000003</c:v>
                </c:pt>
                <c:pt idx="296">
                  <c:v>0.89268000000000003</c:v>
                </c:pt>
                <c:pt idx="297">
                  <c:v>0.82064999999999999</c:v>
                </c:pt>
                <c:pt idx="298">
                  <c:v>0.76444000000000001</c:v>
                </c:pt>
                <c:pt idx="299">
                  <c:v>0.78330999999999995</c:v>
                </c:pt>
                <c:pt idx="300">
                  <c:v>0.871</c:v>
                </c:pt>
                <c:pt idx="301">
                  <c:v>0.85741999999999996</c:v>
                </c:pt>
                <c:pt idx="302">
                  <c:v>0.80079999999999996</c:v>
                </c:pt>
                <c:pt idx="303">
                  <c:v>0.82167999999999997</c:v>
                </c:pt>
                <c:pt idx="304">
                  <c:v>0.83952000000000004</c:v>
                </c:pt>
                <c:pt idx="305">
                  <c:v>0.78069999999999995</c:v>
                </c:pt>
                <c:pt idx="306">
                  <c:v>0.69994000000000001</c:v>
                </c:pt>
                <c:pt idx="307">
                  <c:v>0.72499999999999998</c:v>
                </c:pt>
                <c:pt idx="308">
                  <c:v>0.61475000000000002</c:v>
                </c:pt>
                <c:pt idx="309">
                  <c:v>0.68147000000000002</c:v>
                </c:pt>
                <c:pt idx="310">
                  <c:v>0.63221000000000005</c:v>
                </c:pt>
                <c:pt idx="311">
                  <c:v>0.53781999999999996</c:v>
                </c:pt>
                <c:pt idx="312">
                  <c:v>0.59311000000000003</c:v>
                </c:pt>
                <c:pt idx="313">
                  <c:v>0.55745999999999996</c:v>
                </c:pt>
                <c:pt idx="314">
                  <c:v>0.52908999999999995</c:v>
                </c:pt>
                <c:pt idx="315">
                  <c:v>0.52361000000000002</c:v>
                </c:pt>
                <c:pt idx="316">
                  <c:v>0.53076000000000001</c:v>
                </c:pt>
                <c:pt idx="317">
                  <c:v>0.57138</c:v>
                </c:pt>
                <c:pt idx="318">
                  <c:v>0.51202999999999999</c:v>
                </c:pt>
                <c:pt idx="319">
                  <c:v>0.50005999999999995</c:v>
                </c:pt>
                <c:pt idx="320">
                  <c:v>0.54</c:v>
                </c:pt>
                <c:pt idx="321">
                  <c:v>0.52056000000000002</c:v>
                </c:pt>
                <c:pt idx="322">
                  <c:v>0.52578000000000003</c:v>
                </c:pt>
                <c:pt idx="323">
                  <c:v>0.53520000000000001</c:v>
                </c:pt>
                <c:pt idx="324">
                  <c:v>0.58004</c:v>
                </c:pt>
                <c:pt idx="325">
                  <c:v>0.56674000000000002</c:v>
                </c:pt>
                <c:pt idx="326">
                  <c:v>0.55978000000000006</c:v>
                </c:pt>
                <c:pt idx="327">
                  <c:v>0.40600000000000003</c:v>
                </c:pt>
                <c:pt idx="328">
                  <c:v>0.36499999999999999</c:v>
                </c:pt>
                <c:pt idx="329">
                  <c:v>0.36742999999999998</c:v>
                </c:pt>
                <c:pt idx="330">
                  <c:v>0.39405000000000001</c:v>
                </c:pt>
                <c:pt idx="331">
                  <c:v>0.36997999999999998</c:v>
                </c:pt>
                <c:pt idx="332">
                  <c:v>0.37123</c:v>
                </c:pt>
                <c:pt idx="333">
                  <c:v>0.30570000000000003</c:v>
                </c:pt>
                <c:pt idx="334">
                  <c:v>0.30364000000000002</c:v>
                </c:pt>
                <c:pt idx="335">
                  <c:v>0.28871000000000002</c:v>
                </c:pt>
                <c:pt idx="336">
                  <c:v>0.2848</c:v>
                </c:pt>
                <c:pt idx="337">
                  <c:v>0.29436000000000001</c:v>
                </c:pt>
                <c:pt idx="338">
                  <c:v>0.28759000000000001</c:v>
                </c:pt>
                <c:pt idx="339">
                  <c:v>0.33966000000000002</c:v>
                </c:pt>
                <c:pt idx="340">
                  <c:v>0.37280999999999997</c:v>
                </c:pt>
                <c:pt idx="341">
                  <c:v>0.37656000000000001</c:v>
                </c:pt>
                <c:pt idx="342">
                  <c:v>0.38233</c:v>
                </c:pt>
                <c:pt idx="343">
                  <c:v>0.38296999999999998</c:v>
                </c:pt>
                <c:pt idx="344">
                  <c:v>0.38740000000000002</c:v>
                </c:pt>
                <c:pt idx="345">
                  <c:v>0.34655999999999998</c:v>
                </c:pt>
                <c:pt idx="346">
                  <c:v>0.35926000000000002</c:v>
                </c:pt>
                <c:pt idx="347">
                  <c:v>0.37104999999999999</c:v>
                </c:pt>
                <c:pt idx="348">
                  <c:v>0.39832000000000001</c:v>
                </c:pt>
                <c:pt idx="349">
                  <c:v>0.39672000000000002</c:v>
                </c:pt>
                <c:pt idx="350">
                  <c:v>0.36792000000000002</c:v>
                </c:pt>
                <c:pt idx="351">
                  <c:v>0.30703000000000003</c:v>
                </c:pt>
                <c:pt idx="352">
                  <c:v>0.32090000000000002</c:v>
                </c:pt>
                <c:pt idx="353">
                  <c:v>0.29126000000000002</c:v>
                </c:pt>
                <c:pt idx="354">
                  <c:v>0.23743</c:v>
                </c:pt>
                <c:pt idx="355">
                  <c:v>0.25197999999999998</c:v>
                </c:pt>
                <c:pt idx="356">
                  <c:v>0.26705000000000001</c:v>
                </c:pt>
                <c:pt idx="357">
                  <c:v>0.23136000000000001</c:v>
                </c:pt>
                <c:pt idx="358">
                  <c:v>0.22089</c:v>
                </c:pt>
                <c:pt idx="359">
                  <c:v>0.21704999999999999</c:v>
                </c:pt>
                <c:pt idx="360">
                  <c:v>0.21962999999999999</c:v>
                </c:pt>
                <c:pt idx="361">
                  <c:v>0.1963</c:v>
                </c:pt>
                <c:pt idx="362">
                  <c:v>0.19708999999999999</c:v>
                </c:pt>
                <c:pt idx="363">
                  <c:v>0.20075999999999999</c:v>
                </c:pt>
                <c:pt idx="364">
                  <c:v>0.20610000000000001</c:v>
                </c:pt>
                <c:pt idx="365">
                  <c:v>0.19983000000000001</c:v>
                </c:pt>
                <c:pt idx="366">
                  <c:v>0.21667</c:v>
                </c:pt>
                <c:pt idx="367">
                  <c:v>0.21743999999999999</c:v>
                </c:pt>
                <c:pt idx="368">
                  <c:v>0.23286999999999999</c:v>
                </c:pt>
                <c:pt idx="369">
                  <c:v>0.22502</c:v>
                </c:pt>
                <c:pt idx="370">
                  <c:v>0.23505000000000001</c:v>
                </c:pt>
                <c:pt idx="371">
                  <c:v>0.20580000000000001</c:v>
                </c:pt>
                <c:pt idx="372">
                  <c:v>0.24998000000000001</c:v>
                </c:pt>
                <c:pt idx="373">
                  <c:v>0.23549999999999999</c:v>
                </c:pt>
                <c:pt idx="374">
                  <c:v>0.25707999999999998</c:v>
                </c:pt>
                <c:pt idx="375">
                  <c:v>0.21210000000000001</c:v>
                </c:pt>
                <c:pt idx="376">
                  <c:v>0.18762000000000001</c:v>
                </c:pt>
                <c:pt idx="377">
                  <c:v>0.18833</c:v>
                </c:pt>
                <c:pt idx="378">
                  <c:v>0.18686</c:v>
                </c:pt>
                <c:pt idx="379">
                  <c:v>0.19492000000000001</c:v>
                </c:pt>
                <c:pt idx="380">
                  <c:v>0.17396</c:v>
                </c:pt>
                <c:pt idx="381">
                  <c:v>0.1885</c:v>
                </c:pt>
                <c:pt idx="382">
                  <c:v>0.21919</c:v>
                </c:pt>
                <c:pt idx="383">
                  <c:v>0.21626000000000001</c:v>
                </c:pt>
                <c:pt idx="384">
                  <c:v>0.21926999999999999</c:v>
                </c:pt>
                <c:pt idx="385">
                  <c:v>0.19278000000000001</c:v>
                </c:pt>
                <c:pt idx="386">
                  <c:v>0.1915</c:v>
                </c:pt>
                <c:pt idx="387">
                  <c:v>0.18573999999999999</c:v>
                </c:pt>
                <c:pt idx="388">
                  <c:v>0.16930000000000001</c:v>
                </c:pt>
                <c:pt idx="389">
                  <c:v>0.1361</c:v>
                </c:pt>
                <c:pt idx="390">
                  <c:v>0.12376</c:v>
                </c:pt>
                <c:pt idx="391">
                  <c:v>0.13059999999999999</c:v>
                </c:pt>
                <c:pt idx="392">
                  <c:v>0.13166</c:v>
                </c:pt>
                <c:pt idx="393">
                  <c:v>0.12887999999999999</c:v>
                </c:pt>
                <c:pt idx="394">
                  <c:v>0.11734</c:v>
                </c:pt>
                <c:pt idx="395">
                  <c:v>0.11035</c:v>
                </c:pt>
                <c:pt idx="396">
                  <c:v>0.10265000000000001</c:v>
                </c:pt>
                <c:pt idx="397">
                  <c:v>0.10603</c:v>
                </c:pt>
                <c:pt idx="398">
                  <c:v>0.10173</c:v>
                </c:pt>
                <c:pt idx="399">
                  <c:v>0.10353</c:v>
                </c:pt>
                <c:pt idx="400">
                  <c:v>9.4850000000000004E-2</c:v>
                </c:pt>
                <c:pt idx="401">
                  <c:v>0.11121</c:v>
                </c:pt>
                <c:pt idx="402">
                  <c:v>0.10775999999999999</c:v>
                </c:pt>
                <c:pt idx="403">
                  <c:v>0.10334</c:v>
                </c:pt>
                <c:pt idx="404">
                  <c:v>0.10424</c:v>
                </c:pt>
                <c:pt idx="405">
                  <c:v>0.10499</c:v>
                </c:pt>
                <c:pt idx="406">
                  <c:v>0.10205</c:v>
                </c:pt>
                <c:pt idx="407">
                  <c:v>0.10829999999999999</c:v>
                </c:pt>
                <c:pt idx="408">
                  <c:v>0.1037</c:v>
                </c:pt>
                <c:pt idx="409">
                  <c:v>0.10494000000000001</c:v>
                </c:pt>
                <c:pt idx="410">
                  <c:v>0.10582999999999999</c:v>
                </c:pt>
                <c:pt idx="411">
                  <c:v>0.10337</c:v>
                </c:pt>
                <c:pt idx="412">
                  <c:v>9.8369999999999999E-2</c:v>
                </c:pt>
                <c:pt idx="413">
                  <c:v>0.1066</c:v>
                </c:pt>
                <c:pt idx="414">
                  <c:v>0.10667</c:v>
                </c:pt>
                <c:pt idx="415">
                  <c:v>0.1081</c:v>
                </c:pt>
                <c:pt idx="416">
                  <c:v>0.12479</c:v>
                </c:pt>
                <c:pt idx="417">
                  <c:v>0.11107</c:v>
                </c:pt>
                <c:pt idx="418">
                  <c:v>0.11269</c:v>
                </c:pt>
                <c:pt idx="419">
                  <c:v>0.10564</c:v>
                </c:pt>
                <c:pt idx="420">
                  <c:v>0.12466000000000001</c:v>
                </c:pt>
                <c:pt idx="421">
                  <c:v>0.13872999999999999</c:v>
                </c:pt>
                <c:pt idx="422">
                  <c:v>0.1477</c:v>
                </c:pt>
                <c:pt idx="423">
                  <c:v>0.13872999999999999</c:v>
                </c:pt>
                <c:pt idx="424">
                  <c:v>0.15407999999999999</c:v>
                </c:pt>
                <c:pt idx="425">
                  <c:v>0.14501</c:v>
                </c:pt>
                <c:pt idx="426">
                  <c:v>0.12447999999999999</c:v>
                </c:pt>
                <c:pt idx="427">
                  <c:v>0.12608</c:v>
                </c:pt>
                <c:pt idx="428">
                  <c:v>0.12139</c:v>
                </c:pt>
                <c:pt idx="429">
                  <c:v>0.11852</c:v>
                </c:pt>
                <c:pt idx="430">
                  <c:v>0.1142</c:v>
                </c:pt>
                <c:pt idx="431">
                  <c:v>0.10926</c:v>
                </c:pt>
                <c:pt idx="432">
                  <c:v>0.10271</c:v>
                </c:pt>
                <c:pt idx="433">
                  <c:v>0.10072</c:v>
                </c:pt>
                <c:pt idx="434">
                  <c:v>9.2740000000000003E-2</c:v>
                </c:pt>
                <c:pt idx="435">
                  <c:v>8.9899999999999994E-2</c:v>
                </c:pt>
                <c:pt idx="436">
                  <c:v>8.702E-2</c:v>
                </c:pt>
                <c:pt idx="437">
                  <c:v>7.6910000000000006E-2</c:v>
                </c:pt>
                <c:pt idx="438">
                  <c:v>7.4490000000000001E-2</c:v>
                </c:pt>
                <c:pt idx="439">
                  <c:v>7.578E-2</c:v>
                </c:pt>
                <c:pt idx="440">
                  <c:v>7.6259999999999994E-2</c:v>
                </c:pt>
                <c:pt idx="441">
                  <c:v>7.3819999999999997E-2</c:v>
                </c:pt>
                <c:pt idx="442">
                  <c:v>7.8609999999999999E-2</c:v>
                </c:pt>
                <c:pt idx="443">
                  <c:v>7.5609999999999997E-2</c:v>
                </c:pt>
                <c:pt idx="444">
                  <c:v>7.3840000000000003E-2</c:v>
                </c:pt>
                <c:pt idx="445">
                  <c:v>7.2940000000000005E-2</c:v>
                </c:pt>
                <c:pt idx="446">
                  <c:v>6.7080000000000001E-2</c:v>
                </c:pt>
                <c:pt idx="447">
                  <c:v>7.5109999999999996E-2</c:v>
                </c:pt>
                <c:pt idx="448">
                  <c:v>6.4810000000000006E-2</c:v>
                </c:pt>
                <c:pt idx="449">
                  <c:v>5.7950000000000002E-2</c:v>
                </c:pt>
                <c:pt idx="450">
                  <c:v>5.7290000000000001E-2</c:v>
                </c:pt>
                <c:pt idx="451">
                  <c:v>6.0380000000000003E-2</c:v>
                </c:pt>
                <c:pt idx="452">
                  <c:v>6.0539999999999997E-2</c:v>
                </c:pt>
                <c:pt idx="453">
                  <c:v>6.0609999999999997E-2</c:v>
                </c:pt>
                <c:pt idx="454">
                  <c:v>5.7419999999999999E-2</c:v>
                </c:pt>
                <c:pt idx="455">
                  <c:v>5.4670000000000003E-2</c:v>
                </c:pt>
                <c:pt idx="456">
                  <c:v>5.7009999999999998E-2</c:v>
                </c:pt>
                <c:pt idx="457">
                  <c:v>6.1449999999999998E-2</c:v>
                </c:pt>
                <c:pt idx="458">
                  <c:v>6.191E-2</c:v>
                </c:pt>
                <c:pt idx="459">
                  <c:v>6.4089999999999994E-2</c:v>
                </c:pt>
                <c:pt idx="460">
                  <c:v>6.6229999999999997E-2</c:v>
                </c:pt>
                <c:pt idx="461">
                  <c:v>6.4170000000000005E-2</c:v>
                </c:pt>
                <c:pt idx="462">
                  <c:v>6.5970000000000001E-2</c:v>
                </c:pt>
                <c:pt idx="463">
                  <c:v>6.386E-2</c:v>
                </c:pt>
                <c:pt idx="464">
                  <c:v>6.139E-2</c:v>
                </c:pt>
                <c:pt idx="465">
                  <c:v>6.5269999999999995E-2</c:v>
                </c:pt>
                <c:pt idx="466">
                  <c:v>6.5409999999999996E-2</c:v>
                </c:pt>
                <c:pt idx="467">
                  <c:v>6.2969999999999998E-2</c:v>
                </c:pt>
                <c:pt idx="468">
                  <c:v>6.2429999999999999E-2</c:v>
                </c:pt>
                <c:pt idx="469">
                  <c:v>6.6659999999999997E-2</c:v>
                </c:pt>
                <c:pt idx="470">
                  <c:v>6.7210000000000006E-2</c:v>
                </c:pt>
                <c:pt idx="471">
                  <c:v>6.6229999999999997E-2</c:v>
                </c:pt>
                <c:pt idx="472">
                  <c:v>6.7710000000000006E-2</c:v>
                </c:pt>
                <c:pt idx="473">
                  <c:v>6.8110000000000004E-2</c:v>
                </c:pt>
                <c:pt idx="474">
                  <c:v>6.7030000000000006E-2</c:v>
                </c:pt>
                <c:pt idx="475">
                  <c:v>6.5850000000000006E-2</c:v>
                </c:pt>
                <c:pt idx="476">
                  <c:v>6.2710000000000002E-2</c:v>
                </c:pt>
                <c:pt idx="477">
                  <c:v>6.0580000000000002E-2</c:v>
                </c:pt>
                <c:pt idx="478">
                  <c:v>5.8529999999999999E-2</c:v>
                </c:pt>
                <c:pt idx="479">
                  <c:v>6.6549999999999998E-2</c:v>
                </c:pt>
                <c:pt idx="480">
                  <c:v>6.9599999999999995E-2</c:v>
                </c:pt>
                <c:pt idx="481">
                  <c:v>6.9930000000000006E-2</c:v>
                </c:pt>
                <c:pt idx="482">
                  <c:v>7.1349999999999997E-2</c:v>
                </c:pt>
                <c:pt idx="483">
                  <c:v>7.0900000000000005E-2</c:v>
                </c:pt>
                <c:pt idx="484">
                  <c:v>7.152E-2</c:v>
                </c:pt>
                <c:pt idx="485">
                  <c:v>6.9360000000000005E-2</c:v>
                </c:pt>
                <c:pt idx="486">
                  <c:v>6.9639999999999994E-2</c:v>
                </c:pt>
                <c:pt idx="487">
                  <c:v>7.3550000000000004E-2</c:v>
                </c:pt>
                <c:pt idx="488">
                  <c:v>6.6000000000000003E-2</c:v>
                </c:pt>
                <c:pt idx="489">
                  <c:v>6.2839999999999993E-2</c:v>
                </c:pt>
                <c:pt idx="490">
                  <c:v>5.833E-2</c:v>
                </c:pt>
                <c:pt idx="491">
                  <c:v>5.3600000000000002E-2</c:v>
                </c:pt>
                <c:pt idx="492">
                  <c:v>6.411E-2</c:v>
                </c:pt>
                <c:pt idx="493">
                  <c:v>6.2010000000000003E-2</c:v>
                </c:pt>
                <c:pt idx="494">
                  <c:v>7.0440000000000003E-2</c:v>
                </c:pt>
                <c:pt idx="495">
                  <c:v>7.7619999999999995E-2</c:v>
                </c:pt>
                <c:pt idx="496">
                  <c:v>7.5749999999999998E-2</c:v>
                </c:pt>
                <c:pt idx="497">
                  <c:v>7.843E-2</c:v>
                </c:pt>
                <c:pt idx="498">
                  <c:v>7.6050000000000006E-2</c:v>
                </c:pt>
                <c:pt idx="499">
                  <c:v>7.1669999999999998E-2</c:v>
                </c:pt>
                <c:pt idx="500">
                  <c:v>8.0560000000000007E-2</c:v>
                </c:pt>
                <c:pt idx="501">
                  <c:v>8.2559999999999995E-2</c:v>
                </c:pt>
                <c:pt idx="502">
                  <c:v>8.6440000000000003E-2</c:v>
                </c:pt>
                <c:pt idx="503">
                  <c:v>8.4320000000000006E-2</c:v>
                </c:pt>
                <c:pt idx="504">
                  <c:v>8.6989999999999998E-2</c:v>
                </c:pt>
                <c:pt idx="505">
                  <c:v>8.2290000000000002E-2</c:v>
                </c:pt>
                <c:pt idx="506">
                  <c:v>8.1519999999999995E-2</c:v>
                </c:pt>
                <c:pt idx="507">
                  <c:v>9.1639999999999999E-2</c:v>
                </c:pt>
                <c:pt idx="508">
                  <c:v>9.8710000000000006E-2</c:v>
                </c:pt>
                <c:pt idx="509">
                  <c:v>9.443E-2</c:v>
                </c:pt>
                <c:pt idx="510">
                  <c:v>0.11151999999999999</c:v>
                </c:pt>
                <c:pt idx="511">
                  <c:v>9.8900000000000002E-2</c:v>
                </c:pt>
                <c:pt idx="512">
                  <c:v>0.11397</c:v>
                </c:pt>
                <c:pt idx="513">
                  <c:v>0.10203</c:v>
                </c:pt>
                <c:pt idx="514">
                  <c:v>0.10521</c:v>
                </c:pt>
                <c:pt idx="515">
                  <c:v>0.10352</c:v>
                </c:pt>
                <c:pt idx="516">
                  <c:v>0.10213999999999999</c:v>
                </c:pt>
                <c:pt idx="517">
                  <c:v>0.10902000000000001</c:v>
                </c:pt>
                <c:pt idx="518">
                  <c:v>0.10743</c:v>
                </c:pt>
                <c:pt idx="519">
                  <c:v>0.10137</c:v>
                </c:pt>
                <c:pt idx="520">
                  <c:v>8.201E-2</c:v>
                </c:pt>
                <c:pt idx="521">
                  <c:v>9.0719999999999995E-2</c:v>
                </c:pt>
                <c:pt idx="522">
                  <c:v>8.4409999999999999E-2</c:v>
                </c:pt>
                <c:pt idx="523">
                  <c:v>8.8039999999999993E-2</c:v>
                </c:pt>
                <c:pt idx="524">
                  <c:v>8.3000000000000004E-2</c:v>
                </c:pt>
                <c:pt idx="525">
                  <c:v>9.0700000000000003E-2</c:v>
                </c:pt>
                <c:pt idx="526">
                  <c:v>8.7389999999999995E-2</c:v>
                </c:pt>
                <c:pt idx="527">
                  <c:v>0.10063</c:v>
                </c:pt>
                <c:pt idx="528">
                  <c:v>9.622E-2</c:v>
                </c:pt>
                <c:pt idx="529">
                  <c:v>8.4779999999999994E-2</c:v>
                </c:pt>
                <c:pt idx="530">
                  <c:v>7.9170000000000004E-2</c:v>
                </c:pt>
                <c:pt idx="531">
                  <c:v>8.1570000000000004E-2</c:v>
                </c:pt>
                <c:pt idx="532">
                  <c:v>7.8109999999999999E-2</c:v>
                </c:pt>
                <c:pt idx="533">
                  <c:v>7.7799999999999994E-2</c:v>
                </c:pt>
                <c:pt idx="534">
                  <c:v>7.7759999999999996E-2</c:v>
                </c:pt>
                <c:pt idx="535">
                  <c:v>8.4589999999999999E-2</c:v>
                </c:pt>
                <c:pt idx="536">
                  <c:v>8.5250000000000006E-2</c:v>
                </c:pt>
                <c:pt idx="537">
                  <c:v>8.5599999999999996E-2</c:v>
                </c:pt>
                <c:pt idx="538">
                  <c:v>7.6469999999999996E-2</c:v>
                </c:pt>
                <c:pt idx="539">
                  <c:v>7.7869999999999995E-2</c:v>
                </c:pt>
                <c:pt idx="540">
                  <c:v>7.46E-2</c:v>
                </c:pt>
                <c:pt idx="541">
                  <c:v>7.4709999999999999E-2</c:v>
                </c:pt>
                <c:pt idx="542">
                  <c:v>7.2419999999999998E-2</c:v>
                </c:pt>
                <c:pt idx="543">
                  <c:v>6.3519999999999993E-2</c:v>
                </c:pt>
                <c:pt idx="544">
                  <c:v>6.5579999999999999E-2</c:v>
                </c:pt>
                <c:pt idx="545">
                  <c:v>6.7229999999999998E-2</c:v>
                </c:pt>
                <c:pt idx="546">
                  <c:v>6.7710000000000006E-2</c:v>
                </c:pt>
                <c:pt idx="547">
                  <c:v>6.3390000000000002E-2</c:v>
                </c:pt>
                <c:pt idx="548">
                  <c:v>6.6650000000000001E-2</c:v>
                </c:pt>
                <c:pt idx="549">
                  <c:v>6.2969999999999998E-2</c:v>
                </c:pt>
                <c:pt idx="550">
                  <c:v>7.1120000000000003E-2</c:v>
                </c:pt>
                <c:pt idx="551">
                  <c:v>7.5950000000000004E-2</c:v>
                </c:pt>
                <c:pt idx="552">
                  <c:v>7.374E-2</c:v>
                </c:pt>
                <c:pt idx="553">
                  <c:v>7.492E-2</c:v>
                </c:pt>
                <c:pt idx="554">
                  <c:v>7.8060000000000004E-2</c:v>
                </c:pt>
                <c:pt idx="555">
                  <c:v>7.8039999999999998E-2</c:v>
                </c:pt>
                <c:pt idx="556">
                  <c:v>7.2980000000000003E-2</c:v>
                </c:pt>
                <c:pt idx="557">
                  <c:v>6.7629999999999996E-2</c:v>
                </c:pt>
                <c:pt idx="558">
                  <c:v>6.7250000000000004E-2</c:v>
                </c:pt>
                <c:pt idx="559">
                  <c:v>6.3810000000000006E-2</c:v>
                </c:pt>
                <c:pt idx="560">
                  <c:v>6.3710000000000003E-2</c:v>
                </c:pt>
                <c:pt idx="561">
                  <c:v>6.6979999999999998E-2</c:v>
                </c:pt>
                <c:pt idx="562">
                  <c:v>6.5629999999999994E-2</c:v>
                </c:pt>
                <c:pt idx="563">
                  <c:v>6.9900000000000004E-2</c:v>
                </c:pt>
                <c:pt idx="564">
                  <c:v>7.0660000000000001E-2</c:v>
                </c:pt>
                <c:pt idx="565">
                  <c:v>7.1360000000000007E-2</c:v>
                </c:pt>
                <c:pt idx="566">
                  <c:v>6.565E-2</c:v>
                </c:pt>
                <c:pt idx="567">
                  <c:v>6.7419999999999994E-2</c:v>
                </c:pt>
                <c:pt idx="568">
                  <c:v>6.9599999999999995E-2</c:v>
                </c:pt>
                <c:pt idx="569">
                  <c:v>5.6309999999999999E-2</c:v>
                </c:pt>
                <c:pt idx="570">
                  <c:v>5.5239999999999997E-2</c:v>
                </c:pt>
                <c:pt idx="571">
                  <c:v>5.4190000000000002E-2</c:v>
                </c:pt>
                <c:pt idx="572">
                  <c:v>5.169E-2</c:v>
                </c:pt>
                <c:pt idx="573">
                  <c:v>4.9979999999999997E-2</c:v>
                </c:pt>
                <c:pt idx="574">
                  <c:v>5.135E-2</c:v>
                </c:pt>
                <c:pt idx="575">
                  <c:v>5.3830000000000003E-2</c:v>
                </c:pt>
                <c:pt idx="576">
                  <c:v>5.3769999999999998E-2</c:v>
                </c:pt>
                <c:pt idx="577">
                  <c:v>5.11E-2</c:v>
                </c:pt>
                <c:pt idx="578">
                  <c:v>5.0470000000000001E-2</c:v>
                </c:pt>
                <c:pt idx="579">
                  <c:v>4.8989999999999999E-2</c:v>
                </c:pt>
                <c:pt idx="580">
                  <c:v>5.4530000000000002E-2</c:v>
                </c:pt>
                <c:pt idx="581">
                  <c:v>5.5129999999999998E-2</c:v>
                </c:pt>
                <c:pt idx="582">
                  <c:v>5.8290000000000002E-2</c:v>
                </c:pt>
                <c:pt idx="583">
                  <c:v>5.8979999999999998E-2</c:v>
                </c:pt>
                <c:pt idx="584">
                  <c:v>5.6980000000000003E-2</c:v>
                </c:pt>
                <c:pt idx="585">
                  <c:v>5.3019999999999998E-2</c:v>
                </c:pt>
                <c:pt idx="586">
                  <c:v>5.3260000000000002E-2</c:v>
                </c:pt>
                <c:pt idx="587">
                  <c:v>5.2229999999999999E-2</c:v>
                </c:pt>
                <c:pt idx="588">
                  <c:v>5.3330000000000002E-2</c:v>
                </c:pt>
                <c:pt idx="589">
                  <c:v>5.1869999999999999E-2</c:v>
                </c:pt>
                <c:pt idx="590">
                  <c:v>5.1470000000000002E-2</c:v>
                </c:pt>
                <c:pt idx="591">
                  <c:v>5.0369999999999998E-2</c:v>
                </c:pt>
                <c:pt idx="592">
                  <c:v>4.8890000000000003E-2</c:v>
                </c:pt>
                <c:pt idx="593">
                  <c:v>5.0770000000000003E-2</c:v>
                </c:pt>
                <c:pt idx="594">
                  <c:v>5.2150000000000002E-2</c:v>
                </c:pt>
                <c:pt idx="595">
                  <c:v>4.9160000000000002E-2</c:v>
                </c:pt>
                <c:pt idx="596">
                  <c:v>5.5460000000000002E-2</c:v>
                </c:pt>
                <c:pt idx="597">
                  <c:v>5.6070000000000002E-2</c:v>
                </c:pt>
                <c:pt idx="598">
                  <c:v>5.3269999999999998E-2</c:v>
                </c:pt>
                <c:pt idx="599">
                  <c:v>5.0119999999999998E-2</c:v>
                </c:pt>
                <c:pt idx="600">
                  <c:v>4.9239999999999999E-2</c:v>
                </c:pt>
                <c:pt idx="601">
                  <c:v>4.9360000000000001E-2</c:v>
                </c:pt>
                <c:pt idx="602">
                  <c:v>4.8340000000000001E-2</c:v>
                </c:pt>
                <c:pt idx="603">
                  <c:v>4.9709999999999997E-2</c:v>
                </c:pt>
                <c:pt idx="604">
                  <c:v>4.8349999999999997E-2</c:v>
                </c:pt>
                <c:pt idx="605">
                  <c:v>4.3520000000000003E-2</c:v>
                </c:pt>
                <c:pt idx="606">
                  <c:v>3.9640000000000002E-2</c:v>
                </c:pt>
                <c:pt idx="607">
                  <c:v>4.394E-2</c:v>
                </c:pt>
                <c:pt idx="608">
                  <c:v>4.3099999999999999E-2</c:v>
                </c:pt>
                <c:pt idx="609">
                  <c:v>4.197E-2</c:v>
                </c:pt>
                <c:pt idx="610">
                  <c:v>4.197E-2</c:v>
                </c:pt>
                <c:pt idx="611">
                  <c:v>4.3999999999999997E-2</c:v>
                </c:pt>
                <c:pt idx="612">
                  <c:v>4.2070000000000003E-2</c:v>
                </c:pt>
                <c:pt idx="613">
                  <c:v>3.8280000000000002E-2</c:v>
                </c:pt>
                <c:pt idx="614">
                  <c:v>3.8850000000000003E-2</c:v>
                </c:pt>
                <c:pt idx="615">
                  <c:v>3.8150000000000003E-2</c:v>
                </c:pt>
                <c:pt idx="616">
                  <c:v>3.6700000000000003E-2</c:v>
                </c:pt>
                <c:pt idx="617">
                  <c:v>3.9289999999999999E-2</c:v>
                </c:pt>
                <c:pt idx="618">
                  <c:v>3.9410000000000001E-2</c:v>
                </c:pt>
                <c:pt idx="619">
                  <c:v>3.916E-2</c:v>
                </c:pt>
                <c:pt idx="620">
                  <c:v>3.6519999999999997E-2</c:v>
                </c:pt>
                <c:pt idx="621">
                  <c:v>3.7060000000000003E-2</c:v>
                </c:pt>
                <c:pt idx="622">
                  <c:v>3.773E-2</c:v>
                </c:pt>
                <c:pt idx="623">
                  <c:v>4.0899999999999999E-2</c:v>
                </c:pt>
                <c:pt idx="624">
                  <c:v>3.696E-2</c:v>
                </c:pt>
                <c:pt idx="625">
                  <c:v>3.7749999999999999E-2</c:v>
                </c:pt>
                <c:pt idx="626">
                  <c:v>3.603E-2</c:v>
                </c:pt>
                <c:pt idx="627">
                  <c:v>3.755E-2</c:v>
                </c:pt>
                <c:pt idx="628">
                  <c:v>4.0500000000000001E-2</c:v>
                </c:pt>
                <c:pt idx="629">
                  <c:v>4.0120000000000003E-2</c:v>
                </c:pt>
                <c:pt idx="630">
                  <c:v>4.0329999999999998E-2</c:v>
                </c:pt>
                <c:pt idx="631">
                  <c:v>4.0489999999999998E-2</c:v>
                </c:pt>
                <c:pt idx="632">
                  <c:v>4.2810000000000001E-2</c:v>
                </c:pt>
                <c:pt idx="633">
                  <c:v>4.2000000000000003E-2</c:v>
                </c:pt>
                <c:pt idx="634">
                  <c:v>4.3180000000000003E-2</c:v>
                </c:pt>
                <c:pt idx="635">
                  <c:v>4.4249999999999998E-2</c:v>
                </c:pt>
                <c:pt idx="636">
                  <c:v>4.4949999999999997E-2</c:v>
                </c:pt>
                <c:pt idx="637">
                  <c:v>4.5249999999999999E-2</c:v>
                </c:pt>
                <c:pt idx="638">
                  <c:v>4.3360000000000003E-2</c:v>
                </c:pt>
                <c:pt idx="639">
                  <c:v>4.4220000000000002E-2</c:v>
                </c:pt>
                <c:pt idx="640">
                  <c:v>4.3310000000000001E-2</c:v>
                </c:pt>
                <c:pt idx="641">
                  <c:v>4.2099999999999999E-2</c:v>
                </c:pt>
                <c:pt idx="642">
                  <c:v>4.2459999999999998E-2</c:v>
                </c:pt>
                <c:pt idx="643">
                  <c:v>4.1500000000000002E-2</c:v>
                </c:pt>
                <c:pt idx="644">
                  <c:v>4.1070000000000002E-2</c:v>
                </c:pt>
                <c:pt idx="645">
                  <c:v>4.1500000000000002E-2</c:v>
                </c:pt>
                <c:pt idx="646">
                  <c:v>3.8980000000000001E-2</c:v>
                </c:pt>
                <c:pt idx="647">
                  <c:v>3.8969999999999998E-2</c:v>
                </c:pt>
                <c:pt idx="648">
                  <c:v>4.3319999999999997E-2</c:v>
                </c:pt>
                <c:pt idx="649">
                  <c:v>4.5490000000000003E-2</c:v>
                </c:pt>
                <c:pt idx="650">
                  <c:v>4.0500000000000001E-2</c:v>
                </c:pt>
                <c:pt idx="651">
                  <c:v>3.8920000000000003E-2</c:v>
                </c:pt>
                <c:pt idx="652">
                  <c:v>3.6659999999999998E-2</c:v>
                </c:pt>
                <c:pt idx="653">
                  <c:v>3.9230000000000001E-2</c:v>
                </c:pt>
                <c:pt idx="654">
                  <c:v>3.6200000000000003E-2</c:v>
                </c:pt>
                <c:pt idx="655">
                  <c:v>3.703E-2</c:v>
                </c:pt>
                <c:pt idx="656">
                  <c:v>3.6670000000000001E-2</c:v>
                </c:pt>
                <c:pt idx="657">
                  <c:v>3.6339999999999997E-2</c:v>
                </c:pt>
                <c:pt idx="658">
                  <c:v>4.2189999999999998E-2</c:v>
                </c:pt>
                <c:pt idx="659">
                  <c:v>4.3200000000000002E-2</c:v>
                </c:pt>
                <c:pt idx="660">
                  <c:v>3.7199999999999997E-2</c:v>
                </c:pt>
                <c:pt idx="661">
                  <c:v>3.9829999999999997E-2</c:v>
                </c:pt>
                <c:pt idx="662">
                  <c:v>3.56E-2</c:v>
                </c:pt>
                <c:pt idx="663">
                  <c:v>3.6949999999999997E-2</c:v>
                </c:pt>
                <c:pt idx="664">
                  <c:v>3.6150000000000002E-2</c:v>
                </c:pt>
                <c:pt idx="665">
                  <c:v>3.6450000000000003E-2</c:v>
                </c:pt>
                <c:pt idx="666">
                  <c:v>3.2500000000000001E-2</c:v>
                </c:pt>
                <c:pt idx="667">
                  <c:v>3.1910000000000001E-2</c:v>
                </c:pt>
                <c:pt idx="668">
                  <c:v>3.1989999999999998E-2</c:v>
                </c:pt>
                <c:pt idx="669">
                  <c:v>2.8080000000000001E-2</c:v>
                </c:pt>
                <c:pt idx="670">
                  <c:v>3.0210000000000001E-2</c:v>
                </c:pt>
                <c:pt idx="671">
                  <c:v>2.9899999999999999E-2</c:v>
                </c:pt>
                <c:pt idx="672">
                  <c:v>3.397E-2</c:v>
                </c:pt>
                <c:pt idx="673">
                  <c:v>3.456E-2</c:v>
                </c:pt>
                <c:pt idx="674">
                  <c:v>3.091E-2</c:v>
                </c:pt>
                <c:pt idx="675">
                  <c:v>3.0710000000000001E-2</c:v>
                </c:pt>
                <c:pt idx="676">
                  <c:v>2.5909999999999999E-2</c:v>
                </c:pt>
                <c:pt idx="677">
                  <c:v>2.9219999999999999E-2</c:v>
                </c:pt>
                <c:pt idx="678">
                  <c:v>2.929E-2</c:v>
                </c:pt>
                <c:pt idx="679">
                  <c:v>3.1119999999999998E-2</c:v>
                </c:pt>
                <c:pt idx="680">
                  <c:v>2.664E-2</c:v>
                </c:pt>
                <c:pt idx="681">
                  <c:v>2.75E-2</c:v>
                </c:pt>
                <c:pt idx="682">
                  <c:v>2.5090000000000001E-2</c:v>
                </c:pt>
                <c:pt idx="683">
                  <c:v>3.0300000000000001E-2</c:v>
                </c:pt>
                <c:pt idx="684">
                  <c:v>3.041E-2</c:v>
                </c:pt>
                <c:pt idx="685">
                  <c:v>3.3550000000000003E-2</c:v>
                </c:pt>
                <c:pt idx="686">
                  <c:v>2.6499999999999999E-2</c:v>
                </c:pt>
                <c:pt idx="687">
                  <c:v>6.7519999999999997E-2</c:v>
                </c:pt>
                <c:pt idx="688">
                  <c:v>7.5749999999999998E-2</c:v>
                </c:pt>
                <c:pt idx="689">
                  <c:v>6.2350000000000003E-2</c:v>
                </c:pt>
                <c:pt idx="690">
                  <c:v>6.2649999999999997E-2</c:v>
                </c:pt>
                <c:pt idx="691">
                  <c:v>7.3859999999999995E-2</c:v>
                </c:pt>
                <c:pt idx="692">
                  <c:v>7.1919999999999998E-2</c:v>
                </c:pt>
                <c:pt idx="693">
                  <c:v>6.8860000000000005E-2</c:v>
                </c:pt>
                <c:pt idx="694">
                  <c:v>5.91E-2</c:v>
                </c:pt>
                <c:pt idx="695">
                  <c:v>4.6010000000000002E-2</c:v>
                </c:pt>
                <c:pt idx="696">
                  <c:v>4.7759999999999997E-2</c:v>
                </c:pt>
                <c:pt idx="697">
                  <c:v>4.2479999999999997E-2</c:v>
                </c:pt>
                <c:pt idx="698">
                  <c:v>4.2130000000000001E-2</c:v>
                </c:pt>
                <c:pt idx="699">
                  <c:v>4.5960000000000001E-2</c:v>
                </c:pt>
                <c:pt idx="700">
                  <c:v>4.879E-2</c:v>
                </c:pt>
                <c:pt idx="701">
                  <c:v>4.36E-2</c:v>
                </c:pt>
                <c:pt idx="702">
                  <c:v>4.9160000000000002E-2</c:v>
                </c:pt>
                <c:pt idx="703">
                  <c:v>5.5039999999999999E-2</c:v>
                </c:pt>
                <c:pt idx="704">
                  <c:v>6.3659999999999994E-2</c:v>
                </c:pt>
                <c:pt idx="705">
                  <c:v>6.2890000000000001E-2</c:v>
                </c:pt>
                <c:pt idx="706">
                  <c:v>6.4589999999999995E-2</c:v>
                </c:pt>
                <c:pt idx="707">
                  <c:v>6.1350000000000002E-2</c:v>
                </c:pt>
                <c:pt idx="708">
                  <c:v>5.8729999999999997E-2</c:v>
                </c:pt>
                <c:pt idx="709">
                  <c:v>6.4380000000000007E-2</c:v>
                </c:pt>
                <c:pt idx="710">
                  <c:v>6.1550000000000001E-2</c:v>
                </c:pt>
                <c:pt idx="711">
                  <c:v>6.4210000000000003E-2</c:v>
                </c:pt>
                <c:pt idx="712">
                  <c:v>7.2770000000000001E-2</c:v>
                </c:pt>
                <c:pt idx="713">
                  <c:v>7.6999999999999999E-2</c:v>
                </c:pt>
                <c:pt idx="714">
                  <c:v>7.4859999999999996E-2</c:v>
                </c:pt>
                <c:pt idx="715">
                  <c:v>8.1000000000000003E-2</c:v>
                </c:pt>
                <c:pt idx="716">
                  <c:v>7.3080000000000006E-2</c:v>
                </c:pt>
                <c:pt idx="717">
                  <c:v>7.3480000000000004E-2</c:v>
                </c:pt>
                <c:pt idx="718">
                  <c:v>8.0149999999999999E-2</c:v>
                </c:pt>
                <c:pt idx="719">
                  <c:v>9.7110000000000002E-2</c:v>
                </c:pt>
                <c:pt idx="720">
                  <c:v>0.12679000000000001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42-4692-81FD-AF785CEFB88F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-11.498237772928658</c:v>
                </c:pt>
                <c:pt idx="1">
                  <c:v>-11.492567052928658</c:v>
                </c:pt>
                <c:pt idx="2">
                  <c:v>-11.374722347588058</c:v>
                </c:pt>
                <c:pt idx="3">
                  <c:v>-11.443646475620845</c:v>
                </c:pt>
                <c:pt idx="4">
                  <c:v>-11.533646278910746</c:v>
                </c:pt>
                <c:pt idx="5">
                  <c:v>-11.547036670400109</c:v>
                </c:pt>
                <c:pt idx="6">
                  <c:v>-11.533601801454797</c:v>
                </c:pt>
                <c:pt idx="7">
                  <c:v>-11.376961499536192</c:v>
                </c:pt>
                <c:pt idx="8">
                  <c:v>-11.32617318605927</c:v>
                </c:pt>
                <c:pt idx="9">
                  <c:v>-11.28918158714035</c:v>
                </c:pt>
                <c:pt idx="10">
                  <c:v>-11.335233335071385</c:v>
                </c:pt>
                <c:pt idx="11">
                  <c:v>-11.315865003829556</c:v>
                </c:pt>
                <c:pt idx="12">
                  <c:v>-11.331657015279937</c:v>
                </c:pt>
                <c:pt idx="13">
                  <c:v>-11.1834561983508</c:v>
                </c:pt>
                <c:pt idx="14">
                  <c:v>-11.218245661529611</c:v>
                </c:pt>
                <c:pt idx="15">
                  <c:v>-11.001854057964941</c:v>
                </c:pt>
                <c:pt idx="16">
                  <c:v>-10.955101790010398</c:v>
                </c:pt>
                <c:pt idx="17">
                  <c:v>-11.111248184213295</c:v>
                </c:pt>
                <c:pt idx="18">
                  <c:v>-11.09460466306771</c:v>
                </c:pt>
                <c:pt idx="19">
                  <c:v>-11.150194180790052</c:v>
                </c:pt>
                <c:pt idx="20">
                  <c:v>-11.011369084790052</c:v>
                </c:pt>
                <c:pt idx="21">
                  <c:v>-10.955379435017326</c:v>
                </c:pt>
                <c:pt idx="22">
                  <c:v>-11.024259388967504</c:v>
                </c:pt>
                <c:pt idx="23">
                  <c:v>-10.792367437455663</c:v>
                </c:pt>
                <c:pt idx="24">
                  <c:v>-10.703706741935161</c:v>
                </c:pt>
                <c:pt idx="25">
                  <c:v>-10.668795579849851</c:v>
                </c:pt>
                <c:pt idx="26">
                  <c:v>-10.47322361449271</c:v>
                </c:pt>
                <c:pt idx="27">
                  <c:v>-10.645196242879122</c:v>
                </c:pt>
                <c:pt idx="28">
                  <c:v>-10.483110999665824</c:v>
                </c:pt>
                <c:pt idx="29">
                  <c:v>-10.644840916181662</c:v>
                </c:pt>
                <c:pt idx="30">
                  <c:v>-10.280333444463601</c:v>
                </c:pt>
                <c:pt idx="31">
                  <c:v>-9.646942907687043</c:v>
                </c:pt>
                <c:pt idx="32">
                  <c:v>-9.642987525919601</c:v>
                </c:pt>
                <c:pt idx="33">
                  <c:v>-9.7286019061696027</c:v>
                </c:pt>
                <c:pt idx="34">
                  <c:v>-9.8205835354997451</c:v>
                </c:pt>
                <c:pt idx="35">
                  <c:v>-9.4418845371664126</c:v>
                </c:pt>
                <c:pt idx="36">
                  <c:v>-9.6566697493496996</c:v>
                </c:pt>
                <c:pt idx="37">
                  <c:v>-9.7315827492748852</c:v>
                </c:pt>
                <c:pt idx="38">
                  <c:v>-9.9228043484053217</c:v>
                </c:pt>
                <c:pt idx="39">
                  <c:v>-9.7756205409931809</c:v>
                </c:pt>
                <c:pt idx="40">
                  <c:v>-9.512264246256338</c:v>
                </c:pt>
                <c:pt idx="41">
                  <c:v>-9.1294925149257757</c:v>
                </c:pt>
                <c:pt idx="42">
                  <c:v>-9.1902016988596014</c:v>
                </c:pt>
                <c:pt idx="43">
                  <c:v>-9.1314040624126083</c:v>
                </c:pt>
                <c:pt idx="44">
                  <c:v>-9.1741311960857175</c:v>
                </c:pt>
                <c:pt idx="45">
                  <c:v>-9.5655039845044261</c:v>
                </c:pt>
                <c:pt idx="46">
                  <c:v>-9.2913052480988974</c:v>
                </c:pt>
                <c:pt idx="47">
                  <c:v>-9.360261361455871</c:v>
                </c:pt>
                <c:pt idx="48">
                  <c:v>-9.370182982052885</c:v>
                </c:pt>
                <c:pt idx="49">
                  <c:v>-9.060480012771448</c:v>
                </c:pt>
                <c:pt idx="50">
                  <c:v>-8.6349721047069306</c:v>
                </c:pt>
                <c:pt idx="51">
                  <c:v>-7.9136629298903225</c:v>
                </c:pt>
                <c:pt idx="52">
                  <c:v>-8.080571115505002</c:v>
                </c:pt>
                <c:pt idx="53">
                  <c:v>-8.3144446256599078</c:v>
                </c:pt>
                <c:pt idx="54">
                  <c:v>-8.2210862533727607</c:v>
                </c:pt>
                <c:pt idx="55">
                  <c:v>-8.2093764742212478</c:v>
                </c:pt>
                <c:pt idx="56">
                  <c:v>-8.0356667816856344</c:v>
                </c:pt>
                <c:pt idx="57">
                  <c:v>-7.8299814793222291</c:v>
                </c:pt>
                <c:pt idx="58">
                  <c:v>-8.1339956406512055</c:v>
                </c:pt>
                <c:pt idx="59">
                  <c:v>-8.0159966070090327</c:v>
                </c:pt>
                <c:pt idx="60">
                  <c:v>-7.8968592943817413</c:v>
                </c:pt>
                <c:pt idx="61">
                  <c:v>-7.9989272236689528</c:v>
                </c:pt>
                <c:pt idx="62">
                  <c:v>-7.9052991312709109</c:v>
                </c:pt>
                <c:pt idx="63">
                  <c:v>-7.7371064467463215</c:v>
                </c:pt>
                <c:pt idx="64">
                  <c:v>-7.6836615776554114</c:v>
                </c:pt>
                <c:pt idx="65">
                  <c:v>-7.6714040321857988</c:v>
                </c:pt>
                <c:pt idx="66">
                  <c:v>-7.6970849520431459</c:v>
                </c:pt>
                <c:pt idx="67">
                  <c:v>-7.5238968792323959</c:v>
                </c:pt>
                <c:pt idx="68">
                  <c:v>-6.9083609239303305</c:v>
                </c:pt>
                <c:pt idx="69">
                  <c:v>-7.0954527481826055</c:v>
                </c:pt>
                <c:pt idx="70">
                  <c:v>-7.1456884045061351</c:v>
                </c:pt>
                <c:pt idx="71">
                  <c:v>-6.8291531407925632</c:v>
                </c:pt>
                <c:pt idx="72">
                  <c:v>-6.6732367644687116</c:v>
                </c:pt>
                <c:pt idx="73">
                  <c:v>-6.8450494231930135</c:v>
                </c:pt>
                <c:pt idx="74">
                  <c:v>-6.1376729071930134</c:v>
                </c:pt>
                <c:pt idx="75">
                  <c:v>-6.7764609127991724</c:v>
                </c:pt>
                <c:pt idx="76">
                  <c:v>-7.4765099008722631</c:v>
                </c:pt>
                <c:pt idx="77">
                  <c:v>-7.5989012662901612</c:v>
                </c:pt>
                <c:pt idx="78">
                  <c:v>-8.0685275220471695</c:v>
                </c:pt>
                <c:pt idx="79">
                  <c:v>-7.4325551593585564</c:v>
                </c:pt>
                <c:pt idx="80">
                  <c:v>-7.4206107807329573</c:v>
                </c:pt>
                <c:pt idx="81">
                  <c:v>-7.5818433109158825</c:v>
                </c:pt>
                <c:pt idx="82">
                  <c:v>-7.7992294207904918</c:v>
                </c:pt>
                <c:pt idx="83">
                  <c:v>-7.7773765357904914</c:v>
                </c:pt>
                <c:pt idx="84">
                  <c:v>-7.7376033837904918</c:v>
                </c:pt>
                <c:pt idx="85">
                  <c:v>-7.7114665661057629</c:v>
                </c:pt>
                <c:pt idx="86">
                  <c:v>-7.827608481164587</c:v>
                </c:pt>
                <c:pt idx="87">
                  <c:v>-7.8445005474503002</c:v>
                </c:pt>
                <c:pt idx="88">
                  <c:v>-7.6265086874503005</c:v>
                </c:pt>
                <c:pt idx="89">
                  <c:v>-7.7004391175116504</c:v>
                </c:pt>
                <c:pt idx="90">
                  <c:v>-7.6001357108138308</c:v>
                </c:pt>
                <c:pt idx="91">
                  <c:v>-7.6461053974006585</c:v>
                </c:pt>
                <c:pt idx="92">
                  <c:v>-7.7076079996270037</c:v>
                </c:pt>
                <c:pt idx="93">
                  <c:v>-7.600845339828008</c:v>
                </c:pt>
                <c:pt idx="94">
                  <c:v>-7.5759194258280074</c:v>
                </c:pt>
                <c:pt idx="95">
                  <c:v>-7.6063463347080082</c:v>
                </c:pt>
                <c:pt idx="96">
                  <c:v>-7.5723967910043042</c:v>
                </c:pt>
                <c:pt idx="97">
                  <c:v>-7.6120440169243038</c:v>
                </c:pt>
                <c:pt idx="98">
                  <c:v>-7.5931482715303646</c:v>
                </c:pt>
                <c:pt idx="99">
                  <c:v>-7.5527280315303651</c:v>
                </c:pt>
                <c:pt idx="100">
                  <c:v>-7.6085698786863274</c:v>
                </c:pt>
                <c:pt idx="101">
                  <c:v>-7.5895592824668157</c:v>
                </c:pt>
                <c:pt idx="102">
                  <c:v>-7.5142480171334824</c:v>
                </c:pt>
                <c:pt idx="103">
                  <c:v>-7.4467122822947731</c:v>
                </c:pt>
                <c:pt idx="104">
                  <c:v>-7.1551566713415022</c:v>
                </c:pt>
                <c:pt idx="105">
                  <c:v>-7.242470603134981</c:v>
                </c:pt>
                <c:pt idx="106">
                  <c:v>-7.227474413429098</c:v>
                </c:pt>
                <c:pt idx="107">
                  <c:v>-7.2069267200957645</c:v>
                </c:pt>
                <c:pt idx="108">
                  <c:v>-7.2066062135000193</c:v>
                </c:pt>
                <c:pt idx="109">
                  <c:v>-7.1901479710000196</c:v>
                </c:pt>
                <c:pt idx="110">
                  <c:v>-7.0600132677442051</c:v>
                </c:pt>
                <c:pt idx="111">
                  <c:v>-6.9660846755089114</c:v>
                </c:pt>
                <c:pt idx="112">
                  <c:v>-6.9119828718725476</c:v>
                </c:pt>
                <c:pt idx="113">
                  <c:v>-6.9683031085606508</c:v>
                </c:pt>
                <c:pt idx="114">
                  <c:v>-6.9876092610221887</c:v>
                </c:pt>
                <c:pt idx="115">
                  <c:v>-7.0020441640072635</c:v>
                </c:pt>
                <c:pt idx="116">
                  <c:v>-6.964994217800367</c:v>
                </c:pt>
                <c:pt idx="117">
                  <c:v>-6.9378421029768367</c:v>
                </c:pt>
                <c:pt idx="118">
                  <c:v>-6.9614337149426495</c:v>
                </c:pt>
                <c:pt idx="119">
                  <c:v>-6.98313237894265</c:v>
                </c:pt>
                <c:pt idx="120">
                  <c:v>-7.0663713041714074</c:v>
                </c:pt>
                <c:pt idx="121">
                  <c:v>-7.0106273875047407</c:v>
                </c:pt>
                <c:pt idx="122">
                  <c:v>-6.8181809585910029</c:v>
                </c:pt>
                <c:pt idx="123">
                  <c:v>-6.5522129896790862</c:v>
                </c:pt>
                <c:pt idx="124">
                  <c:v>-6.104189536158426</c:v>
                </c:pt>
                <c:pt idx="125">
                  <c:v>-6.3748771497618115</c:v>
                </c:pt>
                <c:pt idx="126">
                  <c:v>-6.2835284531262969</c:v>
                </c:pt>
                <c:pt idx="127">
                  <c:v>-6.278560448222188</c:v>
                </c:pt>
                <c:pt idx="128">
                  <c:v>-6.3930333537906332</c:v>
                </c:pt>
                <c:pt idx="129">
                  <c:v>-6.3529129293961377</c:v>
                </c:pt>
                <c:pt idx="130">
                  <c:v>-6.3129193218336379</c:v>
                </c:pt>
                <c:pt idx="131">
                  <c:v>-6.1290812814279105</c:v>
                </c:pt>
                <c:pt idx="132">
                  <c:v>-6.0185037177073015</c:v>
                </c:pt>
                <c:pt idx="133">
                  <c:v>-5.9822899225745587</c:v>
                </c:pt>
                <c:pt idx="134">
                  <c:v>-5.9164122008688729</c:v>
                </c:pt>
                <c:pt idx="135">
                  <c:v>-5.9635677412003636</c:v>
                </c:pt>
                <c:pt idx="136">
                  <c:v>-5.9503442018455246</c:v>
                </c:pt>
                <c:pt idx="137">
                  <c:v>-5.9214605705297352</c:v>
                </c:pt>
                <c:pt idx="138">
                  <c:v>-5.8752961598024624</c:v>
                </c:pt>
                <c:pt idx="139">
                  <c:v>-5.8614865385317438</c:v>
                </c:pt>
                <c:pt idx="140">
                  <c:v>-5.7727014769932818</c:v>
                </c:pt>
                <c:pt idx="141">
                  <c:v>-5.879542870708697</c:v>
                </c:pt>
                <c:pt idx="142">
                  <c:v>-5.9551176555086967</c:v>
                </c:pt>
                <c:pt idx="143">
                  <c:v>-5.7027251891695965</c:v>
                </c:pt>
                <c:pt idx="144">
                  <c:v>-5.8063865604453166</c:v>
                </c:pt>
                <c:pt idx="145">
                  <c:v>-5.864238867466594</c:v>
                </c:pt>
                <c:pt idx="146">
                  <c:v>-5.8268790893613316</c:v>
                </c:pt>
                <c:pt idx="147">
                  <c:v>-5.8345787174482888</c:v>
                </c:pt>
                <c:pt idx="148">
                  <c:v>-5.7274696970732872</c:v>
                </c:pt>
                <c:pt idx="149">
                  <c:v>-5.8046629648232875</c:v>
                </c:pt>
                <c:pt idx="150">
                  <c:v>-5.4214653178428254</c:v>
                </c:pt>
                <c:pt idx="151">
                  <c:v>-5.0324901735424445</c:v>
                </c:pt>
                <c:pt idx="152">
                  <c:v>-5.021082337028159</c:v>
                </c:pt>
                <c:pt idx="153">
                  <c:v>-4.9358341998961786</c:v>
                </c:pt>
                <c:pt idx="154">
                  <c:v>-4.9944153068532193</c:v>
                </c:pt>
                <c:pt idx="155">
                  <c:v>-4.883590532158423</c:v>
                </c:pt>
                <c:pt idx="156">
                  <c:v>-4.9339247809905196</c:v>
                </c:pt>
                <c:pt idx="157">
                  <c:v>-4.8077054668017443</c:v>
                </c:pt>
                <c:pt idx="158">
                  <c:v>-4.8382564939767203</c:v>
                </c:pt>
                <c:pt idx="159">
                  <c:v>-4.8410955121568149</c:v>
                </c:pt>
                <c:pt idx="160">
                  <c:v>-4.753930353087644</c:v>
                </c:pt>
                <c:pt idx="161">
                  <c:v>-4.7511355366696684</c:v>
                </c:pt>
                <c:pt idx="162">
                  <c:v>-4.9290197822325936</c:v>
                </c:pt>
                <c:pt idx="163">
                  <c:v>-4.9057899167720125</c:v>
                </c:pt>
                <c:pt idx="164">
                  <c:v>-4.7308876249602134</c:v>
                </c:pt>
                <c:pt idx="165">
                  <c:v>-4.4869911751932365</c:v>
                </c:pt>
                <c:pt idx="166">
                  <c:v>-4.6096811338219297</c:v>
                </c:pt>
                <c:pt idx="167">
                  <c:v>-4.5377661025530847</c:v>
                </c:pt>
                <c:pt idx="168">
                  <c:v>-4.584726819888485</c:v>
                </c:pt>
                <c:pt idx="169">
                  <c:v>-4.4120590274985751</c:v>
                </c:pt>
                <c:pt idx="170">
                  <c:v>-4.1977577452634014</c:v>
                </c:pt>
                <c:pt idx="171">
                  <c:v>-4.2493685398894225</c:v>
                </c:pt>
                <c:pt idx="172">
                  <c:v>-3.997566349120043</c:v>
                </c:pt>
                <c:pt idx="173">
                  <c:v>-3.8054366464800804</c:v>
                </c:pt>
                <c:pt idx="174">
                  <c:v>-4.1319932796191434</c:v>
                </c:pt>
                <c:pt idx="175">
                  <c:v>-3.8808403708079431</c:v>
                </c:pt>
                <c:pt idx="176">
                  <c:v>-3.4649585020085998</c:v>
                </c:pt>
                <c:pt idx="177">
                  <c:v>-3.5826503967398344</c:v>
                </c:pt>
                <c:pt idx="178">
                  <c:v>-3.2392871865257256</c:v>
                </c:pt>
                <c:pt idx="179">
                  <c:v>-2.5340695182111843</c:v>
                </c:pt>
                <c:pt idx="180">
                  <c:v>-2.4235369925286738</c:v>
                </c:pt>
                <c:pt idx="181">
                  <c:v>-2.4191725724064037</c:v>
                </c:pt>
                <c:pt idx="182">
                  <c:v>-2.474777935381788</c:v>
                </c:pt>
                <c:pt idx="183">
                  <c:v>-2.4117139610085285</c:v>
                </c:pt>
                <c:pt idx="184">
                  <c:v>-1.8935357276340392</c:v>
                </c:pt>
                <c:pt idx="185">
                  <c:v>-1.6914343351991137</c:v>
                </c:pt>
                <c:pt idx="186">
                  <c:v>-1.6458223563079224</c:v>
                </c:pt>
                <c:pt idx="187">
                  <c:v>-1.6781973014466083</c:v>
                </c:pt>
                <c:pt idx="188">
                  <c:v>-1.6740765628847347</c:v>
                </c:pt>
                <c:pt idx="189">
                  <c:v>-1.4463657817336733</c:v>
                </c:pt>
                <c:pt idx="190">
                  <c:v>-1.5626760563056292</c:v>
                </c:pt>
                <c:pt idx="191">
                  <c:v>-1.5836976865747356</c:v>
                </c:pt>
                <c:pt idx="192">
                  <c:v>-1.5679629445442438</c:v>
                </c:pt>
                <c:pt idx="193">
                  <c:v>-1.5280462814085973</c:v>
                </c:pt>
                <c:pt idx="194">
                  <c:v>-1.4994437456653895</c:v>
                </c:pt>
                <c:pt idx="195">
                  <c:v>-1.5049707753853896</c:v>
                </c:pt>
                <c:pt idx="196">
                  <c:v>-1.3934709181736249</c:v>
                </c:pt>
                <c:pt idx="197">
                  <c:v>-1.4506327478159078</c:v>
                </c:pt>
                <c:pt idx="198">
                  <c:v>-1.4613869733165683</c:v>
                </c:pt>
                <c:pt idx="199">
                  <c:v>-1.3025090372334478</c:v>
                </c:pt>
                <c:pt idx="200">
                  <c:v>-1.2886644130604139</c:v>
                </c:pt>
                <c:pt idx="201">
                  <c:v>-1.3060394503738466</c:v>
                </c:pt>
                <c:pt idx="202">
                  <c:v>-1.2721620101857871</c:v>
                </c:pt>
                <c:pt idx="203">
                  <c:v>-1.2864284832579629</c:v>
                </c:pt>
                <c:pt idx="204">
                  <c:v>-1.2230204937254756</c:v>
                </c:pt>
                <c:pt idx="205">
                  <c:v>-1.2672605234012468</c:v>
                </c:pt>
                <c:pt idx="206">
                  <c:v>-1.3053764249212469</c:v>
                </c:pt>
                <c:pt idx="207">
                  <c:v>-1.2939697680155866</c:v>
                </c:pt>
                <c:pt idx="208">
                  <c:v>-1.3033715262155867</c:v>
                </c:pt>
                <c:pt idx="209">
                  <c:v>-1.3151607451942127</c:v>
                </c:pt>
                <c:pt idx="210">
                  <c:v>-1.3254721047109121</c:v>
                </c:pt>
                <c:pt idx="211">
                  <c:v>-1.3046766301871953</c:v>
                </c:pt>
                <c:pt idx="212">
                  <c:v>-1.3375609411527947</c:v>
                </c:pt>
                <c:pt idx="213">
                  <c:v>-1.2951188389411044</c:v>
                </c:pt>
                <c:pt idx="214">
                  <c:v>-1.3144465624501829</c:v>
                </c:pt>
                <c:pt idx="215">
                  <c:v>-1.3652946128186463</c:v>
                </c:pt>
                <c:pt idx="216">
                  <c:v>-1.4017406340574292</c:v>
                </c:pt>
                <c:pt idx="217">
                  <c:v>-1.2956915779578149</c:v>
                </c:pt>
                <c:pt idx="218">
                  <c:v>-1.3473364823063343</c:v>
                </c:pt>
                <c:pt idx="219">
                  <c:v>-1.4721967343784252</c:v>
                </c:pt>
                <c:pt idx="220">
                  <c:v>-1.5426041302626694</c:v>
                </c:pt>
                <c:pt idx="221">
                  <c:v>-1.3912089579007505</c:v>
                </c:pt>
                <c:pt idx="222">
                  <c:v>-1.4478720902481295</c:v>
                </c:pt>
                <c:pt idx="223">
                  <c:v>-1.3914474612187708</c:v>
                </c:pt>
                <c:pt idx="224">
                  <c:v>-1.3781217144261728</c:v>
                </c:pt>
                <c:pt idx="225">
                  <c:v>-1.34423275620537</c:v>
                </c:pt>
                <c:pt idx="226">
                  <c:v>-1.317587168914218</c:v>
                </c:pt>
                <c:pt idx="227">
                  <c:v>-1.2187506016886478</c:v>
                </c:pt>
                <c:pt idx="228">
                  <c:v>-1.1917657649213462</c:v>
                </c:pt>
                <c:pt idx="229">
                  <c:v>-1.415595309794534</c:v>
                </c:pt>
                <c:pt idx="230">
                  <c:v>-1.4734344862891318</c:v>
                </c:pt>
                <c:pt idx="231">
                  <c:v>-1.3152143166730501</c:v>
                </c:pt>
                <c:pt idx="232">
                  <c:v>-0.98888635973467165</c:v>
                </c:pt>
                <c:pt idx="233">
                  <c:v>-1.1359418979296467</c:v>
                </c:pt>
                <c:pt idx="234">
                  <c:v>-1.1811155909651894</c:v>
                </c:pt>
                <c:pt idx="235">
                  <c:v>-0.92183991478867622</c:v>
                </c:pt>
                <c:pt idx="236">
                  <c:v>-0.76908452032410923</c:v>
                </c:pt>
                <c:pt idx="237">
                  <c:v>-0.74184368733057227</c:v>
                </c:pt>
                <c:pt idx="238">
                  <c:v>-0.70488401294780079</c:v>
                </c:pt>
                <c:pt idx="239">
                  <c:v>-0.70069316853802643</c:v>
                </c:pt>
                <c:pt idx="240">
                  <c:v>-0.75797420881998245</c:v>
                </c:pt>
                <c:pt idx="241">
                  <c:v>-0.74729934714692992</c:v>
                </c:pt>
                <c:pt idx="242">
                  <c:v>-0.82781503314692984</c:v>
                </c:pt>
                <c:pt idx="243">
                  <c:v>-0.87062867212128892</c:v>
                </c:pt>
                <c:pt idx="244">
                  <c:v>-0.83443096254064375</c:v>
                </c:pt>
                <c:pt idx="245">
                  <c:v>-0.78192790684219193</c:v>
                </c:pt>
                <c:pt idx="246">
                  <c:v>-0.72735276784330427</c:v>
                </c:pt>
                <c:pt idx="247">
                  <c:v>-1.1664496607524835</c:v>
                </c:pt>
                <c:pt idx="248">
                  <c:v>-1.4978464549853179</c:v>
                </c:pt>
                <c:pt idx="249">
                  <c:v>-1.6183288804245843</c:v>
                </c:pt>
                <c:pt idx="250">
                  <c:v>-1.5993887461819198</c:v>
                </c:pt>
                <c:pt idx="251">
                  <c:v>-1.4985117573687821</c:v>
                </c:pt>
                <c:pt idx="252">
                  <c:v>-1.407450867020029</c:v>
                </c:pt>
                <c:pt idx="253">
                  <c:v>-1.4882917126438864</c:v>
                </c:pt>
                <c:pt idx="254">
                  <c:v>-1.4556022749033526</c:v>
                </c:pt>
                <c:pt idx="255">
                  <c:v>-1.4146023232682208</c:v>
                </c:pt>
                <c:pt idx="256">
                  <c:v>-1.3882963108750193</c:v>
                </c:pt>
                <c:pt idx="257">
                  <c:v>-1.3690894390910731</c:v>
                </c:pt>
                <c:pt idx="258">
                  <c:v>-1.3178986274843827</c:v>
                </c:pt>
                <c:pt idx="259">
                  <c:v>-1.3706661213128326</c:v>
                </c:pt>
                <c:pt idx="260">
                  <c:v>-1.3930183771155724</c:v>
                </c:pt>
                <c:pt idx="261">
                  <c:v>-1.2871837511891726</c:v>
                </c:pt>
                <c:pt idx="262">
                  <c:v>-1.3234299440423065</c:v>
                </c:pt>
                <c:pt idx="263">
                  <c:v>-1.2660562729077722</c:v>
                </c:pt>
                <c:pt idx="264">
                  <c:v>-1.2731149636370538</c:v>
                </c:pt>
                <c:pt idx="265">
                  <c:v>-1.3312564653846333</c:v>
                </c:pt>
                <c:pt idx="266">
                  <c:v>-1.2726925429373936</c:v>
                </c:pt>
                <c:pt idx="267">
                  <c:v>-1.2166568022917599</c:v>
                </c:pt>
                <c:pt idx="268">
                  <c:v>-1.2953012740228238</c:v>
                </c:pt>
                <c:pt idx="269">
                  <c:v>-1.1960424432113346</c:v>
                </c:pt>
                <c:pt idx="270">
                  <c:v>-1.1359031868070553</c:v>
                </c:pt>
                <c:pt idx="271">
                  <c:v>-1.0430736204989792</c:v>
                </c:pt>
                <c:pt idx="272">
                  <c:v>-0.65723089598025053</c:v>
                </c:pt>
                <c:pt idx="273">
                  <c:v>-0.97302647875902315</c:v>
                </c:pt>
                <c:pt idx="274">
                  <c:v>-0.97279033256432557</c:v>
                </c:pt>
                <c:pt idx="275">
                  <c:v>-0.96014374792949619</c:v>
                </c:pt>
                <c:pt idx="276">
                  <c:v>-0.94263993061215579</c:v>
                </c:pt>
                <c:pt idx="277">
                  <c:v>-1.0550126158847839</c:v>
                </c:pt>
                <c:pt idx="278">
                  <c:v>-1.0809068244610374</c:v>
                </c:pt>
                <c:pt idx="279">
                  <c:v>-1.0087168225693568</c:v>
                </c:pt>
                <c:pt idx="280">
                  <c:v>-1.0708826575939652</c:v>
                </c:pt>
                <c:pt idx="281">
                  <c:v>-0.99712659005268622</c:v>
                </c:pt>
                <c:pt idx="282">
                  <c:v>-0.91647209719526757</c:v>
                </c:pt>
                <c:pt idx="283">
                  <c:v>-1.0323824948869418</c:v>
                </c:pt>
                <c:pt idx="284">
                  <c:v>-0.9509423237525344</c:v>
                </c:pt>
                <c:pt idx="285">
                  <c:v>-0.9361630701087057</c:v>
                </c:pt>
                <c:pt idx="286">
                  <c:v>-0.88340016572213009</c:v>
                </c:pt>
                <c:pt idx="287">
                  <c:v>-0.92230048094225814</c:v>
                </c:pt>
                <c:pt idx="288">
                  <c:v>-0.85977877050300855</c:v>
                </c:pt>
                <c:pt idx="289">
                  <c:v>-1.0073508395030086</c:v>
                </c:pt>
                <c:pt idx="290">
                  <c:v>-0.93769523261890708</c:v>
                </c:pt>
                <c:pt idx="291">
                  <c:v>-0.86712326158585507</c:v>
                </c:pt>
                <c:pt idx="292">
                  <c:v>-0.90075155047594579</c:v>
                </c:pt>
                <c:pt idx="293">
                  <c:v>-0.85439630252128052</c:v>
                </c:pt>
                <c:pt idx="294">
                  <c:v>-0.83303408877103413</c:v>
                </c:pt>
                <c:pt idx="295">
                  <c:v>-0.85344354207866935</c:v>
                </c:pt>
                <c:pt idx="296">
                  <c:v>-0.81488482908711157</c:v>
                </c:pt>
                <c:pt idx="297">
                  <c:v>-0.92926754899762121</c:v>
                </c:pt>
                <c:pt idx="298">
                  <c:v>-1.0087972095372297</c:v>
                </c:pt>
                <c:pt idx="299">
                  <c:v>-0.9246778121596595</c:v>
                </c:pt>
                <c:pt idx="300">
                  <c:v>-0.85159528368121251</c:v>
                </c:pt>
                <c:pt idx="301">
                  <c:v>-0.87347632312250811</c:v>
                </c:pt>
                <c:pt idx="302">
                  <c:v>-0.95337414413831889</c:v>
                </c:pt>
                <c:pt idx="303">
                  <c:v>-0.98747769336445612</c:v>
                </c:pt>
                <c:pt idx="304">
                  <c:v>-0.92091832625020698</c:v>
                </c:pt>
                <c:pt idx="305">
                  <c:v>-1.0151287706989429</c:v>
                </c:pt>
                <c:pt idx="306">
                  <c:v>-1.1120352348519091</c:v>
                </c:pt>
                <c:pt idx="307">
                  <c:v>-1.1002451383045142</c:v>
                </c:pt>
                <c:pt idx="308">
                  <c:v>-1.193758645058665</c:v>
                </c:pt>
                <c:pt idx="309">
                  <c:v>-1.0860703219785559</c:v>
                </c:pt>
                <c:pt idx="310">
                  <c:v>-0.77779257701830617</c:v>
                </c:pt>
                <c:pt idx="311">
                  <c:v>-0.92357673334727552</c:v>
                </c:pt>
                <c:pt idx="312">
                  <c:v>-0.83786783893929351</c:v>
                </c:pt>
                <c:pt idx="313">
                  <c:v>-0.84994366056220672</c:v>
                </c:pt>
                <c:pt idx="314">
                  <c:v>-0.89874532529885032</c:v>
                </c:pt>
                <c:pt idx="315">
                  <c:v>-0.8970589822837477</c:v>
                </c:pt>
                <c:pt idx="316">
                  <c:v>-0.85158885461443679</c:v>
                </c:pt>
                <c:pt idx="317">
                  <c:v>-0.82510578305520121</c:v>
                </c:pt>
                <c:pt idx="318">
                  <c:v>-0.9417642664607776</c:v>
                </c:pt>
                <c:pt idx="319">
                  <c:v>-0.99898624152663917</c:v>
                </c:pt>
                <c:pt idx="320">
                  <c:v>-0.9138746575266391</c:v>
                </c:pt>
                <c:pt idx="321">
                  <c:v>-0.94874564016192353</c:v>
                </c:pt>
                <c:pt idx="322">
                  <c:v>-0.91550637765219345</c:v>
                </c:pt>
                <c:pt idx="323">
                  <c:v>-0.85382270092848533</c:v>
                </c:pt>
                <c:pt idx="324">
                  <c:v>-0.70152481772848529</c:v>
                </c:pt>
                <c:pt idx="325">
                  <c:v>-0.75249477484574556</c:v>
                </c:pt>
                <c:pt idx="326">
                  <c:v>-0.54942512457514858</c:v>
                </c:pt>
                <c:pt idx="327">
                  <c:v>-0.76116652998143419</c:v>
                </c:pt>
                <c:pt idx="328">
                  <c:v>-0.79493381169251265</c:v>
                </c:pt>
                <c:pt idx="329">
                  <c:v>-0.83998406842059903</c:v>
                </c:pt>
                <c:pt idx="330">
                  <c:v>-0.81940866853561622</c:v>
                </c:pt>
                <c:pt idx="331">
                  <c:v>-0.83523160172575717</c:v>
                </c:pt>
                <c:pt idx="332">
                  <c:v>-0.83180166085997831</c:v>
                </c:pt>
                <c:pt idx="333">
                  <c:v>-0.91911857396779428</c:v>
                </c:pt>
                <c:pt idx="334">
                  <c:v>-0.95039711425863327</c:v>
                </c:pt>
                <c:pt idx="335">
                  <c:v>-0.94455103198692558</c:v>
                </c:pt>
                <c:pt idx="336">
                  <c:v>-0.9452456618837457</c:v>
                </c:pt>
                <c:pt idx="337">
                  <c:v>-0.8842927028226929</c:v>
                </c:pt>
                <c:pt idx="338">
                  <c:v>-0.86712820031834503</c:v>
                </c:pt>
                <c:pt idx="339">
                  <c:v>-0.86620142333684147</c:v>
                </c:pt>
                <c:pt idx="340">
                  <c:v>-0.9007207806099814</c:v>
                </c:pt>
                <c:pt idx="341">
                  <c:v>-0.88588097574225655</c:v>
                </c:pt>
                <c:pt idx="342">
                  <c:v>-0.84535015331022989</c:v>
                </c:pt>
                <c:pt idx="343">
                  <c:v>-0.84908043262037813</c:v>
                </c:pt>
                <c:pt idx="344">
                  <c:v>-0.87779721909916075</c:v>
                </c:pt>
                <c:pt idx="345">
                  <c:v>-0.93900552389123426</c:v>
                </c:pt>
                <c:pt idx="346">
                  <c:v>-0.85089889133887797</c:v>
                </c:pt>
                <c:pt idx="347">
                  <c:v>-0.86602607409389698</c:v>
                </c:pt>
                <c:pt idx="348">
                  <c:v>-0.82475888517997153</c:v>
                </c:pt>
                <c:pt idx="349">
                  <c:v>-0.82686937549504869</c:v>
                </c:pt>
                <c:pt idx="350">
                  <c:v>-0.82300315341719388</c:v>
                </c:pt>
                <c:pt idx="351">
                  <c:v>-0.92827933824774489</c:v>
                </c:pt>
                <c:pt idx="352">
                  <c:v>-0.91822361219514226</c:v>
                </c:pt>
                <c:pt idx="353">
                  <c:v>-0.94058750325555307</c:v>
                </c:pt>
                <c:pt idx="354">
                  <c:v>-1.0546515636952141</c:v>
                </c:pt>
                <c:pt idx="355">
                  <c:v>-1.035791139334312</c:v>
                </c:pt>
                <c:pt idx="356">
                  <c:v>-0.96478869709254012</c:v>
                </c:pt>
                <c:pt idx="357">
                  <c:v>-1.0284741661668897</c:v>
                </c:pt>
                <c:pt idx="358">
                  <c:v>-1.0466859914903097</c:v>
                </c:pt>
                <c:pt idx="359">
                  <c:v>-1.0720407737332478</c:v>
                </c:pt>
                <c:pt idx="360">
                  <c:v>-1.0468232960056212</c:v>
                </c:pt>
                <c:pt idx="361">
                  <c:v>-1.1041947299658363</c:v>
                </c:pt>
                <c:pt idx="362">
                  <c:v>-1.0835031603798948</c:v>
                </c:pt>
                <c:pt idx="363">
                  <c:v>-1.0436493980149069</c:v>
                </c:pt>
                <c:pt idx="364">
                  <c:v>-0.9842698164610606</c:v>
                </c:pt>
                <c:pt idx="365">
                  <c:v>-0.96885072182833654</c:v>
                </c:pt>
                <c:pt idx="366">
                  <c:v>-0.96132110763399703</c:v>
                </c:pt>
                <c:pt idx="367">
                  <c:v>-0.96571556568713113</c:v>
                </c:pt>
                <c:pt idx="368">
                  <c:v>-0.9363875523654529</c:v>
                </c:pt>
                <c:pt idx="369">
                  <c:v>-0.91828829593560535</c:v>
                </c:pt>
                <c:pt idx="370">
                  <c:v>-0.8984970246581987</c:v>
                </c:pt>
                <c:pt idx="371">
                  <c:v>-1.3120199176707663</c:v>
                </c:pt>
                <c:pt idx="372">
                  <c:v>-1.2076744864263587</c:v>
                </c:pt>
                <c:pt idx="373">
                  <c:v>-1.6819926661883675</c:v>
                </c:pt>
                <c:pt idx="374">
                  <c:v>-0.88301117417870967</c:v>
                </c:pt>
                <c:pt idx="375">
                  <c:v>-0.99115211429713068</c:v>
                </c:pt>
                <c:pt idx="376">
                  <c:v>-1.0411359072157911</c:v>
                </c:pt>
                <c:pt idx="377">
                  <c:v>-0.98351576038101252</c:v>
                </c:pt>
                <c:pt idx="378">
                  <c:v>-1.0371583120757419</c:v>
                </c:pt>
                <c:pt idx="379">
                  <c:v>-1.0099665399035052</c:v>
                </c:pt>
                <c:pt idx="380">
                  <c:v>-1.043834642695741</c:v>
                </c:pt>
                <c:pt idx="381">
                  <c:v>-0.98798522866627447</c:v>
                </c:pt>
                <c:pt idx="382">
                  <c:v>-0.98760602680890541</c:v>
                </c:pt>
                <c:pt idx="383">
                  <c:v>-1.0283539266293722</c:v>
                </c:pt>
                <c:pt idx="384">
                  <c:v>-0.93041685872585478</c:v>
                </c:pt>
                <c:pt idx="385">
                  <c:v>-1.0564374706811059</c:v>
                </c:pt>
                <c:pt idx="386">
                  <c:v>-1.0796953223808208</c:v>
                </c:pt>
                <c:pt idx="387">
                  <c:v>-1.1097296789603901</c:v>
                </c:pt>
                <c:pt idx="388">
                  <c:v>-1.1189616943527396</c:v>
                </c:pt>
                <c:pt idx="389">
                  <c:v>-1.2144159094636957</c:v>
                </c:pt>
                <c:pt idx="390">
                  <c:v>-1.251848626765927</c:v>
                </c:pt>
                <c:pt idx="391">
                  <c:v>-1.2413885040945323</c:v>
                </c:pt>
                <c:pt idx="392">
                  <c:v>-1.2341909468988799</c:v>
                </c:pt>
                <c:pt idx="393">
                  <c:v>-1.2070966096243814</c:v>
                </c:pt>
                <c:pt idx="394">
                  <c:v>-1.2931066331933569</c:v>
                </c:pt>
                <c:pt idx="395">
                  <c:v>-1.3602264533783464</c:v>
                </c:pt>
                <c:pt idx="396">
                  <c:v>-1.3840548383612032</c:v>
                </c:pt>
                <c:pt idx="397">
                  <c:v>-1.3576664866060169</c:v>
                </c:pt>
                <c:pt idx="398">
                  <c:v>-1.3894504028353161</c:v>
                </c:pt>
                <c:pt idx="399">
                  <c:v>-1.3909156920317449</c:v>
                </c:pt>
                <c:pt idx="400">
                  <c:v>-1.4686659862185403</c:v>
                </c:pt>
                <c:pt idx="401">
                  <c:v>-1.3990071283360459</c:v>
                </c:pt>
                <c:pt idx="402">
                  <c:v>-1.3112954866607651</c:v>
                </c:pt>
                <c:pt idx="403">
                  <c:v>-1.3336807603266692</c:v>
                </c:pt>
                <c:pt idx="404">
                  <c:v>-1.3251104297933356</c:v>
                </c:pt>
                <c:pt idx="405">
                  <c:v>-1.3078640208708172</c:v>
                </c:pt>
                <c:pt idx="406">
                  <c:v>-1.333941119030053</c:v>
                </c:pt>
                <c:pt idx="407">
                  <c:v>-1.1317917097892809</c:v>
                </c:pt>
                <c:pt idx="408">
                  <c:v>-1.1762135352431118</c:v>
                </c:pt>
                <c:pt idx="409">
                  <c:v>-1.1555158431002546</c:v>
                </c:pt>
                <c:pt idx="410">
                  <c:v>-1.1233218062669215</c:v>
                </c:pt>
                <c:pt idx="411">
                  <c:v>-1.1302688369970251</c:v>
                </c:pt>
                <c:pt idx="412">
                  <c:v>-1.1301054050593584</c:v>
                </c:pt>
                <c:pt idx="413">
                  <c:v>-1.0949597619940865</c:v>
                </c:pt>
                <c:pt idx="414">
                  <c:v>-1.1070175533004694</c:v>
                </c:pt>
                <c:pt idx="415">
                  <c:v>-1.0776635091284579</c:v>
                </c:pt>
                <c:pt idx="416">
                  <c:v>-0.97496183573917716</c:v>
                </c:pt>
                <c:pt idx="417">
                  <c:v>-1.1523773203629897</c:v>
                </c:pt>
                <c:pt idx="418">
                  <c:v>-1.117285063122136</c:v>
                </c:pt>
                <c:pt idx="419">
                  <c:v>-1.197612889096348</c:v>
                </c:pt>
                <c:pt idx="420">
                  <c:v>-0.89857249169653886</c:v>
                </c:pt>
                <c:pt idx="421">
                  <c:v>-0.55267327742730854</c:v>
                </c:pt>
                <c:pt idx="422">
                  <c:v>-0.33618235636761429</c:v>
                </c:pt>
                <c:pt idx="423">
                  <c:v>-0.39457270745748041</c:v>
                </c:pt>
                <c:pt idx="424">
                  <c:v>-0.31663710960391328</c:v>
                </c:pt>
                <c:pt idx="425">
                  <c:v>-0.30673241048335365</c:v>
                </c:pt>
                <c:pt idx="426">
                  <c:v>-0.39601723512982517</c:v>
                </c:pt>
                <c:pt idx="427">
                  <c:v>-0.434089025367143</c:v>
                </c:pt>
                <c:pt idx="428">
                  <c:v>-0.51931416840039724</c:v>
                </c:pt>
                <c:pt idx="429">
                  <c:v>-0.6129096044203306</c:v>
                </c:pt>
                <c:pt idx="430">
                  <c:v>-0.66548896118527634</c:v>
                </c:pt>
                <c:pt idx="431">
                  <c:v>-0.71636450162708876</c:v>
                </c:pt>
                <c:pt idx="432">
                  <c:v>-0.79250728915840196</c:v>
                </c:pt>
                <c:pt idx="433">
                  <c:v>-0.77907791892950717</c:v>
                </c:pt>
                <c:pt idx="434">
                  <c:v>-0.83297408101301895</c:v>
                </c:pt>
                <c:pt idx="435">
                  <c:v>-0.85536546398426083</c:v>
                </c:pt>
                <c:pt idx="436">
                  <c:v>-0.88700128754725294</c:v>
                </c:pt>
                <c:pt idx="437">
                  <c:v>-0.93293506305164953</c:v>
                </c:pt>
                <c:pt idx="438">
                  <c:v>-0.92166150101815669</c:v>
                </c:pt>
                <c:pt idx="439">
                  <c:v>-0.90865079595351805</c:v>
                </c:pt>
                <c:pt idx="440">
                  <c:v>-0.91623512988494671</c:v>
                </c:pt>
                <c:pt idx="441">
                  <c:v>-0.92644388493304786</c:v>
                </c:pt>
                <c:pt idx="442">
                  <c:v>-0.90655881431971463</c:v>
                </c:pt>
                <c:pt idx="443">
                  <c:v>-0.90878082654040426</c:v>
                </c:pt>
                <c:pt idx="444">
                  <c:v>-0.92416065619835197</c:v>
                </c:pt>
                <c:pt idx="445">
                  <c:v>-0.94626135691585622</c:v>
                </c:pt>
                <c:pt idx="446">
                  <c:v>-0.96633258905340791</c:v>
                </c:pt>
                <c:pt idx="447">
                  <c:v>-0.92944373018364046</c:v>
                </c:pt>
                <c:pt idx="448">
                  <c:v>-0.97811310729437284</c:v>
                </c:pt>
                <c:pt idx="449">
                  <c:v>-0.99876352790231326</c:v>
                </c:pt>
                <c:pt idx="450">
                  <c:v>-1.0052674551846847</c:v>
                </c:pt>
                <c:pt idx="451">
                  <c:v>-1.0081054451330416</c:v>
                </c:pt>
                <c:pt idx="452">
                  <c:v>-1.0159978624884132</c:v>
                </c:pt>
                <c:pt idx="453">
                  <c:v>-1.0089929480069317</c:v>
                </c:pt>
                <c:pt idx="454">
                  <c:v>-1.0184085774684701</c:v>
                </c:pt>
                <c:pt idx="455">
                  <c:v>-1.0242430192080825</c:v>
                </c:pt>
                <c:pt idx="456">
                  <c:v>-1.0155041648915357</c:v>
                </c:pt>
                <c:pt idx="457">
                  <c:v>-0.99881957296963886</c:v>
                </c:pt>
                <c:pt idx="458">
                  <c:v>-0.99773021122678174</c:v>
                </c:pt>
                <c:pt idx="459">
                  <c:v>-0.98424965800296249</c:v>
                </c:pt>
                <c:pt idx="460">
                  <c:v>-0.96367637891307489</c:v>
                </c:pt>
                <c:pt idx="461">
                  <c:v>-0.97808618378404266</c:v>
                </c:pt>
                <c:pt idx="462">
                  <c:v>-0.96942400325212785</c:v>
                </c:pt>
                <c:pt idx="463">
                  <c:v>-0.98245842440496611</c:v>
                </c:pt>
                <c:pt idx="464">
                  <c:v>-0.977464790337919</c:v>
                </c:pt>
                <c:pt idx="465">
                  <c:v>-0.96013356679768902</c:v>
                </c:pt>
                <c:pt idx="466">
                  <c:v>-0.94415832963979429</c:v>
                </c:pt>
                <c:pt idx="467">
                  <c:v>-0.96582190979073745</c:v>
                </c:pt>
                <c:pt idx="468">
                  <c:v>-0.9678601122452829</c:v>
                </c:pt>
                <c:pt idx="469">
                  <c:v>-0.94764885352435269</c:v>
                </c:pt>
                <c:pt idx="470">
                  <c:v>-0.95147544169609788</c:v>
                </c:pt>
                <c:pt idx="471">
                  <c:v>-0.97675774660573644</c:v>
                </c:pt>
                <c:pt idx="472">
                  <c:v>-0.9649983787509876</c:v>
                </c:pt>
                <c:pt idx="473">
                  <c:v>-0.95592734123227119</c:v>
                </c:pt>
                <c:pt idx="474">
                  <c:v>-0.96453169622433477</c:v>
                </c:pt>
                <c:pt idx="475">
                  <c:v>-0.96217163734092681</c:v>
                </c:pt>
                <c:pt idx="476">
                  <c:v>-0.99830468844029285</c:v>
                </c:pt>
                <c:pt idx="477">
                  <c:v>-1.0521258518016241</c:v>
                </c:pt>
                <c:pt idx="478">
                  <c:v>-1.0988031964208549</c:v>
                </c:pt>
                <c:pt idx="479">
                  <c:v>-1.0538210552600893</c:v>
                </c:pt>
                <c:pt idx="480">
                  <c:v>-1.0096242767356447</c:v>
                </c:pt>
                <c:pt idx="481">
                  <c:v>-1.0183171438773768</c:v>
                </c:pt>
                <c:pt idx="482">
                  <c:v>-0.99744625715323898</c:v>
                </c:pt>
                <c:pt idx="483">
                  <c:v>-1.0299660623783229</c:v>
                </c:pt>
                <c:pt idx="484">
                  <c:v>-1.0254190901343039</c:v>
                </c:pt>
                <c:pt idx="485">
                  <c:v>-1.0817620410059616</c:v>
                </c:pt>
                <c:pt idx="486">
                  <c:v>-1.0864431092087268</c:v>
                </c:pt>
                <c:pt idx="487">
                  <c:v>-1.0216723822986145</c:v>
                </c:pt>
                <c:pt idx="488">
                  <c:v>-1.0725055727357007</c:v>
                </c:pt>
                <c:pt idx="489">
                  <c:v>-1.0898584042741621</c:v>
                </c:pt>
                <c:pt idx="490">
                  <c:v>-1.1148018538613507</c:v>
                </c:pt>
                <c:pt idx="491">
                  <c:v>-1.1645190274233055</c:v>
                </c:pt>
                <c:pt idx="492">
                  <c:v>-1.1005618797391838</c:v>
                </c:pt>
                <c:pt idx="493">
                  <c:v>-1.1311634093270626</c:v>
                </c:pt>
                <c:pt idx="494">
                  <c:v>-1.0779972507646522</c:v>
                </c:pt>
                <c:pt idx="495">
                  <c:v>-1.0434278845894698</c:v>
                </c:pt>
                <c:pt idx="496">
                  <c:v>-1.0580548979644697</c:v>
                </c:pt>
                <c:pt idx="497">
                  <c:v>-1.0537188806665974</c:v>
                </c:pt>
                <c:pt idx="498">
                  <c:v>-1.0337698325108848</c:v>
                </c:pt>
                <c:pt idx="499">
                  <c:v>-1.0615291151046917</c:v>
                </c:pt>
                <c:pt idx="500">
                  <c:v>-1.0024388541677289</c:v>
                </c:pt>
                <c:pt idx="501">
                  <c:v>-0.95146277956772929</c:v>
                </c:pt>
                <c:pt idx="502">
                  <c:v>-0.92628548756044504</c:v>
                </c:pt>
                <c:pt idx="503">
                  <c:v>-0.93865388898481494</c:v>
                </c:pt>
                <c:pt idx="504">
                  <c:v>-0.95831545457665179</c:v>
                </c:pt>
                <c:pt idx="505">
                  <c:v>-0.97273050667366667</c:v>
                </c:pt>
                <c:pt idx="506">
                  <c:v>-0.96522846613987356</c:v>
                </c:pt>
                <c:pt idx="507">
                  <c:v>-0.85631514105393025</c:v>
                </c:pt>
                <c:pt idx="508">
                  <c:v>-0.83133264577528321</c:v>
                </c:pt>
                <c:pt idx="509">
                  <c:v>-0.88313629489969292</c:v>
                </c:pt>
                <c:pt idx="510">
                  <c:v>-0.7751750915383735</c:v>
                </c:pt>
                <c:pt idx="511">
                  <c:v>-0.855164735609802</c:v>
                </c:pt>
                <c:pt idx="512">
                  <c:v>-0.60525649939453297</c:v>
                </c:pt>
                <c:pt idx="513">
                  <c:v>-0.67391426881538052</c:v>
                </c:pt>
                <c:pt idx="514">
                  <c:v>-0.62785067103254566</c:v>
                </c:pt>
                <c:pt idx="515">
                  <c:v>-0.66761603750452203</c:v>
                </c:pt>
                <c:pt idx="516">
                  <c:v>-0.66149343275942396</c:v>
                </c:pt>
                <c:pt idx="517">
                  <c:v>-0.64731778959230801</c:v>
                </c:pt>
                <c:pt idx="518">
                  <c:v>-0.63749943077425153</c:v>
                </c:pt>
                <c:pt idx="519">
                  <c:v>-0.68015720629262388</c:v>
                </c:pt>
                <c:pt idx="520">
                  <c:v>-0.83334829578436698</c:v>
                </c:pt>
                <c:pt idx="521">
                  <c:v>-0.80344442172332053</c:v>
                </c:pt>
                <c:pt idx="522">
                  <c:v>-0.86323969434150216</c:v>
                </c:pt>
                <c:pt idx="523">
                  <c:v>-0.83000571212385521</c:v>
                </c:pt>
                <c:pt idx="524">
                  <c:v>-0.88884466226848968</c:v>
                </c:pt>
                <c:pt idx="525">
                  <c:v>-0.82713234645141642</c:v>
                </c:pt>
                <c:pt idx="526">
                  <c:v>-0.84485141990212076</c:v>
                </c:pt>
                <c:pt idx="527">
                  <c:v>-0.75695542238432123</c:v>
                </c:pt>
                <c:pt idx="528">
                  <c:v>-0.76119609258462928</c:v>
                </c:pt>
                <c:pt idx="529">
                  <c:v>-0.80037587415798639</c:v>
                </c:pt>
                <c:pt idx="530">
                  <c:v>-0.87287476780744278</c:v>
                </c:pt>
                <c:pt idx="531">
                  <c:v>-0.82167539222695518</c:v>
                </c:pt>
                <c:pt idx="532">
                  <c:v>-0.92068028508295541</c:v>
                </c:pt>
                <c:pt idx="533">
                  <c:v>-0.87178256286163447</c:v>
                </c:pt>
                <c:pt idx="534">
                  <c:v>-0.88670745916208271</c:v>
                </c:pt>
                <c:pt idx="535">
                  <c:v>-0.8519118679475437</c:v>
                </c:pt>
                <c:pt idx="536">
                  <c:v>-0.97063971891234702</c:v>
                </c:pt>
                <c:pt idx="537">
                  <c:v>-0.99354887210265219</c:v>
                </c:pt>
                <c:pt idx="538">
                  <c:v>-1.1078076234060232</c:v>
                </c:pt>
                <c:pt idx="539">
                  <c:v>-1.1015408492373482</c:v>
                </c:pt>
                <c:pt idx="540">
                  <c:v>-1.0075895670679744</c:v>
                </c:pt>
                <c:pt idx="541">
                  <c:v>-1.0347206833061879</c:v>
                </c:pt>
                <c:pt idx="542">
                  <c:v>-1.0639316428012047</c:v>
                </c:pt>
                <c:pt idx="543">
                  <c:v>-1.0791736052553331</c:v>
                </c:pt>
                <c:pt idx="544">
                  <c:v>-1.0843015294219998</c:v>
                </c:pt>
                <c:pt idx="545">
                  <c:v>-1.0224947655414025</c:v>
                </c:pt>
                <c:pt idx="546">
                  <c:v>-0.94696398850107033</c:v>
                </c:pt>
                <c:pt idx="547">
                  <c:v>-0.97788217202487993</c:v>
                </c:pt>
                <c:pt idx="548">
                  <c:v>-0.95010300641492818</c:v>
                </c:pt>
                <c:pt idx="549">
                  <c:v>-0.96650234741492813</c:v>
                </c:pt>
                <c:pt idx="550">
                  <c:v>-0.94032463837095748</c:v>
                </c:pt>
                <c:pt idx="551">
                  <c:v>-0.92035124957361525</c:v>
                </c:pt>
                <c:pt idx="552">
                  <c:v>-0.87084538332651118</c:v>
                </c:pt>
                <c:pt idx="553">
                  <c:v>-0.84244253934417912</c:v>
                </c:pt>
                <c:pt idx="554">
                  <c:v>-0.77163178156413836</c:v>
                </c:pt>
                <c:pt idx="555">
                  <c:v>-0.63685280129865207</c:v>
                </c:pt>
                <c:pt idx="556">
                  <c:v>-0.7535200466231553</c:v>
                </c:pt>
                <c:pt idx="557">
                  <c:v>-0.72752863292711667</c:v>
                </c:pt>
                <c:pt idx="558">
                  <c:v>-0.73260346614729988</c:v>
                </c:pt>
                <c:pt idx="559">
                  <c:v>-0.76589710157333535</c:v>
                </c:pt>
                <c:pt idx="560">
                  <c:v>-0.76961288090730862</c:v>
                </c:pt>
                <c:pt idx="561">
                  <c:v>-0.75941020289155103</c:v>
                </c:pt>
                <c:pt idx="562">
                  <c:v>-0.71045889440574672</c:v>
                </c:pt>
                <c:pt idx="563">
                  <c:v>-0.66686892092416405</c:v>
                </c:pt>
                <c:pt idx="564">
                  <c:v>-0.69526432325749743</c:v>
                </c:pt>
                <c:pt idx="565">
                  <c:v>-0.63638558733339035</c:v>
                </c:pt>
                <c:pt idx="566">
                  <c:v>-0.71253032046672371</c:v>
                </c:pt>
                <c:pt idx="567">
                  <c:v>-0.75946144269773141</c:v>
                </c:pt>
                <c:pt idx="568">
                  <c:v>-0.75195925759112103</c:v>
                </c:pt>
                <c:pt idx="569">
                  <c:v>-0.90603778711918992</c:v>
                </c:pt>
                <c:pt idx="570">
                  <c:v>-0.91507709479538035</c:v>
                </c:pt>
                <c:pt idx="571">
                  <c:v>-0.95964905104333675</c:v>
                </c:pt>
                <c:pt idx="572">
                  <c:v>-1.0009909770184147</c:v>
                </c:pt>
                <c:pt idx="573">
                  <c:v>-1.0326228215157407</c:v>
                </c:pt>
                <c:pt idx="574">
                  <c:v>-1.0043687986320196</c:v>
                </c:pt>
                <c:pt idx="575">
                  <c:v>-0.9760935654460613</c:v>
                </c:pt>
                <c:pt idx="576">
                  <c:v>-0.88799558762787956</c:v>
                </c:pt>
                <c:pt idx="577">
                  <c:v>-0.95913392934216524</c:v>
                </c:pt>
                <c:pt idx="578">
                  <c:v>-0.99195784156438749</c:v>
                </c:pt>
                <c:pt idx="579">
                  <c:v>-0.99917331554661692</c:v>
                </c:pt>
                <c:pt idx="580">
                  <c:v>-0.97043011074519847</c:v>
                </c:pt>
                <c:pt idx="581">
                  <c:v>-0.94968794355418729</c:v>
                </c:pt>
                <c:pt idx="582">
                  <c:v>-0.94408518534775754</c:v>
                </c:pt>
                <c:pt idx="583">
                  <c:v>-0.82213518118339934</c:v>
                </c:pt>
                <c:pt idx="584">
                  <c:v>-0.83640431389595005</c:v>
                </c:pt>
                <c:pt idx="585">
                  <c:v>-0.86195521085570226</c:v>
                </c:pt>
                <c:pt idx="586">
                  <c:v>-0.84857298365022293</c:v>
                </c:pt>
                <c:pt idx="587">
                  <c:v>-0.82410014636060536</c:v>
                </c:pt>
                <c:pt idx="588">
                  <c:v>-0.81338486501646556</c:v>
                </c:pt>
                <c:pt idx="589">
                  <c:v>-0.83265145757798686</c:v>
                </c:pt>
                <c:pt idx="590">
                  <c:v>-0.83695885626677402</c:v>
                </c:pt>
                <c:pt idx="591">
                  <c:v>-0.84872573018856168</c:v>
                </c:pt>
                <c:pt idx="592">
                  <c:v>-0.89225266843113582</c:v>
                </c:pt>
                <c:pt idx="593">
                  <c:v>-0.88439936740231762</c:v>
                </c:pt>
                <c:pt idx="594">
                  <c:v>-0.8545680258842453</c:v>
                </c:pt>
                <c:pt idx="595">
                  <c:v>-0.91002160559597511</c:v>
                </c:pt>
                <c:pt idx="596">
                  <c:v>-0.87324090656942654</c:v>
                </c:pt>
                <c:pt idx="597">
                  <c:v>-0.85567752919479534</c:v>
                </c:pt>
                <c:pt idx="598">
                  <c:v>-0.89821511239479535</c:v>
                </c:pt>
                <c:pt idx="599">
                  <c:v>-0.89633872738034914</c:v>
                </c:pt>
                <c:pt idx="600">
                  <c:v>-0.95333676885653962</c:v>
                </c:pt>
                <c:pt idx="601">
                  <c:v>-0.90838118940755996</c:v>
                </c:pt>
                <c:pt idx="602">
                  <c:v>-0.88369698772563232</c:v>
                </c:pt>
                <c:pt idx="603">
                  <c:v>-0.78777187551134664</c:v>
                </c:pt>
                <c:pt idx="604">
                  <c:v>-0.54757902275983117</c:v>
                </c:pt>
                <c:pt idx="605">
                  <c:v>-0.65277495429404486</c:v>
                </c:pt>
                <c:pt idx="606">
                  <c:v>-0.70451861094821866</c:v>
                </c:pt>
                <c:pt idx="607">
                  <c:v>-0.66714973512886389</c:v>
                </c:pt>
                <c:pt idx="608">
                  <c:v>-0.67912532608538545</c:v>
                </c:pt>
                <c:pt idx="609">
                  <c:v>-0.71633715848538571</c:v>
                </c:pt>
                <c:pt idx="610">
                  <c:v>-0.66554429782025848</c:v>
                </c:pt>
                <c:pt idx="611">
                  <c:v>-0.67974670921123592</c:v>
                </c:pt>
                <c:pt idx="612">
                  <c:v>-0.68158312405311006</c:v>
                </c:pt>
                <c:pt idx="613">
                  <c:v>-0.72314163389077246</c:v>
                </c:pt>
                <c:pt idx="614">
                  <c:v>-0.66194931489077258</c:v>
                </c:pt>
                <c:pt idx="615">
                  <c:v>-0.66611804218489035</c:v>
                </c:pt>
                <c:pt idx="616">
                  <c:v>-0.67754701917728577</c:v>
                </c:pt>
                <c:pt idx="617">
                  <c:v>-0.66882025711912019</c:v>
                </c:pt>
                <c:pt idx="618">
                  <c:v>-0.66236953982676128</c:v>
                </c:pt>
                <c:pt idx="619">
                  <c:v>-0.67801458124904868</c:v>
                </c:pt>
                <c:pt idx="620">
                  <c:v>-0.72005101449772613</c:v>
                </c:pt>
                <c:pt idx="621">
                  <c:v>-0.69781789423910523</c:v>
                </c:pt>
                <c:pt idx="622">
                  <c:v>-0.69274467362068437</c:v>
                </c:pt>
                <c:pt idx="623">
                  <c:v>-0.67145987797848239</c:v>
                </c:pt>
                <c:pt idx="624">
                  <c:v>-0.78635705397848232</c:v>
                </c:pt>
                <c:pt idx="625">
                  <c:v>-0.77753037827635452</c:v>
                </c:pt>
                <c:pt idx="626">
                  <c:v>-0.81112054103294362</c:v>
                </c:pt>
                <c:pt idx="627">
                  <c:v>-0.81112054103294362</c:v>
                </c:pt>
                <c:pt idx="628">
                  <c:v>-0.81288888226247802</c:v>
                </c:pt>
                <c:pt idx="629">
                  <c:v>-0.79614965466688992</c:v>
                </c:pt>
                <c:pt idx="630">
                  <c:v>-0.78665028180069285</c:v>
                </c:pt>
                <c:pt idx="631">
                  <c:v>-0.81605967842825877</c:v>
                </c:pt>
                <c:pt idx="632">
                  <c:v>-0.77987108942825867</c:v>
                </c:pt>
                <c:pt idx="633">
                  <c:v>-0.79879598036785604</c:v>
                </c:pt>
                <c:pt idx="634">
                  <c:v>-0.80635046597824556</c:v>
                </c:pt>
                <c:pt idx="635">
                  <c:v>-0.81303482463868171</c:v>
                </c:pt>
                <c:pt idx="636">
                  <c:v>-0.80113334881259457</c:v>
                </c:pt>
                <c:pt idx="637">
                  <c:v>-0.86652921101894376</c:v>
                </c:pt>
                <c:pt idx="638">
                  <c:v>-0.94966449639546169</c:v>
                </c:pt>
                <c:pt idx="639">
                  <c:v>-0.95035464836552175</c:v>
                </c:pt>
                <c:pt idx="640">
                  <c:v>-0.96628472008965971</c:v>
                </c:pt>
                <c:pt idx="641">
                  <c:v>-0.97205379777291767</c:v>
                </c:pt>
                <c:pt idx="642">
                  <c:v>-0.94145757586747347</c:v>
                </c:pt>
                <c:pt idx="643">
                  <c:v>-0.96904313543812559</c:v>
                </c:pt>
                <c:pt idx="644">
                  <c:v>-0.94707576950229677</c:v>
                </c:pt>
                <c:pt idx="645">
                  <c:v>-0.92180955918960328</c:v>
                </c:pt>
                <c:pt idx="646">
                  <c:v>-0.95003159219181088</c:v>
                </c:pt>
                <c:pt idx="647">
                  <c:v>-0.91388600761403305</c:v>
                </c:pt>
                <c:pt idx="648">
                  <c:v>-0.80664138920209272</c:v>
                </c:pt>
                <c:pt idx="649">
                  <c:v>-0.75479240031255779</c:v>
                </c:pt>
                <c:pt idx="650">
                  <c:v>-0.84115139750319345</c:v>
                </c:pt>
                <c:pt idx="651">
                  <c:v>-0.82798809893176484</c:v>
                </c:pt>
                <c:pt idx="652">
                  <c:v>-0.85525769254830619</c:v>
                </c:pt>
                <c:pt idx="653">
                  <c:v>-0.84242705406644069</c:v>
                </c:pt>
                <c:pt idx="654">
                  <c:v>-0.87353100604736711</c:v>
                </c:pt>
                <c:pt idx="655">
                  <c:v>-0.88021765822997589</c:v>
                </c:pt>
                <c:pt idx="656">
                  <c:v>-0.87242814553975845</c:v>
                </c:pt>
                <c:pt idx="657">
                  <c:v>-0.85775932842894065</c:v>
                </c:pt>
                <c:pt idx="658">
                  <c:v>-0.80899935592591021</c:v>
                </c:pt>
                <c:pt idx="659">
                  <c:v>-0.85964831120413598</c:v>
                </c:pt>
                <c:pt idx="660">
                  <c:v>-0.95105135520413608</c:v>
                </c:pt>
                <c:pt idx="661">
                  <c:v>-0.88651537947242853</c:v>
                </c:pt>
                <c:pt idx="662">
                  <c:v>-0.96333914455035063</c:v>
                </c:pt>
                <c:pt idx="663">
                  <c:v>-0.95803062347718004</c:v>
                </c:pt>
                <c:pt idx="664">
                  <c:v>-0.94056191527056843</c:v>
                </c:pt>
                <c:pt idx="665">
                  <c:v>-0.85276222787856826</c:v>
                </c:pt>
                <c:pt idx="666">
                  <c:v>-0.89319813467005171</c:v>
                </c:pt>
                <c:pt idx="667">
                  <c:v>-0.92477948905415763</c:v>
                </c:pt>
                <c:pt idx="668">
                  <c:v>-0.91705174442257864</c:v>
                </c:pt>
                <c:pt idx="669">
                  <c:v>-0.93985906301517119</c:v>
                </c:pt>
                <c:pt idx="670">
                  <c:v>-0.88409371701517125</c:v>
                </c:pt>
                <c:pt idx="671">
                  <c:v>-0.92862034708010632</c:v>
                </c:pt>
                <c:pt idx="672">
                  <c:v>-0.87825994304340893</c:v>
                </c:pt>
                <c:pt idx="673">
                  <c:v>-0.80882557015375378</c:v>
                </c:pt>
                <c:pt idx="674">
                  <c:v>-0.85812309636032658</c:v>
                </c:pt>
                <c:pt idx="675">
                  <c:v>-0.86601882142963349</c:v>
                </c:pt>
                <c:pt idx="676">
                  <c:v>-0.91471873368769807</c:v>
                </c:pt>
                <c:pt idx="677">
                  <c:v>-0.86155259312182342</c:v>
                </c:pt>
                <c:pt idx="678">
                  <c:v>-0.86849666404610526</c:v>
                </c:pt>
                <c:pt idx="679">
                  <c:v>-0.83546454111277191</c:v>
                </c:pt>
                <c:pt idx="680">
                  <c:v>-0.90566052291277199</c:v>
                </c:pt>
                <c:pt idx="681">
                  <c:v>-0.90337508054424986</c:v>
                </c:pt>
                <c:pt idx="682">
                  <c:v>-0.94599788954737485</c:v>
                </c:pt>
                <c:pt idx="683">
                  <c:v>-0.93689913860839191</c:v>
                </c:pt>
                <c:pt idx="684">
                  <c:v>-0.91265408617982036</c:v>
                </c:pt>
                <c:pt idx="685">
                  <c:v>-0.84438547502128392</c:v>
                </c:pt>
                <c:pt idx="686">
                  <c:v>-0.92017586905381288</c:v>
                </c:pt>
                <c:pt idx="687">
                  <c:v>-0.66215647198585614</c:v>
                </c:pt>
                <c:pt idx="688">
                  <c:v>-0.6798240140250823</c:v>
                </c:pt>
                <c:pt idx="689">
                  <c:v>-0.94742327983838126</c:v>
                </c:pt>
                <c:pt idx="690">
                  <c:v>-1.0127560662440114</c:v>
                </c:pt>
                <c:pt idx="691">
                  <c:v>-0.78369850447077272</c:v>
                </c:pt>
                <c:pt idx="692">
                  <c:v>-0.61372506594016041</c:v>
                </c:pt>
                <c:pt idx="693">
                  <c:v>-0.8450818699016992</c:v>
                </c:pt>
                <c:pt idx="694">
                  <c:v>-1.118605621135371</c:v>
                </c:pt>
                <c:pt idx="695">
                  <c:v>-1.2582616134956266</c:v>
                </c:pt>
                <c:pt idx="696">
                  <c:v>-1.2455832223009007</c:v>
                </c:pt>
                <c:pt idx="697">
                  <c:v>-1.2674594532147387</c:v>
                </c:pt>
                <c:pt idx="698">
                  <c:v>-1.2553708341277823</c:v>
                </c:pt>
                <c:pt idx="699">
                  <c:v>-1.2381346341277821</c:v>
                </c:pt>
                <c:pt idx="700">
                  <c:v>-1.2471227905814966</c:v>
                </c:pt>
                <c:pt idx="701">
                  <c:v>-1.278182493658284</c:v>
                </c:pt>
                <c:pt idx="702">
                  <c:v>-1.2892350872375187</c:v>
                </c:pt>
                <c:pt idx="703">
                  <c:v>-1.2302349206874021</c:v>
                </c:pt>
                <c:pt idx="704">
                  <c:v>-1.1657228919843718</c:v>
                </c:pt>
                <c:pt idx="705">
                  <c:v>-1.1625358108258703</c:v>
                </c:pt>
                <c:pt idx="706">
                  <c:v>-1.1473998739687274</c:v>
                </c:pt>
                <c:pt idx="707">
                  <c:v>-1.1499256575994967</c:v>
                </c:pt>
                <c:pt idx="708">
                  <c:v>-1.1199233483267694</c:v>
                </c:pt>
                <c:pt idx="709">
                  <c:v>-1.0169979473267694</c:v>
                </c:pt>
                <c:pt idx="710">
                  <c:v>-1.0451719702949671</c:v>
                </c:pt>
                <c:pt idx="711">
                  <c:v>-1.0422648017308647</c:v>
                </c:pt>
                <c:pt idx="712">
                  <c:v>-0.98624457774703733</c:v>
                </c:pt>
                <c:pt idx="713">
                  <c:v>-0.82095040588412749</c:v>
                </c:pt>
                <c:pt idx="714">
                  <c:v>-0.79362050886451962</c:v>
                </c:pt>
                <c:pt idx="715">
                  <c:v>-0.63338225956314964</c:v>
                </c:pt>
                <c:pt idx="716">
                  <c:v>-0.62126931125965046</c:v>
                </c:pt>
                <c:pt idx="717">
                  <c:v>-0.4874185521211894</c:v>
                </c:pt>
                <c:pt idx="718">
                  <c:v>-0.18395870816796034</c:v>
                </c:pt>
                <c:pt idx="719">
                  <c:v>0.16584280229931056</c:v>
                </c:pt>
                <c:pt idx="720">
                  <c:v>0.85229504641758358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42-4692-81FD-AF785CEFB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2028688"/>
        <c:axId val="502029520"/>
      </c:lineChart>
      <c:dateAx>
        <c:axId val="5020286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029520"/>
        <c:crosses val="autoZero"/>
        <c:auto val="1"/>
        <c:lblOffset val="100"/>
        <c:baseTimeUnit val="days"/>
      </c:dateAx>
      <c:valAx>
        <c:axId val="50202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028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B78BC46-3029-423D-8A62-DCD6F3D40E6A}">
  <sheetPr codeName="Chart1"/>
  <sheetViews>
    <sheetView zoomScale="7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408" cy="60784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8FBBD09-3E40-43C7-B145-5662796CF7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0.90900000000000003</v>
      </c>
      <c r="D2" s="4">
        <f>MIN(D3:D1912)</f>
        <v>2.001E-2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0.19819999999999999</v>
      </c>
      <c r="C5">
        <v>0.20150000000000001</v>
      </c>
      <c r="D5">
        <v>0.19489999999999999</v>
      </c>
      <c r="E5">
        <v>0.19489999999999999</v>
      </c>
      <c r="F5">
        <v>567072</v>
      </c>
      <c r="G5">
        <v>0.19489999999999999</v>
      </c>
      <c r="L5" t="s">
        <v>7</v>
      </c>
      <c r="M5" t="s">
        <v>8</v>
      </c>
      <c r="N5" t="s">
        <v>7</v>
      </c>
      <c r="P5">
        <f t="shared" ref="P5" si="0">IF(C5=D5,0,((E5-D5)-(C5-E5))/(C5-D5))</f>
        <v>-1</v>
      </c>
      <c r="Q5">
        <f t="shared" ref="Q5" si="1">F5*P5</f>
        <v>-567072</v>
      </c>
      <c r="R5">
        <f t="shared" ref="R5" si="2">R6+Q5</f>
        <v>-1149823777.2928658</v>
      </c>
      <c r="S5">
        <f t="shared" ref="S5" si="3">R5/100000</f>
        <v>-11498.237772928658</v>
      </c>
      <c r="T5">
        <f t="shared" ref="T5" si="4">S5/1000</f>
        <v>-11.498237772928658</v>
      </c>
    </row>
    <row r="6" spans="1:20" x14ac:dyDescent="0.25">
      <c r="A6" s="5">
        <v>44587</v>
      </c>
      <c r="B6">
        <v>0.20580000000000001</v>
      </c>
      <c r="C6">
        <v>0.2291</v>
      </c>
      <c r="D6">
        <v>0.19239999999999999</v>
      </c>
      <c r="E6">
        <v>0.19869999999999999</v>
      </c>
      <c r="F6">
        <v>17945646</v>
      </c>
      <c r="G6">
        <v>0.19869999999999999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-0.65667574931880124</v>
      </c>
      <c r="Q6">
        <f t="shared" ref="Q6" si="6">F6*P6</f>
        <v>-11784470.534059947</v>
      </c>
      <c r="R6">
        <f t="shared" ref="R6" si="7">R7+Q6</f>
        <v>-1149256705.2928658</v>
      </c>
      <c r="S6">
        <f t="shared" ref="S6" si="8">R6/100000</f>
        <v>-11492.567052928658</v>
      </c>
      <c r="T6">
        <f t="shared" ref="T6" si="9">S6/1000</f>
        <v>-11.492567052928658</v>
      </c>
    </row>
    <row r="7" spans="1:20" x14ac:dyDescent="0.25">
      <c r="A7" s="5">
        <v>44586</v>
      </c>
      <c r="B7">
        <v>0.19839999999999999</v>
      </c>
      <c r="C7">
        <v>0.20699999999999999</v>
      </c>
      <c r="D7">
        <v>0.18870000000000001</v>
      </c>
      <c r="E7">
        <v>0.20580000000000001</v>
      </c>
      <c r="F7">
        <v>7932777</v>
      </c>
      <c r="G7">
        <v>0.20580000000000001</v>
      </c>
      <c r="L7" t="s">
        <v>8</v>
      </c>
      <c r="M7" t="s">
        <v>8</v>
      </c>
      <c r="N7" t="s">
        <v>7</v>
      </c>
      <c r="P7">
        <f t="shared" ref="P7" si="10">IF(C7=D7,0,((E7-D7)-(C7-E7))/(C7-D7))</f>
        <v>0.86885245901639563</v>
      </c>
      <c r="Q7">
        <f t="shared" ref="Q7" si="11">F7*P7</f>
        <v>6892412.803278706</v>
      </c>
      <c r="R7">
        <f t="shared" ref="R7" si="12">R8+Q7</f>
        <v>-1137472234.7588058</v>
      </c>
      <c r="S7">
        <f t="shared" ref="S7" si="13">R7/100000</f>
        <v>-11374.722347588058</v>
      </c>
      <c r="T7">
        <f t="shared" ref="T7" si="14">S7/1000</f>
        <v>-11.374722347588058</v>
      </c>
    </row>
    <row r="8" spans="1:20" x14ac:dyDescent="0.25">
      <c r="A8" s="5">
        <v>44585</v>
      </c>
      <c r="B8">
        <v>0.20039999999999999</v>
      </c>
      <c r="C8">
        <v>0.20069999999999999</v>
      </c>
      <c r="D8">
        <v>0.17</v>
      </c>
      <c r="E8">
        <v>0.19900000000000001</v>
      </c>
      <c r="F8">
        <v>10120857</v>
      </c>
      <c r="G8">
        <v>0.19900000000000001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0.88925081433224884</v>
      </c>
      <c r="Q8">
        <f t="shared" ref="Q8" si="16">F8*P8</f>
        <v>8999980.3289902415</v>
      </c>
      <c r="R8">
        <f t="shared" ref="R8" si="17">R9+Q8</f>
        <v>-1144364647.5620844</v>
      </c>
      <c r="S8">
        <f t="shared" ref="S8" si="18">R8/100000</f>
        <v>-11443.646475620844</v>
      </c>
      <c r="T8">
        <f t="shared" ref="T8" si="19">S8/1000</f>
        <v>-11.443646475620845</v>
      </c>
    </row>
    <row r="9" spans="1:20" x14ac:dyDescent="0.25">
      <c r="A9" s="5">
        <v>44584</v>
      </c>
      <c r="B9">
        <v>0.19389999999999999</v>
      </c>
      <c r="C9">
        <v>0.2127</v>
      </c>
      <c r="D9">
        <v>0.1845</v>
      </c>
      <c r="E9">
        <v>0.2006</v>
      </c>
      <c r="F9">
        <v>9440226</v>
      </c>
      <c r="G9">
        <v>0.2006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0.1418439716312058</v>
      </c>
      <c r="Q9">
        <f t="shared" ref="Q9" si="21">F9*P9</f>
        <v>1339039.1489361713</v>
      </c>
      <c r="R9">
        <f t="shared" ref="R9" si="22">R10+Q9</f>
        <v>-1153364627.8910747</v>
      </c>
      <c r="S9">
        <f t="shared" ref="S9" si="23">R9/100000</f>
        <v>-11533.646278910746</v>
      </c>
      <c r="T9">
        <f t="shared" ref="T9" si="24">S9/1000</f>
        <v>-11.533646278910746</v>
      </c>
    </row>
    <row r="10" spans="1:20" x14ac:dyDescent="0.25">
      <c r="A10" s="5">
        <v>44583</v>
      </c>
      <c r="B10">
        <v>0.21640000000000001</v>
      </c>
      <c r="C10">
        <v>0.2218</v>
      </c>
      <c r="D10">
        <v>0.1706</v>
      </c>
      <c r="E10">
        <v>0.19409999999999999</v>
      </c>
      <c r="F10">
        <v>16377745</v>
      </c>
      <c r="G10">
        <v>0.19409999999999999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-8.2031250000000194E-2</v>
      </c>
      <c r="Q10">
        <f t="shared" ref="Q10" si="26">F10*P10</f>
        <v>-1343486.8945312533</v>
      </c>
      <c r="R10">
        <f t="shared" ref="R10" si="27">R11+Q10</f>
        <v>-1154703667.0400109</v>
      </c>
      <c r="S10">
        <f t="shared" ref="S10" si="28">R10/100000</f>
        <v>-11547.03667040011</v>
      </c>
      <c r="T10">
        <f t="shared" ref="T10" si="29">S10/1000</f>
        <v>-11.547036670400109</v>
      </c>
    </row>
    <row r="11" spans="1:20" x14ac:dyDescent="0.25">
      <c r="A11" s="5">
        <v>44582</v>
      </c>
      <c r="B11">
        <v>0.27610000000000001</v>
      </c>
      <c r="C11">
        <v>0.27960000000000002</v>
      </c>
      <c r="D11">
        <v>0.21079999999999999</v>
      </c>
      <c r="E11">
        <v>0.21629999999999999</v>
      </c>
      <c r="F11">
        <v>18645074</v>
      </c>
      <c r="G11">
        <v>0.21629999999999999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-0.84011627906976738</v>
      </c>
      <c r="Q11">
        <f t="shared" ref="Q11" si="31">F11*P11</f>
        <v>-15664030.191860463</v>
      </c>
      <c r="R11">
        <f t="shared" ref="R11" si="32">R12+Q11</f>
        <v>-1153360180.1454797</v>
      </c>
      <c r="S11">
        <f t="shared" ref="S11" si="33">R11/100000</f>
        <v>-11533.601801454797</v>
      </c>
      <c r="T11">
        <f t="shared" ref="T11" si="34">S11/1000</f>
        <v>-11.533601801454797</v>
      </c>
    </row>
    <row r="12" spans="1:20" x14ac:dyDescent="0.25">
      <c r="A12" s="5">
        <v>44581</v>
      </c>
      <c r="B12">
        <v>0.29699999999999999</v>
      </c>
      <c r="C12">
        <v>0.30709999999999998</v>
      </c>
      <c r="D12">
        <v>0.27460000000000001</v>
      </c>
      <c r="E12">
        <v>0.27579999999999999</v>
      </c>
      <c r="F12">
        <v>5483788</v>
      </c>
      <c r="G12">
        <v>0.27579999999999999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-0.92615384615384744</v>
      </c>
      <c r="Q12">
        <f t="shared" ref="Q12" si="36">F12*P12</f>
        <v>-5078831.3476923145</v>
      </c>
      <c r="R12">
        <f t="shared" ref="R12" si="37">R13+Q12</f>
        <v>-1137696149.9536192</v>
      </c>
      <c r="S12">
        <f t="shared" ref="S12" si="38">R12/100000</f>
        <v>-11376.961499536192</v>
      </c>
      <c r="T12">
        <f t="shared" ref="T12" si="39">S12/1000</f>
        <v>-11.376961499536192</v>
      </c>
    </row>
    <row r="13" spans="1:20" x14ac:dyDescent="0.25">
      <c r="A13" s="5">
        <v>44580</v>
      </c>
      <c r="B13">
        <v>0.30880000000000002</v>
      </c>
      <c r="C13">
        <v>0.313</v>
      </c>
      <c r="D13">
        <v>0.29449999999999998</v>
      </c>
      <c r="E13">
        <v>0.2974</v>
      </c>
      <c r="F13">
        <v>5388540</v>
      </c>
      <c r="G13">
        <v>0.2974</v>
      </c>
      <c r="L13" t="s">
        <v>8</v>
      </c>
      <c r="M13" t="s">
        <v>7</v>
      </c>
      <c r="N13" t="s">
        <v>7</v>
      </c>
      <c r="P13">
        <f t="shared" ref="P13" si="40">IF(C13=D13,0,((E13-D13)-(C13-E13))/(C13-D13))</f>
        <v>-0.68648648648648525</v>
      </c>
      <c r="Q13">
        <f t="shared" ref="Q13" si="41">F13*P13</f>
        <v>-3699159.8918918851</v>
      </c>
      <c r="R13">
        <f t="shared" ref="R13" si="42">R14+Q13</f>
        <v>-1132617318.605927</v>
      </c>
      <c r="S13">
        <f t="shared" ref="S13" si="43">R13/100000</f>
        <v>-11326.17318605927</v>
      </c>
      <c r="T13">
        <f t="shared" ref="T13" si="44">S13/1000</f>
        <v>-11.32617318605927</v>
      </c>
    </row>
    <row r="14" spans="1:20" x14ac:dyDescent="0.25">
      <c r="A14" s="5">
        <v>44579</v>
      </c>
      <c r="B14">
        <v>0.30959999999999999</v>
      </c>
      <c r="C14">
        <v>0.31319999999999998</v>
      </c>
      <c r="D14">
        <v>0.28999999999999998</v>
      </c>
      <c r="E14">
        <v>0.30890000000000001</v>
      </c>
      <c r="F14">
        <v>7317812</v>
      </c>
      <c r="G14">
        <v>0.30890000000000001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0.62931034482758874</v>
      </c>
      <c r="Q14">
        <f t="shared" ref="Q14" si="46">F14*P14</f>
        <v>4605174.7931034667</v>
      </c>
      <c r="R14">
        <f t="shared" ref="R14" si="47">R15+Q14</f>
        <v>-1128918158.714035</v>
      </c>
      <c r="S14">
        <f t="shared" ref="S14" si="48">R14/100000</f>
        <v>-11289.181587140351</v>
      </c>
      <c r="T14">
        <f t="shared" ref="T14" si="49">S14/1000</f>
        <v>-11.28918158714035</v>
      </c>
    </row>
    <row r="15" spans="1:20" x14ac:dyDescent="0.25">
      <c r="A15" s="5">
        <v>44578</v>
      </c>
      <c r="B15">
        <v>0.32819999999999999</v>
      </c>
      <c r="C15">
        <v>0.32890000000000003</v>
      </c>
      <c r="D15">
        <v>0.29830000000000001</v>
      </c>
      <c r="E15">
        <v>0.30919999999999997</v>
      </c>
      <c r="F15">
        <v>6734897</v>
      </c>
      <c r="G15">
        <v>0.30919999999999997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-0.28758169934640787</v>
      </c>
      <c r="Q15">
        <f t="shared" ref="Q15" si="51">F15*P15</f>
        <v>-1936833.1241830243</v>
      </c>
      <c r="R15">
        <f t="shared" ref="R15" si="52">R16+Q15</f>
        <v>-1133523333.5071385</v>
      </c>
      <c r="S15">
        <f t="shared" ref="S15" si="53">R15/100000</f>
        <v>-11335.233335071385</v>
      </c>
      <c r="T15">
        <f t="shared" ref="T15" si="54">S15/1000</f>
        <v>-11.335233335071385</v>
      </c>
    </row>
    <row r="16" spans="1:20" x14ac:dyDescent="0.25">
      <c r="A16" s="5">
        <v>44577</v>
      </c>
      <c r="B16">
        <v>0.32550000000000001</v>
      </c>
      <c r="C16">
        <v>0.33310000000000001</v>
      </c>
      <c r="D16">
        <v>0.32</v>
      </c>
      <c r="E16">
        <v>0.32779999999999998</v>
      </c>
      <c r="F16">
        <v>8275014</v>
      </c>
      <c r="G16">
        <v>0.32779999999999998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0.19083969465648448</v>
      </c>
      <c r="Q16">
        <f t="shared" ref="Q16" si="56">F16*P16</f>
        <v>1579201.1450381342</v>
      </c>
      <c r="R16">
        <f t="shared" ref="R16" si="57">R17+Q16</f>
        <v>-1131586500.3829556</v>
      </c>
      <c r="S16">
        <f t="shared" ref="S16" si="58">R16/100000</f>
        <v>-11315.865003829556</v>
      </c>
      <c r="T16">
        <f t="shared" ref="T16" si="59">S16/1000</f>
        <v>-11.315865003829556</v>
      </c>
    </row>
    <row r="17" spans="1:20" x14ac:dyDescent="0.25">
      <c r="A17" s="5">
        <v>44576</v>
      </c>
      <c r="B17">
        <v>0.33550000000000002</v>
      </c>
      <c r="C17">
        <v>0.33760000000000001</v>
      </c>
      <c r="D17">
        <v>0.32490000000000002</v>
      </c>
      <c r="E17">
        <v>0.32550000000000001</v>
      </c>
      <c r="F17">
        <v>16366525</v>
      </c>
      <c r="G17">
        <v>0.32550000000000001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-0.90551181102362366</v>
      </c>
      <c r="Q17">
        <f t="shared" ref="Q17" si="61">F17*P17</f>
        <v>-14820081.692913413</v>
      </c>
      <c r="R17">
        <f t="shared" ref="R17" si="62">R18+Q17</f>
        <v>-1133165701.5279937</v>
      </c>
      <c r="S17">
        <f t="shared" ref="S17" si="63">R17/100000</f>
        <v>-11331.657015279938</v>
      </c>
      <c r="T17">
        <f t="shared" ref="T17" si="64">S17/1000</f>
        <v>-11.331657015279937</v>
      </c>
    </row>
    <row r="18" spans="1:20" x14ac:dyDescent="0.25">
      <c r="A18" s="5">
        <v>44575</v>
      </c>
      <c r="B18">
        <v>0.32200000000000001</v>
      </c>
      <c r="C18">
        <v>0.34329999999999999</v>
      </c>
      <c r="D18">
        <v>0.31309999999999999</v>
      </c>
      <c r="E18">
        <v>0.33560000000000001</v>
      </c>
      <c r="F18">
        <v>7098931</v>
      </c>
      <c r="G18">
        <v>0.33560000000000001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0.49006622516556403</v>
      </c>
      <c r="Q18">
        <f t="shared" ref="Q18" si="66">F18*P18</f>
        <v>3478946.3178808028</v>
      </c>
      <c r="R18">
        <f t="shared" ref="R18" si="67">R19+Q18</f>
        <v>-1118345619.8350801</v>
      </c>
      <c r="S18">
        <f t="shared" ref="S18" si="68">R18/100000</f>
        <v>-11183.456198350801</v>
      </c>
      <c r="T18">
        <f t="shared" ref="T18" si="69">S18/1000</f>
        <v>-11.1834561983508</v>
      </c>
    </row>
    <row r="19" spans="1:20" x14ac:dyDescent="0.25">
      <c r="A19" s="5">
        <v>44574</v>
      </c>
      <c r="B19">
        <v>0.34820000000000001</v>
      </c>
      <c r="C19">
        <v>0.35289999999999999</v>
      </c>
      <c r="D19">
        <v>0.32119999999999999</v>
      </c>
      <c r="E19">
        <v>0.32169999999999999</v>
      </c>
      <c r="F19">
        <v>22344019</v>
      </c>
      <c r="G19">
        <v>0.32169999999999999</v>
      </c>
      <c r="L19" t="s">
        <v>7</v>
      </c>
      <c r="M19" t="s">
        <v>8</v>
      </c>
      <c r="N19" t="s">
        <v>7</v>
      </c>
      <c r="P19">
        <f t="shared" ref="P19" si="70">IF(C19=D19,0,((E19-D19)-(C19-E19))/(C19-D19))</f>
        <v>-0.96845425867507884</v>
      </c>
      <c r="Q19">
        <f t="shared" ref="Q19" si="71">F19*P19</f>
        <v>-21639160.356466878</v>
      </c>
      <c r="R19">
        <f t="shared" ref="R19" si="72">R20+Q19</f>
        <v>-1121824566.152961</v>
      </c>
      <c r="S19">
        <f t="shared" ref="S19" si="73">R19/100000</f>
        <v>-11218.245661529611</v>
      </c>
      <c r="T19">
        <f t="shared" ref="T19" si="74">S19/1000</f>
        <v>-11.218245661529611</v>
      </c>
    </row>
    <row r="20" spans="1:20" x14ac:dyDescent="0.25">
      <c r="A20" s="5">
        <v>44573</v>
      </c>
      <c r="B20">
        <v>0.3478</v>
      </c>
      <c r="C20">
        <v>0.3634</v>
      </c>
      <c r="D20">
        <v>0.33700000000000002</v>
      </c>
      <c r="E20">
        <v>0.3483</v>
      </c>
      <c r="F20">
        <v>32480523</v>
      </c>
      <c r="G20">
        <v>0.3483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-0.14393939393939503</v>
      </c>
      <c r="Q20">
        <f t="shared" ref="Q20" si="76">F20*P20</f>
        <v>-4675226.7954545813</v>
      </c>
      <c r="R20">
        <f t="shared" ref="R20" si="77">R21+Q20</f>
        <v>-1100185405.7964942</v>
      </c>
      <c r="S20">
        <f t="shared" ref="S20" si="78">R20/100000</f>
        <v>-11001.854057964942</v>
      </c>
      <c r="T20">
        <f t="shared" ref="T20" si="79">S20/1000</f>
        <v>-11.001854057964941</v>
      </c>
    </row>
    <row r="21" spans="1:20" x14ac:dyDescent="0.25">
      <c r="A21" s="5">
        <v>44572</v>
      </c>
      <c r="B21">
        <v>0.31090000000000001</v>
      </c>
      <c r="C21">
        <v>0.3594</v>
      </c>
      <c r="D21">
        <v>0.30420000000000003</v>
      </c>
      <c r="E21">
        <v>0.3478</v>
      </c>
      <c r="F21">
        <v>26935253</v>
      </c>
      <c r="G21">
        <v>0.3478</v>
      </c>
      <c r="L21" t="s">
        <v>8</v>
      </c>
      <c r="M21" t="s">
        <v>8</v>
      </c>
      <c r="N21" t="s">
        <v>7</v>
      </c>
      <c r="P21">
        <f t="shared" ref="P21" si="80">IF(C21=D21,0,((E21-D21)-(C21-E21))/(C21-D21))</f>
        <v>0.57971014492753603</v>
      </c>
      <c r="Q21">
        <f t="shared" ref="Q21" si="81">F21*P21</f>
        <v>15614639.42028985</v>
      </c>
      <c r="R21">
        <f t="shared" ref="R21" si="82">R22+Q21</f>
        <v>-1095510179.0010397</v>
      </c>
      <c r="S21">
        <f t="shared" ref="S21" si="83">R21/100000</f>
        <v>-10955.101790010398</v>
      </c>
      <c r="T21">
        <f t="shared" ref="T21" si="84">S21/1000</f>
        <v>-10.955101790010398</v>
      </c>
    </row>
    <row r="22" spans="1:20" x14ac:dyDescent="0.25">
      <c r="A22" s="5">
        <v>44571</v>
      </c>
      <c r="B22">
        <v>0.32040000000000002</v>
      </c>
      <c r="C22">
        <v>0.3332</v>
      </c>
      <c r="D22">
        <v>0.2913</v>
      </c>
      <c r="E22">
        <v>0.31130000000000002</v>
      </c>
      <c r="F22">
        <v>36703344</v>
      </c>
      <c r="G22">
        <v>0.31130000000000002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-4.5346062052504958E-2</v>
      </c>
      <c r="Q22">
        <f t="shared" ref="Q22" si="86">F22*P22</f>
        <v>-1664352.1145584355</v>
      </c>
      <c r="R22">
        <f t="shared" ref="R22" si="87">R23+Q22</f>
        <v>-1111124818.4213295</v>
      </c>
      <c r="S22">
        <f t="shared" ref="S22" si="88">R22/100000</f>
        <v>-11111.248184213295</v>
      </c>
      <c r="T22">
        <f t="shared" ref="T22" si="89">S22/1000</f>
        <v>-11.111248184213295</v>
      </c>
    </row>
    <row r="23" spans="1:20" x14ac:dyDescent="0.25">
      <c r="A23" s="5">
        <v>44570</v>
      </c>
      <c r="B23">
        <v>0.30149999999999999</v>
      </c>
      <c r="C23">
        <v>0.34</v>
      </c>
      <c r="D23">
        <v>0.29389999999999999</v>
      </c>
      <c r="E23">
        <v>0.32040000000000002</v>
      </c>
      <c r="F23">
        <v>37140243</v>
      </c>
      <c r="G23">
        <v>0.32040000000000002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0.14967462039045581</v>
      </c>
      <c r="Q23">
        <f t="shared" ref="Q23" si="91">F23*P23</f>
        <v>5558951.7722342834</v>
      </c>
      <c r="R23">
        <f t="shared" ref="R23" si="92">R24+Q23</f>
        <v>-1109460466.306771</v>
      </c>
      <c r="S23">
        <f t="shared" ref="S23" si="93">R23/100000</f>
        <v>-11094.60466306771</v>
      </c>
      <c r="T23">
        <f t="shared" ref="T23" si="94">S23/1000</f>
        <v>-11.09460466306771</v>
      </c>
    </row>
    <row r="24" spans="1:20" x14ac:dyDescent="0.25">
      <c r="A24" s="5">
        <v>44569</v>
      </c>
      <c r="B24">
        <v>0.32450000000000001</v>
      </c>
      <c r="C24">
        <v>0.33300000000000002</v>
      </c>
      <c r="D24">
        <v>0.28799999999999998</v>
      </c>
      <c r="E24">
        <v>0.30149999999999999</v>
      </c>
      <c r="F24">
        <v>34706274</v>
      </c>
      <c r="G24">
        <v>0.30149999999999999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-0.4</v>
      </c>
      <c r="Q24">
        <f t="shared" ref="Q24" si="96">F24*P24</f>
        <v>-13882509.600000001</v>
      </c>
      <c r="R24">
        <f t="shared" ref="R24" si="97">R25+Q24</f>
        <v>-1115019418.0790052</v>
      </c>
      <c r="S24">
        <f t="shared" ref="S24" si="98">R24/100000</f>
        <v>-11150.194180790053</v>
      </c>
      <c r="T24">
        <f t="shared" ref="T24" si="99">S24/1000</f>
        <v>-11.150194180790052</v>
      </c>
    </row>
    <row r="25" spans="1:20" x14ac:dyDescent="0.25">
      <c r="A25" s="5">
        <v>44568</v>
      </c>
      <c r="B25">
        <v>0.34320000000000001</v>
      </c>
      <c r="C25">
        <v>0.34470000000000001</v>
      </c>
      <c r="D25">
        <v>0.3095</v>
      </c>
      <c r="E25">
        <v>0.32450000000000001</v>
      </c>
      <c r="F25">
        <v>37900686</v>
      </c>
      <c r="G25">
        <v>0.32450000000000001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-0.14772727272727218</v>
      </c>
      <c r="Q25">
        <f t="shared" ref="Q25" si="101">F25*P25</f>
        <v>-5598964.9772727061</v>
      </c>
      <c r="R25">
        <f t="shared" ref="R25" si="102">R26+Q25</f>
        <v>-1101136908.4790053</v>
      </c>
      <c r="S25">
        <f t="shared" ref="S25" si="103">R25/100000</f>
        <v>-11011.369084790053</v>
      </c>
      <c r="T25">
        <f t="shared" ref="T25" si="104">S25/1000</f>
        <v>-11.011369084790052</v>
      </c>
    </row>
    <row r="26" spans="1:20" x14ac:dyDescent="0.25">
      <c r="A26" s="5">
        <v>44567</v>
      </c>
      <c r="B26">
        <v>0.34870000000000001</v>
      </c>
      <c r="C26">
        <v>0.3543</v>
      </c>
      <c r="D26">
        <v>0.32619999999999999</v>
      </c>
      <c r="E26">
        <v>0.34329999999999999</v>
      </c>
      <c r="F26">
        <v>31729946</v>
      </c>
      <c r="G26">
        <v>0.34329999999999999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0.21708185053380752</v>
      </c>
      <c r="Q26">
        <f t="shared" ref="Q26" si="106">F26*P26</f>
        <v>6887995.3950177841</v>
      </c>
      <c r="R26">
        <f t="shared" ref="R26" si="107">R27+Q26</f>
        <v>-1095537943.5017326</v>
      </c>
      <c r="S26">
        <f t="shared" ref="S26" si="108">R26/100000</f>
        <v>-10955.379435017327</v>
      </c>
      <c r="T26">
        <f t="shared" ref="T26" si="109">S26/1000</f>
        <v>-10.955379435017326</v>
      </c>
    </row>
    <row r="27" spans="1:20" x14ac:dyDescent="0.25">
      <c r="A27" s="5">
        <v>44566</v>
      </c>
      <c r="B27">
        <v>0.37780000000000002</v>
      </c>
      <c r="C27">
        <v>0.39500000000000002</v>
      </c>
      <c r="D27">
        <v>0.34010000000000001</v>
      </c>
      <c r="E27">
        <v>0.34920000000000001</v>
      </c>
      <c r="F27">
        <v>34689014</v>
      </c>
      <c r="G27">
        <v>0.34920000000000001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-0.66848816029143909</v>
      </c>
      <c r="Q27">
        <f t="shared" ref="Q27" si="111">F27*P27</f>
        <v>-23189195.151183974</v>
      </c>
      <c r="R27">
        <f t="shared" ref="R27" si="112">R28+Q27</f>
        <v>-1102425938.8967505</v>
      </c>
      <c r="S27">
        <f t="shared" ref="S27" si="113">R27/100000</f>
        <v>-11024.259388967504</v>
      </c>
      <c r="T27">
        <f t="shared" ref="T27" si="114">S27/1000</f>
        <v>-11.024259388967504</v>
      </c>
    </row>
    <row r="28" spans="1:20" x14ac:dyDescent="0.25">
      <c r="A28" s="5">
        <v>44565</v>
      </c>
      <c r="B28">
        <v>0.37840000000000001</v>
      </c>
      <c r="C28">
        <v>0.39950000000000002</v>
      </c>
      <c r="D28">
        <v>0.36780000000000002</v>
      </c>
      <c r="E28">
        <v>0.37780000000000002</v>
      </c>
      <c r="F28">
        <v>24021744</v>
      </c>
      <c r="G28">
        <v>0.37780000000000002</v>
      </c>
      <c r="L28" t="s">
        <v>8</v>
      </c>
      <c r="M28" t="s">
        <v>7</v>
      </c>
      <c r="N28" t="s">
        <v>8</v>
      </c>
      <c r="P28">
        <f t="shared" ref="P28" si="115">IF(C28=D28,0,((E28-D28)-(C28-E28))/(C28-D28))</f>
        <v>-0.36908517350157682</v>
      </c>
      <c r="Q28">
        <f t="shared" ref="Q28" si="116">F28*P28</f>
        <v>-8866069.552050462</v>
      </c>
      <c r="R28">
        <f t="shared" ref="R28" si="117">R29+Q28</f>
        <v>-1079236743.7455664</v>
      </c>
      <c r="S28">
        <f t="shared" ref="S28" si="118">R28/100000</f>
        <v>-10792.367437455663</v>
      </c>
      <c r="T28">
        <f t="shared" ref="T28" si="119">S28/1000</f>
        <v>-10.792367437455663</v>
      </c>
    </row>
    <row r="29" spans="1:20" x14ac:dyDescent="0.25">
      <c r="A29" s="5">
        <v>44564</v>
      </c>
      <c r="B29">
        <v>0.3846</v>
      </c>
      <c r="C29">
        <v>0.3911</v>
      </c>
      <c r="D29">
        <v>0.37</v>
      </c>
      <c r="E29">
        <v>0.37830000000000003</v>
      </c>
      <c r="F29">
        <v>16369456</v>
      </c>
      <c r="G29">
        <v>0.37830000000000003</v>
      </c>
      <c r="L29" t="s">
        <v>7</v>
      </c>
      <c r="M29" t="s">
        <v>7</v>
      </c>
      <c r="N29" t="s">
        <v>8</v>
      </c>
      <c r="P29">
        <f t="shared" ref="P29" si="120">IF(C29=D29,0,((E29-D29)-(C29-E29))/(C29-D29))</f>
        <v>-0.21327014218009227</v>
      </c>
      <c r="Q29">
        <f t="shared" ref="Q29" si="121">F29*P29</f>
        <v>-3491116.2085307646</v>
      </c>
      <c r="R29">
        <f t="shared" ref="R29" si="122">R30+Q29</f>
        <v>-1070370674.193516</v>
      </c>
      <c r="S29">
        <f t="shared" ref="S29" si="123">R29/100000</f>
        <v>-10703.706741935161</v>
      </c>
      <c r="T29">
        <f t="shared" ref="T29" si="124">S29/1000</f>
        <v>-10.703706741935161</v>
      </c>
    </row>
    <row r="30" spans="1:20" x14ac:dyDescent="0.25">
      <c r="A30" s="5">
        <v>44563</v>
      </c>
      <c r="B30">
        <v>0.40060000000000001</v>
      </c>
      <c r="C30">
        <v>0.40500000000000003</v>
      </c>
      <c r="D30">
        <v>0.3826</v>
      </c>
      <c r="E30">
        <v>0.3846</v>
      </c>
      <c r="F30">
        <v>23808761</v>
      </c>
      <c r="G30">
        <v>0.3846</v>
      </c>
      <c r="L30" t="s">
        <v>7</v>
      </c>
      <c r="M30" t="s">
        <v>7</v>
      </c>
      <c r="N30" t="s">
        <v>8</v>
      </c>
      <c r="P30">
        <f t="shared" ref="P30" si="125">IF(C30=D30,0,((E30-D30)-(C30-E30))/(C30-D30))</f>
        <v>-0.82142857142857151</v>
      </c>
      <c r="Q30">
        <f t="shared" ref="Q30" si="126">F30*P30</f>
        <v>-19557196.535714287</v>
      </c>
      <c r="R30">
        <f t="shared" ref="R30" si="127">R31+Q30</f>
        <v>-1066879557.9849852</v>
      </c>
      <c r="S30">
        <f t="shared" ref="S30" si="128">R30/100000</f>
        <v>-10668.795579849851</v>
      </c>
      <c r="T30">
        <f t="shared" ref="T30" si="129">S30/1000</f>
        <v>-10.668795579849851</v>
      </c>
    </row>
    <row r="31" spans="1:20" x14ac:dyDescent="0.25">
      <c r="A31" s="5">
        <v>44562</v>
      </c>
      <c r="B31">
        <v>0.36799999999999999</v>
      </c>
      <c r="C31">
        <v>0.4148</v>
      </c>
      <c r="D31">
        <v>0.36770000000000003</v>
      </c>
      <c r="E31">
        <v>0.40060000000000001</v>
      </c>
      <c r="F31">
        <v>43315031</v>
      </c>
      <c r="G31">
        <v>0.40060000000000001</v>
      </c>
      <c r="L31" t="s">
        <v>8</v>
      </c>
      <c r="M31" t="s">
        <v>7</v>
      </c>
      <c r="N31" t="s">
        <v>8</v>
      </c>
      <c r="P31">
        <f t="shared" ref="P31" si="130">IF(C31=D31,0,((E31-D31)-(C31-E31))/(C31-D31))</f>
        <v>0.39702760084925698</v>
      </c>
      <c r="Q31">
        <f t="shared" ref="Q31" si="131">F31*P31</f>
        <v>17197262.838641193</v>
      </c>
      <c r="R31">
        <f t="shared" ref="R31" si="132">R32+Q31</f>
        <v>-1047322361.449271</v>
      </c>
      <c r="S31">
        <f t="shared" ref="S31" si="133">R31/100000</f>
        <v>-10473.22361449271</v>
      </c>
      <c r="T31">
        <f t="shared" ref="T31" si="134">S31/1000</f>
        <v>-10.47322361449271</v>
      </c>
    </row>
    <row r="32" spans="1:20" x14ac:dyDescent="0.25">
      <c r="A32" s="5">
        <v>44561</v>
      </c>
      <c r="B32">
        <v>0.3866</v>
      </c>
      <c r="C32">
        <v>0.39379999999999998</v>
      </c>
      <c r="D32">
        <v>0.35770000000000002</v>
      </c>
      <c r="E32">
        <v>0.36799999999999999</v>
      </c>
      <c r="F32">
        <v>37750176</v>
      </c>
      <c r="G32">
        <v>0.36799999999999999</v>
      </c>
      <c r="L32" t="s">
        <v>7</v>
      </c>
      <c r="M32" t="s">
        <v>7</v>
      </c>
      <c r="N32" t="s">
        <v>8</v>
      </c>
      <c r="P32">
        <f t="shared" ref="P32" si="135">IF(C32=D32,0,((E32-D32)-(C32-E32))/(C32-D32))</f>
        <v>-0.42936288088642738</v>
      </c>
      <c r="Q32">
        <f t="shared" ref="Q32" si="136">F32*P32</f>
        <v>-16208524.32132967</v>
      </c>
      <c r="R32">
        <f t="shared" ref="R32" si="137">R33+Q32</f>
        <v>-1064519624.2879121</v>
      </c>
      <c r="S32">
        <f t="shared" ref="S32" si="138">R32/100000</f>
        <v>-10645.196242879121</v>
      </c>
      <c r="T32">
        <f t="shared" ref="T32" si="139">S32/1000</f>
        <v>-10.645196242879122</v>
      </c>
    </row>
    <row r="33" spans="1:20" x14ac:dyDescent="0.25">
      <c r="A33" s="5">
        <v>44560</v>
      </c>
      <c r="B33">
        <v>0.38100000000000001</v>
      </c>
      <c r="C33">
        <v>0.39269999999999999</v>
      </c>
      <c r="D33">
        <v>0.37059999999999998</v>
      </c>
      <c r="E33">
        <v>0.3866</v>
      </c>
      <c r="F33">
        <v>36103345</v>
      </c>
      <c r="G33">
        <v>0.3866</v>
      </c>
      <c r="L33" t="s">
        <v>7</v>
      </c>
      <c r="M33" t="s">
        <v>7</v>
      </c>
      <c r="N33" t="s">
        <v>8</v>
      </c>
      <c r="P33">
        <f t="shared" ref="P33" si="140">IF(C33=D33,0,((E33-D33)-(C33-E33))/(C33-D33))</f>
        <v>0.44796380090497812</v>
      </c>
      <c r="Q33">
        <f t="shared" ref="Q33" si="141">F33*P33</f>
        <v>16172991.651583737</v>
      </c>
      <c r="R33">
        <f t="shared" ref="R33" si="142">R34+Q33</f>
        <v>-1048311099.9665824</v>
      </c>
      <c r="S33">
        <f t="shared" ref="S33" si="143">R33/100000</f>
        <v>-10483.110999665823</v>
      </c>
      <c r="T33">
        <f t="shared" ref="T33" si="144">S33/1000</f>
        <v>-10.483110999665824</v>
      </c>
    </row>
    <row r="34" spans="1:20" x14ac:dyDescent="0.25">
      <c r="A34" s="5">
        <v>44559</v>
      </c>
      <c r="B34">
        <v>0.4047</v>
      </c>
      <c r="C34">
        <v>0.42309999999999998</v>
      </c>
      <c r="D34">
        <v>0.37769999999999998</v>
      </c>
      <c r="E34">
        <v>0.38100000000000001</v>
      </c>
      <c r="F34">
        <v>42651132</v>
      </c>
      <c r="G34">
        <v>0.38100000000000001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-0.85462555066079182</v>
      </c>
      <c r="Q34">
        <f t="shared" ref="Q34" si="146">F34*P34</f>
        <v>-36450747.171806119</v>
      </c>
      <c r="R34">
        <f t="shared" ref="R34" si="147">R35+Q34</f>
        <v>-1064484091.6181662</v>
      </c>
      <c r="S34">
        <f t="shared" ref="S34" si="148">R34/100000</f>
        <v>-10644.840916181662</v>
      </c>
      <c r="T34">
        <f t="shared" ref="T34" si="149">S34/1000</f>
        <v>-10.644840916181662</v>
      </c>
    </row>
    <row r="35" spans="1:20" x14ac:dyDescent="0.25">
      <c r="A35" s="5">
        <v>44558</v>
      </c>
      <c r="B35">
        <v>0.41820000000000002</v>
      </c>
      <c r="C35">
        <v>0.47599999999999998</v>
      </c>
      <c r="D35">
        <v>0.39410000000000001</v>
      </c>
      <c r="E35">
        <v>0.4047</v>
      </c>
      <c r="F35">
        <v>85460766</v>
      </c>
      <c r="G35">
        <v>0.4047</v>
      </c>
      <c r="L35" t="s">
        <v>7</v>
      </c>
      <c r="M35" t="s">
        <v>8</v>
      </c>
      <c r="N35" t="s">
        <v>8</v>
      </c>
      <c r="P35">
        <f t="shared" ref="P35" si="150">IF(C35=D35,0,((E35-D35)-(C35-E35))/(C35-D35))</f>
        <v>-0.74114774114774107</v>
      </c>
      <c r="Q35">
        <f t="shared" ref="Q35" si="151">F35*P35</f>
        <v>-63339053.677655675</v>
      </c>
      <c r="R35">
        <f t="shared" ref="R35" si="152">R36+Q35</f>
        <v>-1028033344.4463601</v>
      </c>
      <c r="S35">
        <f t="shared" ref="S35" si="153">R35/100000</f>
        <v>-10280.3334444636</v>
      </c>
      <c r="T35">
        <f t="shared" ref="T35" si="154">S35/1000</f>
        <v>-10.280333444463601</v>
      </c>
    </row>
    <row r="36" spans="1:20" x14ac:dyDescent="0.25">
      <c r="A36" s="5">
        <v>44557</v>
      </c>
      <c r="B36">
        <v>0.41089999999999999</v>
      </c>
      <c r="C36">
        <v>0.44</v>
      </c>
      <c r="D36">
        <v>0.39700000000000002</v>
      </c>
      <c r="E36">
        <v>0.41830000000000001</v>
      </c>
      <c r="F36">
        <v>42520354</v>
      </c>
      <c r="G36">
        <v>0.41830000000000001</v>
      </c>
      <c r="L36" t="s">
        <v>7</v>
      </c>
      <c r="M36" t="s">
        <v>8</v>
      </c>
      <c r="N36" t="s">
        <v>8</v>
      </c>
      <c r="P36">
        <f t="shared" ref="P36" si="155">IF(C36=D36,0,((E36-D36)-(C36-E36))/(C36-D36))</f>
        <v>-9.3023255813956193E-3</v>
      </c>
      <c r="Q36">
        <f t="shared" ref="Q36" si="156">F36*P36</f>
        <v>-395538.17674419755</v>
      </c>
      <c r="R36">
        <f t="shared" ref="R36" si="157">R37+Q36</f>
        <v>-964694290.76870441</v>
      </c>
      <c r="S36">
        <f t="shared" ref="S36" si="158">R36/100000</f>
        <v>-9646.9429076870438</v>
      </c>
      <c r="T36">
        <f t="shared" ref="T36" si="159">S36/1000</f>
        <v>-9.646942907687043</v>
      </c>
    </row>
    <row r="37" spans="1:20" x14ac:dyDescent="0.25">
      <c r="A37" s="5">
        <v>44556</v>
      </c>
      <c r="B37">
        <v>0.38650000000000001</v>
      </c>
      <c r="C37">
        <v>0.438</v>
      </c>
      <c r="D37">
        <v>0.374</v>
      </c>
      <c r="E37">
        <v>0.41089999999999999</v>
      </c>
      <c r="F37">
        <v>55911432</v>
      </c>
      <c r="G37">
        <v>0.41089999999999999</v>
      </c>
      <c r="L37" t="s">
        <v>8</v>
      </c>
      <c r="M37" t="s">
        <v>8</v>
      </c>
      <c r="N37" t="s">
        <v>8</v>
      </c>
      <c r="P37">
        <f t="shared" ref="P37" si="160">IF(C37=D37,0,((E37-D37)-(C37-E37))/(C37-D37))</f>
        <v>0.15312499999999962</v>
      </c>
      <c r="Q37">
        <f t="shared" ref="Q37" si="161">F37*P37</f>
        <v>8561438.024999978</v>
      </c>
      <c r="R37">
        <f t="shared" ref="R37" si="162">R38+Q37</f>
        <v>-964298752.59196019</v>
      </c>
      <c r="S37">
        <f t="shared" ref="S37" si="163">R37/100000</f>
        <v>-9642.9875259196015</v>
      </c>
      <c r="T37">
        <f t="shared" ref="T37" si="164">S37/1000</f>
        <v>-9.642987525919601</v>
      </c>
    </row>
    <row r="38" spans="1:20" x14ac:dyDescent="0.25">
      <c r="A38" s="5">
        <v>44555</v>
      </c>
      <c r="B38">
        <v>0.37330000000000002</v>
      </c>
      <c r="C38">
        <v>0.38900000000000001</v>
      </c>
      <c r="D38">
        <v>0.36809999999999998</v>
      </c>
      <c r="E38">
        <v>0.38650000000000001</v>
      </c>
      <c r="F38">
        <v>12090667</v>
      </c>
      <c r="G38">
        <v>0.38650000000000001</v>
      </c>
      <c r="L38" t="s">
        <v>7</v>
      </c>
      <c r="M38" t="s">
        <v>7</v>
      </c>
      <c r="N38" t="s">
        <v>8</v>
      </c>
      <c r="P38">
        <f t="shared" ref="P38" si="165">IF(C38=D38,0,((E38-D38)-(C38-E38))/(C38-D38))</f>
        <v>0.76076555023923453</v>
      </c>
      <c r="Q38">
        <f t="shared" ref="Q38" si="166">F38*P38</f>
        <v>9198162.9330143556</v>
      </c>
      <c r="R38">
        <f t="shared" ref="R38" si="167">R39+Q38</f>
        <v>-972860190.61696017</v>
      </c>
      <c r="S38">
        <f t="shared" ref="S38" si="168">R38/100000</f>
        <v>-9728.6019061696024</v>
      </c>
      <c r="T38">
        <f t="shared" ref="T38" si="169">S38/1000</f>
        <v>-9.7286019061696027</v>
      </c>
    </row>
    <row r="39" spans="1:20" x14ac:dyDescent="0.25">
      <c r="A39" s="5">
        <v>44554</v>
      </c>
      <c r="B39">
        <v>0.40899999999999997</v>
      </c>
      <c r="C39">
        <v>0.41420000000000001</v>
      </c>
      <c r="D39">
        <v>0.36980000000000002</v>
      </c>
      <c r="E39">
        <v>0.37330000000000002</v>
      </c>
      <c r="F39">
        <v>44957849</v>
      </c>
      <c r="G39">
        <v>0.37330000000000002</v>
      </c>
      <c r="L39" t="s">
        <v>7</v>
      </c>
      <c r="M39" t="s">
        <v>7</v>
      </c>
      <c r="N39" t="s">
        <v>8</v>
      </c>
      <c r="P39">
        <f t="shared" ref="P39" si="170">IF(C39=D39,0,((E39-D39)-(C39-E39))/(C39-D39))</f>
        <v>-0.84234234234234218</v>
      </c>
      <c r="Q39">
        <f t="shared" ref="Q39" si="171">F39*P39</f>
        <v>-37869899.833333328</v>
      </c>
      <c r="R39">
        <f t="shared" ref="R39" si="172">R40+Q39</f>
        <v>-982058353.54997456</v>
      </c>
      <c r="S39">
        <f t="shared" ref="S39" si="173">R39/100000</f>
        <v>-9820.5835354997453</v>
      </c>
      <c r="T39">
        <f t="shared" ref="T39" si="174">S39/1000</f>
        <v>-9.8205835354997451</v>
      </c>
    </row>
    <row r="40" spans="1:20" x14ac:dyDescent="0.25">
      <c r="A40" s="5">
        <v>44553</v>
      </c>
      <c r="B40">
        <v>0.36809999999999998</v>
      </c>
      <c r="C40">
        <v>0.438</v>
      </c>
      <c r="D40">
        <v>0.36380000000000001</v>
      </c>
      <c r="E40">
        <v>0.40849999999999997</v>
      </c>
      <c r="F40">
        <v>104849097</v>
      </c>
      <c r="G40">
        <v>0.40849999999999997</v>
      </c>
      <c r="L40" t="s">
        <v>8</v>
      </c>
      <c r="M40" t="s">
        <v>8</v>
      </c>
      <c r="N40" t="s">
        <v>8</v>
      </c>
      <c r="P40">
        <f t="shared" ref="P40" si="175">IF(C40=D40,0,((E40-D40)-(C40-E40))/(C40-D40))</f>
        <v>0.2048517520215625</v>
      </c>
      <c r="Q40">
        <f t="shared" ref="Q40" si="176">F40*P40</f>
        <v>21478521.218328752</v>
      </c>
      <c r="R40">
        <f t="shared" ref="R40" si="177">R41+Q40</f>
        <v>-944188453.71664119</v>
      </c>
      <c r="S40">
        <f t="shared" ref="S40" si="178">R40/100000</f>
        <v>-9441.884537166412</v>
      </c>
      <c r="T40">
        <f t="shared" ref="T40" si="179">S40/1000</f>
        <v>-9.4418845371664126</v>
      </c>
    </row>
    <row r="41" spans="1:20" x14ac:dyDescent="0.25">
      <c r="A41" s="5">
        <v>44552</v>
      </c>
      <c r="B41">
        <v>0.35320000000000001</v>
      </c>
      <c r="C41">
        <v>0.38500000000000001</v>
      </c>
      <c r="D41">
        <v>0.34489999999999998</v>
      </c>
      <c r="E41">
        <v>0.36809999999999998</v>
      </c>
      <c r="F41">
        <v>47682719</v>
      </c>
      <c r="G41">
        <v>0.36809999999999998</v>
      </c>
      <c r="L41" t="s">
        <v>8</v>
      </c>
      <c r="M41" t="s">
        <v>8</v>
      </c>
      <c r="N41" t="s">
        <v>7</v>
      </c>
      <c r="P41">
        <f t="shared" ref="P41" si="180">IF(C41=D41,0,((E41-D41)-(C41-E41))/(C41-D41))</f>
        <v>0.15710723192019871</v>
      </c>
      <c r="Q41">
        <f t="shared" ref="Q41" si="181">F41*P41</f>
        <v>7491299.9925186653</v>
      </c>
      <c r="R41">
        <f t="shared" ref="R41" si="182">R42+Q41</f>
        <v>-965666974.9349699</v>
      </c>
      <c r="S41">
        <f t="shared" ref="S41" si="183">R41/100000</f>
        <v>-9656.6697493496995</v>
      </c>
      <c r="T41">
        <f t="shared" ref="T41" si="184">S41/1000</f>
        <v>-9.6566697493496996</v>
      </c>
    </row>
    <row r="42" spans="1:20" x14ac:dyDescent="0.25">
      <c r="A42" s="5">
        <v>44551</v>
      </c>
      <c r="B42">
        <v>0.32219999999999999</v>
      </c>
      <c r="C42">
        <v>0.36649999999999999</v>
      </c>
      <c r="D42">
        <v>0.32050000000000001</v>
      </c>
      <c r="E42">
        <v>0.35339999999999999</v>
      </c>
      <c r="F42">
        <v>44425220</v>
      </c>
      <c r="G42">
        <v>0.35339999999999999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0.43043478260869544</v>
      </c>
      <c r="Q42">
        <f t="shared" ref="Q42" si="186">F42*P42</f>
        <v>19122159.913043469</v>
      </c>
      <c r="R42">
        <f t="shared" ref="R42" si="187">R43+Q42</f>
        <v>-973158274.92748857</v>
      </c>
      <c r="S42">
        <f t="shared" ref="S42" si="188">R42/100000</f>
        <v>-9731.5827492748849</v>
      </c>
      <c r="T42">
        <f t="shared" ref="T42" si="189">S42/1000</f>
        <v>-9.7315827492748852</v>
      </c>
    </row>
    <row r="43" spans="1:20" x14ac:dyDescent="0.25">
      <c r="A43" s="5">
        <v>44550</v>
      </c>
      <c r="B43">
        <v>0.3397</v>
      </c>
      <c r="C43">
        <v>0.34300000000000003</v>
      </c>
      <c r="D43">
        <v>0.31169999999999998</v>
      </c>
      <c r="E43">
        <v>0.32190000000000002</v>
      </c>
      <c r="F43">
        <v>42264708</v>
      </c>
      <c r="G43">
        <v>0.32190000000000002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-0.34824281150159581</v>
      </c>
      <c r="Q43">
        <f t="shared" ref="Q43" si="191">F43*P43</f>
        <v>-14718380.741213989</v>
      </c>
      <c r="R43">
        <f t="shared" ref="R43" si="192">R44+Q43</f>
        <v>-992280434.84053206</v>
      </c>
      <c r="S43">
        <f t="shared" ref="S43" si="193">R43/100000</f>
        <v>-9922.8043484053214</v>
      </c>
      <c r="T43">
        <f t="shared" ref="T43" si="194">S43/1000</f>
        <v>-9.9228043484053217</v>
      </c>
    </row>
    <row r="44" spans="1:20" x14ac:dyDescent="0.25">
      <c r="A44" s="5">
        <v>44549</v>
      </c>
      <c r="B44">
        <v>0.3473</v>
      </c>
      <c r="C44">
        <v>0.3594</v>
      </c>
      <c r="D44">
        <v>0.33660000000000001</v>
      </c>
      <c r="E44">
        <v>0.34</v>
      </c>
      <c r="F44">
        <v>37528272</v>
      </c>
      <c r="G44">
        <v>0.34</v>
      </c>
      <c r="L44" t="s">
        <v>7</v>
      </c>
      <c r="M44" t="s">
        <v>8</v>
      </c>
      <c r="N44" t="s">
        <v>7</v>
      </c>
      <c r="P44">
        <f t="shared" ref="P44" si="195">IF(C44=D44,0,((E44-D44)-(C44-E44))/(C44-D44))</f>
        <v>-0.70175438596491091</v>
      </c>
      <c r="Q44">
        <f t="shared" ref="Q44" si="196">F44*P44</f>
        <v>-26335629.473684158</v>
      </c>
      <c r="R44">
        <f t="shared" ref="R44" si="197">R45+Q44</f>
        <v>-977562054.09931803</v>
      </c>
      <c r="S44">
        <f t="shared" ref="S44" si="198">R44/100000</f>
        <v>-9775.6205409931808</v>
      </c>
      <c r="T44">
        <f t="shared" ref="T44" si="199">S44/1000</f>
        <v>-9.7756205409931809</v>
      </c>
    </row>
    <row r="45" spans="1:20" x14ac:dyDescent="0.25">
      <c r="A45" s="5">
        <v>44548</v>
      </c>
      <c r="B45">
        <v>0.35549999999999998</v>
      </c>
      <c r="C45">
        <v>0.39069999999999999</v>
      </c>
      <c r="D45">
        <v>0.34260000000000002</v>
      </c>
      <c r="E45">
        <v>0.3473</v>
      </c>
      <c r="F45">
        <v>47574471</v>
      </c>
      <c r="G45">
        <v>0.3473</v>
      </c>
      <c r="L45" t="s">
        <v>8</v>
      </c>
      <c r="M45" t="s">
        <v>8</v>
      </c>
      <c r="N45" t="s">
        <v>7</v>
      </c>
      <c r="P45">
        <f t="shared" ref="P45" si="200">IF(C45=D45,0,((E45-D45)-(C45-E45))/(C45-D45))</f>
        <v>-0.80457380457380523</v>
      </c>
      <c r="Q45">
        <f t="shared" ref="Q45" si="201">F45*P45</f>
        <v>-38277173.133056164</v>
      </c>
      <c r="R45">
        <f t="shared" ref="R45" si="202">R46+Q45</f>
        <v>-951226424.62563384</v>
      </c>
      <c r="S45">
        <f t="shared" ref="S45" si="203">R45/100000</f>
        <v>-9512.2642462563381</v>
      </c>
      <c r="T45">
        <f t="shared" ref="T45" si="204">S45/1000</f>
        <v>-9.512264246256338</v>
      </c>
    </row>
    <row r="46" spans="1:20" x14ac:dyDescent="0.25">
      <c r="A46" s="5">
        <v>44547</v>
      </c>
      <c r="B46">
        <v>0.35239999999999999</v>
      </c>
      <c r="C46">
        <v>0.37990000000000002</v>
      </c>
      <c r="D46">
        <v>0.32550000000000001</v>
      </c>
      <c r="E46">
        <v>0.35580000000000001</v>
      </c>
      <c r="F46">
        <v>53267413</v>
      </c>
      <c r="G46">
        <v>0.35580000000000001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0.1139705882352938</v>
      </c>
      <c r="Q46">
        <f t="shared" ref="Q46" si="206">F46*P46</f>
        <v>6070918.393382336</v>
      </c>
      <c r="R46">
        <f t="shared" ref="R46" si="207">R47+Q46</f>
        <v>-912949251.49257767</v>
      </c>
      <c r="S46">
        <f t="shared" ref="S46" si="208">R46/100000</f>
        <v>-9129.492514925776</v>
      </c>
      <c r="T46">
        <f t="shared" ref="T46" si="209">S46/1000</f>
        <v>-9.1294925149257757</v>
      </c>
    </row>
    <row r="47" spans="1:20" x14ac:dyDescent="0.25">
      <c r="A47" s="5">
        <v>44546</v>
      </c>
      <c r="B47">
        <v>0.32390000000000002</v>
      </c>
      <c r="C47">
        <v>0.39</v>
      </c>
      <c r="D47">
        <v>0.32019999999999998</v>
      </c>
      <c r="E47">
        <v>0.35149999999999998</v>
      </c>
      <c r="F47">
        <v>57001042</v>
      </c>
      <c r="G47">
        <v>0.35149999999999998</v>
      </c>
      <c r="L47" t="s">
        <v>8</v>
      </c>
      <c r="M47" t="s">
        <v>8</v>
      </c>
      <c r="N47" t="s">
        <v>7</v>
      </c>
      <c r="P47">
        <f t="shared" ref="P47" si="210">IF(C47=D47,0,((E47-D47)-(C47-E47))/(C47-D47))</f>
        <v>-0.10315186246418391</v>
      </c>
      <c r="Q47">
        <f t="shared" ref="Q47" si="211">F47*P47</f>
        <v>-5879763.6446991703</v>
      </c>
      <c r="R47">
        <f t="shared" ref="R47" si="212">R48+Q47</f>
        <v>-919020169.88595998</v>
      </c>
      <c r="S47">
        <f t="shared" ref="S47" si="213">R47/100000</f>
        <v>-9190.2016988596006</v>
      </c>
      <c r="T47">
        <f t="shared" ref="T47" si="214">S47/1000</f>
        <v>-9.1902016988596014</v>
      </c>
    </row>
    <row r="48" spans="1:20" x14ac:dyDescent="0.25">
      <c r="A48" s="5">
        <v>44545</v>
      </c>
      <c r="B48">
        <v>0.34150000000000003</v>
      </c>
      <c r="C48">
        <v>0.34899999999999998</v>
      </c>
      <c r="D48">
        <v>0.29210000000000003</v>
      </c>
      <c r="E48">
        <v>0.3241</v>
      </c>
      <c r="F48">
        <v>34241886</v>
      </c>
      <c r="G48">
        <v>0.3241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0.124780316344464</v>
      </c>
      <c r="Q48">
        <f t="shared" ref="Q48" si="216">F48*P48</f>
        <v>4272713.3673110735</v>
      </c>
      <c r="R48">
        <f t="shared" ref="R48" si="217">R49+Q48</f>
        <v>-913140406.24126077</v>
      </c>
      <c r="S48">
        <f t="shared" ref="S48" si="218">R48/100000</f>
        <v>-9131.4040624126083</v>
      </c>
      <c r="T48">
        <f t="shared" ref="T48" si="219">S48/1000</f>
        <v>-9.1314040624126083</v>
      </c>
    </row>
    <row r="49" spans="1:20" x14ac:dyDescent="0.25">
      <c r="A49" s="5">
        <v>44544</v>
      </c>
      <c r="B49">
        <v>0.30449999999999999</v>
      </c>
      <c r="C49">
        <v>0.34300000000000003</v>
      </c>
      <c r="D49">
        <v>0.29809999999999998</v>
      </c>
      <c r="E49">
        <v>0.34179999999999999</v>
      </c>
      <c r="F49">
        <v>41347384</v>
      </c>
      <c r="G49">
        <v>0.34179999999999999</v>
      </c>
      <c r="L49" t="s">
        <v>8</v>
      </c>
      <c r="M49" t="s">
        <v>8</v>
      </c>
      <c r="N49" t="s">
        <v>7</v>
      </c>
      <c r="P49">
        <f t="shared" ref="P49" si="220">IF(C49=D49,0,((E49-D49)-(C49-E49))/(C49-D49))</f>
        <v>0.94654788418708091</v>
      </c>
      <c r="Q49">
        <f t="shared" ref="Q49" si="221">F49*P49</f>
        <v>39137278.841870762</v>
      </c>
      <c r="R49">
        <f t="shared" ref="R49" si="222">R50+Q49</f>
        <v>-917413119.60857189</v>
      </c>
      <c r="S49">
        <f t="shared" ref="S49" si="223">R49/100000</f>
        <v>-9174.1311960857183</v>
      </c>
      <c r="T49">
        <f t="shared" ref="T49" si="224">S49/1000</f>
        <v>-9.1741311960857175</v>
      </c>
    </row>
    <row r="50" spans="1:20" x14ac:dyDescent="0.25">
      <c r="A50" s="5">
        <v>44543</v>
      </c>
      <c r="B50">
        <v>0.35160000000000002</v>
      </c>
      <c r="C50">
        <v>0.35709999999999997</v>
      </c>
      <c r="D50">
        <v>0.29199999999999998</v>
      </c>
      <c r="E50">
        <v>0.30430000000000001</v>
      </c>
      <c r="F50">
        <v>44074908</v>
      </c>
      <c r="G50">
        <v>0.30430000000000001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-0.62211981566820174</v>
      </c>
      <c r="Q50">
        <f t="shared" ref="Q50" si="226">F50*P50</f>
        <v>-27419873.640552949</v>
      </c>
      <c r="R50">
        <f t="shared" ref="R50" si="227">R51+Q50</f>
        <v>-956550398.45044267</v>
      </c>
      <c r="S50">
        <f t="shared" ref="S50" si="228">R50/100000</f>
        <v>-9565.5039845044266</v>
      </c>
      <c r="T50">
        <f t="shared" ref="T50" si="229">S50/1000</f>
        <v>-9.5655039845044261</v>
      </c>
    </row>
    <row r="51" spans="1:20" x14ac:dyDescent="0.25">
      <c r="A51" s="5">
        <v>44542</v>
      </c>
      <c r="B51">
        <v>0.3463</v>
      </c>
      <c r="C51">
        <v>0.3654</v>
      </c>
      <c r="D51">
        <v>0.3231</v>
      </c>
      <c r="E51">
        <v>0.3518</v>
      </c>
      <c r="F51">
        <v>19316845</v>
      </c>
      <c r="G51">
        <v>0.3518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0.35697399527186763</v>
      </c>
      <c r="Q51">
        <f t="shared" ref="Q51" si="231">F51*P51</f>
        <v>6895611.3356973995</v>
      </c>
      <c r="R51">
        <f t="shared" ref="R51" si="232">R52+Q51</f>
        <v>-929130524.80988967</v>
      </c>
      <c r="S51">
        <f t="shared" ref="S51" si="233">R51/100000</f>
        <v>-9291.3052480988972</v>
      </c>
      <c r="T51">
        <f t="shared" ref="T51" si="234">S51/1000</f>
        <v>-9.2913052480988974</v>
      </c>
    </row>
    <row r="52" spans="1:20" x14ac:dyDescent="0.25">
      <c r="A52" s="5">
        <v>44541</v>
      </c>
      <c r="B52">
        <v>0.32190000000000002</v>
      </c>
      <c r="C52">
        <v>0.33</v>
      </c>
      <c r="D52">
        <v>0.31659999999999999</v>
      </c>
      <c r="E52">
        <v>0.32740000000000002</v>
      </c>
      <c r="F52">
        <v>1621338</v>
      </c>
      <c r="G52">
        <v>0.32740000000000002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0.61194029850746468</v>
      </c>
      <c r="Q52">
        <f t="shared" ref="Q52" si="236">F52*P52</f>
        <v>992162.0597014958</v>
      </c>
      <c r="R52">
        <f t="shared" ref="R52" si="237">R53+Q52</f>
        <v>-936026136.14558709</v>
      </c>
      <c r="S52">
        <f t="shared" ref="S52" si="238">R52/100000</f>
        <v>-9360.2613614558704</v>
      </c>
      <c r="T52">
        <f t="shared" ref="T52" si="239">S52/1000</f>
        <v>-9.360261361455871</v>
      </c>
    </row>
    <row r="53" spans="1:20" x14ac:dyDescent="0.25">
      <c r="A53" s="5">
        <v>44540</v>
      </c>
      <c r="B53">
        <v>0.34370000000000001</v>
      </c>
      <c r="C53">
        <v>0.36859999999999998</v>
      </c>
      <c r="D53">
        <v>0.31850000000000001</v>
      </c>
      <c r="E53">
        <v>0.3221</v>
      </c>
      <c r="F53">
        <v>36168109</v>
      </c>
      <c r="G53">
        <v>0.3221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-0.8562874251497008</v>
      </c>
      <c r="Q53">
        <f t="shared" ref="Q53" si="241">F53*P53</f>
        <v>-30970296.928143721</v>
      </c>
      <c r="R53">
        <f t="shared" ref="R53" si="242">R54+Q53</f>
        <v>-937018298.20528853</v>
      </c>
      <c r="S53">
        <f t="shared" ref="S53" si="243">R53/100000</f>
        <v>-9370.1829820528856</v>
      </c>
      <c r="T53">
        <f t="shared" ref="T53" si="244">S53/1000</f>
        <v>-9.370182982052885</v>
      </c>
    </row>
    <row r="54" spans="1:20" x14ac:dyDescent="0.25">
      <c r="A54" s="5">
        <v>44539</v>
      </c>
      <c r="B54">
        <v>0.38779999999999998</v>
      </c>
      <c r="C54">
        <v>0.39789999999999998</v>
      </c>
      <c r="D54">
        <v>0.33900000000000002</v>
      </c>
      <c r="E54">
        <v>0.34370000000000001</v>
      </c>
      <c r="F54">
        <v>50631143</v>
      </c>
      <c r="G54">
        <v>0.34370000000000001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-0.84040747028862528</v>
      </c>
      <c r="Q54">
        <f t="shared" ref="Q54" si="246">F54*P54</f>
        <v>-42550790.806451641</v>
      </c>
      <c r="R54">
        <f t="shared" ref="R54" si="247">R55+Q54</f>
        <v>-906048001.27714479</v>
      </c>
      <c r="S54">
        <f t="shared" ref="S54" si="248">R54/100000</f>
        <v>-9060.4800127714479</v>
      </c>
      <c r="T54">
        <f t="shared" ref="T54" si="249">S54/1000</f>
        <v>-9.060480012771448</v>
      </c>
    </row>
    <row r="55" spans="1:20" x14ac:dyDescent="0.25">
      <c r="A55" s="5">
        <v>44538</v>
      </c>
      <c r="B55">
        <v>0.36230000000000001</v>
      </c>
      <c r="C55">
        <v>0.49340000000000001</v>
      </c>
      <c r="D55">
        <v>0.34889999999999999</v>
      </c>
      <c r="E55">
        <v>0.38769999999999999</v>
      </c>
      <c r="F55">
        <v>155798469</v>
      </c>
      <c r="G55">
        <v>0.38769999999999999</v>
      </c>
      <c r="L55" t="s">
        <v>8</v>
      </c>
      <c r="M55" t="s">
        <v>8</v>
      </c>
      <c r="N55" t="s">
        <v>8</v>
      </c>
      <c r="P55">
        <f t="shared" ref="P55" si="250">IF(C55=D55,0,((E55-D55)-(C55-E55))/(C55-D55))</f>
        <v>-0.46297577854671285</v>
      </c>
      <c r="Q55">
        <f t="shared" ref="Q55" si="251">F55*P55</f>
        <v>-72130917.481660903</v>
      </c>
      <c r="R55">
        <f t="shared" ref="R55" si="252">R56+Q55</f>
        <v>-863497210.47069311</v>
      </c>
      <c r="S55">
        <f t="shared" ref="S55" si="253">R55/100000</f>
        <v>-8634.9721047069306</v>
      </c>
      <c r="T55">
        <f t="shared" ref="T55" si="254">S55/1000</f>
        <v>-8.6349721047069306</v>
      </c>
    </row>
    <row r="56" spans="1:20" x14ac:dyDescent="0.25">
      <c r="A56" s="5">
        <v>44537</v>
      </c>
      <c r="B56">
        <v>0.3306</v>
      </c>
      <c r="C56">
        <v>0.37890000000000001</v>
      </c>
      <c r="D56">
        <v>0.32440000000000002</v>
      </c>
      <c r="E56">
        <v>0.36220000000000002</v>
      </c>
      <c r="F56">
        <v>43111356</v>
      </c>
      <c r="G56">
        <v>0.36220000000000002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0.38715596330275248</v>
      </c>
      <c r="Q56">
        <f t="shared" ref="Q56" si="256">F56*P56</f>
        <v>16690818.561467897</v>
      </c>
      <c r="R56">
        <f t="shared" ref="R56" si="257">R57+Q56</f>
        <v>-791366292.98903227</v>
      </c>
      <c r="S56">
        <f t="shared" ref="S56" si="258">R56/100000</f>
        <v>-7913.6629298903226</v>
      </c>
      <c r="T56">
        <f t="shared" ref="T56" si="259">S56/1000</f>
        <v>-7.9136629298903225</v>
      </c>
    </row>
    <row r="57" spans="1:20" x14ac:dyDescent="0.25">
      <c r="A57" s="5">
        <v>44536</v>
      </c>
      <c r="B57">
        <v>0.32540000000000002</v>
      </c>
      <c r="C57">
        <v>0.33829999999999999</v>
      </c>
      <c r="D57">
        <v>0.2802</v>
      </c>
      <c r="E57">
        <v>0.33090000000000003</v>
      </c>
      <c r="F57">
        <v>31381180</v>
      </c>
      <c r="G57">
        <v>0.33090000000000003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0.74526678141136093</v>
      </c>
      <c r="Q57">
        <f t="shared" ref="Q57" si="261">F57*P57</f>
        <v>23387351.015490573</v>
      </c>
      <c r="R57">
        <f t="shared" ref="R57" si="262">R58+Q57</f>
        <v>-808057111.55050015</v>
      </c>
      <c r="S57">
        <f t="shared" ref="S57" si="263">R57/100000</f>
        <v>-8080.5711155050012</v>
      </c>
      <c r="T57">
        <f t="shared" ref="T57" si="264">S57/1000</f>
        <v>-8.080571115505002</v>
      </c>
    </row>
    <row r="58" spans="1:20" x14ac:dyDescent="0.25">
      <c r="A58" s="5">
        <v>44535</v>
      </c>
      <c r="B58">
        <v>0.3654</v>
      </c>
      <c r="C58">
        <v>0.37659999999999999</v>
      </c>
      <c r="D58">
        <v>0.31669999999999998</v>
      </c>
      <c r="E58">
        <v>0.32590000000000002</v>
      </c>
      <c r="F58">
        <v>13475100</v>
      </c>
      <c r="G58">
        <v>0.32590000000000002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-0.69282136894824575</v>
      </c>
      <c r="Q58">
        <f t="shared" ref="Q58" si="266">F58*P58</f>
        <v>-9335837.2287145071</v>
      </c>
      <c r="R58">
        <f t="shared" ref="R58" si="267">R59+Q58</f>
        <v>-831444462.56599069</v>
      </c>
      <c r="S58">
        <f t="shared" ref="S58" si="268">R58/100000</f>
        <v>-8314.4446256599076</v>
      </c>
      <c r="T58">
        <f t="shared" ref="T58" si="269">S58/1000</f>
        <v>-8.3144446256599078</v>
      </c>
    </row>
    <row r="59" spans="1:20" x14ac:dyDescent="0.25">
      <c r="A59" s="5">
        <v>44534</v>
      </c>
      <c r="B59">
        <v>0.43640000000000001</v>
      </c>
      <c r="C59">
        <v>0.45100000000000001</v>
      </c>
      <c r="D59">
        <v>0.28599999999999998</v>
      </c>
      <c r="E59">
        <v>0.3659</v>
      </c>
      <c r="F59">
        <v>37156030</v>
      </c>
      <c r="G59">
        <v>0.3659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-3.1515151515151399E-2</v>
      </c>
      <c r="Q59">
        <f t="shared" ref="Q59" si="271">F59*P59</f>
        <v>-1170977.9151515109</v>
      </c>
      <c r="R59">
        <f t="shared" ref="R59" si="272">R60+Q59</f>
        <v>-822108625.33727622</v>
      </c>
      <c r="S59">
        <f t="shared" ref="S59" si="273">R59/100000</f>
        <v>-8221.0862533727613</v>
      </c>
      <c r="T59">
        <f t="shared" ref="T59" si="274">S59/1000</f>
        <v>-8.2210862533727607</v>
      </c>
    </row>
    <row r="60" spans="1:20" x14ac:dyDescent="0.25">
      <c r="A60" s="5">
        <v>44533</v>
      </c>
      <c r="B60">
        <v>0.47289999999999999</v>
      </c>
      <c r="C60">
        <v>0.49</v>
      </c>
      <c r="D60">
        <v>0.41980000000000001</v>
      </c>
      <c r="E60">
        <v>0.4365</v>
      </c>
      <c r="F60">
        <v>33137012</v>
      </c>
      <c r="G60">
        <v>0.4365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-0.52421652421652432</v>
      </c>
      <c r="Q60">
        <f t="shared" ref="Q60" si="276">F60*P60</f>
        <v>-17370969.253561258</v>
      </c>
      <c r="R60">
        <f t="shared" ref="R60" si="277">R61+Q60</f>
        <v>-820937647.42212474</v>
      </c>
      <c r="S60">
        <f t="shared" ref="S60" si="278">R60/100000</f>
        <v>-8209.3764742212479</v>
      </c>
      <c r="T60">
        <f t="shared" ref="T60" si="279">S60/1000</f>
        <v>-8.2093764742212478</v>
      </c>
    </row>
    <row r="61" spans="1:20" x14ac:dyDescent="0.25">
      <c r="A61" s="5">
        <v>44532</v>
      </c>
      <c r="B61">
        <v>0.5343</v>
      </c>
      <c r="C61">
        <v>0.53620000000000001</v>
      </c>
      <c r="D61">
        <v>0.45750000000000002</v>
      </c>
      <c r="E61">
        <v>0.47289999999999999</v>
      </c>
      <c r="F61">
        <v>33794224</v>
      </c>
      <c r="G61">
        <v>0.47289999999999999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-0.60864040660737051</v>
      </c>
      <c r="Q61">
        <f t="shared" ref="Q61" si="281">F61*P61</f>
        <v>-20568530.23634056</v>
      </c>
      <c r="R61">
        <f t="shared" ref="R61" si="282">R62+Q61</f>
        <v>-803566678.16856349</v>
      </c>
      <c r="S61">
        <f t="shared" ref="S61" si="283">R61/100000</f>
        <v>-8035.6667816856352</v>
      </c>
      <c r="T61">
        <f t="shared" ref="T61" si="284">S61/1000</f>
        <v>-8.0356667816856344</v>
      </c>
    </row>
    <row r="62" spans="1:20" x14ac:dyDescent="0.25">
      <c r="A62" s="5">
        <v>44531</v>
      </c>
      <c r="B62">
        <v>0.4708</v>
      </c>
      <c r="C62">
        <v>0.5474</v>
      </c>
      <c r="D62">
        <v>0.4556</v>
      </c>
      <c r="E62">
        <v>0.53459999999999996</v>
      </c>
      <c r="F62">
        <v>42157855</v>
      </c>
      <c r="G62">
        <v>0.53459999999999996</v>
      </c>
      <c r="L62" t="s">
        <v>8</v>
      </c>
      <c r="M62" t="s">
        <v>8</v>
      </c>
      <c r="N62" t="s">
        <v>7</v>
      </c>
      <c r="P62">
        <f t="shared" ref="P62" si="285">IF(C62=D62,0,((E62-D62)-(C62-E62))/(C62-D62))</f>
        <v>0.72113289760348509</v>
      </c>
      <c r="Q62">
        <f t="shared" ref="Q62" si="286">F62*P62</f>
        <v>30401416.132897571</v>
      </c>
      <c r="R62">
        <f t="shared" ref="R62" si="287">R63+Q62</f>
        <v>-782998147.93222296</v>
      </c>
      <c r="S62">
        <f t="shared" ref="S62" si="288">R62/100000</f>
        <v>-7829.9814793222295</v>
      </c>
      <c r="T62">
        <f t="shared" ref="T62" si="289">S62/1000</f>
        <v>-7.8299814793222291</v>
      </c>
    </row>
    <row r="63" spans="1:20" x14ac:dyDescent="0.25">
      <c r="A63" s="5">
        <v>44530</v>
      </c>
      <c r="B63">
        <v>0.4783</v>
      </c>
      <c r="C63">
        <v>0.52210000000000001</v>
      </c>
      <c r="D63">
        <v>0.45950000000000002</v>
      </c>
      <c r="E63">
        <v>0.47089999999999999</v>
      </c>
      <c r="F63">
        <v>18559647</v>
      </c>
      <c r="G63">
        <v>0.47089999999999999</v>
      </c>
      <c r="L63" t="s">
        <v>8</v>
      </c>
      <c r="M63" t="s">
        <v>7</v>
      </c>
      <c r="N63" t="s">
        <v>7</v>
      </c>
      <c r="P63">
        <f t="shared" ref="P63" si="290">IF(C63=D63,0,((E63-D63)-(C63-E63))/(C63-D63))</f>
        <v>-0.63578274760383491</v>
      </c>
      <c r="Q63">
        <f t="shared" ref="Q63" si="291">F63*P63</f>
        <v>-11799903.364217272</v>
      </c>
      <c r="R63">
        <f t="shared" ref="R63" si="292">R64+Q63</f>
        <v>-813399564.06512058</v>
      </c>
      <c r="S63">
        <f t="shared" ref="S63" si="293">R63/100000</f>
        <v>-8133.9956406512056</v>
      </c>
      <c r="T63">
        <f t="shared" ref="T63" si="294">S63/1000</f>
        <v>-8.1339956406512055</v>
      </c>
    </row>
    <row r="64" spans="1:20" x14ac:dyDescent="0.25">
      <c r="A64" s="5">
        <v>44529</v>
      </c>
      <c r="B64">
        <v>0.48609999999999998</v>
      </c>
      <c r="C64">
        <v>0.52</v>
      </c>
      <c r="D64">
        <v>0.47089999999999999</v>
      </c>
      <c r="E64">
        <v>0.4783</v>
      </c>
      <c r="F64">
        <v>17054350</v>
      </c>
      <c r="G64">
        <v>0.4783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-0.69857433808553915</v>
      </c>
      <c r="Q64">
        <f t="shared" ref="Q64" si="296">F64*P64</f>
        <v>-11913731.262729114</v>
      </c>
      <c r="R64">
        <f t="shared" ref="R64" si="297">R65+Q64</f>
        <v>-801599660.7009033</v>
      </c>
      <c r="S64">
        <f t="shared" ref="S64" si="298">R64/100000</f>
        <v>-8015.9966070090331</v>
      </c>
      <c r="T64">
        <f t="shared" ref="T64" si="299">S64/1000</f>
        <v>-8.0159966070090327</v>
      </c>
    </row>
    <row r="65" spans="1:20" x14ac:dyDescent="0.25">
      <c r="A65" s="5">
        <v>44528</v>
      </c>
      <c r="B65">
        <v>0.48349999999999999</v>
      </c>
      <c r="C65">
        <v>0.48949999999999999</v>
      </c>
      <c r="D65">
        <v>0.44180000000000003</v>
      </c>
      <c r="E65">
        <v>0.48599999999999999</v>
      </c>
      <c r="F65">
        <v>11962261</v>
      </c>
      <c r="G65">
        <v>0.48599999999999999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0.8532494758909851</v>
      </c>
      <c r="Q65">
        <f t="shared" ref="Q65" si="301">F65*P65</f>
        <v>10206792.928721171</v>
      </c>
      <c r="R65">
        <f t="shared" ref="R65" si="302">R66+Q65</f>
        <v>-789685929.43817413</v>
      </c>
      <c r="S65">
        <f t="shared" ref="S65" si="303">R65/100000</f>
        <v>-7896.8592943817412</v>
      </c>
      <c r="T65">
        <f t="shared" ref="T65" si="304">S65/1000</f>
        <v>-7.8968592943817413</v>
      </c>
    </row>
    <row r="66" spans="1:20" x14ac:dyDescent="0.25">
      <c r="A66" s="5">
        <v>44527</v>
      </c>
      <c r="B66">
        <v>0.4975</v>
      </c>
      <c r="C66">
        <v>0.53469999999999995</v>
      </c>
      <c r="D66">
        <v>0.47339999999999999</v>
      </c>
      <c r="E66">
        <v>0.48299999999999998</v>
      </c>
      <c r="F66">
        <v>13632784</v>
      </c>
      <c r="G66">
        <v>0.48299999999999998</v>
      </c>
      <c r="L66" t="s">
        <v>7</v>
      </c>
      <c r="M66" t="s">
        <v>7</v>
      </c>
      <c r="N66" t="s">
        <v>7</v>
      </c>
      <c r="P66">
        <f t="shared" ref="P66" si="305">IF(C66=D66,0,((E66-D66)-(C66-E66))/(C66-D66))</f>
        <v>-0.68678629690048931</v>
      </c>
      <c r="Q66">
        <f t="shared" ref="Q66" si="306">F66*P66</f>
        <v>-9362809.2398042399</v>
      </c>
      <c r="R66">
        <f t="shared" ref="R66" si="307">R67+Q66</f>
        <v>-799892722.36689532</v>
      </c>
      <c r="S66">
        <f t="shared" ref="S66" si="308">R66/100000</f>
        <v>-7998.927223668953</v>
      </c>
      <c r="T66">
        <f t="shared" ref="T66" si="309">S66/1000</f>
        <v>-7.9989272236689528</v>
      </c>
    </row>
    <row r="67" spans="1:20" x14ac:dyDescent="0.25">
      <c r="A67" s="5">
        <v>44526</v>
      </c>
      <c r="B67">
        <v>0.58630000000000004</v>
      </c>
      <c r="C67">
        <v>0.60950000000000004</v>
      </c>
      <c r="D67">
        <v>0.48749999999999999</v>
      </c>
      <c r="E67">
        <v>0.49740000000000001</v>
      </c>
      <c r="F67">
        <v>20077796</v>
      </c>
      <c r="G67">
        <v>0.49740000000000001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-0.83770491803278668</v>
      </c>
      <c r="Q67">
        <f t="shared" ref="Q67" si="311">F67*P67</f>
        <v>-16819268.452459011</v>
      </c>
      <c r="R67">
        <f t="shared" ref="R67" si="312">R68+Q67</f>
        <v>-790529913.12709105</v>
      </c>
      <c r="S67">
        <f t="shared" ref="S67" si="313">R67/100000</f>
        <v>-7905.2991312709109</v>
      </c>
      <c r="T67">
        <f t="shared" ref="T67" si="314">S67/1000</f>
        <v>-7.9052991312709109</v>
      </c>
    </row>
    <row r="68" spans="1:20" x14ac:dyDescent="0.25">
      <c r="A68" s="5">
        <v>44525</v>
      </c>
      <c r="B68">
        <v>0.57399999999999995</v>
      </c>
      <c r="C68">
        <v>0.62890000000000001</v>
      </c>
      <c r="D68">
        <v>0.56179999999999997</v>
      </c>
      <c r="E68">
        <v>0.58620000000000005</v>
      </c>
      <c r="F68">
        <v>19596452</v>
      </c>
      <c r="G68">
        <v>0.58620000000000005</v>
      </c>
      <c r="L68" t="s">
        <v>7</v>
      </c>
      <c r="M68" t="s">
        <v>8</v>
      </c>
      <c r="N68" t="s">
        <v>7</v>
      </c>
      <c r="P68">
        <f t="shared" ref="P68" si="315">IF(C68=D68,0,((E68-D68)-(C68-E68))/(C68-D68))</f>
        <v>-0.2727272727272706</v>
      </c>
      <c r="Q68">
        <f t="shared" ref="Q68" si="316">F68*P68</f>
        <v>-5344486.9090908673</v>
      </c>
      <c r="R68">
        <f t="shared" ref="R68" si="317">R69+Q68</f>
        <v>-773710644.67463207</v>
      </c>
      <c r="S68">
        <f t="shared" ref="S68" si="318">R68/100000</f>
        <v>-7737.1064467463211</v>
      </c>
      <c r="T68">
        <f t="shared" ref="T68" si="319">S68/1000</f>
        <v>-7.7371064467463215</v>
      </c>
    </row>
    <row r="69" spans="1:20" x14ac:dyDescent="0.25">
      <c r="A69" s="5">
        <v>44524</v>
      </c>
      <c r="B69">
        <v>0.5917</v>
      </c>
      <c r="C69">
        <v>0.62350000000000005</v>
      </c>
      <c r="D69">
        <v>0.56920000000000004</v>
      </c>
      <c r="E69">
        <v>0.59219999999999995</v>
      </c>
      <c r="F69">
        <v>8019093</v>
      </c>
      <c r="G69">
        <v>0.59219999999999995</v>
      </c>
      <c r="L69" t="s">
        <v>8</v>
      </c>
      <c r="M69" t="s">
        <v>8</v>
      </c>
      <c r="N69" t="s">
        <v>7</v>
      </c>
      <c r="P69">
        <f t="shared" ref="P69" si="320">IF(C69=D69,0,((E69-D69)-(C69-E69))/(C69-D69))</f>
        <v>-0.15285451197053765</v>
      </c>
      <c r="Q69">
        <f t="shared" ref="Q69" si="321">F69*P69</f>
        <v>-1225754.5469613546</v>
      </c>
      <c r="R69">
        <f t="shared" ref="R69" si="322">R70+Q69</f>
        <v>-768366157.7655412</v>
      </c>
      <c r="S69">
        <f t="shared" ref="S69" si="323">R69/100000</f>
        <v>-7683.6615776554117</v>
      </c>
      <c r="T69">
        <f t="shared" ref="T69" si="324">S69/1000</f>
        <v>-7.6836615776554114</v>
      </c>
    </row>
    <row r="70" spans="1:20" x14ac:dyDescent="0.25">
      <c r="A70" s="5">
        <v>44523</v>
      </c>
      <c r="B70">
        <v>0.5615</v>
      </c>
      <c r="C70">
        <v>0.65739999999999998</v>
      </c>
      <c r="D70">
        <v>0.51719999999999999</v>
      </c>
      <c r="E70">
        <v>0.59299999999999997</v>
      </c>
      <c r="F70">
        <v>31583026</v>
      </c>
      <c r="G70">
        <v>0.59299999999999997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8.1312410841654539E-2</v>
      </c>
      <c r="Q70">
        <f t="shared" ref="Q70" si="326">F70*P70</f>
        <v>2568091.9857346574</v>
      </c>
      <c r="R70">
        <f t="shared" ref="R70" si="327">R71+Q70</f>
        <v>-767140403.21857989</v>
      </c>
      <c r="S70">
        <f t="shared" ref="S70" si="328">R70/100000</f>
        <v>-7671.4040321857992</v>
      </c>
      <c r="T70">
        <f t="shared" ref="T70" si="329">S70/1000</f>
        <v>-7.6714040321857988</v>
      </c>
    </row>
    <row r="71" spans="1:20" x14ac:dyDescent="0.25">
      <c r="A71" s="5">
        <v>44522</v>
      </c>
      <c r="B71">
        <v>0.60729999999999995</v>
      </c>
      <c r="C71">
        <v>0.62739999999999996</v>
      </c>
      <c r="D71">
        <v>0.53810000000000002</v>
      </c>
      <c r="E71">
        <v>0.56140000000000001</v>
      </c>
      <c r="F71">
        <v>36219426</v>
      </c>
      <c r="G71">
        <v>0.56140000000000001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-0.47816349384098533</v>
      </c>
      <c r="Q71">
        <f t="shared" ref="Q71" si="331">F71*P71</f>
        <v>-17318807.281075023</v>
      </c>
      <c r="R71">
        <f t="shared" ref="R71" si="332">R72+Q71</f>
        <v>-769708495.20431459</v>
      </c>
      <c r="S71">
        <f t="shared" ref="S71" si="333">R71/100000</f>
        <v>-7697.0849520431457</v>
      </c>
      <c r="T71">
        <f t="shared" ref="T71" si="334">S71/1000</f>
        <v>-7.6970849520431459</v>
      </c>
    </row>
    <row r="72" spans="1:20" x14ac:dyDescent="0.25">
      <c r="A72" s="5">
        <v>44521</v>
      </c>
      <c r="B72">
        <v>0.53769999999999996</v>
      </c>
      <c r="C72">
        <v>0.81810000000000005</v>
      </c>
      <c r="D72">
        <v>0.52280000000000004</v>
      </c>
      <c r="E72">
        <v>0.6079</v>
      </c>
      <c r="F72">
        <v>145297975.69999999</v>
      </c>
      <c r="G72">
        <v>0.6079</v>
      </c>
      <c r="L72" t="s">
        <v>8</v>
      </c>
      <c r="M72" t="s">
        <v>8</v>
      </c>
      <c r="N72" t="s">
        <v>8</v>
      </c>
      <c r="P72">
        <f t="shared" ref="P72" si="335">IF(C72=D72,0,((E72-D72)-(C72-E72))/(C72-D72))</f>
        <v>-0.42363697934304129</v>
      </c>
      <c r="Q72">
        <f t="shared" ref="Q72" si="336">F72*P72</f>
        <v>-61553595.530206613</v>
      </c>
      <c r="R72">
        <f t="shared" ref="R72" si="337">R73+Q72</f>
        <v>-752389687.92323959</v>
      </c>
      <c r="S72">
        <f t="shared" ref="S72" si="338">R72/100000</f>
        <v>-7523.8968792323958</v>
      </c>
      <c r="T72">
        <f t="shared" ref="T72" si="339">S72/1000</f>
        <v>-7.5238968792323959</v>
      </c>
    </row>
    <row r="73" spans="1:20" x14ac:dyDescent="0.25">
      <c r="A73" s="5">
        <v>44520</v>
      </c>
      <c r="B73">
        <v>0.49980000000000002</v>
      </c>
      <c r="C73">
        <v>0.55000000000000004</v>
      </c>
      <c r="D73">
        <v>0.47310000000000002</v>
      </c>
      <c r="E73">
        <v>0.53769999999999996</v>
      </c>
      <c r="F73">
        <v>27509295</v>
      </c>
      <c r="G73">
        <v>0.53769999999999996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0.68010403120936058</v>
      </c>
      <c r="Q73">
        <f t="shared" ref="Q73" si="341">F73*P73</f>
        <v>18709182.425227508</v>
      </c>
      <c r="R73">
        <f t="shared" ref="R73" si="342">R74+Q73</f>
        <v>-690836092.39303303</v>
      </c>
      <c r="S73">
        <f t="shared" ref="S73" si="343">R73/100000</f>
        <v>-6908.3609239303305</v>
      </c>
      <c r="T73">
        <f t="shared" ref="T73" si="344">S73/1000</f>
        <v>-6.9083609239303305</v>
      </c>
    </row>
    <row r="74" spans="1:20" x14ac:dyDescent="0.25">
      <c r="A74" s="5">
        <v>44519</v>
      </c>
      <c r="B74">
        <v>0.4909</v>
      </c>
      <c r="C74">
        <v>0.53310000000000002</v>
      </c>
      <c r="D74">
        <v>0.45150000000000001</v>
      </c>
      <c r="E74">
        <v>0.49969999999999998</v>
      </c>
      <c r="F74">
        <v>27697497</v>
      </c>
      <c r="G74">
        <v>0.49969999999999998</v>
      </c>
      <c r="L74" t="s">
        <v>7</v>
      </c>
      <c r="M74" t="s">
        <v>7</v>
      </c>
      <c r="N74" t="s">
        <v>7</v>
      </c>
      <c r="P74">
        <f t="shared" ref="P74" si="345">IF(C74=D74,0,((E74-D74)-(C74-E74))/(C74-D74))</f>
        <v>0.18137254901960689</v>
      </c>
      <c r="Q74">
        <f t="shared" ref="Q74" si="346">F74*P74</f>
        <v>5023565.6323529147</v>
      </c>
      <c r="R74">
        <f t="shared" ref="R74" si="347">R75+Q74</f>
        <v>-709545274.81826055</v>
      </c>
      <c r="S74">
        <f t="shared" ref="S74" si="348">R74/100000</f>
        <v>-7095.4527481826053</v>
      </c>
      <c r="T74">
        <f t="shared" ref="T74" si="349">S74/1000</f>
        <v>-7.0954527481826055</v>
      </c>
    </row>
    <row r="75" spans="1:20" x14ac:dyDescent="0.25">
      <c r="A75" s="5">
        <v>44518</v>
      </c>
      <c r="B75">
        <v>0.59630000000000005</v>
      </c>
      <c r="C75">
        <v>0.6008</v>
      </c>
      <c r="D75">
        <v>0.48070000000000002</v>
      </c>
      <c r="E75">
        <v>0.4909</v>
      </c>
      <c r="F75">
        <v>38130276</v>
      </c>
      <c r="G75">
        <v>0.4909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-0.83014154870940904</v>
      </c>
      <c r="Q75">
        <f t="shared" ref="Q75" si="351">F75*P75</f>
        <v>-31653526.37135721</v>
      </c>
      <c r="R75">
        <f t="shared" ref="R75" si="352">R76+Q75</f>
        <v>-714568840.4506135</v>
      </c>
      <c r="S75">
        <f t="shared" ref="S75" si="353">R75/100000</f>
        <v>-7145.6884045061352</v>
      </c>
      <c r="T75">
        <f t="shared" ref="T75" si="354">S75/1000</f>
        <v>-7.1456884045061351</v>
      </c>
    </row>
    <row r="76" spans="1:20" x14ac:dyDescent="0.25">
      <c r="A76" s="5">
        <v>44517</v>
      </c>
      <c r="B76">
        <v>0.66339999999999999</v>
      </c>
      <c r="C76">
        <v>0.66339999999999999</v>
      </c>
      <c r="D76">
        <v>0.57199999999999995</v>
      </c>
      <c r="E76">
        <v>0.59509999999999996</v>
      </c>
      <c r="F76">
        <v>31528223</v>
      </c>
      <c r="G76">
        <v>0.59509999999999996</v>
      </c>
      <c r="L76" t="s">
        <v>8</v>
      </c>
      <c r="M76" t="s">
        <v>8</v>
      </c>
      <c r="N76" t="s">
        <v>7</v>
      </c>
      <c r="P76">
        <f t="shared" ref="P76" si="355">IF(C76=D76,0,((E76-D76)-(C76-E76))/(C76-D76))</f>
        <v>-0.49452954048140041</v>
      </c>
      <c r="Q76">
        <f t="shared" ref="Q76" si="356">F76*P76</f>
        <v>-15591637.63238512</v>
      </c>
      <c r="R76">
        <f t="shared" ref="R76" si="357">R77+Q76</f>
        <v>-682915314.0792563</v>
      </c>
      <c r="S76">
        <f t="shared" ref="S76" si="358">R76/100000</f>
        <v>-6829.1531407925631</v>
      </c>
      <c r="T76">
        <f t="shared" ref="T76" si="359">S76/1000</f>
        <v>-6.8291531407925632</v>
      </c>
    </row>
    <row r="77" spans="1:20" x14ac:dyDescent="0.25">
      <c r="A77" s="5">
        <v>44516</v>
      </c>
      <c r="B77">
        <v>0.62760000000000005</v>
      </c>
      <c r="C77">
        <v>0.73409999999999997</v>
      </c>
      <c r="D77">
        <v>0.5444</v>
      </c>
      <c r="E77">
        <v>0.66349999999999998</v>
      </c>
      <c r="F77">
        <v>67201776</v>
      </c>
      <c r="G77">
        <v>0.66349999999999998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0.25566684238270948</v>
      </c>
      <c r="Q77">
        <f t="shared" ref="Q77" si="361">F77*P77</f>
        <v>17181265.872430149</v>
      </c>
      <c r="R77">
        <f t="shared" ref="R77" si="362">R78+Q77</f>
        <v>-667323676.44687116</v>
      </c>
      <c r="S77">
        <f t="shared" ref="S77" si="363">R77/100000</f>
        <v>-6673.236764468712</v>
      </c>
      <c r="T77">
        <f t="shared" ref="T77" si="364">S77/1000</f>
        <v>-6.6732367644687116</v>
      </c>
    </row>
    <row r="78" spans="1:20" x14ac:dyDescent="0.25">
      <c r="A78" s="5">
        <v>44515</v>
      </c>
      <c r="B78">
        <v>0.69710000000000005</v>
      </c>
      <c r="C78">
        <v>0.76</v>
      </c>
      <c r="D78">
        <v>0.61750000000000005</v>
      </c>
      <c r="E78">
        <v>0.62890000000000001</v>
      </c>
      <c r="F78">
        <v>84211490</v>
      </c>
      <c r="G78">
        <v>0.62890000000000001</v>
      </c>
      <c r="L78" t="s">
        <v>7</v>
      </c>
      <c r="M78" t="s">
        <v>7</v>
      </c>
      <c r="N78" t="s">
        <v>8</v>
      </c>
      <c r="P78">
        <f t="shared" ref="P78" si="365">IF(C78=D78,0,((E78-D78)-(C78-E78))/(C78-D78))</f>
        <v>-0.84000000000000041</v>
      </c>
      <c r="Q78">
        <f t="shared" ref="Q78" si="366">F78*P78</f>
        <v>-70737651.600000039</v>
      </c>
      <c r="R78">
        <f t="shared" ref="R78" si="367">R79+Q78</f>
        <v>-684504942.31930137</v>
      </c>
      <c r="S78">
        <f t="shared" ref="S78" si="368">R78/100000</f>
        <v>-6845.0494231930134</v>
      </c>
      <c r="T78">
        <f t="shared" ref="T78" si="369">S78/1000</f>
        <v>-6.8450494231930135</v>
      </c>
    </row>
    <row r="79" spans="1:20" x14ac:dyDescent="0.25">
      <c r="A79" s="5">
        <v>44514</v>
      </c>
      <c r="B79">
        <v>0.55500000000000005</v>
      </c>
      <c r="C79">
        <v>0.79420000000000002</v>
      </c>
      <c r="D79">
        <v>0.55400000000000005</v>
      </c>
      <c r="E79">
        <v>0.69799999999999995</v>
      </c>
      <c r="F79">
        <v>320997654.69999999</v>
      </c>
      <c r="G79">
        <v>0.69799999999999995</v>
      </c>
      <c r="L79" t="s">
        <v>8</v>
      </c>
      <c r="M79" t="s">
        <v>8</v>
      </c>
      <c r="N79" t="s">
        <v>8</v>
      </c>
      <c r="P79">
        <f t="shared" ref="P79" si="370">IF(C79=D79,0,((E79-D79)-(C79-E79))/(C79-D79))</f>
        <v>0.19900083263946647</v>
      </c>
      <c r="Q79">
        <f t="shared" ref="Q79" si="371">F79*P79</f>
        <v>63878800.560615942</v>
      </c>
      <c r="R79">
        <f t="shared" ref="R79" si="372">R80+Q79</f>
        <v>-613767290.71930134</v>
      </c>
      <c r="S79">
        <f t="shared" ref="S79" si="373">R79/100000</f>
        <v>-6137.6729071930131</v>
      </c>
      <c r="T79">
        <f t="shared" ref="T79" si="374">S79/1000</f>
        <v>-6.1376729071930134</v>
      </c>
    </row>
    <row r="80" spans="1:20" x14ac:dyDescent="0.25">
      <c r="A80" s="5">
        <v>44513</v>
      </c>
      <c r="B80">
        <v>0.49270000000000003</v>
      </c>
      <c r="C80">
        <v>0.57779999999999998</v>
      </c>
      <c r="D80">
        <v>0.42730000000000001</v>
      </c>
      <c r="E80">
        <v>0.55520000000000003</v>
      </c>
      <c r="F80">
        <v>100054485</v>
      </c>
      <c r="G80">
        <v>0.55520000000000003</v>
      </c>
      <c r="L80" t="s">
        <v>7</v>
      </c>
      <c r="M80" t="s">
        <v>7</v>
      </c>
      <c r="N80" t="s">
        <v>8</v>
      </c>
      <c r="P80">
        <f t="shared" ref="P80" si="375">IF(C80=D80,0,((E80-D80)-(C80-E80))/(C80-D80))</f>
        <v>0.69966777408637926</v>
      </c>
      <c r="Q80">
        <f t="shared" ref="Q80" si="376">F80*P80</f>
        <v>70004898.807309017</v>
      </c>
      <c r="R80">
        <f t="shared" ref="R80" si="377">R81+Q80</f>
        <v>-677646091.27991724</v>
      </c>
      <c r="S80">
        <f t="shared" ref="S80" si="378">R80/100000</f>
        <v>-6776.4609127991725</v>
      </c>
      <c r="T80">
        <f t="shared" ref="T80" si="379">S80/1000</f>
        <v>-6.7764609127991724</v>
      </c>
    </row>
    <row r="81" spans="1:20" x14ac:dyDescent="0.25">
      <c r="A81" s="5">
        <v>44512</v>
      </c>
      <c r="B81">
        <v>0.38669999999999999</v>
      </c>
      <c r="C81">
        <v>0.60399999999999998</v>
      </c>
      <c r="D81">
        <v>0.37380000000000002</v>
      </c>
      <c r="E81">
        <v>0.49270000000000003</v>
      </c>
      <c r="F81">
        <v>370717004.19999999</v>
      </c>
      <c r="G81">
        <v>0.49270000000000003</v>
      </c>
      <c r="L81" t="s">
        <v>8</v>
      </c>
      <c r="M81" t="s">
        <v>8</v>
      </c>
      <c r="N81" t="s">
        <v>8</v>
      </c>
      <c r="P81">
        <f t="shared" ref="P81" si="380">IF(C81=D81,0,((E81-D81)-(C81-E81))/(C81-D81))</f>
        <v>3.30147697654216E-2</v>
      </c>
      <c r="Q81">
        <f t="shared" ref="Q81" si="381">F81*P81</f>
        <v>12239136.541789832</v>
      </c>
      <c r="R81">
        <f t="shared" ref="R81" si="382">R82+Q81</f>
        <v>-747650990.08722627</v>
      </c>
      <c r="S81">
        <f t="shared" ref="S81" si="383">R81/100000</f>
        <v>-7476.5099008722627</v>
      </c>
      <c r="T81">
        <f t="shared" ref="T81" si="384">S81/1000</f>
        <v>-7.4765099008722631</v>
      </c>
    </row>
    <row r="82" spans="1:20" x14ac:dyDescent="0.25">
      <c r="A82" s="5">
        <v>44511</v>
      </c>
      <c r="B82">
        <v>0.3352</v>
      </c>
      <c r="C82">
        <v>0.38750000000000001</v>
      </c>
      <c r="D82">
        <v>0.33400000000000002</v>
      </c>
      <c r="E82">
        <v>0.38729999999999998</v>
      </c>
      <c r="F82">
        <v>47316393</v>
      </c>
      <c r="G82">
        <v>0.38729999999999998</v>
      </c>
      <c r="L82" t="s">
        <v>8</v>
      </c>
      <c r="M82" t="s">
        <v>8</v>
      </c>
      <c r="N82" t="s">
        <v>8</v>
      </c>
      <c r="P82">
        <f t="shared" ref="P82" si="385">IF(C82=D82,0,((E82-D82)-(C82-E82))/(C82-D82))</f>
        <v>0.99252336448598011</v>
      </c>
      <c r="Q82">
        <f t="shared" ref="Q82" si="386">F82*P82</f>
        <v>46962625.575700879</v>
      </c>
      <c r="R82">
        <f t="shared" ref="R82" si="387">R83+Q82</f>
        <v>-759890126.62901616</v>
      </c>
      <c r="S82">
        <f t="shared" ref="S82" si="388">R82/100000</f>
        <v>-7598.9012662901614</v>
      </c>
      <c r="T82">
        <f t="shared" ref="T82" si="389">S82/1000</f>
        <v>-7.5989012662901612</v>
      </c>
    </row>
    <row r="83" spans="1:20" x14ac:dyDescent="0.25">
      <c r="A83" s="5">
        <v>44510</v>
      </c>
      <c r="B83">
        <v>0.38090000000000002</v>
      </c>
      <c r="C83">
        <v>0.39789999999999998</v>
      </c>
      <c r="D83">
        <v>0.32500000000000001</v>
      </c>
      <c r="E83">
        <v>0.33500000000000002</v>
      </c>
      <c r="F83">
        <v>87641560</v>
      </c>
      <c r="G83">
        <v>0.33500000000000002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-0.72565157750342901</v>
      </c>
      <c r="Q83">
        <f t="shared" ref="Q83" si="391">F83*P83</f>
        <v>-63597236.26886142</v>
      </c>
      <c r="R83">
        <f t="shared" ref="R83" si="392">R84+Q83</f>
        <v>-806852752.20471704</v>
      </c>
      <c r="S83">
        <f t="shared" ref="S83" si="393">R83/100000</f>
        <v>-8068.5275220471704</v>
      </c>
      <c r="T83">
        <f t="shared" ref="T83" si="394">S83/1000</f>
        <v>-8.0685275220471695</v>
      </c>
    </row>
    <row r="84" spans="1:20" x14ac:dyDescent="0.25">
      <c r="A84" s="5">
        <v>44509</v>
      </c>
      <c r="B84">
        <v>0.31469999999999998</v>
      </c>
      <c r="C84">
        <v>0.45429999999999998</v>
      </c>
      <c r="D84">
        <v>0.30819999999999997</v>
      </c>
      <c r="E84">
        <v>0.38069999999999998</v>
      </c>
      <c r="F84">
        <v>158643065.19999999</v>
      </c>
      <c r="G84">
        <v>0.38069999999999998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-7.5290896646132092E-3</v>
      </c>
      <c r="Q84">
        <f t="shared" ref="Q84" si="396">F84*P84</f>
        <v>-1194437.8625598794</v>
      </c>
      <c r="R84">
        <f t="shared" ref="R84" si="397">R85+Q84</f>
        <v>-743255515.93585563</v>
      </c>
      <c r="S84">
        <f t="shared" ref="S84" si="398">R84/100000</f>
        <v>-7432.555159358556</v>
      </c>
      <c r="T84">
        <f t="shared" ref="T84" si="399">S84/1000</f>
        <v>-7.4325551593585564</v>
      </c>
    </row>
    <row r="85" spans="1:20" x14ac:dyDescent="0.25">
      <c r="A85" s="5">
        <v>44508</v>
      </c>
      <c r="B85">
        <v>0.29770000000000002</v>
      </c>
      <c r="C85">
        <v>0.32340000000000002</v>
      </c>
      <c r="D85">
        <v>0.29060000000000002</v>
      </c>
      <c r="E85">
        <v>0.31469999999999998</v>
      </c>
      <c r="F85">
        <v>34340435</v>
      </c>
      <c r="G85">
        <v>0.31469999999999998</v>
      </c>
      <c r="L85" t="s">
        <v>8</v>
      </c>
      <c r="M85" t="s">
        <v>8</v>
      </c>
      <c r="N85" t="s">
        <v>8</v>
      </c>
      <c r="P85">
        <f t="shared" ref="P85" si="400">IF(C85=D85,0,((E85-D85)-(C85-E85))/(C85-D85))</f>
        <v>0.46951219512194864</v>
      </c>
      <c r="Q85">
        <f t="shared" ref="Q85" si="401">F85*P85</f>
        <v>16123253.018292595</v>
      </c>
      <c r="R85">
        <f t="shared" ref="R85" si="402">R86+Q85</f>
        <v>-742061078.07329571</v>
      </c>
      <c r="S85">
        <f t="shared" ref="S85" si="403">R85/100000</f>
        <v>-7420.6107807329572</v>
      </c>
      <c r="T85">
        <f t="shared" ref="T85" si="404">S85/1000</f>
        <v>-7.4206107807329573</v>
      </c>
    </row>
    <row r="86" spans="1:20" x14ac:dyDescent="0.25">
      <c r="A86" s="5">
        <v>44507</v>
      </c>
      <c r="B86">
        <v>0.28560000000000002</v>
      </c>
      <c r="C86">
        <v>0.2999</v>
      </c>
      <c r="D86">
        <v>0.26800000000000002</v>
      </c>
      <c r="E86">
        <v>0.2974</v>
      </c>
      <c r="F86">
        <v>25779245</v>
      </c>
      <c r="G86">
        <v>0.2974</v>
      </c>
      <c r="L86" t="s">
        <v>7</v>
      </c>
      <c r="M86" t="s">
        <v>8</v>
      </c>
      <c r="N86" t="s">
        <v>8</v>
      </c>
      <c r="P86">
        <f t="shared" ref="P86" si="405">IF(C86=D86,0,((E86-D86)-(C86-E86))/(C86-D86))</f>
        <v>0.84326018808777403</v>
      </c>
      <c r="Q86">
        <f t="shared" ref="Q86" si="406">F86*P86</f>
        <v>21738610.987460807</v>
      </c>
      <c r="R86">
        <f t="shared" ref="R86" si="407">R87+Q86</f>
        <v>-758184331.09158826</v>
      </c>
      <c r="S86">
        <f t="shared" ref="S86" si="408">R86/100000</f>
        <v>-7581.8433109158823</v>
      </c>
      <c r="T86">
        <f t="shared" ref="T86" si="409">S86/1000</f>
        <v>-7.5818433109158825</v>
      </c>
    </row>
    <row r="87" spans="1:20" x14ac:dyDescent="0.25">
      <c r="A87" s="5">
        <v>44506</v>
      </c>
      <c r="B87">
        <v>0.28739999999999999</v>
      </c>
      <c r="C87">
        <v>0.29399999999999998</v>
      </c>
      <c r="D87">
        <v>0.28000000000000003</v>
      </c>
      <c r="E87">
        <v>0.28549999999999998</v>
      </c>
      <c r="F87">
        <v>10198013</v>
      </c>
      <c r="G87">
        <v>0.28549999999999998</v>
      </c>
      <c r="L87" t="s">
        <v>7</v>
      </c>
      <c r="M87" t="s">
        <v>8</v>
      </c>
      <c r="N87" t="s">
        <v>8</v>
      </c>
      <c r="P87">
        <f t="shared" ref="P87" si="410">IF(C87=D87,0,((E87-D87)-(C87-E87))/(C87-D87))</f>
        <v>-0.2142857142857191</v>
      </c>
      <c r="Q87">
        <f t="shared" ref="Q87" si="411">F87*P87</f>
        <v>-2185288.5000000494</v>
      </c>
      <c r="R87">
        <f t="shared" ref="R87" si="412">R88+Q87</f>
        <v>-779922942.07904911</v>
      </c>
      <c r="S87">
        <f t="shared" ref="S87" si="413">R87/100000</f>
        <v>-7799.2294207904915</v>
      </c>
      <c r="T87">
        <f t="shared" ref="T87" si="414">S87/1000</f>
        <v>-7.7992294207904918</v>
      </c>
    </row>
    <row r="88" spans="1:20" x14ac:dyDescent="0.25">
      <c r="A88" s="5">
        <v>44505</v>
      </c>
      <c r="B88">
        <v>0.29020000000000001</v>
      </c>
      <c r="C88">
        <v>0.3</v>
      </c>
      <c r="D88">
        <v>0.28199999999999997</v>
      </c>
      <c r="E88">
        <v>0.28739999999999999</v>
      </c>
      <c r="F88">
        <v>9943288</v>
      </c>
      <c r="G88">
        <v>0.28739999999999999</v>
      </c>
      <c r="L88" t="s">
        <v>8</v>
      </c>
      <c r="M88" t="s">
        <v>8</v>
      </c>
      <c r="N88" t="s">
        <v>8</v>
      </c>
      <c r="P88">
        <f t="shared" ref="P88" si="415">IF(C88=D88,0,((E88-D88)-(C88-E88))/(C88-D88))</f>
        <v>-0.39999999999999875</v>
      </c>
      <c r="Q88">
        <f t="shared" ref="Q88" si="416">F88*P88</f>
        <v>-3977315.1999999876</v>
      </c>
      <c r="R88">
        <f t="shared" ref="R88" si="417">R89+Q88</f>
        <v>-777737653.57904911</v>
      </c>
      <c r="S88">
        <f t="shared" ref="S88" si="418">R88/100000</f>
        <v>-7777.3765357904913</v>
      </c>
      <c r="T88">
        <f t="shared" ref="T88" si="419">S88/1000</f>
        <v>-7.7773765357904914</v>
      </c>
    </row>
    <row r="89" spans="1:20" x14ac:dyDescent="0.25">
      <c r="A89" s="5">
        <v>44504</v>
      </c>
      <c r="B89">
        <v>0.2923</v>
      </c>
      <c r="C89">
        <v>0.30209999999999998</v>
      </c>
      <c r="D89">
        <v>0.28179999999999999</v>
      </c>
      <c r="E89">
        <v>0.2903</v>
      </c>
      <c r="F89">
        <v>16078103</v>
      </c>
      <c r="G89">
        <v>0.2903</v>
      </c>
      <c r="L89" t="s">
        <v>8</v>
      </c>
      <c r="M89" t="s">
        <v>8</v>
      </c>
      <c r="N89" t="s">
        <v>8</v>
      </c>
      <c r="P89">
        <f t="shared" ref="P89" si="420">IF(C89=D89,0,((E89-D89)-(C89-E89))/(C89-D89))</f>
        <v>-0.16256157635467844</v>
      </c>
      <c r="Q89">
        <f t="shared" ref="Q89" si="421">F89*P89</f>
        <v>-2613681.7684728843</v>
      </c>
      <c r="R89">
        <f t="shared" ref="R89" si="422">R90+Q89</f>
        <v>-773760338.37904918</v>
      </c>
      <c r="S89">
        <f t="shared" ref="S89" si="423">R89/100000</f>
        <v>-7737.6033837904915</v>
      </c>
      <c r="T89">
        <f t="shared" ref="T89" si="424">S89/1000</f>
        <v>-7.7376033837904918</v>
      </c>
    </row>
    <row r="90" spans="1:20" x14ac:dyDescent="0.25">
      <c r="A90" s="5">
        <v>44503</v>
      </c>
      <c r="B90">
        <v>0.28489999999999999</v>
      </c>
      <c r="C90">
        <v>0.29289999999999999</v>
      </c>
      <c r="D90">
        <v>0.27589999999999998</v>
      </c>
      <c r="E90">
        <v>0.2923</v>
      </c>
      <c r="F90">
        <v>12496282</v>
      </c>
      <c r="G90">
        <v>0.2923</v>
      </c>
      <c r="L90" t="s">
        <v>7</v>
      </c>
      <c r="M90" t="s">
        <v>8</v>
      </c>
      <c r="N90" t="s">
        <v>8</v>
      </c>
      <c r="P90">
        <f t="shared" ref="P90" si="425">IF(C90=D90,0,((E90-D90)-(C90-E90))/(C90-D90))</f>
        <v>0.92941176470588371</v>
      </c>
      <c r="Q90">
        <f t="shared" ref="Q90" si="426">F90*P90</f>
        <v>11614191.505882369</v>
      </c>
      <c r="R90">
        <f t="shared" ref="R90" si="427">R91+Q90</f>
        <v>-771146656.61057627</v>
      </c>
      <c r="S90">
        <f t="shared" ref="S90" si="428">R90/100000</f>
        <v>-7711.4665661057625</v>
      </c>
      <c r="T90">
        <f t="shared" ref="T90" si="429">S90/1000</f>
        <v>-7.7114665661057629</v>
      </c>
    </row>
    <row r="91" spans="1:20" x14ac:dyDescent="0.25">
      <c r="A91" s="5">
        <v>44502</v>
      </c>
      <c r="B91">
        <v>0.2868</v>
      </c>
      <c r="C91">
        <v>0.28949999999999998</v>
      </c>
      <c r="D91">
        <v>0.27900000000000003</v>
      </c>
      <c r="E91">
        <v>0.28489999999999999</v>
      </c>
      <c r="F91">
        <v>13643592</v>
      </c>
      <c r="G91">
        <v>0.28489999999999999</v>
      </c>
      <c r="L91" t="s">
        <v>7</v>
      </c>
      <c r="M91" t="s">
        <v>8</v>
      </c>
      <c r="N91" t="s">
        <v>8</v>
      </c>
      <c r="P91">
        <f t="shared" ref="P91" si="430">IF(C91=D91,0,((E91-D91)-(C91-E91))/(C91-D91))</f>
        <v>0.12380952380952129</v>
      </c>
      <c r="Q91">
        <f t="shared" ref="Q91" si="431">F91*P91</f>
        <v>1689206.6285713941</v>
      </c>
      <c r="R91">
        <f t="shared" ref="R91" si="432">R92+Q91</f>
        <v>-782760848.11645865</v>
      </c>
      <c r="S91">
        <f t="shared" ref="S91" si="433">R91/100000</f>
        <v>-7827.6084811645869</v>
      </c>
      <c r="T91">
        <f t="shared" ref="T91" si="434">S91/1000</f>
        <v>-7.827608481164587</v>
      </c>
    </row>
    <row r="92" spans="1:20" x14ac:dyDescent="0.25">
      <c r="A92" s="5">
        <v>44501</v>
      </c>
      <c r="B92">
        <v>0.2898</v>
      </c>
      <c r="C92">
        <v>0.31979999999999997</v>
      </c>
      <c r="D92">
        <v>0.28000000000000003</v>
      </c>
      <c r="E92">
        <v>0.2868</v>
      </c>
      <c r="F92">
        <v>33114794</v>
      </c>
      <c r="G92">
        <v>0.2868</v>
      </c>
      <c r="L92" t="s">
        <v>8</v>
      </c>
      <c r="M92" t="s">
        <v>8</v>
      </c>
      <c r="N92" t="s">
        <v>8</v>
      </c>
      <c r="P92">
        <f t="shared" ref="P92" si="435">IF(C92=D92,0,((E92-D92)-(C92-E92))/(C92-D92))</f>
        <v>-0.65829145728643312</v>
      </c>
      <c r="Q92">
        <f t="shared" ref="Q92" si="436">F92*P92</f>
        <v>-21799186.000000034</v>
      </c>
      <c r="R92">
        <f t="shared" ref="R92" si="437">R93+Q92</f>
        <v>-784450054.74503005</v>
      </c>
      <c r="S92">
        <f t="shared" ref="S92" si="438">R92/100000</f>
        <v>-7844.5005474503005</v>
      </c>
      <c r="T92">
        <f t="shared" ref="T92" si="439">S92/1000</f>
        <v>-7.8445005474503002</v>
      </c>
    </row>
    <row r="93" spans="1:20" x14ac:dyDescent="0.25">
      <c r="A93" s="5">
        <v>44500</v>
      </c>
      <c r="B93">
        <v>0.28160000000000002</v>
      </c>
      <c r="C93">
        <v>0.2923</v>
      </c>
      <c r="D93">
        <v>0.27600000000000002</v>
      </c>
      <c r="E93">
        <v>0.2893</v>
      </c>
      <c r="F93">
        <v>11699670</v>
      </c>
      <c r="G93">
        <v>0.2893</v>
      </c>
      <c r="L93" t="s">
        <v>7</v>
      </c>
      <c r="M93" t="s">
        <v>8</v>
      </c>
      <c r="N93" t="s">
        <v>8</v>
      </c>
      <c r="P93">
        <f t="shared" ref="P93" si="440">IF(C93=D93,0,((E93-D93)-(C93-E93))/(C93-D93))</f>
        <v>0.63190184049079678</v>
      </c>
      <c r="Q93">
        <f t="shared" ref="Q93" si="441">F93*P93</f>
        <v>7393043.0061349608</v>
      </c>
      <c r="R93">
        <f t="shared" ref="R93" si="442">R94+Q93</f>
        <v>-762650868.74503005</v>
      </c>
      <c r="S93">
        <f t="shared" ref="S93" si="443">R93/100000</f>
        <v>-7626.5086874503004</v>
      </c>
      <c r="T93">
        <f t="shared" ref="T93" si="444">S93/1000</f>
        <v>-7.6265086874503005</v>
      </c>
    </row>
    <row r="94" spans="1:20" x14ac:dyDescent="0.25">
      <c r="A94" s="5">
        <v>44499</v>
      </c>
      <c r="B94">
        <v>0.27700000000000002</v>
      </c>
      <c r="C94">
        <v>0.30559999999999998</v>
      </c>
      <c r="D94">
        <v>0.27350000000000002</v>
      </c>
      <c r="E94">
        <v>0.2823</v>
      </c>
      <c r="F94">
        <v>22205099</v>
      </c>
      <c r="G94">
        <v>0.2823</v>
      </c>
      <c r="L94" t="s">
        <v>8</v>
      </c>
      <c r="M94" t="s">
        <v>8</v>
      </c>
      <c r="N94" t="s">
        <v>8</v>
      </c>
      <c r="P94">
        <f t="shared" ref="P94" si="445">IF(C94=D94,0,((E94-D94)-(C94-E94))/(C94-D94))</f>
        <v>-0.45171339563863022</v>
      </c>
      <c r="Q94">
        <f t="shared" ref="Q94" si="446">F94*P94</f>
        <v>-10030340.669781953</v>
      </c>
      <c r="R94">
        <f t="shared" ref="R94" si="447">R95+Q94</f>
        <v>-770043911.75116503</v>
      </c>
      <c r="S94">
        <f t="shared" ref="S94" si="448">R94/100000</f>
        <v>-7700.4391175116507</v>
      </c>
      <c r="T94">
        <f t="shared" ref="T94" si="449">S94/1000</f>
        <v>-7.7004391175116504</v>
      </c>
    </row>
    <row r="95" spans="1:20" x14ac:dyDescent="0.25">
      <c r="A95" s="5">
        <v>44498</v>
      </c>
      <c r="B95">
        <v>0.28100000000000003</v>
      </c>
      <c r="C95">
        <v>0.28949999999999998</v>
      </c>
      <c r="D95">
        <v>0.25609999999999999</v>
      </c>
      <c r="E95">
        <v>0.27700000000000002</v>
      </c>
      <c r="F95">
        <v>18278423</v>
      </c>
      <c r="G95">
        <v>0.27700000000000002</v>
      </c>
      <c r="L95" t="s">
        <v>8</v>
      </c>
      <c r="M95" t="s">
        <v>8</v>
      </c>
      <c r="N95" t="s">
        <v>8</v>
      </c>
      <c r="P95">
        <f t="shared" ref="P95" si="450">IF(C95=D95,0,((E95-D95)-(C95-E95))/(C95-D95))</f>
        <v>0.25149700598802627</v>
      </c>
      <c r="Q95">
        <f t="shared" ref="Q95" si="451">F95*P95</f>
        <v>4596968.658682677</v>
      </c>
      <c r="R95">
        <f t="shared" ref="R95" si="452">R96+Q95</f>
        <v>-760013571.08138311</v>
      </c>
      <c r="S95">
        <f t="shared" ref="S95" si="453">R95/100000</f>
        <v>-7600.1357108138309</v>
      </c>
      <c r="T95">
        <f t="shared" ref="T95" si="454">S95/1000</f>
        <v>-7.6001357108138308</v>
      </c>
    </row>
    <row r="96" spans="1:20" x14ac:dyDescent="0.25">
      <c r="A96" s="5">
        <v>44497</v>
      </c>
      <c r="B96">
        <v>0.24759999999999999</v>
      </c>
      <c r="C96">
        <v>0.2969</v>
      </c>
      <c r="D96">
        <v>0.24299999999999999</v>
      </c>
      <c r="E96">
        <v>0.28139999999999998</v>
      </c>
      <c r="F96">
        <v>14475940</v>
      </c>
      <c r="G96">
        <v>0.28139999999999998</v>
      </c>
      <c r="L96" t="s">
        <v>7</v>
      </c>
      <c r="M96" t="s">
        <v>8</v>
      </c>
      <c r="N96" t="s">
        <v>8</v>
      </c>
      <c r="P96">
        <f t="shared" ref="P96" si="455">IF(C96=D96,0,((E96-D96)-(C96-E96))/(C96-D96))</f>
        <v>0.42486085343228153</v>
      </c>
      <c r="Q96">
        <f t="shared" ref="Q96" si="456">F96*P96</f>
        <v>6150260.2226345018</v>
      </c>
      <c r="R96">
        <f t="shared" ref="R96" si="457">R97+Q96</f>
        <v>-764610539.74006581</v>
      </c>
      <c r="S96">
        <f t="shared" ref="S96" si="458">R96/100000</f>
        <v>-7646.1053974006581</v>
      </c>
      <c r="T96">
        <f t="shared" ref="T96" si="459">S96/1000</f>
        <v>-7.6461053974006585</v>
      </c>
    </row>
    <row r="97" spans="1:20" x14ac:dyDescent="0.25">
      <c r="A97" s="5">
        <v>44496</v>
      </c>
      <c r="B97">
        <v>0.27729999999999999</v>
      </c>
      <c r="C97">
        <v>0.28560000000000002</v>
      </c>
      <c r="D97">
        <v>0.24579999999999999</v>
      </c>
      <c r="E97">
        <v>0.24740000000000001</v>
      </c>
      <c r="F97">
        <v>11609710</v>
      </c>
      <c r="G97">
        <v>0.24740000000000001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-0.91959798994974784</v>
      </c>
      <c r="Q97">
        <f t="shared" ref="Q97" si="461">F97*P97</f>
        <v>-10676265.979899487</v>
      </c>
      <c r="R97">
        <f t="shared" ref="R97" si="462">R98+Q97</f>
        <v>-770760799.96270037</v>
      </c>
      <c r="S97">
        <f t="shared" ref="S97" si="463">R97/100000</f>
        <v>-7707.6079996270037</v>
      </c>
      <c r="T97">
        <f t="shared" ref="T97" si="464">S97/1000</f>
        <v>-7.7076079996270037</v>
      </c>
    </row>
    <row r="98" spans="1:20" x14ac:dyDescent="0.25">
      <c r="A98" s="5">
        <v>44495</v>
      </c>
      <c r="B98">
        <v>0.27500000000000002</v>
      </c>
      <c r="C98">
        <v>0.28660000000000002</v>
      </c>
      <c r="D98">
        <v>0.27110000000000001</v>
      </c>
      <c r="E98">
        <v>0.27689999999999998</v>
      </c>
      <c r="F98">
        <v>9906453</v>
      </c>
      <c r="G98">
        <v>0.27689999999999998</v>
      </c>
      <c r="L98" t="s">
        <v>8</v>
      </c>
      <c r="M98" t="s">
        <v>7</v>
      </c>
      <c r="N98" t="s">
        <v>8</v>
      </c>
      <c r="P98">
        <f t="shared" ref="P98" si="465">IF(C98=D98,0,((E98-D98)-(C98-E98))/(C98-D98))</f>
        <v>-0.25161290322581076</v>
      </c>
      <c r="Q98">
        <f t="shared" ref="Q98" si="466">F98*P98</f>
        <v>-2492591.4000000427</v>
      </c>
      <c r="R98">
        <f t="shared" ref="R98" si="467">R99+Q98</f>
        <v>-760084533.98280084</v>
      </c>
      <c r="S98">
        <f t="shared" ref="S98" si="468">R98/100000</f>
        <v>-7600.845339828008</v>
      </c>
      <c r="T98">
        <f t="shared" ref="T98" si="469">S98/1000</f>
        <v>-7.600845339828008</v>
      </c>
    </row>
    <row r="99" spans="1:20" x14ac:dyDescent="0.25">
      <c r="A99" s="5">
        <v>44494</v>
      </c>
      <c r="B99">
        <v>0.26790000000000003</v>
      </c>
      <c r="C99">
        <v>0.2787</v>
      </c>
      <c r="D99">
        <v>0.26619999999999999</v>
      </c>
      <c r="E99">
        <v>0.27479999999999999</v>
      </c>
      <c r="F99">
        <v>8092263</v>
      </c>
      <c r="G99">
        <v>0.27479999999999999</v>
      </c>
      <c r="L99" t="s">
        <v>7</v>
      </c>
      <c r="M99" t="s">
        <v>7</v>
      </c>
      <c r="N99" t="s">
        <v>8</v>
      </c>
      <c r="P99">
        <f t="shared" ref="P99" si="470">IF(C99=D99,0,((E99-D99)-(C99-E99))/(C99-D99))</f>
        <v>0.37599999999999822</v>
      </c>
      <c r="Q99">
        <f t="shared" ref="Q99" si="471">F99*P99</f>
        <v>3042690.8879999858</v>
      </c>
      <c r="R99">
        <f t="shared" ref="R99" si="472">R100+Q99</f>
        <v>-757591942.58280075</v>
      </c>
      <c r="S99">
        <f t="shared" ref="S99" si="473">R99/100000</f>
        <v>-7575.9194258280077</v>
      </c>
      <c r="T99">
        <f t="shared" ref="T99" si="474">S99/1000</f>
        <v>-7.5759194258280074</v>
      </c>
    </row>
    <row r="100" spans="1:20" x14ac:dyDescent="0.25">
      <c r="A100" s="5">
        <v>44493</v>
      </c>
      <c r="B100">
        <v>0.27950000000000003</v>
      </c>
      <c r="C100">
        <v>0.2802</v>
      </c>
      <c r="D100">
        <v>0.26400000000000001</v>
      </c>
      <c r="E100">
        <v>0.26790000000000003</v>
      </c>
      <c r="F100">
        <v>6547412</v>
      </c>
      <c r="G100">
        <v>0.26790000000000003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-0.51851851851851649</v>
      </c>
      <c r="Q100">
        <f t="shared" ref="Q100" si="476">F100*P100</f>
        <v>-3394954.3703703573</v>
      </c>
      <c r="R100">
        <f t="shared" ref="R100" si="477">R101+Q100</f>
        <v>-760634633.47080076</v>
      </c>
      <c r="S100">
        <f t="shared" ref="S100" si="478">R100/100000</f>
        <v>-7606.3463347080078</v>
      </c>
      <c r="T100">
        <f t="shared" ref="T100" si="479">S100/1000</f>
        <v>-7.6063463347080082</v>
      </c>
    </row>
    <row r="101" spans="1:20" x14ac:dyDescent="0.25">
      <c r="A101" s="5">
        <v>44492</v>
      </c>
      <c r="B101">
        <v>0.27239999999999998</v>
      </c>
      <c r="C101">
        <v>0.2828</v>
      </c>
      <c r="D101">
        <v>0.27029999999999998</v>
      </c>
      <c r="E101">
        <v>0.27950000000000003</v>
      </c>
      <c r="F101">
        <v>8399836</v>
      </c>
      <c r="G101">
        <v>0.27950000000000003</v>
      </c>
      <c r="L101" t="s">
        <v>7</v>
      </c>
      <c r="M101" t="s">
        <v>7</v>
      </c>
      <c r="N101" t="s">
        <v>8</v>
      </c>
      <c r="P101">
        <f t="shared" ref="P101" si="480">IF(C101=D101,0,((E101-D101)-(C101-E101))/(C101-D101))</f>
        <v>0.4720000000000053</v>
      </c>
      <c r="Q101">
        <f t="shared" ref="Q101" si="481">F101*P101</f>
        <v>3964722.5920000444</v>
      </c>
      <c r="R101">
        <f t="shared" ref="R101" si="482">R102+Q101</f>
        <v>-757239679.10043037</v>
      </c>
      <c r="S101">
        <f t="shared" ref="S101" si="483">R101/100000</f>
        <v>-7572.3967910043039</v>
      </c>
      <c r="T101">
        <f t="shared" ref="T101" si="484">S101/1000</f>
        <v>-7.5723967910043042</v>
      </c>
    </row>
    <row r="102" spans="1:20" x14ac:dyDescent="0.25">
      <c r="A102" s="5">
        <v>44491</v>
      </c>
      <c r="B102">
        <v>0.2772</v>
      </c>
      <c r="C102">
        <v>0.2828</v>
      </c>
      <c r="D102">
        <v>0.26629999999999998</v>
      </c>
      <c r="E102">
        <v>0.27239999999999998</v>
      </c>
      <c r="F102">
        <v>7250693</v>
      </c>
      <c r="G102">
        <v>0.27239999999999998</v>
      </c>
      <c r="L102" t="s">
        <v>7</v>
      </c>
      <c r="M102" t="s">
        <v>7</v>
      </c>
      <c r="N102" t="s">
        <v>8</v>
      </c>
      <c r="P102">
        <f t="shared" ref="P102" si="485">IF(C102=D102,0,((E102-D102)-(C102-E102))/(C102-D102))</f>
        <v>-0.26060606060606195</v>
      </c>
      <c r="Q102">
        <f t="shared" ref="Q102" si="486">F102*P102</f>
        <v>-1889574.5393939491</v>
      </c>
      <c r="R102">
        <f t="shared" ref="R102" si="487">R103+Q102</f>
        <v>-761204401.69243038</v>
      </c>
      <c r="S102">
        <f t="shared" ref="S102" si="488">R102/100000</f>
        <v>-7612.0440169243038</v>
      </c>
      <c r="T102">
        <f t="shared" ref="T102" si="489">S102/1000</f>
        <v>-7.6120440169243038</v>
      </c>
    </row>
    <row r="103" spans="1:20" x14ac:dyDescent="0.25">
      <c r="A103" s="5">
        <v>44490</v>
      </c>
      <c r="B103">
        <v>0.28770000000000001</v>
      </c>
      <c r="C103">
        <v>0.29160000000000003</v>
      </c>
      <c r="D103">
        <v>0.27</v>
      </c>
      <c r="E103">
        <v>0.27660000000000001</v>
      </c>
      <c r="F103">
        <v>10393776</v>
      </c>
      <c r="G103">
        <v>0.27660000000000001</v>
      </c>
      <c r="L103" t="s">
        <v>7</v>
      </c>
      <c r="M103" t="s">
        <v>7</v>
      </c>
      <c r="N103" t="s">
        <v>8</v>
      </c>
      <c r="P103">
        <f t="shared" ref="P103" si="490">IF(C103=D103,0,((E103-D103)-(C103-E103))/(C103-D103))</f>
        <v>-0.38888888888888962</v>
      </c>
      <c r="Q103">
        <f t="shared" ref="Q103" si="491">F103*P103</f>
        <v>-4042024.0000000075</v>
      </c>
      <c r="R103">
        <f t="shared" ref="R103" si="492">R104+Q103</f>
        <v>-759314827.15303648</v>
      </c>
      <c r="S103">
        <f t="shared" ref="S103" si="493">R103/100000</f>
        <v>-7593.1482715303646</v>
      </c>
      <c r="T103">
        <f t="shared" ref="T103" si="494">S103/1000</f>
        <v>-7.5931482715303646</v>
      </c>
    </row>
    <row r="104" spans="1:20" x14ac:dyDescent="0.25">
      <c r="A104" s="5">
        <v>44489</v>
      </c>
      <c r="B104">
        <v>0.27610000000000001</v>
      </c>
      <c r="C104">
        <v>0.2918</v>
      </c>
      <c r="D104">
        <v>0.27</v>
      </c>
      <c r="E104">
        <v>0.28710000000000002</v>
      </c>
      <c r="F104">
        <v>9817357</v>
      </c>
      <c r="G104">
        <v>0.28710000000000002</v>
      </c>
      <c r="L104" t="s">
        <v>8</v>
      </c>
      <c r="M104" t="s">
        <v>7</v>
      </c>
      <c r="N104" t="s">
        <v>8</v>
      </c>
      <c r="P104">
        <f t="shared" ref="P104" si="495">IF(C104=D104,0,((E104-D104)-(C104-E104))/(C104-D104))</f>
        <v>0.56880733944954265</v>
      </c>
      <c r="Q104">
        <f t="shared" ref="Q104" si="496">F104*P104</f>
        <v>5584184.7155963434</v>
      </c>
      <c r="R104">
        <f t="shared" ref="R104" si="497">R105+Q104</f>
        <v>-755272803.15303648</v>
      </c>
      <c r="S104">
        <f t="shared" ref="S104" si="498">R104/100000</f>
        <v>-7552.7280315303651</v>
      </c>
      <c r="T104">
        <f t="shared" ref="T104" si="499">S104/1000</f>
        <v>-7.5527280315303651</v>
      </c>
    </row>
    <row r="105" spans="1:20" x14ac:dyDescent="0.25">
      <c r="A105" s="5">
        <v>44488</v>
      </c>
      <c r="B105">
        <v>0.28499999999999998</v>
      </c>
      <c r="C105">
        <v>0.28639999999999999</v>
      </c>
      <c r="D105">
        <v>0.27</v>
      </c>
      <c r="E105">
        <v>0.27650000000000002</v>
      </c>
      <c r="F105">
        <v>9169817</v>
      </c>
      <c r="G105">
        <v>0.27650000000000002</v>
      </c>
      <c r="L105" t="s">
        <v>7</v>
      </c>
      <c r="M105" t="s">
        <v>7</v>
      </c>
      <c r="N105" t="s">
        <v>8</v>
      </c>
      <c r="P105">
        <f t="shared" ref="P105" si="500">IF(C105=D105,0,((E105-D105)-(C105-E105))/(C105-D105))</f>
        <v>-0.20731707317072956</v>
      </c>
      <c r="Q105">
        <f t="shared" ref="Q105" si="501">F105*P105</f>
        <v>-1901059.6219511998</v>
      </c>
      <c r="R105">
        <f t="shared" ref="R105" si="502">R106+Q105</f>
        <v>-760856987.86863279</v>
      </c>
      <c r="S105">
        <f t="shared" ref="S105" si="503">R105/100000</f>
        <v>-7608.5698786863277</v>
      </c>
      <c r="T105">
        <f t="shared" ref="T105" si="504">S105/1000</f>
        <v>-7.6085698786863274</v>
      </c>
    </row>
    <row r="106" spans="1:20" x14ac:dyDescent="0.25">
      <c r="A106" s="5">
        <v>44487</v>
      </c>
      <c r="B106">
        <v>0.28889999999999999</v>
      </c>
      <c r="C106">
        <v>0.30570000000000003</v>
      </c>
      <c r="D106">
        <v>0.28170000000000001</v>
      </c>
      <c r="E106">
        <v>0.28489999999999999</v>
      </c>
      <c r="F106">
        <v>10269718</v>
      </c>
      <c r="G106">
        <v>0.28489999999999999</v>
      </c>
      <c r="L106" t="s">
        <v>8</v>
      </c>
      <c r="M106" t="s">
        <v>7</v>
      </c>
      <c r="N106" t="s">
        <v>8</v>
      </c>
      <c r="P106">
        <f t="shared" ref="P106" si="505">IF(C106=D106,0,((E106-D106)-(C106-E106))/(C106-D106))</f>
        <v>-0.73333333333333517</v>
      </c>
      <c r="Q106">
        <f t="shared" ref="Q106" si="506">F106*P106</f>
        <v>-7531126.5333333518</v>
      </c>
      <c r="R106">
        <f t="shared" ref="R106" si="507">R107+Q106</f>
        <v>-758955928.24668157</v>
      </c>
      <c r="S106">
        <f t="shared" ref="S106" si="508">R106/100000</f>
        <v>-7589.5592824668156</v>
      </c>
      <c r="T106">
        <f t="shared" ref="T106" si="509">S106/1000</f>
        <v>-7.5895592824668157</v>
      </c>
    </row>
    <row r="107" spans="1:20" x14ac:dyDescent="0.25">
      <c r="A107" s="5">
        <v>44486</v>
      </c>
      <c r="B107">
        <v>0.2873</v>
      </c>
      <c r="C107">
        <v>0.311</v>
      </c>
      <c r="D107">
        <v>0.28000000000000003</v>
      </c>
      <c r="E107">
        <v>0.28889999999999999</v>
      </c>
      <c r="F107">
        <v>15860665</v>
      </c>
      <c r="G107">
        <v>0.28889999999999999</v>
      </c>
      <c r="L107" t="s">
        <v>7</v>
      </c>
      <c r="M107" t="s">
        <v>7</v>
      </c>
      <c r="N107" t="s">
        <v>8</v>
      </c>
      <c r="P107">
        <f t="shared" ref="P107" si="510">IF(C107=D107,0,((E107-D107)-(C107-E107))/(C107-D107))</f>
        <v>-0.42580645161290509</v>
      </c>
      <c r="Q107">
        <f t="shared" ref="Q107" si="511">F107*P107</f>
        <v>-6753573.4838709971</v>
      </c>
      <c r="R107">
        <f t="shared" ref="R107" si="512">R108+Q107</f>
        <v>-751424801.71334827</v>
      </c>
      <c r="S107">
        <f t="shared" ref="S107" si="513">R107/100000</f>
        <v>-7514.2480171334828</v>
      </c>
      <c r="T107">
        <f t="shared" ref="T107" si="514">S107/1000</f>
        <v>-7.5142480171334824</v>
      </c>
    </row>
    <row r="108" spans="1:20" x14ac:dyDescent="0.25">
      <c r="A108" s="5">
        <v>44485</v>
      </c>
      <c r="B108">
        <v>0.29599999999999999</v>
      </c>
      <c r="C108">
        <v>0.33900000000000002</v>
      </c>
      <c r="D108">
        <v>0.28549999999999998</v>
      </c>
      <c r="E108">
        <v>0.28760000000000002</v>
      </c>
      <c r="F108">
        <v>31639402</v>
      </c>
      <c r="G108">
        <v>0.28760000000000002</v>
      </c>
      <c r="L108" t="s">
        <v>8</v>
      </c>
      <c r="M108" t="s">
        <v>8</v>
      </c>
      <c r="N108" t="s">
        <v>8</v>
      </c>
      <c r="P108">
        <f t="shared" ref="P108" si="515">IF(C108=D108,0,((E108-D108)-(C108-E108))/(C108-D108))</f>
        <v>-0.92149532710280213</v>
      </c>
      <c r="Q108">
        <f t="shared" ref="Q108" si="516">F108*P108</f>
        <v>-29155561.095327053</v>
      </c>
      <c r="R108">
        <f t="shared" ref="R108" si="517">R109+Q108</f>
        <v>-744671228.22947729</v>
      </c>
      <c r="S108">
        <f t="shared" ref="S108" si="518">R108/100000</f>
        <v>-7446.7122822947731</v>
      </c>
      <c r="T108">
        <f t="shared" ref="T108" si="519">S108/1000</f>
        <v>-7.4467122822947731</v>
      </c>
    </row>
    <row r="109" spans="1:20" x14ac:dyDescent="0.25">
      <c r="A109" s="5">
        <v>44484</v>
      </c>
      <c r="B109">
        <v>0.2767</v>
      </c>
      <c r="C109">
        <v>0.30890000000000001</v>
      </c>
      <c r="D109">
        <v>0.27210000000000001</v>
      </c>
      <c r="E109">
        <v>0.29599999999999999</v>
      </c>
      <c r="F109">
        <v>29210479</v>
      </c>
      <c r="G109">
        <v>0.29599999999999999</v>
      </c>
      <c r="L109" t="s">
        <v>8</v>
      </c>
      <c r="M109" t="s">
        <v>7</v>
      </c>
      <c r="N109" t="s">
        <v>7</v>
      </c>
      <c r="P109">
        <f t="shared" ref="P109" si="520">IF(C109=D109,0,((E109-D109)-(C109-E109))/(C109-D109))</f>
        <v>0.29891304347825964</v>
      </c>
      <c r="Q109">
        <f t="shared" ref="Q109" si="521">F109*P109</f>
        <v>8731393.1793477908</v>
      </c>
      <c r="R109">
        <f t="shared" ref="R109" si="522">R110+Q109</f>
        <v>-715515667.13415027</v>
      </c>
      <c r="S109">
        <f t="shared" ref="S109" si="523">R109/100000</f>
        <v>-7155.1566713415023</v>
      </c>
      <c r="T109">
        <f t="shared" ref="T109" si="524">S109/1000</f>
        <v>-7.1551566713415022</v>
      </c>
    </row>
    <row r="110" spans="1:20" x14ac:dyDescent="0.25">
      <c r="A110" s="5">
        <v>44483</v>
      </c>
      <c r="B110">
        <v>0.27129999999999999</v>
      </c>
      <c r="C110">
        <v>0.28839999999999999</v>
      </c>
      <c r="D110">
        <v>0.26800000000000002</v>
      </c>
      <c r="E110">
        <v>0.2767</v>
      </c>
      <c r="F110">
        <v>10197409</v>
      </c>
      <c r="G110">
        <v>0.2767</v>
      </c>
      <c r="L110" t="s">
        <v>8</v>
      </c>
      <c r="M110" t="s">
        <v>7</v>
      </c>
      <c r="N110" t="s">
        <v>7</v>
      </c>
      <c r="P110">
        <f t="shared" ref="P110" si="525">IF(C110=D110,0,((E110-D110)-(C110-E110))/(C110-D110))</f>
        <v>-0.14705882352941207</v>
      </c>
      <c r="Q110">
        <f t="shared" ref="Q110" si="526">F110*P110</f>
        <v>-1499618.9705882384</v>
      </c>
      <c r="R110">
        <f t="shared" ref="R110" si="527">R111+Q110</f>
        <v>-724247060.31349802</v>
      </c>
      <c r="S110">
        <f t="shared" ref="S110" si="528">R110/100000</f>
        <v>-7242.4706031349806</v>
      </c>
      <c r="T110">
        <f t="shared" ref="T110" si="529">S110/1000</f>
        <v>-7.242470603134981</v>
      </c>
    </row>
    <row r="111" spans="1:20" x14ac:dyDescent="0.25">
      <c r="A111" s="5">
        <v>44482</v>
      </c>
      <c r="B111">
        <v>0.27189999999999998</v>
      </c>
      <c r="C111">
        <v>0.27750000000000002</v>
      </c>
      <c r="D111">
        <v>0.26700000000000002</v>
      </c>
      <c r="E111">
        <v>0.27050000000000002</v>
      </c>
      <c r="F111">
        <v>6164308</v>
      </c>
      <c r="G111">
        <v>0.27050000000000002</v>
      </c>
      <c r="L111" t="s">
        <v>7</v>
      </c>
      <c r="M111" t="s">
        <v>7</v>
      </c>
      <c r="N111" t="s">
        <v>7</v>
      </c>
      <c r="P111">
        <f t="shared" ref="P111" si="530">IF(C111=D111,0,((E111-D111)-(C111-E111))/(C111-D111))</f>
        <v>-0.33333333333333331</v>
      </c>
      <c r="Q111">
        <f t="shared" ref="Q111" si="531">F111*P111</f>
        <v>-2054769.3333333333</v>
      </c>
      <c r="R111">
        <f t="shared" ref="R111" si="532">R112+Q111</f>
        <v>-722747441.34290981</v>
      </c>
      <c r="S111">
        <f t="shared" ref="S111" si="533">R111/100000</f>
        <v>-7227.4744134290977</v>
      </c>
      <c r="T111">
        <f t="shared" ref="T111" si="534">S111/1000</f>
        <v>-7.227474413429098</v>
      </c>
    </row>
    <row r="112" spans="1:20" x14ac:dyDescent="0.25">
      <c r="A112" s="5">
        <v>44481</v>
      </c>
      <c r="B112">
        <v>0.28010000000000002</v>
      </c>
      <c r="C112">
        <v>0.28410000000000002</v>
      </c>
      <c r="D112">
        <v>0.2606</v>
      </c>
      <c r="E112">
        <v>0.27229999999999999</v>
      </c>
      <c r="F112">
        <v>7531905</v>
      </c>
      <c r="G112">
        <v>0.27229999999999999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-4.2553191489380603E-3</v>
      </c>
      <c r="Q112">
        <f t="shared" ref="Q112" si="536">F112*P112</f>
        <v>-32050.659574482321</v>
      </c>
      <c r="R112">
        <f t="shared" ref="R112" si="537">R113+Q112</f>
        <v>-720692672.00957644</v>
      </c>
      <c r="S112">
        <f t="shared" ref="S112" si="538">R112/100000</f>
        <v>-7206.9267200957647</v>
      </c>
      <c r="T112">
        <f t="shared" ref="T112" si="539">S112/1000</f>
        <v>-7.2069267200957645</v>
      </c>
    </row>
    <row r="113" spans="1:20" x14ac:dyDescent="0.25">
      <c r="A113" s="5">
        <v>44480</v>
      </c>
      <c r="B113">
        <v>0.28120000000000001</v>
      </c>
      <c r="C113">
        <v>0.2888</v>
      </c>
      <c r="D113">
        <v>0.27360000000000001</v>
      </c>
      <c r="E113">
        <v>0.27929999999999999</v>
      </c>
      <c r="F113">
        <v>6583297</v>
      </c>
      <c r="G113">
        <v>0.27929999999999999</v>
      </c>
      <c r="L113" t="s">
        <v>7</v>
      </c>
      <c r="M113" t="s">
        <v>8</v>
      </c>
      <c r="N113" t="s">
        <v>7</v>
      </c>
      <c r="P113">
        <f t="shared" ref="P113" si="540">IF(C113=D113,0,((E113-D113)-(C113-E113))/(C113-D113))</f>
        <v>-0.25000000000000183</v>
      </c>
      <c r="Q113">
        <f t="shared" ref="Q113" si="541">F113*P113</f>
        <v>-1645824.2500000121</v>
      </c>
      <c r="R113">
        <f t="shared" ref="R113" si="542">R114+Q113</f>
        <v>-720660621.35000193</v>
      </c>
      <c r="S113">
        <f t="shared" ref="S113" si="543">R113/100000</f>
        <v>-7206.6062135000193</v>
      </c>
      <c r="T113">
        <f t="shared" ref="T113" si="544">S113/1000</f>
        <v>-7.2066062135000193</v>
      </c>
    </row>
    <row r="114" spans="1:20" x14ac:dyDescent="0.25">
      <c r="A114" s="5">
        <v>44479</v>
      </c>
      <c r="B114">
        <v>0.29020000000000001</v>
      </c>
      <c r="C114">
        <v>0.30399999999999999</v>
      </c>
      <c r="D114">
        <v>0.2782</v>
      </c>
      <c r="E114">
        <v>0.28079999999999999</v>
      </c>
      <c r="F114">
        <v>16298424</v>
      </c>
      <c r="G114">
        <v>0.28079999999999999</v>
      </c>
      <c r="L114" t="s">
        <v>7</v>
      </c>
      <c r="M114" t="s">
        <v>8</v>
      </c>
      <c r="N114" t="s">
        <v>7</v>
      </c>
      <c r="P114">
        <f t="shared" ref="P114" si="545">IF(C114=D114,0,((E114-D114)-(C114-E114))/(C114-D114))</f>
        <v>-0.79844961240310142</v>
      </c>
      <c r="Q114">
        <f t="shared" ref="Q114" si="546">F114*P114</f>
        <v>-13013470.325581405</v>
      </c>
      <c r="R114">
        <f t="shared" ref="R114" si="547">R115+Q114</f>
        <v>-719014797.10000193</v>
      </c>
      <c r="S114">
        <f t="shared" ref="S114" si="548">R114/100000</f>
        <v>-7190.1479710000194</v>
      </c>
      <c r="T114">
        <f t="shared" ref="T114" si="549">S114/1000</f>
        <v>-7.1901479710000196</v>
      </c>
    </row>
    <row r="115" spans="1:20" x14ac:dyDescent="0.25">
      <c r="A115" s="5">
        <v>44478</v>
      </c>
      <c r="B115">
        <v>0.2823</v>
      </c>
      <c r="C115">
        <v>0.31480000000000002</v>
      </c>
      <c r="D115">
        <v>0.28079999999999999</v>
      </c>
      <c r="E115">
        <v>0.29020000000000001</v>
      </c>
      <c r="F115">
        <v>21010343</v>
      </c>
      <c r="G115">
        <v>0.29020000000000001</v>
      </c>
      <c r="L115" t="s">
        <v>8</v>
      </c>
      <c r="M115" t="s">
        <v>8</v>
      </c>
      <c r="N115" t="s">
        <v>7</v>
      </c>
      <c r="P115">
        <f t="shared" ref="P115" si="550">IF(C115=D115,0,((E115-D115)-(C115-E115))/(C115-D115))</f>
        <v>-0.44705882352941112</v>
      </c>
      <c r="Q115">
        <f t="shared" ref="Q115" si="551">F115*P115</f>
        <v>-9392859.2235293984</v>
      </c>
      <c r="R115">
        <f t="shared" ref="R115" si="552">R116+Q115</f>
        <v>-706001326.7744205</v>
      </c>
      <c r="S115">
        <f t="shared" ref="S115" si="553">R115/100000</f>
        <v>-7060.0132677442052</v>
      </c>
      <c r="T115">
        <f t="shared" ref="T115" si="554">S115/1000</f>
        <v>-7.0600132677442051</v>
      </c>
    </row>
    <row r="116" spans="1:20" x14ac:dyDescent="0.25">
      <c r="A116" s="5">
        <v>44477</v>
      </c>
      <c r="B116">
        <v>0.27610000000000001</v>
      </c>
      <c r="C116">
        <v>0.3</v>
      </c>
      <c r="D116">
        <v>0.27139999999999997</v>
      </c>
      <c r="E116">
        <v>0.28199999999999997</v>
      </c>
      <c r="F116">
        <v>20909616</v>
      </c>
      <c r="G116">
        <v>0.28199999999999997</v>
      </c>
      <c r="L116" t="s">
        <v>8</v>
      </c>
      <c r="M116" t="s">
        <v>8</v>
      </c>
      <c r="N116" t="s">
        <v>7</v>
      </c>
      <c r="P116">
        <f t="shared" ref="P116" si="555">IF(C116=D116,0,((E116-D116)-(C116-E116))/(C116-D116))</f>
        <v>-0.25874125874125925</v>
      </c>
      <c r="Q116">
        <f t="shared" ref="Q116" si="556">F116*P116</f>
        <v>-5410180.3636363745</v>
      </c>
      <c r="R116">
        <f t="shared" ref="R116" si="557">R117+Q116</f>
        <v>-696608467.55089116</v>
      </c>
      <c r="S116">
        <f t="shared" ref="S116" si="558">R116/100000</f>
        <v>-6966.0846755089115</v>
      </c>
      <c r="T116">
        <f t="shared" ref="T116" si="559">S116/1000</f>
        <v>-6.9660846755089114</v>
      </c>
    </row>
    <row r="117" spans="1:20" x14ac:dyDescent="0.25">
      <c r="A117" s="5">
        <v>44476</v>
      </c>
      <c r="B117">
        <v>0.26340000000000002</v>
      </c>
      <c r="C117">
        <v>0.28660000000000002</v>
      </c>
      <c r="D117">
        <v>0.2555</v>
      </c>
      <c r="E117">
        <v>0.27589999999999998</v>
      </c>
      <c r="F117">
        <v>18057313</v>
      </c>
      <c r="G117">
        <v>0.27589999999999998</v>
      </c>
      <c r="L117" t="s">
        <v>8</v>
      </c>
      <c r="M117" t="s">
        <v>8</v>
      </c>
      <c r="N117" t="s">
        <v>7</v>
      </c>
      <c r="P117">
        <f t="shared" ref="P117" si="560">IF(C117=D117,0,((E117-D117)-(C117-E117))/(C117-D117))</f>
        <v>0.31189710610932236</v>
      </c>
      <c r="Q117">
        <f t="shared" ref="Q117" si="561">F117*P117</f>
        <v>5632023.6688102465</v>
      </c>
      <c r="R117">
        <f t="shared" ref="R117" si="562">R118+Q117</f>
        <v>-691198287.18725479</v>
      </c>
      <c r="S117">
        <f t="shared" ref="S117" si="563">R117/100000</f>
        <v>-6911.9828718725475</v>
      </c>
      <c r="T117">
        <f t="shared" ref="T117" si="564">S117/1000</f>
        <v>-6.9119828718725476</v>
      </c>
    </row>
    <row r="118" spans="1:20" x14ac:dyDescent="0.25">
      <c r="A118" s="5">
        <v>44475</v>
      </c>
      <c r="B118">
        <v>0.2697</v>
      </c>
      <c r="C118">
        <v>0.27150000000000002</v>
      </c>
      <c r="D118">
        <v>0.252</v>
      </c>
      <c r="E118">
        <v>0.26340000000000002</v>
      </c>
      <c r="F118">
        <v>11408181</v>
      </c>
      <c r="G118">
        <v>0.26340000000000002</v>
      </c>
      <c r="L118" t="s">
        <v>7</v>
      </c>
      <c r="M118" t="s">
        <v>8</v>
      </c>
      <c r="N118" t="s">
        <v>7</v>
      </c>
      <c r="P118">
        <f t="shared" ref="P118" si="565">IF(C118=D118,0,((E118-D118)-(C118-E118))/(C118-D118))</f>
        <v>0.16923076923077038</v>
      </c>
      <c r="Q118">
        <f t="shared" ref="Q118" si="566">F118*P118</f>
        <v>1930615.2461538592</v>
      </c>
      <c r="R118">
        <f t="shared" ref="R118" si="567">R119+Q118</f>
        <v>-696830310.85606503</v>
      </c>
      <c r="S118">
        <f t="shared" ref="S118" si="568">R118/100000</f>
        <v>-6968.3031085606508</v>
      </c>
      <c r="T118">
        <f t="shared" ref="T118" si="569">S118/1000</f>
        <v>-6.9683031085606508</v>
      </c>
    </row>
    <row r="119" spans="1:20" x14ac:dyDescent="0.25">
      <c r="A119" s="5">
        <v>44474</v>
      </c>
      <c r="B119">
        <v>0.2641</v>
      </c>
      <c r="C119">
        <v>0.2752</v>
      </c>
      <c r="D119">
        <v>0.26179999999999998</v>
      </c>
      <c r="E119">
        <v>0.26950000000000002</v>
      </c>
      <c r="F119">
        <v>9671385</v>
      </c>
      <c r="G119">
        <v>0.26950000000000002</v>
      </c>
      <c r="L119" t="s">
        <v>7</v>
      </c>
      <c r="M119" t="s">
        <v>8</v>
      </c>
      <c r="N119" t="s">
        <v>7</v>
      </c>
      <c r="P119">
        <f t="shared" ref="P119" si="570">IF(C119=D119,0,((E119-D119)-(C119-E119))/(C119-D119))</f>
        <v>0.14925373134328759</v>
      </c>
      <c r="Q119">
        <f t="shared" ref="Q119" si="571">F119*P119</f>
        <v>1443490.2985075014</v>
      </c>
      <c r="R119">
        <f t="shared" ref="R119" si="572">R120+Q119</f>
        <v>-698760926.10221887</v>
      </c>
      <c r="S119">
        <f t="shared" ref="S119" si="573">R119/100000</f>
        <v>-6987.6092610221885</v>
      </c>
      <c r="T119">
        <f t="shared" ref="T119" si="574">S119/1000</f>
        <v>-6.9876092610221887</v>
      </c>
    </row>
    <row r="120" spans="1:20" x14ac:dyDescent="0.25">
      <c r="A120" s="5">
        <v>44473</v>
      </c>
      <c r="B120">
        <v>0.2737</v>
      </c>
      <c r="C120">
        <v>0.27600000000000002</v>
      </c>
      <c r="D120">
        <v>0.2586</v>
      </c>
      <c r="E120">
        <v>0.26469999999999999</v>
      </c>
      <c r="F120">
        <v>12397482</v>
      </c>
      <c r="G120">
        <v>0.26469999999999999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-0.29885057471264542</v>
      </c>
      <c r="Q120">
        <f t="shared" ref="Q120" si="576">F120*P120</f>
        <v>-3704994.6206896766</v>
      </c>
      <c r="R120">
        <f t="shared" ref="R120" si="577">R121+Q120</f>
        <v>-700204416.40072632</v>
      </c>
      <c r="S120">
        <f t="shared" ref="S120" si="578">R120/100000</f>
        <v>-7002.0441640072631</v>
      </c>
      <c r="T120">
        <f t="shared" ref="T120" si="579">S120/1000</f>
        <v>-7.0020441640072635</v>
      </c>
    </row>
    <row r="121" spans="1:20" x14ac:dyDescent="0.25">
      <c r="A121" s="5">
        <v>44472</v>
      </c>
      <c r="B121">
        <v>0.2742</v>
      </c>
      <c r="C121">
        <v>0.28499999999999998</v>
      </c>
      <c r="D121">
        <v>0.26800000000000002</v>
      </c>
      <c r="E121">
        <v>0.27379999999999999</v>
      </c>
      <c r="F121">
        <v>8547888</v>
      </c>
      <c r="G121">
        <v>0.27379999999999999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-0.31764705882353111</v>
      </c>
      <c r="Q121">
        <f t="shared" ref="Q121" si="581">F121*P121</f>
        <v>-2715211.4823529557</v>
      </c>
      <c r="R121">
        <f t="shared" ref="R121" si="582">R122+Q121</f>
        <v>-696499421.78003669</v>
      </c>
      <c r="S121">
        <f t="shared" ref="S121" si="583">R121/100000</f>
        <v>-6964.9942178003666</v>
      </c>
      <c r="T121">
        <f t="shared" ref="T121" si="584">S121/1000</f>
        <v>-6.964994217800367</v>
      </c>
    </row>
    <row r="122" spans="1:20" x14ac:dyDescent="0.25">
      <c r="A122" s="5">
        <v>44471</v>
      </c>
      <c r="B122">
        <v>0.26869999999999999</v>
      </c>
      <c r="C122">
        <v>0.2838</v>
      </c>
      <c r="D122">
        <v>0.26040000000000002</v>
      </c>
      <c r="E122">
        <v>0.27410000000000001</v>
      </c>
      <c r="F122">
        <v>13801093</v>
      </c>
      <c r="G122">
        <v>0.27410000000000001</v>
      </c>
      <c r="L122" t="s">
        <v>7</v>
      </c>
      <c r="M122" t="s">
        <v>8</v>
      </c>
      <c r="N122" t="s">
        <v>7</v>
      </c>
      <c r="P122">
        <f t="shared" ref="P122" si="585">IF(C122=D122,0,((E122-D122)-(C122-E122))/(C122-D122))</f>
        <v>0.17094017094017128</v>
      </c>
      <c r="Q122">
        <f t="shared" ref="Q122" si="586">F122*P122</f>
        <v>2359161.1965812012</v>
      </c>
      <c r="R122">
        <f t="shared" ref="R122" si="587">R123+Q122</f>
        <v>-693784210.29768372</v>
      </c>
      <c r="S122">
        <f t="shared" ref="S122" si="588">R122/100000</f>
        <v>-6937.8421029768369</v>
      </c>
      <c r="T122">
        <f t="shared" ref="T122" si="589">S122/1000</f>
        <v>-6.9378421029768367</v>
      </c>
    </row>
    <row r="123" spans="1:20" x14ac:dyDescent="0.25">
      <c r="A123" s="5">
        <v>44470</v>
      </c>
      <c r="B123">
        <v>0.2495</v>
      </c>
      <c r="C123">
        <v>0.28510000000000002</v>
      </c>
      <c r="D123">
        <v>0.24809999999999999</v>
      </c>
      <c r="E123">
        <v>0.26829999999999998</v>
      </c>
      <c r="F123">
        <v>23613252</v>
      </c>
      <c r="G123">
        <v>0.26829999999999998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9.189189189189069E-2</v>
      </c>
      <c r="Q123">
        <f t="shared" ref="Q123" si="591">F123*P123</f>
        <v>2169866.3999999715</v>
      </c>
      <c r="R123">
        <f t="shared" ref="R123" si="592">R124+Q123</f>
        <v>-696143371.49426496</v>
      </c>
      <c r="S123">
        <f t="shared" ref="S123" si="593">R123/100000</f>
        <v>-6961.4337149426492</v>
      </c>
      <c r="T123">
        <f t="shared" ref="T123" si="594">S123/1000</f>
        <v>-6.9614337149426495</v>
      </c>
    </row>
    <row r="124" spans="1:20" x14ac:dyDescent="0.25">
      <c r="A124" s="5">
        <v>44469</v>
      </c>
      <c r="B124">
        <v>0.23949999999999999</v>
      </c>
      <c r="C124">
        <v>0.25280000000000002</v>
      </c>
      <c r="D124">
        <v>0.23749999999999999</v>
      </c>
      <c r="E124">
        <v>0.24970000000000001</v>
      </c>
      <c r="F124">
        <v>13995116</v>
      </c>
      <c r="G124">
        <v>0.24970000000000001</v>
      </c>
      <c r="L124" t="s">
        <v>7</v>
      </c>
      <c r="M124" t="s">
        <v>7</v>
      </c>
      <c r="N124" t="s">
        <v>7</v>
      </c>
      <c r="P124">
        <f t="shared" ref="P124" si="595">IF(C124=D124,0,((E124-D124)-(C124-E124))/(C124-D124))</f>
        <v>0.5947712418300638</v>
      </c>
      <c r="Q124">
        <f t="shared" ref="Q124" si="596">F124*P124</f>
        <v>8323892.5228757951</v>
      </c>
      <c r="R124">
        <f t="shared" ref="R124" si="597">R125+Q124</f>
        <v>-698313237.89426494</v>
      </c>
      <c r="S124">
        <f t="shared" ref="S124" si="598">R124/100000</f>
        <v>-6983.1323789426497</v>
      </c>
      <c r="T124">
        <f t="shared" ref="T124" si="599">S124/1000</f>
        <v>-6.98313237894265</v>
      </c>
    </row>
    <row r="125" spans="1:20" x14ac:dyDescent="0.25">
      <c r="A125" s="5">
        <v>44468</v>
      </c>
      <c r="B125">
        <v>0.23580000000000001</v>
      </c>
      <c r="C125">
        <v>0.25679999999999997</v>
      </c>
      <c r="D125">
        <v>0.2316</v>
      </c>
      <c r="E125">
        <v>0.23930000000000001</v>
      </c>
      <c r="F125">
        <v>14334150</v>
      </c>
      <c r="G125">
        <v>0.23930000000000001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-0.38888888888888723</v>
      </c>
      <c r="Q125">
        <f t="shared" ref="Q125" si="601">F125*P125</f>
        <v>-5574391.6666666428</v>
      </c>
      <c r="R125">
        <f t="shared" ref="R125" si="602">R126+Q125</f>
        <v>-706637130.41714072</v>
      </c>
      <c r="S125">
        <f t="shared" ref="S125" si="603">R125/100000</f>
        <v>-7066.3713041714072</v>
      </c>
      <c r="T125">
        <f t="shared" ref="T125" si="604">S125/1000</f>
        <v>-7.0663713041714074</v>
      </c>
    </row>
    <row r="126" spans="1:20" x14ac:dyDescent="0.25">
      <c r="A126" s="5">
        <v>44467</v>
      </c>
      <c r="B126">
        <v>0.25669999999999998</v>
      </c>
      <c r="C126">
        <v>0.26469999999999999</v>
      </c>
      <c r="D126">
        <v>0.2334</v>
      </c>
      <c r="E126">
        <v>0.23580000000000001</v>
      </c>
      <c r="F126">
        <v>22730465</v>
      </c>
      <c r="G126">
        <v>0.23580000000000001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-0.84664536741213969</v>
      </c>
      <c r="Q126">
        <f t="shared" ref="Q126" si="606">F126*P126</f>
        <v>-19244642.891373783</v>
      </c>
      <c r="R126">
        <f t="shared" ref="R126" si="607">R127+Q126</f>
        <v>-701062738.7504741</v>
      </c>
      <c r="S126">
        <f t="shared" ref="S126" si="608">R126/100000</f>
        <v>-7010.6273875047409</v>
      </c>
      <c r="T126">
        <f t="shared" ref="T126" si="609">S126/1000</f>
        <v>-7.0106273875047407</v>
      </c>
    </row>
    <row r="127" spans="1:20" x14ac:dyDescent="0.25">
      <c r="A127" s="5">
        <v>44466</v>
      </c>
      <c r="B127">
        <v>0.28399999999999997</v>
      </c>
      <c r="C127">
        <v>0.29399999999999998</v>
      </c>
      <c r="D127">
        <v>0.25540000000000002</v>
      </c>
      <c r="E127">
        <v>0.25690000000000002</v>
      </c>
      <c r="F127">
        <v>28838100</v>
      </c>
      <c r="G127">
        <v>0.25690000000000002</v>
      </c>
      <c r="L127" t="s">
        <v>7</v>
      </c>
      <c r="M127" t="s">
        <v>7</v>
      </c>
      <c r="N127" t="s">
        <v>7</v>
      </c>
      <c r="P127">
        <f t="shared" ref="P127" si="610">IF(C127=D127,0,((E127-D127)-(C127-E127))/(C127-D127))</f>
        <v>-0.92227979274611382</v>
      </c>
      <c r="Q127">
        <f t="shared" ref="Q127" si="611">F127*P127</f>
        <v>-26596796.891191706</v>
      </c>
      <c r="R127">
        <f t="shared" ref="R127" si="612">R128+Q127</f>
        <v>-681818095.85910034</v>
      </c>
      <c r="S127">
        <f t="shared" ref="S127" si="613">R127/100000</f>
        <v>-6818.1809585910032</v>
      </c>
      <c r="T127">
        <f t="shared" ref="T127" si="614">S127/1000</f>
        <v>-6.8181809585910029</v>
      </c>
    </row>
    <row r="128" spans="1:20" x14ac:dyDescent="0.25">
      <c r="A128" s="5">
        <v>44465</v>
      </c>
      <c r="B128">
        <v>0.28470000000000001</v>
      </c>
      <c r="C128">
        <v>0.36930000000000002</v>
      </c>
      <c r="D128">
        <v>0.24829999999999999</v>
      </c>
      <c r="E128">
        <v>0.28470000000000001</v>
      </c>
      <c r="F128">
        <v>112470618</v>
      </c>
      <c r="G128">
        <v>0.28470000000000001</v>
      </c>
      <c r="L128" t="s">
        <v>8</v>
      </c>
      <c r="M128" t="s">
        <v>8</v>
      </c>
      <c r="N128" t="s">
        <v>8</v>
      </c>
      <c r="P128">
        <f t="shared" ref="P128" si="615">IF(C128=D128,0,((E128-D128)-(C128-E128))/(C128-D128))</f>
        <v>-0.39834710743801638</v>
      </c>
      <c r="Q128">
        <f t="shared" ref="Q128" si="616">F128*P128</f>
        <v>-44802345.3520661</v>
      </c>
      <c r="R128">
        <f t="shared" ref="R128" si="617">R129+Q128</f>
        <v>-655221298.96790862</v>
      </c>
      <c r="S128">
        <f t="shared" ref="S128" si="618">R128/100000</f>
        <v>-6552.2129896790866</v>
      </c>
      <c r="T128">
        <f t="shared" ref="T128" si="619">S128/1000</f>
        <v>-6.5522129896790862</v>
      </c>
    </row>
    <row r="129" spans="1:20" x14ac:dyDescent="0.25">
      <c r="A129" s="5">
        <v>44464</v>
      </c>
      <c r="B129">
        <v>0.24529999999999999</v>
      </c>
      <c r="C129">
        <v>0.31180000000000002</v>
      </c>
      <c r="D129">
        <v>0.2291</v>
      </c>
      <c r="E129">
        <v>0.28470000000000001</v>
      </c>
      <c r="F129">
        <v>78546897</v>
      </c>
      <c r="G129">
        <v>0.28470000000000001</v>
      </c>
      <c r="L129" t="s">
        <v>7</v>
      </c>
      <c r="M129" t="s">
        <v>7</v>
      </c>
      <c r="N129" t="s">
        <v>8</v>
      </c>
      <c r="P129">
        <f t="shared" ref="P129" si="620">IF(C129=D129,0,((E129-D129)-(C129-E129))/(C129-D129))</f>
        <v>0.34461910519951622</v>
      </c>
      <c r="Q129">
        <f t="shared" ref="Q129" si="621">F129*P129</f>
        <v>27068761.360338565</v>
      </c>
      <c r="R129">
        <f t="shared" ref="R129" si="622">R130+Q129</f>
        <v>-610418953.61584258</v>
      </c>
      <c r="S129">
        <f t="shared" ref="S129" si="623">R129/100000</f>
        <v>-6104.1895361584257</v>
      </c>
      <c r="T129">
        <f t="shared" ref="T129" si="624">S129/1000</f>
        <v>-6.104189536158426</v>
      </c>
    </row>
    <row r="130" spans="1:20" x14ac:dyDescent="0.25">
      <c r="A130" s="5">
        <v>44463</v>
      </c>
      <c r="B130">
        <v>0.27010000000000001</v>
      </c>
      <c r="C130">
        <v>0.27900000000000003</v>
      </c>
      <c r="D130">
        <v>0.23619999999999999</v>
      </c>
      <c r="E130">
        <v>0.2452</v>
      </c>
      <c r="F130">
        <v>15765017</v>
      </c>
      <c r="G130">
        <v>0.2452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-0.57943925233644855</v>
      </c>
      <c r="Q130">
        <f t="shared" ref="Q130" si="626">F130*P130</f>
        <v>-9134869.6635514013</v>
      </c>
      <c r="R130">
        <f t="shared" ref="R130" si="627">R131+Q130</f>
        <v>-637487714.97618115</v>
      </c>
      <c r="S130">
        <f t="shared" ref="S130" si="628">R130/100000</f>
        <v>-6374.8771497618118</v>
      </c>
      <c r="T130">
        <f t="shared" ref="T130" si="629">S130/1000</f>
        <v>-6.3748771497618115</v>
      </c>
    </row>
    <row r="131" spans="1:20" x14ac:dyDescent="0.25">
      <c r="A131" s="5">
        <v>44462</v>
      </c>
      <c r="B131">
        <v>0.26</v>
      </c>
      <c r="C131">
        <v>0.28870000000000001</v>
      </c>
      <c r="D131">
        <v>0.25219999999999998</v>
      </c>
      <c r="E131">
        <v>0.27010000000000001</v>
      </c>
      <c r="F131">
        <v>25904597</v>
      </c>
      <c r="G131">
        <v>0.27010000000000001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-1.9178082191780212E-2</v>
      </c>
      <c r="Q131">
        <f t="shared" ref="Q131" si="631">F131*P131</f>
        <v>-496800.49041094311</v>
      </c>
      <c r="R131">
        <f t="shared" ref="R131" si="632">R132+Q131</f>
        <v>-628352845.3126297</v>
      </c>
      <c r="S131">
        <f t="shared" ref="S131" si="633">R131/100000</f>
        <v>-6283.5284531262969</v>
      </c>
      <c r="T131">
        <f t="shared" ref="T131" si="634">S131/1000</f>
        <v>-6.2835284531262969</v>
      </c>
    </row>
    <row r="132" spans="1:20" x14ac:dyDescent="0.25">
      <c r="A132" s="5">
        <v>44461</v>
      </c>
      <c r="B132">
        <v>0.23</v>
      </c>
      <c r="C132">
        <v>0.2707</v>
      </c>
      <c r="D132">
        <v>0.2276</v>
      </c>
      <c r="E132">
        <v>0.26090000000000002</v>
      </c>
      <c r="F132">
        <v>20994818</v>
      </c>
      <c r="G132">
        <v>0.26090000000000002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0.54524361948956035</v>
      </c>
      <c r="Q132">
        <f t="shared" ref="Q132" si="636">F132*P132</f>
        <v>11447290.556844572</v>
      </c>
      <c r="R132">
        <f t="shared" ref="R132" si="637">R133+Q132</f>
        <v>-627856044.82221878</v>
      </c>
      <c r="S132">
        <f t="shared" ref="S132" si="638">R132/100000</f>
        <v>-6278.5604482221879</v>
      </c>
      <c r="T132">
        <f t="shared" ref="T132" si="639">S132/1000</f>
        <v>-6.278560448222188</v>
      </c>
    </row>
    <row r="133" spans="1:20" x14ac:dyDescent="0.25">
      <c r="A133" s="5">
        <v>44460</v>
      </c>
      <c r="B133">
        <v>0.24390000000000001</v>
      </c>
      <c r="C133">
        <v>0.25700000000000001</v>
      </c>
      <c r="D133">
        <v>0.21340000000000001</v>
      </c>
      <c r="E133">
        <v>0.22900000000000001</v>
      </c>
      <c r="F133">
        <v>14106858.9</v>
      </c>
      <c r="G133">
        <v>0.22900000000000001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-0.28440366972477049</v>
      </c>
      <c r="Q133">
        <f t="shared" ref="Q133" si="641">F133*P133</f>
        <v>-4012042.4394495394</v>
      </c>
      <c r="R133">
        <f t="shared" ref="R133" si="642">R134+Q133</f>
        <v>-639303335.37906337</v>
      </c>
      <c r="S133">
        <f t="shared" ref="S133" si="643">R133/100000</f>
        <v>-6393.0333537906336</v>
      </c>
      <c r="T133">
        <f t="shared" ref="T133" si="644">S133/1000</f>
        <v>-6.3930333537906332</v>
      </c>
    </row>
    <row r="134" spans="1:20" x14ac:dyDescent="0.25">
      <c r="A134" s="5">
        <v>44459</v>
      </c>
      <c r="B134">
        <v>0.29349999999999998</v>
      </c>
      <c r="C134">
        <v>0.29399999999999998</v>
      </c>
      <c r="D134">
        <v>0.26200000000000001</v>
      </c>
      <c r="E134">
        <v>0.26790000000000003</v>
      </c>
      <c r="F134">
        <v>6335621</v>
      </c>
      <c r="G134">
        <v>0.26790000000000003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-0.63124999999999865</v>
      </c>
      <c r="Q134">
        <f t="shared" ref="Q134" si="646">F134*P134</f>
        <v>-3999360.7562499912</v>
      </c>
      <c r="R134">
        <f t="shared" ref="R134" si="647">R135+Q134</f>
        <v>-635291292.93961382</v>
      </c>
      <c r="S134">
        <f t="shared" ref="S134" si="648">R134/100000</f>
        <v>-6352.9129293961378</v>
      </c>
      <c r="T134">
        <f t="shared" ref="T134" si="649">S134/1000</f>
        <v>-6.3529129293961377</v>
      </c>
    </row>
    <row r="135" spans="1:20" x14ac:dyDescent="0.25">
      <c r="A135" s="5">
        <v>44458</v>
      </c>
      <c r="B135">
        <v>0.29730000000000001</v>
      </c>
      <c r="C135">
        <v>0.33050000000000002</v>
      </c>
      <c r="D135">
        <v>0.28860000000000002</v>
      </c>
      <c r="E135">
        <v>0.29420000000000002</v>
      </c>
      <c r="F135">
        <v>25090599</v>
      </c>
      <c r="G135">
        <v>0.29420000000000002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-0.73269689737470189</v>
      </c>
      <c r="Q135">
        <f t="shared" ref="Q135" si="651">F135*P135</f>
        <v>-18383804.0405728</v>
      </c>
      <c r="R135">
        <f t="shared" ref="R135" si="652">R136+Q135</f>
        <v>-631291932.1833638</v>
      </c>
      <c r="S135">
        <f t="shared" ref="S135" si="653">R135/100000</f>
        <v>-6312.9193218336377</v>
      </c>
      <c r="T135">
        <f t="shared" ref="T135" si="654">S135/1000</f>
        <v>-6.3129193218336379</v>
      </c>
    </row>
    <row r="136" spans="1:20" x14ac:dyDescent="0.25">
      <c r="A136" s="5">
        <v>44457</v>
      </c>
      <c r="B136">
        <v>0.28110000000000002</v>
      </c>
      <c r="C136">
        <v>0.35</v>
      </c>
      <c r="D136">
        <v>0.2777</v>
      </c>
      <c r="E136">
        <v>0.29730000000000001</v>
      </c>
      <c r="F136">
        <v>24153347</v>
      </c>
      <c r="G136">
        <v>0.29730000000000001</v>
      </c>
      <c r="L136" t="s">
        <v>8</v>
      </c>
      <c r="M136" t="s">
        <v>8</v>
      </c>
      <c r="N136" t="s">
        <v>7</v>
      </c>
      <c r="P136">
        <f t="shared" ref="P136" si="655">IF(C136=D136,0,((E136-D136)-(C136-E136))/(C136-D136))</f>
        <v>-0.45781466113416286</v>
      </c>
      <c r="Q136">
        <f t="shared" ref="Q136" si="656">F136*P136</f>
        <v>-11057756.372060848</v>
      </c>
      <c r="R136">
        <f t="shared" ref="R136" si="657">R137+Q136</f>
        <v>-612908128.14279103</v>
      </c>
      <c r="S136">
        <f t="shared" ref="S136" si="658">R136/100000</f>
        <v>-6129.0812814279107</v>
      </c>
      <c r="T136">
        <f t="shared" ref="T136" si="659">S136/1000</f>
        <v>-6.1290812814279105</v>
      </c>
    </row>
    <row r="137" spans="1:20" x14ac:dyDescent="0.25">
      <c r="A137" s="5">
        <v>44456</v>
      </c>
      <c r="B137">
        <v>0.29859999999999998</v>
      </c>
      <c r="C137">
        <v>0.29949999999999999</v>
      </c>
      <c r="D137">
        <v>0.27689999999999998</v>
      </c>
      <c r="E137">
        <v>0.28129999999999999</v>
      </c>
      <c r="F137">
        <v>5930665</v>
      </c>
      <c r="G137">
        <v>0.28129999999999999</v>
      </c>
      <c r="L137" t="s">
        <v>7</v>
      </c>
      <c r="M137" t="s">
        <v>7</v>
      </c>
      <c r="N137" t="s">
        <v>7</v>
      </c>
      <c r="P137">
        <f t="shared" ref="P137" si="660">IF(C137=D137,0,((E137-D137)-(C137-E137))/(C137-D137))</f>
        <v>-0.61061946902654751</v>
      </c>
      <c r="Q137">
        <f t="shared" ref="Q137" si="661">F137*P137</f>
        <v>-3621379.5132743292</v>
      </c>
      <c r="R137">
        <f t="shared" ref="R137" si="662">R138+Q137</f>
        <v>-601850371.77073014</v>
      </c>
      <c r="S137">
        <f t="shared" ref="S137" si="663">R137/100000</f>
        <v>-6018.5037177073018</v>
      </c>
      <c r="T137">
        <f t="shared" ref="T137" si="664">S137/1000</f>
        <v>-6.0185037177073015</v>
      </c>
    </row>
    <row r="138" spans="1:20" x14ac:dyDescent="0.25">
      <c r="A138" s="5">
        <v>44455</v>
      </c>
      <c r="B138">
        <v>0.30449999999999999</v>
      </c>
      <c r="C138">
        <v>0.32140000000000002</v>
      </c>
      <c r="D138">
        <v>0.29149999999999998</v>
      </c>
      <c r="E138">
        <v>0.29880000000000001</v>
      </c>
      <c r="F138">
        <v>12874143</v>
      </c>
      <c r="G138">
        <v>0.29880000000000001</v>
      </c>
      <c r="L138" t="s">
        <v>8</v>
      </c>
      <c r="M138" t="s">
        <v>7</v>
      </c>
      <c r="N138" t="s">
        <v>7</v>
      </c>
      <c r="P138">
        <f t="shared" ref="P138" si="665">IF(C138=D138,0,((E138-D138)-(C138-E138))/(C138-D138))</f>
        <v>-0.51170568561872776</v>
      </c>
      <c r="Q138">
        <f t="shared" ref="Q138" si="666">F138*P138</f>
        <v>-6587772.1705685444</v>
      </c>
      <c r="R138">
        <f t="shared" ref="R138" si="667">R139+Q138</f>
        <v>-598228992.25745583</v>
      </c>
      <c r="S138">
        <f t="shared" ref="S138" si="668">R138/100000</f>
        <v>-5982.2899225745587</v>
      </c>
      <c r="T138">
        <f t="shared" ref="T138" si="669">S138/1000</f>
        <v>-5.9822899225745587</v>
      </c>
    </row>
    <row r="139" spans="1:20" x14ac:dyDescent="0.25">
      <c r="A139" s="5">
        <v>44454</v>
      </c>
      <c r="B139">
        <v>0.2923</v>
      </c>
      <c r="C139">
        <v>0.30740000000000001</v>
      </c>
      <c r="D139">
        <v>0.2893</v>
      </c>
      <c r="E139">
        <v>0.30409999999999998</v>
      </c>
      <c r="F139">
        <v>7421872</v>
      </c>
      <c r="G139">
        <v>0.30409999999999998</v>
      </c>
      <c r="L139" t="s">
        <v>8</v>
      </c>
      <c r="M139" t="s">
        <v>7</v>
      </c>
      <c r="N139" t="s">
        <v>7</v>
      </c>
      <c r="P139">
        <f t="shared" ref="P139" si="670">IF(C139=D139,0,((E139-D139)-(C139-E139))/(C139-D139))</f>
        <v>0.63535911602209671</v>
      </c>
      <c r="Q139">
        <f t="shared" ref="Q139" si="671">F139*P139</f>
        <v>4715554.0331491511</v>
      </c>
      <c r="R139">
        <f t="shared" ref="R139" si="672">R140+Q139</f>
        <v>-591641220.08688724</v>
      </c>
      <c r="S139">
        <f t="shared" ref="S139" si="673">R139/100000</f>
        <v>-5916.4122008688728</v>
      </c>
      <c r="T139">
        <f t="shared" ref="T139" si="674">S139/1000</f>
        <v>-5.9164122008688729</v>
      </c>
    </row>
    <row r="140" spans="1:20" x14ac:dyDescent="0.25">
      <c r="A140" s="5">
        <v>44453</v>
      </c>
      <c r="B140">
        <v>0.28270000000000001</v>
      </c>
      <c r="C140">
        <v>0.31</v>
      </c>
      <c r="D140">
        <v>0.27900000000000003</v>
      </c>
      <c r="E140">
        <v>0.29249999999999998</v>
      </c>
      <c r="F140">
        <v>10248243</v>
      </c>
      <c r="G140">
        <v>0.29249999999999998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-0.12903225806451815</v>
      </c>
      <c r="Q140">
        <f t="shared" ref="Q140" si="676">F140*P140</f>
        <v>-1322353.9354838917</v>
      </c>
      <c r="R140">
        <f t="shared" ref="R140" si="677">R141+Q140</f>
        <v>-596356774.12003636</v>
      </c>
      <c r="S140">
        <f t="shared" ref="S140" si="678">R140/100000</f>
        <v>-5963.5677412003633</v>
      </c>
      <c r="T140">
        <f t="shared" ref="T140" si="679">S140/1000</f>
        <v>-5.9635677412003636</v>
      </c>
    </row>
    <row r="141" spans="1:20" x14ac:dyDescent="0.25">
      <c r="A141" s="5">
        <v>44452</v>
      </c>
      <c r="B141">
        <v>0.30330000000000001</v>
      </c>
      <c r="C141">
        <v>0.30599999999999999</v>
      </c>
      <c r="D141">
        <v>0.26800000000000002</v>
      </c>
      <c r="E141">
        <v>0.28249999999999997</v>
      </c>
      <c r="F141">
        <v>12195311</v>
      </c>
      <c r="G141">
        <v>0.28249999999999997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-0.23684210526315971</v>
      </c>
      <c r="Q141">
        <f t="shared" ref="Q141" si="681">F141*P141</f>
        <v>-2888363.1315789698</v>
      </c>
      <c r="R141">
        <f t="shared" ref="R141" si="682">R142+Q141</f>
        <v>-595034420.18455243</v>
      </c>
      <c r="S141">
        <f t="shared" ref="S141" si="683">R141/100000</f>
        <v>-5950.3442018455244</v>
      </c>
      <c r="T141">
        <f t="shared" ref="T141" si="684">S141/1000</f>
        <v>-5.9503442018455246</v>
      </c>
    </row>
    <row r="142" spans="1:20" x14ac:dyDescent="0.25">
      <c r="A142" s="5">
        <v>44451</v>
      </c>
      <c r="B142">
        <v>0.30380000000000001</v>
      </c>
      <c r="C142">
        <v>0.32250000000000001</v>
      </c>
      <c r="D142">
        <v>0.29499999999999998</v>
      </c>
      <c r="E142">
        <v>0.3034</v>
      </c>
      <c r="F142">
        <v>11864685</v>
      </c>
      <c r="G142">
        <v>0.3034</v>
      </c>
      <c r="L142" t="s">
        <v>7</v>
      </c>
      <c r="M142" t="s">
        <v>8</v>
      </c>
      <c r="N142" t="s">
        <v>7</v>
      </c>
      <c r="P142">
        <f t="shared" ref="P142" si="685">IF(C142=D142,0,((E142-D142)-(C142-E142))/(C142-D142))</f>
        <v>-0.38909090909090827</v>
      </c>
      <c r="Q142">
        <f t="shared" ref="Q142" si="686">F142*P142</f>
        <v>-4616441.072727263</v>
      </c>
      <c r="R142">
        <f t="shared" ref="R142" si="687">R143+Q142</f>
        <v>-592146057.05297351</v>
      </c>
      <c r="S142">
        <f t="shared" ref="S142" si="688">R142/100000</f>
        <v>-5921.4605705297354</v>
      </c>
      <c r="T142">
        <f t="shared" ref="T142" si="689">S142/1000</f>
        <v>-5.9214605705297352</v>
      </c>
    </row>
    <row r="143" spans="1:20" x14ac:dyDescent="0.25">
      <c r="A143" s="5">
        <v>44450</v>
      </c>
      <c r="B143">
        <v>0.29470000000000002</v>
      </c>
      <c r="C143">
        <v>0.3236</v>
      </c>
      <c r="D143">
        <v>0.28739999999999999</v>
      </c>
      <c r="E143">
        <v>0.30380000000000001</v>
      </c>
      <c r="F143">
        <v>14703185</v>
      </c>
      <c r="G143">
        <v>0.30380000000000001</v>
      </c>
      <c r="L143" t="s">
        <v>8</v>
      </c>
      <c r="M143" t="s">
        <v>8</v>
      </c>
      <c r="N143" t="s">
        <v>7</v>
      </c>
      <c r="P143">
        <f t="shared" ref="P143" si="690">IF(C143=D143,0,((E143-D143)-(C143-E143))/(C143-D143))</f>
        <v>-9.3922651933700488E-2</v>
      </c>
      <c r="Q143">
        <f t="shared" ref="Q143" si="691">F143*P143</f>
        <v>-1380962.127071806</v>
      </c>
      <c r="R143">
        <f t="shared" ref="R143" si="692">R144+Q143</f>
        <v>-587529615.98024619</v>
      </c>
      <c r="S143">
        <f t="shared" ref="S143" si="693">R143/100000</f>
        <v>-5875.2961598024622</v>
      </c>
      <c r="T143">
        <f t="shared" ref="T143" si="694">S143/1000</f>
        <v>-5.8752961598024624</v>
      </c>
    </row>
    <row r="144" spans="1:20" x14ac:dyDescent="0.25">
      <c r="A144" s="5">
        <v>44449</v>
      </c>
      <c r="B144">
        <v>0.32</v>
      </c>
      <c r="C144">
        <v>0.33</v>
      </c>
      <c r="D144">
        <v>0.28320000000000001</v>
      </c>
      <c r="E144">
        <v>0.29459999999999997</v>
      </c>
      <c r="F144">
        <v>17313087</v>
      </c>
      <c r="G144">
        <v>0.29459999999999997</v>
      </c>
      <c r="L144" t="s">
        <v>7</v>
      </c>
      <c r="M144" t="s">
        <v>8</v>
      </c>
      <c r="N144" t="s">
        <v>7</v>
      </c>
      <c r="P144">
        <f t="shared" ref="P144" si="695">IF(C144=D144,0,((E144-D144)-(C144-E144))/(C144-D144))</f>
        <v>-0.51282051282051433</v>
      </c>
      <c r="Q144">
        <f t="shared" ref="Q144" si="696">F144*P144</f>
        <v>-8878506.1538461801</v>
      </c>
      <c r="R144">
        <f t="shared" ref="R144" si="697">R145+Q144</f>
        <v>-586148653.85317433</v>
      </c>
      <c r="S144">
        <f t="shared" ref="S144" si="698">R144/100000</f>
        <v>-5861.4865385317435</v>
      </c>
      <c r="T144">
        <f t="shared" ref="T144" si="699">S144/1000</f>
        <v>-5.8614865385317438</v>
      </c>
    </row>
    <row r="145" spans="1:20" x14ac:dyDescent="0.25">
      <c r="A145" s="5">
        <v>44448</v>
      </c>
      <c r="B145">
        <v>0.29420000000000002</v>
      </c>
      <c r="C145">
        <v>0.33</v>
      </c>
      <c r="D145">
        <v>0.27939999999999998</v>
      </c>
      <c r="E145">
        <v>0.32</v>
      </c>
      <c r="F145">
        <v>17667237</v>
      </c>
      <c r="G145">
        <v>0.32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0.60474308300395252</v>
      </c>
      <c r="Q145">
        <f t="shared" ref="Q145" si="701">F145*P145</f>
        <v>10684139.371541502</v>
      </c>
      <c r="R145">
        <f t="shared" ref="R145" si="702">R146+Q145</f>
        <v>-577270147.69932818</v>
      </c>
      <c r="S145">
        <f t="shared" ref="S145" si="703">R145/100000</f>
        <v>-5772.7014769932821</v>
      </c>
      <c r="T145">
        <f t="shared" ref="T145" si="704">S145/1000</f>
        <v>-5.7727014769932818</v>
      </c>
    </row>
    <row r="146" spans="1:20" x14ac:dyDescent="0.25">
      <c r="A146" s="5">
        <v>44447</v>
      </c>
      <c r="B146">
        <v>0.28520000000000001</v>
      </c>
      <c r="C146">
        <v>0.30599999999999999</v>
      </c>
      <c r="D146">
        <v>0.26100000000000001</v>
      </c>
      <c r="E146">
        <v>0.29420000000000002</v>
      </c>
      <c r="F146">
        <v>15891894</v>
      </c>
      <c r="G146">
        <v>0.29420000000000002</v>
      </c>
      <c r="L146" t="s">
        <v>8</v>
      </c>
      <c r="M146" t="s">
        <v>7</v>
      </c>
      <c r="N146" t="s">
        <v>7</v>
      </c>
      <c r="P146">
        <f t="shared" ref="P146" si="705">IF(C146=D146,0,((E146-D146)-(C146-E146))/(C146-D146))</f>
        <v>0.4755555555555564</v>
      </c>
      <c r="Q146">
        <f t="shared" ref="Q146" si="706">F146*P146</f>
        <v>7557478.4800000135</v>
      </c>
      <c r="R146">
        <f t="shared" ref="R146" si="707">R147+Q146</f>
        <v>-587954287.07086968</v>
      </c>
      <c r="S146">
        <f t="shared" ref="S146" si="708">R146/100000</f>
        <v>-5879.5428707086967</v>
      </c>
      <c r="T146">
        <f t="shared" ref="T146" si="709">S146/1000</f>
        <v>-5.879542870708697</v>
      </c>
    </row>
    <row r="147" spans="1:20" x14ac:dyDescent="0.25">
      <c r="A147" s="5">
        <v>44446</v>
      </c>
      <c r="B147">
        <v>0.34949999999999998</v>
      </c>
      <c r="C147">
        <v>0.37819999999999998</v>
      </c>
      <c r="D147">
        <v>0.2626</v>
      </c>
      <c r="E147">
        <v>0.2848</v>
      </c>
      <c r="F147">
        <v>40978327.399999999</v>
      </c>
      <c r="G147">
        <v>0.2848</v>
      </c>
      <c r="L147" t="s">
        <v>7</v>
      </c>
      <c r="M147" t="s">
        <v>8</v>
      </c>
      <c r="N147" t="s">
        <v>7</v>
      </c>
      <c r="P147">
        <f t="shared" ref="P147" si="710">IF(C147=D147,0,((E147-D147)-(C147-E147))/(C147-D147))</f>
        <v>-0.61591695501730104</v>
      </c>
      <c r="Q147">
        <f t="shared" ref="Q147" si="711">F147*P147</f>
        <v>-25239246.633910034</v>
      </c>
      <c r="R147">
        <f t="shared" ref="R147" si="712">R148+Q147</f>
        <v>-595511765.5508697</v>
      </c>
      <c r="S147">
        <f t="shared" ref="S147" si="713">R147/100000</f>
        <v>-5955.1176555086968</v>
      </c>
      <c r="T147">
        <f t="shared" ref="T147" si="714">S147/1000</f>
        <v>-5.9551176555086967</v>
      </c>
    </row>
    <row r="148" spans="1:20" x14ac:dyDescent="0.25">
      <c r="A148" s="5">
        <v>44445</v>
      </c>
      <c r="B148">
        <v>0.33329999999999999</v>
      </c>
      <c r="C148">
        <v>0.36359999999999998</v>
      </c>
      <c r="D148">
        <v>0.315</v>
      </c>
      <c r="E148">
        <v>0.34910000000000002</v>
      </c>
      <c r="F148">
        <v>25703789</v>
      </c>
      <c r="G148">
        <v>0.34910000000000002</v>
      </c>
      <c r="L148" t="s">
        <v>7</v>
      </c>
      <c r="M148" t="s">
        <v>8</v>
      </c>
      <c r="N148" t="s">
        <v>8</v>
      </c>
      <c r="P148">
        <f t="shared" ref="P148" si="715">IF(C148=D148,0,((E148-D148)-(C148-E148))/(C148-D148))</f>
        <v>0.40329218106996029</v>
      </c>
      <c r="Q148">
        <f t="shared" ref="Q148" si="716">F148*P148</f>
        <v>10366137.127572054</v>
      </c>
      <c r="R148">
        <f t="shared" ref="R148" si="717">R149+Q148</f>
        <v>-570272518.91695964</v>
      </c>
      <c r="S148">
        <f t="shared" ref="S148" si="718">R148/100000</f>
        <v>-5702.7251891695969</v>
      </c>
      <c r="T148">
        <f t="shared" ref="T148" si="719">S148/1000</f>
        <v>-5.7027251891695965</v>
      </c>
    </row>
    <row r="149" spans="1:20" x14ac:dyDescent="0.25">
      <c r="A149" s="5">
        <v>44444</v>
      </c>
      <c r="B149">
        <v>0.32319999999999999</v>
      </c>
      <c r="C149">
        <v>0.33939999999999998</v>
      </c>
      <c r="D149">
        <v>0.3206</v>
      </c>
      <c r="E149">
        <v>0.33329999999999999</v>
      </c>
      <c r="F149">
        <v>16479142</v>
      </c>
      <c r="G149">
        <v>0.33329999999999999</v>
      </c>
      <c r="L149" t="s">
        <v>7</v>
      </c>
      <c r="M149" t="s">
        <v>8</v>
      </c>
      <c r="N149" t="s">
        <v>8</v>
      </c>
      <c r="P149">
        <f t="shared" ref="P149" si="720">IF(C149=D149,0,((E149-D149)-(C149-E149))/(C149-D149))</f>
        <v>0.35106382978723405</v>
      </c>
      <c r="Q149">
        <f t="shared" ref="Q149" si="721">F149*P149</f>
        <v>5785230.7021276597</v>
      </c>
      <c r="R149">
        <f t="shared" ref="R149" si="722">R150+Q149</f>
        <v>-580638656.0445317</v>
      </c>
      <c r="S149">
        <f t="shared" ref="S149" si="723">R149/100000</f>
        <v>-5806.3865604453167</v>
      </c>
      <c r="T149">
        <f t="shared" ref="T149" si="724">S149/1000</f>
        <v>-5.8063865604453166</v>
      </c>
    </row>
    <row r="150" spans="1:20" x14ac:dyDescent="0.25">
      <c r="A150" s="5">
        <v>44443</v>
      </c>
      <c r="B150">
        <v>0.31259999999999999</v>
      </c>
      <c r="C150">
        <v>0.34499999999999997</v>
      </c>
      <c r="D150">
        <v>0.307</v>
      </c>
      <c r="E150">
        <v>0.3231</v>
      </c>
      <c r="F150">
        <v>24477096</v>
      </c>
      <c r="G150">
        <v>0.3231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-0.15263157894736776</v>
      </c>
      <c r="Q150">
        <f t="shared" ref="Q150" si="726">F150*P150</f>
        <v>-3735977.8105262998</v>
      </c>
      <c r="R150">
        <f t="shared" ref="R150" si="727">R151+Q150</f>
        <v>-586423886.7466594</v>
      </c>
      <c r="S150">
        <f t="shared" ref="S150" si="728">R150/100000</f>
        <v>-5864.2388674665935</v>
      </c>
      <c r="T150">
        <f t="shared" ref="T150" si="729">S150/1000</f>
        <v>-5.864238867466594</v>
      </c>
    </row>
    <row r="151" spans="1:20" x14ac:dyDescent="0.25">
      <c r="A151" s="5">
        <v>44442</v>
      </c>
      <c r="B151">
        <v>0.30430000000000001</v>
      </c>
      <c r="C151">
        <v>0.32300000000000001</v>
      </c>
      <c r="D151">
        <v>0.3</v>
      </c>
      <c r="E151">
        <v>0.31219999999999998</v>
      </c>
      <c r="F151">
        <v>12649389</v>
      </c>
      <c r="G151">
        <v>0.31219999999999998</v>
      </c>
      <c r="L151" t="s">
        <v>8</v>
      </c>
      <c r="M151" t="s">
        <v>7</v>
      </c>
      <c r="N151" t="s">
        <v>8</v>
      </c>
      <c r="P151">
        <f t="shared" ref="P151" si="730">IF(C151=D151,0,((E151-D151)-(C151-E151))/(C151-D151))</f>
        <v>6.0869565217389371E-2</v>
      </c>
      <c r="Q151">
        <f t="shared" ref="Q151" si="731">F151*P151</f>
        <v>769962.80869562773</v>
      </c>
      <c r="R151">
        <f t="shared" ref="R151" si="732">R152+Q151</f>
        <v>-582687908.93613315</v>
      </c>
      <c r="S151">
        <f t="shared" ref="S151" si="733">R151/100000</f>
        <v>-5826.8790893613314</v>
      </c>
      <c r="T151">
        <f t="shared" ref="T151" si="734">S151/1000</f>
        <v>-5.8268790893613316</v>
      </c>
    </row>
    <row r="152" spans="1:20" x14ac:dyDescent="0.25">
      <c r="A152" s="5">
        <v>44441</v>
      </c>
      <c r="B152">
        <v>0.31119999999999998</v>
      </c>
      <c r="C152">
        <v>0.318</v>
      </c>
      <c r="D152">
        <v>0.30199999999999999</v>
      </c>
      <c r="E152">
        <v>0.30409999999999998</v>
      </c>
      <c r="F152">
        <v>14523257</v>
      </c>
      <c r="G152">
        <v>0.30409999999999998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-0.73750000000000138</v>
      </c>
      <c r="Q152">
        <f t="shared" ref="Q152" si="736">F152*P152</f>
        <v>-10710902.03750002</v>
      </c>
      <c r="R152">
        <f t="shared" ref="R152" si="737">R153+Q152</f>
        <v>-583457871.74482882</v>
      </c>
      <c r="S152">
        <f t="shared" ref="S152" si="738">R152/100000</f>
        <v>-5834.5787174482884</v>
      </c>
      <c r="T152">
        <f t="shared" ref="T152" si="739">S152/1000</f>
        <v>-5.8345787174482888</v>
      </c>
    </row>
    <row r="153" spans="1:20" x14ac:dyDescent="0.25">
      <c r="A153" s="5">
        <v>44440</v>
      </c>
      <c r="B153">
        <v>0.30059999999999998</v>
      </c>
      <c r="C153">
        <v>0.317</v>
      </c>
      <c r="D153">
        <v>0.29299999999999998</v>
      </c>
      <c r="E153">
        <v>0.31030000000000002</v>
      </c>
      <c r="F153">
        <v>17477721</v>
      </c>
      <c r="G153">
        <v>0.31030000000000002</v>
      </c>
      <c r="L153" t="s">
        <v>7</v>
      </c>
      <c r="M153" t="s">
        <v>7</v>
      </c>
      <c r="N153" t="s">
        <v>8</v>
      </c>
      <c r="P153">
        <f t="shared" ref="P153" si="740">IF(C153=D153,0,((E153-D153)-(C153-E153))/(C153-D153))</f>
        <v>0.44166666666666854</v>
      </c>
      <c r="Q153">
        <f t="shared" ref="Q153" si="741">F153*P153</f>
        <v>7719326.775000033</v>
      </c>
      <c r="R153">
        <f t="shared" ref="R153" si="742">R154+Q153</f>
        <v>-572746969.7073288</v>
      </c>
      <c r="S153">
        <f t="shared" ref="S153" si="743">R153/100000</f>
        <v>-5727.4696970732875</v>
      </c>
      <c r="T153">
        <f t="shared" ref="T153" si="744">S153/1000</f>
        <v>-5.7274696970732872</v>
      </c>
    </row>
    <row r="154" spans="1:20" x14ac:dyDescent="0.25">
      <c r="A154" s="5">
        <v>44439</v>
      </c>
      <c r="B154">
        <v>0.2989</v>
      </c>
      <c r="C154">
        <v>0.34770000000000001</v>
      </c>
      <c r="D154">
        <v>0.29139999999999999</v>
      </c>
      <c r="E154">
        <v>0.30009999999999998</v>
      </c>
      <c r="F154">
        <v>55460225</v>
      </c>
      <c r="G154">
        <v>0.30009999999999998</v>
      </c>
      <c r="L154" t="s">
        <v>8</v>
      </c>
      <c r="M154" t="s">
        <v>7</v>
      </c>
      <c r="N154" t="s">
        <v>8</v>
      </c>
      <c r="P154">
        <f t="shared" ref="P154" si="745">IF(C154=D154,0,((E154-D154)-(C154-E154))/(C154-D154))</f>
        <v>-0.69094138543516936</v>
      </c>
      <c r="Q154">
        <f t="shared" ref="Q154" si="746">F154*P154</f>
        <v>-38319764.698046215</v>
      </c>
      <c r="R154">
        <f t="shared" ref="R154" si="747">R155+Q154</f>
        <v>-580466296.48232877</v>
      </c>
      <c r="S154">
        <f t="shared" ref="S154" si="748">R154/100000</f>
        <v>-5804.6629648232874</v>
      </c>
      <c r="T154">
        <f t="shared" ref="T154" si="749">S154/1000</f>
        <v>-5.8046629648232875</v>
      </c>
    </row>
    <row r="155" spans="1:20" x14ac:dyDescent="0.25">
      <c r="A155" s="5">
        <v>44438</v>
      </c>
      <c r="B155">
        <v>0.28639999999999999</v>
      </c>
      <c r="C155">
        <v>0.37540000000000001</v>
      </c>
      <c r="D155">
        <v>0.2702</v>
      </c>
      <c r="E155">
        <v>0.29909999999999998</v>
      </c>
      <c r="F155">
        <v>86329504.599999994</v>
      </c>
      <c r="G155">
        <v>0.29909999999999998</v>
      </c>
      <c r="L155" t="s">
        <v>7</v>
      </c>
      <c r="M155" t="s">
        <v>8</v>
      </c>
      <c r="N155" t="s">
        <v>8</v>
      </c>
      <c r="P155">
        <f t="shared" ref="P155" si="750">IF(C155=D155,0,((E155-D155)-(C155-E155))/(C155-D155))</f>
        <v>-0.45057034220532366</v>
      </c>
      <c r="Q155">
        <f t="shared" ref="Q155" si="751">F155*P155</f>
        <v>-38897514.430038057</v>
      </c>
      <c r="R155">
        <f t="shared" ref="R155" si="752">R156+Q155</f>
        <v>-542146531.78428257</v>
      </c>
      <c r="S155">
        <f t="shared" ref="S155" si="753">R155/100000</f>
        <v>-5421.4653178428252</v>
      </c>
      <c r="T155">
        <f t="shared" ref="T155" si="754">S155/1000</f>
        <v>-5.4214653178428254</v>
      </c>
    </row>
    <row r="156" spans="1:20" x14ac:dyDescent="0.25">
      <c r="A156" s="5">
        <v>44437</v>
      </c>
      <c r="B156">
        <v>0.28949999999999998</v>
      </c>
      <c r="C156">
        <v>0.29580000000000001</v>
      </c>
      <c r="D156">
        <v>0.27829999999999999</v>
      </c>
      <c r="E156">
        <v>0.28639999999999999</v>
      </c>
      <c r="F156">
        <v>15356703</v>
      </c>
      <c r="G156">
        <v>0.28639999999999999</v>
      </c>
      <c r="L156" t="s">
        <v>7</v>
      </c>
      <c r="M156" t="s">
        <v>8</v>
      </c>
      <c r="N156" t="s">
        <v>8</v>
      </c>
      <c r="P156">
        <f t="shared" ref="P156" si="755">IF(C156=D156,0,((E156-D156)-(C156-E156))/(C156-D156))</f>
        <v>-7.4285714285715551E-2</v>
      </c>
      <c r="Q156">
        <f t="shared" ref="Q156" si="756">F156*P156</f>
        <v>-1140783.6514285908</v>
      </c>
      <c r="R156">
        <f t="shared" ref="R156" si="757">R157+Q156</f>
        <v>-503249017.35424447</v>
      </c>
      <c r="S156">
        <f t="shared" ref="S156" si="758">R156/100000</f>
        <v>-5032.4901735424446</v>
      </c>
      <c r="T156">
        <f t="shared" ref="T156" si="759">S156/1000</f>
        <v>-5.0324901735424445</v>
      </c>
    </row>
    <row r="157" spans="1:20" x14ac:dyDescent="0.25">
      <c r="A157" s="5">
        <v>44436</v>
      </c>
      <c r="B157">
        <v>0.28199999999999997</v>
      </c>
      <c r="C157">
        <v>0.315</v>
      </c>
      <c r="D157">
        <v>0.27560000000000001</v>
      </c>
      <c r="E157">
        <v>0.28939999999999999</v>
      </c>
      <c r="F157">
        <v>28464208.5</v>
      </c>
      <c r="G157">
        <v>0.28939999999999999</v>
      </c>
      <c r="L157" t="s">
        <v>8</v>
      </c>
      <c r="M157" t="s">
        <v>8</v>
      </c>
      <c r="N157" t="s">
        <v>8</v>
      </c>
      <c r="P157">
        <f t="shared" ref="P157" si="760">IF(C157=D157,0,((E157-D157)-(C157-E157))/(C157-D157))</f>
        <v>-0.29949238578680293</v>
      </c>
      <c r="Q157">
        <f t="shared" ref="Q157" si="761">F157*P157</f>
        <v>-8524813.713197995</v>
      </c>
      <c r="R157">
        <f t="shared" ref="R157" si="762">R158+Q157</f>
        <v>-502108233.70281589</v>
      </c>
      <c r="S157">
        <f t="shared" ref="S157" si="763">R157/100000</f>
        <v>-5021.0823370281587</v>
      </c>
      <c r="T157">
        <f t="shared" ref="T157" si="764">S157/1000</f>
        <v>-5.021082337028159</v>
      </c>
    </row>
    <row r="158" spans="1:20" x14ac:dyDescent="0.25">
      <c r="A158" s="5">
        <v>44435</v>
      </c>
      <c r="B158">
        <v>0.26190000000000002</v>
      </c>
      <c r="C158">
        <v>0.29189999999999999</v>
      </c>
      <c r="D158">
        <v>0.25</v>
      </c>
      <c r="E158">
        <v>0.28170000000000001</v>
      </c>
      <c r="F158">
        <v>11416504.1</v>
      </c>
      <c r="G158">
        <v>0.28170000000000001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0.51312649164677859</v>
      </c>
      <c r="Q158">
        <f t="shared" ref="Q158" si="766">F158*P158</f>
        <v>5858110.6957040634</v>
      </c>
      <c r="R158">
        <f t="shared" ref="R158" si="767">R159+Q158</f>
        <v>-493583419.98961788</v>
      </c>
      <c r="S158">
        <f t="shared" ref="S158" si="768">R158/100000</f>
        <v>-4935.8341998961787</v>
      </c>
      <c r="T158">
        <f t="shared" ref="T158" si="769">S158/1000</f>
        <v>-4.9358341998961786</v>
      </c>
    </row>
    <row r="159" spans="1:20" x14ac:dyDescent="0.25">
      <c r="A159" s="5">
        <v>44434</v>
      </c>
      <c r="B159">
        <v>0.29019</v>
      </c>
      <c r="C159">
        <v>0.29859000000000002</v>
      </c>
      <c r="D159">
        <v>0.26150000000000001</v>
      </c>
      <c r="E159">
        <v>0.26190000000000002</v>
      </c>
      <c r="F159">
        <v>11326786.699999999</v>
      </c>
      <c r="G159">
        <v>0.26190000000000002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-0.97843084389323209</v>
      </c>
      <c r="Q159">
        <f t="shared" ref="Q159" si="771">F159*P159</f>
        <v>-11082477.469479637</v>
      </c>
      <c r="R159">
        <f t="shared" ref="R159" si="772">R160+Q159</f>
        <v>-499441530.68532193</v>
      </c>
      <c r="S159">
        <f t="shared" ref="S159" si="773">R159/100000</f>
        <v>-4994.4153068532196</v>
      </c>
      <c r="T159">
        <f t="shared" ref="T159" si="774">S159/1000</f>
        <v>-4.9944153068532193</v>
      </c>
    </row>
    <row r="160" spans="1:20" x14ac:dyDescent="0.25">
      <c r="A160" s="5">
        <v>44433</v>
      </c>
      <c r="B160">
        <v>0.28321000000000002</v>
      </c>
      <c r="C160">
        <v>0.30125000000000002</v>
      </c>
      <c r="D160">
        <v>0.26623000000000002</v>
      </c>
      <c r="E160">
        <v>0.29019</v>
      </c>
      <c r="F160">
        <v>13664382.9</v>
      </c>
      <c r="G160">
        <v>0.29019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0.3683609366076519</v>
      </c>
      <c r="Q160">
        <f t="shared" ref="Q160" si="776">F160*P160</f>
        <v>5033424.8832095824</v>
      </c>
      <c r="R160">
        <f t="shared" ref="R160" si="777">R161+Q160</f>
        <v>-488359053.21584231</v>
      </c>
      <c r="S160">
        <f t="shared" ref="S160" si="778">R160/100000</f>
        <v>-4883.5905321584232</v>
      </c>
      <c r="T160">
        <f t="shared" ref="T160" si="779">S160/1000</f>
        <v>-4.883590532158423</v>
      </c>
    </row>
    <row r="161" spans="1:20" x14ac:dyDescent="0.25">
      <c r="A161" s="5">
        <v>44432</v>
      </c>
      <c r="B161">
        <v>0.31173000000000001</v>
      </c>
      <c r="C161">
        <v>0.31900000000000001</v>
      </c>
      <c r="D161">
        <v>0.27731</v>
      </c>
      <c r="E161">
        <v>0.28255999999999998</v>
      </c>
      <c r="F161">
        <v>16871058.699999999</v>
      </c>
      <c r="G161">
        <v>0.28255999999999998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-0.7481410410170316</v>
      </c>
      <c r="Q161">
        <f t="shared" ref="Q161" si="781">F161*P161</f>
        <v>-12621931.418877447</v>
      </c>
      <c r="R161">
        <f t="shared" ref="R161" si="782">R162+Q161</f>
        <v>-493392478.09905189</v>
      </c>
      <c r="S161">
        <f t="shared" ref="S161" si="783">R161/100000</f>
        <v>-4933.9247809905191</v>
      </c>
      <c r="T161">
        <f t="shared" ref="T161" si="784">S161/1000</f>
        <v>-4.9339247809905196</v>
      </c>
    </row>
    <row r="162" spans="1:20" x14ac:dyDescent="0.25">
      <c r="A162" s="5">
        <v>44431</v>
      </c>
      <c r="B162">
        <v>0.31018000000000001</v>
      </c>
      <c r="C162">
        <v>0.32090000000000002</v>
      </c>
      <c r="D162">
        <v>0.30043999999999998</v>
      </c>
      <c r="E162">
        <v>0.31241999999999998</v>
      </c>
      <c r="F162">
        <v>17859257.600000001</v>
      </c>
      <c r="G162">
        <v>0.31241999999999998</v>
      </c>
      <c r="L162" t="s">
        <v>7</v>
      </c>
      <c r="M162" t="s">
        <v>8</v>
      </c>
      <c r="N162" t="s">
        <v>8</v>
      </c>
      <c r="P162">
        <f t="shared" ref="P162" si="785">IF(C162=D162,0,((E162-D162)-(C162-E162))/(C162-D162))</f>
        <v>0.17106549364613596</v>
      </c>
      <c r="Q162">
        <f t="shared" ref="Q162" si="786">F162*P162</f>
        <v>3055102.7174975057</v>
      </c>
      <c r="R162">
        <f t="shared" ref="R162" si="787">R163+Q162</f>
        <v>-480770546.68017447</v>
      </c>
      <c r="S162">
        <f t="shared" ref="S162" si="788">R162/100000</f>
        <v>-4807.7054668017445</v>
      </c>
      <c r="T162">
        <f t="shared" ref="T162" si="789">S162/1000</f>
        <v>-4.8077054668017443</v>
      </c>
    </row>
    <row r="163" spans="1:20" x14ac:dyDescent="0.25">
      <c r="A163" s="5">
        <v>44430</v>
      </c>
      <c r="B163">
        <v>0.30548999999999998</v>
      </c>
      <c r="C163">
        <v>0.31344</v>
      </c>
      <c r="D163">
        <v>0.30499999999999999</v>
      </c>
      <c r="E163">
        <v>0.30993999999999999</v>
      </c>
      <c r="F163">
        <v>1663980.1</v>
      </c>
      <c r="G163">
        <v>0.30993999999999999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0.1706161137440754</v>
      </c>
      <c r="Q163">
        <f t="shared" ref="Q163" si="791">F163*P163</f>
        <v>283901.81800947798</v>
      </c>
      <c r="R163">
        <f t="shared" ref="R163" si="792">R164+Q163</f>
        <v>-483825649.397672</v>
      </c>
      <c r="S163">
        <f t="shared" ref="S163" si="793">R163/100000</f>
        <v>-4838.2564939767199</v>
      </c>
      <c r="T163">
        <f t="shared" ref="T163" si="794">S163/1000</f>
        <v>-4.8382564939767203</v>
      </c>
    </row>
    <row r="164" spans="1:20" x14ac:dyDescent="0.25">
      <c r="A164" s="5">
        <v>44429</v>
      </c>
      <c r="B164">
        <v>0.30768000000000001</v>
      </c>
      <c r="C164">
        <v>0.32639000000000001</v>
      </c>
      <c r="D164">
        <v>0.29949999999999999</v>
      </c>
      <c r="E164">
        <v>0.30549999999999999</v>
      </c>
      <c r="F164">
        <v>15741243.300000001</v>
      </c>
      <c r="G164">
        <v>0.30549999999999999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-0.55373744886574938</v>
      </c>
      <c r="Q164">
        <f t="shared" ref="Q164" si="796">F164*P164</f>
        <v>-8716515.906917071</v>
      </c>
      <c r="R164">
        <f t="shared" ref="R164" si="797">R165+Q164</f>
        <v>-484109551.21568149</v>
      </c>
      <c r="S164">
        <f t="shared" ref="S164" si="798">R164/100000</f>
        <v>-4841.0955121568149</v>
      </c>
      <c r="T164">
        <f t="shared" ref="T164" si="799">S164/1000</f>
        <v>-4.8410955121568149</v>
      </c>
    </row>
    <row r="165" spans="1:20" x14ac:dyDescent="0.25">
      <c r="A165" s="5">
        <v>44428</v>
      </c>
      <c r="B165">
        <v>0.31180000000000002</v>
      </c>
      <c r="C165">
        <v>0.31490000000000001</v>
      </c>
      <c r="D165">
        <v>0.29898999999999998</v>
      </c>
      <c r="E165">
        <v>0.30679000000000001</v>
      </c>
      <c r="F165">
        <v>14343719.1</v>
      </c>
      <c r="G165">
        <v>0.30679000000000001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-1.9484600879948227E-2</v>
      </c>
      <c r="Q165">
        <f t="shared" ref="Q165" si="801">F165*P165</f>
        <v>-279481.64179759019</v>
      </c>
      <c r="R165">
        <f t="shared" ref="R165" si="802">R166+Q165</f>
        <v>-475393035.3087644</v>
      </c>
      <c r="S165">
        <f t="shared" ref="S165" si="803">R165/100000</f>
        <v>-4753.9303530876441</v>
      </c>
      <c r="T165">
        <f t="shared" ref="T165" si="804">S165/1000</f>
        <v>-4.753930353087644</v>
      </c>
    </row>
    <row r="166" spans="1:20" x14ac:dyDescent="0.25">
      <c r="A166" s="5">
        <v>44427</v>
      </c>
      <c r="B166">
        <v>0.27961000000000003</v>
      </c>
      <c r="C166">
        <v>0.31490000000000001</v>
      </c>
      <c r="D166">
        <v>0.26937</v>
      </c>
      <c r="E166">
        <v>0.31186999999999998</v>
      </c>
      <c r="F166">
        <v>20519558.399999999</v>
      </c>
      <c r="G166">
        <v>0.31186999999999998</v>
      </c>
      <c r="L166" t="s">
        <v>8</v>
      </c>
      <c r="M166" t="s">
        <v>8</v>
      </c>
      <c r="N166" t="s">
        <v>8</v>
      </c>
      <c r="P166">
        <f t="shared" ref="P166" si="805">IF(C166=D166,0,((E166-D166)-(C166-E166))/(C166-D166))</f>
        <v>0.86690094443224108</v>
      </c>
      <c r="Q166">
        <f t="shared" ref="Q166" si="806">F166*P166</f>
        <v>17788424.556292523</v>
      </c>
      <c r="R166">
        <f t="shared" ref="R166" si="807">R167+Q166</f>
        <v>-475113553.6669668</v>
      </c>
      <c r="S166">
        <f t="shared" ref="S166" si="808">R166/100000</f>
        <v>-4751.135536669668</v>
      </c>
      <c r="T166">
        <f t="shared" ref="T166" si="809">S166/1000</f>
        <v>-4.7511355366696684</v>
      </c>
    </row>
    <row r="167" spans="1:20" x14ac:dyDescent="0.25">
      <c r="A167" s="5">
        <v>44426</v>
      </c>
      <c r="B167">
        <v>0.28100000000000003</v>
      </c>
      <c r="C167">
        <v>0.29953999999999997</v>
      </c>
      <c r="D167">
        <v>0.26579999999999998</v>
      </c>
      <c r="E167">
        <v>0.28000999999999998</v>
      </c>
      <c r="F167">
        <v>14732625.199999999</v>
      </c>
      <c r="G167">
        <v>0.28000999999999998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-0.15767634854771762</v>
      </c>
      <c r="Q167">
        <f t="shared" ref="Q167" si="811">F167*P167</f>
        <v>-2322986.5460580876</v>
      </c>
      <c r="R167">
        <f t="shared" ref="R167" si="812">R168+Q167</f>
        <v>-492901978.22325933</v>
      </c>
      <c r="S167">
        <f t="shared" ref="S167" si="813">R167/100000</f>
        <v>-4929.0197822325936</v>
      </c>
      <c r="T167">
        <f t="shared" ref="T167" si="814">S167/1000</f>
        <v>-4.9290197822325936</v>
      </c>
    </row>
    <row r="168" spans="1:20" x14ac:dyDescent="0.25">
      <c r="A168" s="5">
        <v>44425</v>
      </c>
      <c r="B168">
        <v>0.31067</v>
      </c>
      <c r="C168">
        <v>0.32103999999999999</v>
      </c>
      <c r="D168">
        <v>0.27561000000000002</v>
      </c>
      <c r="E168">
        <v>0.28083999999999998</v>
      </c>
      <c r="F168">
        <v>22721793.300000001</v>
      </c>
      <c r="G168">
        <v>0.28083999999999998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-0.76975566806075457</v>
      </c>
      <c r="Q168">
        <f t="shared" ref="Q168" si="816">F168*P168</f>
        <v>-17490229.181179877</v>
      </c>
      <c r="R168">
        <f t="shared" ref="R168" si="817">R169+Q168</f>
        <v>-490578991.67720127</v>
      </c>
      <c r="S168">
        <f t="shared" ref="S168" si="818">R168/100000</f>
        <v>-4905.7899167720125</v>
      </c>
      <c r="T168">
        <f t="shared" ref="T168" si="819">S168/1000</f>
        <v>-4.9057899167720125</v>
      </c>
    </row>
    <row r="169" spans="1:20" x14ac:dyDescent="0.25">
      <c r="A169" s="5">
        <v>44424</v>
      </c>
      <c r="B169">
        <v>0.31717000000000001</v>
      </c>
      <c r="C169">
        <v>0.3453</v>
      </c>
      <c r="D169">
        <v>0.30775000000000002</v>
      </c>
      <c r="E169">
        <v>0.31035000000000001</v>
      </c>
      <c r="F169">
        <v>28310082.5</v>
      </c>
      <c r="G169">
        <v>0.31035000000000001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-0.86151797603195779</v>
      </c>
      <c r="Q169">
        <f t="shared" ref="Q169" si="821">F169*P169</f>
        <v>-24389644.976697747</v>
      </c>
      <c r="R169">
        <f t="shared" ref="R169" si="822">R170+Q169</f>
        <v>-473088762.49602139</v>
      </c>
      <c r="S169">
        <f t="shared" ref="S169" si="823">R169/100000</f>
        <v>-4730.8876249602135</v>
      </c>
      <c r="T169">
        <f t="shared" ref="T169" si="824">S169/1000</f>
        <v>-4.7308876249602134</v>
      </c>
    </row>
    <row r="170" spans="1:20" x14ac:dyDescent="0.25">
      <c r="A170" s="5">
        <v>44423</v>
      </c>
      <c r="B170">
        <v>0.31244</v>
      </c>
      <c r="C170">
        <v>0.32229999999999998</v>
      </c>
      <c r="D170">
        <v>0.29622999999999999</v>
      </c>
      <c r="E170">
        <v>0.31790000000000002</v>
      </c>
      <c r="F170">
        <v>18520713.5</v>
      </c>
      <c r="G170">
        <v>0.31790000000000002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0.66244725738396915</v>
      </c>
      <c r="Q170">
        <f t="shared" ref="Q170" si="826">F170*P170</f>
        <v>12268995.862869252</v>
      </c>
      <c r="R170">
        <f t="shared" ref="R170" si="827">R171+Q170</f>
        <v>-448699117.51932365</v>
      </c>
      <c r="S170">
        <f t="shared" ref="S170" si="828">R170/100000</f>
        <v>-4486.9911751932368</v>
      </c>
      <c r="T170">
        <f t="shared" ref="T170" si="829">S170/1000</f>
        <v>-4.4869911751932365</v>
      </c>
    </row>
    <row r="171" spans="1:20" x14ac:dyDescent="0.25">
      <c r="A171" s="5">
        <v>44422</v>
      </c>
      <c r="B171">
        <v>0.32017000000000001</v>
      </c>
      <c r="C171">
        <v>0.32783000000000001</v>
      </c>
      <c r="D171">
        <v>0.30395</v>
      </c>
      <c r="E171">
        <v>0.31244</v>
      </c>
      <c r="F171">
        <v>24888854.300000001</v>
      </c>
      <c r="G171">
        <v>0.31244</v>
      </c>
      <c r="L171" t="s">
        <v>7</v>
      </c>
      <c r="M171" t="s">
        <v>8</v>
      </c>
      <c r="N171" t="s">
        <v>8</v>
      </c>
      <c r="P171">
        <f t="shared" ref="P171" si="830">IF(C171=D171,0,((E171-D171)-(C171-E171))/(C171-D171))</f>
        <v>-0.28894472361809104</v>
      </c>
      <c r="Q171">
        <f t="shared" ref="Q171" si="831">F171*P171</f>
        <v>-7191503.1268844372</v>
      </c>
      <c r="R171">
        <f t="shared" ref="R171" si="832">R172+Q171</f>
        <v>-460968113.38219291</v>
      </c>
      <c r="S171">
        <f t="shared" ref="S171" si="833">R171/100000</f>
        <v>-4609.6811338219295</v>
      </c>
      <c r="T171">
        <f t="shared" ref="T171" si="834">S171/1000</f>
        <v>-4.6096811338219297</v>
      </c>
    </row>
    <row r="172" spans="1:20" x14ac:dyDescent="0.25">
      <c r="A172" s="5">
        <v>44421</v>
      </c>
      <c r="B172">
        <v>0.29399999999999998</v>
      </c>
      <c r="C172">
        <v>0.34300999999999998</v>
      </c>
      <c r="D172">
        <v>0.29139999999999999</v>
      </c>
      <c r="E172">
        <v>0.32035000000000002</v>
      </c>
      <c r="F172">
        <v>38531679.200000003</v>
      </c>
      <c r="G172">
        <v>0.32035000000000002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0.12187560550281099</v>
      </c>
      <c r="Q172">
        <f t="shared" ref="Q172" si="836">F172*P172</f>
        <v>4696071.7335400684</v>
      </c>
      <c r="R172">
        <f t="shared" ref="R172" si="837">R173+Q172</f>
        <v>-453776610.25530845</v>
      </c>
      <c r="S172">
        <f t="shared" ref="S172" si="838">R172/100000</f>
        <v>-4537.7661025530842</v>
      </c>
      <c r="T172">
        <f t="shared" ref="T172" si="839">S172/1000</f>
        <v>-4.5377661025530847</v>
      </c>
    </row>
    <row r="173" spans="1:20" x14ac:dyDescent="0.25">
      <c r="A173" s="5">
        <v>44420</v>
      </c>
      <c r="B173">
        <v>0.29849999999999999</v>
      </c>
      <c r="C173">
        <v>0.32800000000000001</v>
      </c>
      <c r="D173">
        <v>0.28122000000000003</v>
      </c>
      <c r="E173">
        <v>0.29386000000000001</v>
      </c>
      <c r="F173">
        <v>37569299.200000003</v>
      </c>
      <c r="G173">
        <v>0.29386000000000001</v>
      </c>
      <c r="L173" t="s">
        <v>7</v>
      </c>
      <c r="M173" t="s">
        <v>7</v>
      </c>
      <c r="N173" t="s">
        <v>8</v>
      </c>
      <c r="P173">
        <f t="shared" ref="P173" si="840">IF(C173=D173,0,((E173-D173)-(C173-E173))/(C173-D173))</f>
        <v>-0.4595981188542117</v>
      </c>
      <c r="Q173">
        <f t="shared" ref="Q173" si="841">F173*P173</f>
        <v>-17266779.238991041</v>
      </c>
      <c r="R173">
        <f t="shared" ref="R173" si="842">R174+Q173</f>
        <v>-458472681.98884851</v>
      </c>
      <c r="S173">
        <f t="shared" ref="S173" si="843">R173/100000</f>
        <v>-4584.7268198884849</v>
      </c>
      <c r="T173">
        <f t="shared" ref="T173" si="844">S173/1000</f>
        <v>-4.584726819888485</v>
      </c>
    </row>
    <row r="174" spans="1:20" x14ac:dyDescent="0.25">
      <c r="A174" s="5">
        <v>44419</v>
      </c>
      <c r="B174">
        <v>0.27306999999999998</v>
      </c>
      <c r="C174">
        <v>0.34794000000000003</v>
      </c>
      <c r="D174">
        <v>0.27055000000000001</v>
      </c>
      <c r="E174">
        <v>0.29942999999999997</v>
      </c>
      <c r="F174">
        <v>84486888.599999994</v>
      </c>
      <c r="G174">
        <v>0.29942999999999997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-0.25365034242150264</v>
      </c>
      <c r="Q174">
        <f t="shared" ref="Q174" si="846">F174*P174</f>
        <v>-21430128.223517347</v>
      </c>
      <c r="R174">
        <f t="shared" ref="R174" si="847">R175+Q174</f>
        <v>-441205902.74985749</v>
      </c>
      <c r="S174">
        <f t="shared" ref="S174" si="848">R174/100000</f>
        <v>-4412.0590274985752</v>
      </c>
      <c r="T174">
        <f t="shared" ref="T174" si="849">S174/1000</f>
        <v>-4.4120590274985751</v>
      </c>
    </row>
    <row r="175" spans="1:20" x14ac:dyDescent="0.25">
      <c r="A175" s="5">
        <v>44418</v>
      </c>
      <c r="B175">
        <v>0.27429999999999999</v>
      </c>
      <c r="C175">
        <v>0.27915000000000001</v>
      </c>
      <c r="D175">
        <v>0.26323999999999997</v>
      </c>
      <c r="E175">
        <v>0.27306999999999998</v>
      </c>
      <c r="F175">
        <v>21896739.800000001</v>
      </c>
      <c r="G175">
        <v>0.27306999999999998</v>
      </c>
      <c r="L175" t="s">
        <v>8</v>
      </c>
      <c r="M175" t="s">
        <v>7</v>
      </c>
      <c r="N175" t="s">
        <v>8</v>
      </c>
      <c r="P175">
        <f t="shared" ref="P175" si="850">IF(C175=D175,0,((E175-D175)-(C175-E175))/(C175-D175))</f>
        <v>0.23570081709616389</v>
      </c>
      <c r="Q175">
        <f t="shared" ref="Q175" si="851">F175*P175</f>
        <v>5161079.4626020929</v>
      </c>
      <c r="R175">
        <f t="shared" ref="R175" si="852">R176+Q175</f>
        <v>-419775774.52634013</v>
      </c>
      <c r="S175">
        <f t="shared" ref="S175" si="853">R175/100000</f>
        <v>-4197.7577452634014</v>
      </c>
      <c r="T175">
        <f t="shared" ref="T175" si="854">S175/1000</f>
        <v>-4.1977577452634014</v>
      </c>
    </row>
    <row r="176" spans="1:20" x14ac:dyDescent="0.25">
      <c r="A176" s="5">
        <v>44417</v>
      </c>
      <c r="B176">
        <v>0.25241000000000002</v>
      </c>
      <c r="C176">
        <v>0.32719999999999999</v>
      </c>
      <c r="D176">
        <v>0.24412</v>
      </c>
      <c r="E176">
        <v>0.27442</v>
      </c>
      <c r="F176">
        <v>93059279.400000006</v>
      </c>
      <c r="G176">
        <v>0.27442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-0.27058257101588834</v>
      </c>
      <c r="Q176">
        <f t="shared" ref="Q176" si="856">F176*P176</f>
        <v>-25180219.076937895</v>
      </c>
      <c r="R176">
        <f t="shared" ref="R176" si="857">R177+Q176</f>
        <v>-424936853.98894221</v>
      </c>
      <c r="S176">
        <f t="shared" ref="S176" si="858">R176/100000</f>
        <v>-4249.3685398894222</v>
      </c>
      <c r="T176">
        <f t="shared" ref="T176" si="859">S176/1000</f>
        <v>-4.2493685398894225</v>
      </c>
    </row>
    <row r="177" spans="1:20" x14ac:dyDescent="0.25">
      <c r="A177" s="5">
        <v>44416</v>
      </c>
      <c r="B177">
        <v>0.28795999999999999</v>
      </c>
      <c r="C177">
        <v>0.28910000000000002</v>
      </c>
      <c r="D177">
        <v>0.24615999999999999</v>
      </c>
      <c r="E177">
        <v>0.25179000000000001</v>
      </c>
      <c r="F177">
        <v>26041822.699999999</v>
      </c>
      <c r="G177">
        <v>0.25179000000000001</v>
      </c>
      <c r="L177" t="s">
        <v>7</v>
      </c>
      <c r="M177" t="s">
        <v>7</v>
      </c>
      <c r="N177" t="s">
        <v>8</v>
      </c>
      <c r="P177">
        <f t="shared" ref="P177" si="860">IF(C177=D177,0,((E177-D177)-(C177-E177))/(C177-D177))</f>
        <v>-0.73777363763390691</v>
      </c>
      <c r="Q177">
        <f t="shared" ref="Q177" si="861">F177*P177</f>
        <v>-19212970.263996251</v>
      </c>
      <c r="R177">
        <f t="shared" ref="R177" si="862">R178+Q177</f>
        <v>-399756634.91200429</v>
      </c>
      <c r="S177">
        <f t="shared" ref="S177" si="863">R177/100000</f>
        <v>-3997.566349120043</v>
      </c>
      <c r="T177">
        <f t="shared" ref="T177" si="864">S177/1000</f>
        <v>-3.997566349120043</v>
      </c>
    </row>
    <row r="178" spans="1:20" x14ac:dyDescent="0.25">
      <c r="A178" s="5">
        <v>44415</v>
      </c>
      <c r="B178">
        <v>0.26321</v>
      </c>
      <c r="C178">
        <v>0.28960999999999998</v>
      </c>
      <c r="D178">
        <v>0.26250000000000001</v>
      </c>
      <c r="E178">
        <v>0.28756999999999999</v>
      </c>
      <c r="F178">
        <v>38440948</v>
      </c>
      <c r="G178">
        <v>0.28756999999999999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0.8495020287716718</v>
      </c>
      <c r="Q178">
        <f t="shared" ref="Q178" si="866">F178*P178</f>
        <v>32655663.313906338</v>
      </c>
      <c r="R178">
        <f t="shared" ref="R178" si="867">R179+Q178</f>
        <v>-380543664.64800805</v>
      </c>
      <c r="S178">
        <f t="shared" ref="S178" si="868">R178/100000</f>
        <v>-3805.4366464800805</v>
      </c>
      <c r="T178">
        <f t="shared" ref="T178" si="869">S178/1000</f>
        <v>-3.8054366464800804</v>
      </c>
    </row>
    <row r="179" spans="1:20" x14ac:dyDescent="0.25">
      <c r="A179" s="5">
        <v>44414</v>
      </c>
      <c r="B179">
        <v>0.26869999999999999</v>
      </c>
      <c r="C179">
        <v>0.28499999999999998</v>
      </c>
      <c r="D179">
        <v>0.26</v>
      </c>
      <c r="E179">
        <v>0.26358999999999999</v>
      </c>
      <c r="F179">
        <v>35234695.399999999</v>
      </c>
      <c r="G179">
        <v>0.26358999999999999</v>
      </c>
      <c r="L179" t="s">
        <v>7</v>
      </c>
      <c r="M179" t="s">
        <v>8</v>
      </c>
      <c r="N179" t="s">
        <v>8</v>
      </c>
      <c r="P179">
        <f t="shared" ref="P179" si="870">IF(C179=D179,0,((E179-D179)-(C179-E179))/(C179-D179))</f>
        <v>-0.7128000000000011</v>
      </c>
      <c r="Q179">
        <f t="shared" ref="Q179" si="871">F179*P179</f>
        <v>-25115290.881120037</v>
      </c>
      <c r="R179">
        <f t="shared" ref="R179" si="872">R180+Q179</f>
        <v>-413199327.96191436</v>
      </c>
      <c r="S179">
        <f t="shared" ref="S179" si="873">R179/100000</f>
        <v>-4131.9932796191433</v>
      </c>
      <c r="T179">
        <f t="shared" ref="T179" si="874">S179/1000</f>
        <v>-4.1319932796191434</v>
      </c>
    </row>
    <row r="180" spans="1:20" x14ac:dyDescent="0.25">
      <c r="A180" s="5">
        <v>44413</v>
      </c>
      <c r="B180">
        <v>0.27976000000000001</v>
      </c>
      <c r="C180">
        <v>0.29749999999999999</v>
      </c>
      <c r="D180">
        <v>0.26091999999999999</v>
      </c>
      <c r="E180">
        <v>0.26869999999999999</v>
      </c>
      <c r="F180">
        <v>72373733.400000006</v>
      </c>
      <c r="G180">
        <v>0.26869999999999999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-0.57463094587206076</v>
      </c>
      <c r="Q180">
        <f t="shared" ref="Q180" si="876">F180*P180</f>
        <v>-41588186.879934363</v>
      </c>
      <c r="R180">
        <f t="shared" ref="R180" si="877">R181+Q180</f>
        <v>-388084037.08079433</v>
      </c>
      <c r="S180">
        <f t="shared" ref="S180" si="878">R180/100000</f>
        <v>-3880.8403708079431</v>
      </c>
      <c r="T180">
        <f t="shared" ref="T180" si="879">S180/1000</f>
        <v>-3.8808403708079431</v>
      </c>
    </row>
    <row r="181" spans="1:20" x14ac:dyDescent="0.25">
      <c r="A181" s="5">
        <v>44412</v>
      </c>
      <c r="B181">
        <v>0.23649000000000001</v>
      </c>
      <c r="C181">
        <v>0.32251000000000002</v>
      </c>
      <c r="D181">
        <v>0.22938</v>
      </c>
      <c r="E181">
        <v>0.27989999999999998</v>
      </c>
      <c r="F181">
        <v>138566955.19999999</v>
      </c>
      <c r="G181">
        <v>0.27989999999999998</v>
      </c>
      <c r="L181" t="s">
        <v>7</v>
      </c>
      <c r="M181" t="s">
        <v>7</v>
      </c>
      <c r="N181" t="s">
        <v>8</v>
      </c>
      <c r="P181">
        <f t="shared" ref="P181" si="880">IF(C181=D181,0,((E181-D181)-(C181-E181))/(C181-D181))</f>
        <v>8.4935037044990266E-2</v>
      </c>
      <c r="Q181">
        <f t="shared" ref="Q181" si="881">F181*P181</f>
        <v>11769189.473123506</v>
      </c>
      <c r="R181">
        <f t="shared" ref="R181" si="882">R182+Q181</f>
        <v>-346495850.20085996</v>
      </c>
      <c r="S181">
        <f t="shared" ref="S181" si="883">R181/100000</f>
        <v>-3464.9585020085997</v>
      </c>
      <c r="T181">
        <f t="shared" ref="T181" si="884">S181/1000</f>
        <v>-3.4649585020085998</v>
      </c>
    </row>
    <row r="182" spans="1:20" x14ac:dyDescent="0.25">
      <c r="A182" s="5">
        <v>44411</v>
      </c>
      <c r="B182">
        <v>0.25046000000000002</v>
      </c>
      <c r="C182">
        <v>0.26850000000000002</v>
      </c>
      <c r="D182">
        <v>0.23221</v>
      </c>
      <c r="E182">
        <v>0.23585999999999999</v>
      </c>
      <c r="F182">
        <v>42982583.299999997</v>
      </c>
      <c r="G182">
        <v>0.23585999999999999</v>
      </c>
      <c r="L182" t="s">
        <v>7</v>
      </c>
      <c r="M182" t="s">
        <v>7</v>
      </c>
      <c r="N182" t="s">
        <v>8</v>
      </c>
      <c r="P182">
        <f t="shared" ref="P182" si="885">IF(C182=D182,0,((E182-D182)-(C182-E182))/(C182-D182))</f>
        <v>-0.79884265637916863</v>
      </c>
      <c r="Q182">
        <f t="shared" ref="Q182" si="886">F182*P182</f>
        <v>-34336321.02141089</v>
      </c>
      <c r="R182">
        <f t="shared" ref="R182" si="887">R183+Q182</f>
        <v>-358265039.67398345</v>
      </c>
      <c r="S182">
        <f t="shared" ref="S182" si="888">R182/100000</f>
        <v>-3582.6503967398344</v>
      </c>
      <c r="T182">
        <f t="shared" ref="T182" si="889">S182/1000</f>
        <v>-3.5826503967398344</v>
      </c>
    </row>
    <row r="183" spans="1:20" x14ac:dyDescent="0.25">
      <c r="A183" s="5">
        <v>44410</v>
      </c>
      <c r="B183">
        <v>0.26860000000000001</v>
      </c>
      <c r="C183">
        <v>0.29998999999999998</v>
      </c>
      <c r="D183">
        <v>0.24765999999999999</v>
      </c>
      <c r="E183">
        <v>0.25091000000000002</v>
      </c>
      <c r="F183">
        <v>80523763</v>
      </c>
      <c r="G183">
        <v>0.25091000000000002</v>
      </c>
      <c r="L183" t="s">
        <v>7</v>
      </c>
      <c r="M183" t="s">
        <v>7</v>
      </c>
      <c r="N183" t="s">
        <v>8</v>
      </c>
      <c r="P183">
        <f t="shared" ref="P183" si="890">IF(C183=D183,0,((E183-D183)-(C183-E183))/(C183-D183))</f>
        <v>-0.87578826676858279</v>
      </c>
      <c r="Q183">
        <f t="shared" ref="Q183" si="891">F183*P183</f>
        <v>-70521766.831454143</v>
      </c>
      <c r="R183">
        <f t="shared" ref="R183" si="892">R184+Q183</f>
        <v>-323928718.65257257</v>
      </c>
      <c r="S183">
        <f t="shared" ref="S183" si="893">R183/100000</f>
        <v>-3239.2871865257257</v>
      </c>
      <c r="T183">
        <f t="shared" ref="T183" si="894">S183/1000</f>
        <v>-3.2392871865257256</v>
      </c>
    </row>
    <row r="184" spans="1:20" x14ac:dyDescent="0.25">
      <c r="A184" s="5">
        <v>44409</v>
      </c>
      <c r="B184">
        <v>0.22927</v>
      </c>
      <c r="C184">
        <v>0.315</v>
      </c>
      <c r="D184">
        <v>0.22769</v>
      </c>
      <c r="E184">
        <v>0.26863999999999999</v>
      </c>
      <c r="F184">
        <v>178384377.40000001</v>
      </c>
      <c r="G184">
        <v>0.26863999999999999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-6.1963119917535517E-2</v>
      </c>
      <c r="Q184">
        <f t="shared" ref="Q184" si="896">F184*P184</f>
        <v>-11053252.568251112</v>
      </c>
      <c r="R184">
        <f t="shared" ref="R184" si="897">R185+Q184</f>
        <v>-253406951.82111844</v>
      </c>
      <c r="S184">
        <f t="shared" ref="S184" si="898">R184/100000</f>
        <v>-2534.0695182111845</v>
      </c>
      <c r="T184">
        <f t="shared" ref="T184" si="899">S184/1000</f>
        <v>-2.5340695182111843</v>
      </c>
    </row>
    <row r="185" spans="1:20" x14ac:dyDescent="0.25">
      <c r="A185" s="5">
        <v>44408</v>
      </c>
      <c r="B185">
        <v>0.19772000000000001</v>
      </c>
      <c r="C185">
        <v>0.26551999999999998</v>
      </c>
      <c r="D185">
        <v>0.19273000000000001</v>
      </c>
      <c r="E185">
        <v>0.22900999999999999</v>
      </c>
      <c r="F185">
        <v>138124409</v>
      </c>
      <c r="G185">
        <v>0.22900999999999999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-3.1597746943262547E-3</v>
      </c>
      <c r="Q185">
        <f t="shared" ref="Q185" si="901">F185*P185</f>
        <v>-436442.01222696959</v>
      </c>
      <c r="R185">
        <f t="shared" ref="R185" si="902">R186+Q185</f>
        <v>-242353699.25286734</v>
      </c>
      <c r="S185">
        <f t="shared" ref="S185" si="903">R185/100000</f>
        <v>-2423.5369925286736</v>
      </c>
      <c r="T185">
        <f t="shared" ref="T185" si="904">S185/1000</f>
        <v>-2.4235369925286738</v>
      </c>
    </row>
    <row r="186" spans="1:20" x14ac:dyDescent="0.25">
      <c r="A186" s="5">
        <v>44407</v>
      </c>
      <c r="B186">
        <v>0.19989000000000001</v>
      </c>
      <c r="C186">
        <v>0.20300000000000001</v>
      </c>
      <c r="D186">
        <v>0.18675</v>
      </c>
      <c r="E186">
        <v>0.19864999999999999</v>
      </c>
      <c r="F186">
        <v>11968041.699999999</v>
      </c>
      <c r="G186">
        <v>0.19864999999999999</v>
      </c>
      <c r="L186" t="s">
        <v>7</v>
      </c>
      <c r="M186" t="s">
        <v>7</v>
      </c>
      <c r="N186" t="s">
        <v>8</v>
      </c>
      <c r="P186">
        <f t="shared" ref="P186" si="905">IF(C186=D186,0,((E186-D186)-(C186-E186))/(C186-D186))</f>
        <v>0.46461538461538254</v>
      </c>
      <c r="Q186">
        <f t="shared" ref="Q186" si="906">F186*P186</f>
        <v>5560536.297538436</v>
      </c>
      <c r="R186">
        <f t="shared" ref="R186" si="907">R187+Q186</f>
        <v>-241917257.24064037</v>
      </c>
      <c r="S186">
        <f t="shared" ref="S186" si="908">R186/100000</f>
        <v>-2419.1725724064036</v>
      </c>
      <c r="T186">
        <f t="shared" ref="T186" si="909">S186/1000</f>
        <v>-2.4191725724064037</v>
      </c>
    </row>
    <row r="187" spans="1:20" x14ac:dyDescent="0.25">
      <c r="A187" s="5">
        <v>44406</v>
      </c>
      <c r="B187">
        <v>0.20699999999999999</v>
      </c>
      <c r="C187">
        <v>0.21</v>
      </c>
      <c r="D187">
        <v>0.19564000000000001</v>
      </c>
      <c r="E187">
        <v>0.19982</v>
      </c>
      <c r="F187">
        <v>15093311.199999999</v>
      </c>
      <c r="G187">
        <v>0.19982</v>
      </c>
      <c r="L187" t="s">
        <v>7</v>
      </c>
      <c r="M187" t="s">
        <v>7</v>
      </c>
      <c r="N187" t="s">
        <v>8</v>
      </c>
      <c r="P187">
        <f t="shared" ref="P187" si="910">IF(C187=D187,0,((E187-D187)-(C187-E187))/(C187-D187))</f>
        <v>-0.41782729805014013</v>
      </c>
      <c r="Q187">
        <f t="shared" ref="Q187" si="911">F187*P187</f>
        <v>-6306397.4373259181</v>
      </c>
      <c r="R187">
        <f t="shared" ref="R187" si="912">R188+Q187</f>
        <v>-247477793.5381788</v>
      </c>
      <c r="S187">
        <f t="shared" ref="S187" si="913">R187/100000</f>
        <v>-2474.7779353817882</v>
      </c>
      <c r="T187">
        <f t="shared" ref="T187" si="914">S187/1000</f>
        <v>-2.474777935381788</v>
      </c>
    </row>
    <row r="188" spans="1:20" x14ac:dyDescent="0.25">
      <c r="A188" s="5">
        <v>44405</v>
      </c>
      <c r="B188">
        <v>0.20433000000000001</v>
      </c>
      <c r="C188">
        <v>0.24945999999999999</v>
      </c>
      <c r="D188">
        <v>0.19803000000000001</v>
      </c>
      <c r="E188">
        <v>0.20688000000000001</v>
      </c>
      <c r="F188">
        <v>79009506.5</v>
      </c>
      <c r="G188">
        <v>0.20688000000000001</v>
      </c>
      <c r="L188" t="s">
        <v>7</v>
      </c>
      <c r="M188" t="s">
        <v>7</v>
      </c>
      <c r="N188" t="s">
        <v>8</v>
      </c>
      <c r="P188">
        <f t="shared" ref="P188" si="915">IF(C188=D188,0,((E188-D188)-(C188-E188))/(C188-D188))</f>
        <v>-0.65584289325296519</v>
      </c>
      <c r="Q188">
        <f t="shared" ref="Q188" si="916">F188*P188</f>
        <v>-51817823.337448962</v>
      </c>
      <c r="R188">
        <f t="shared" ref="R188" si="917">R189+Q188</f>
        <v>-241171396.10085288</v>
      </c>
      <c r="S188">
        <f t="shared" ref="S188" si="918">R188/100000</f>
        <v>-2411.7139610085287</v>
      </c>
      <c r="T188">
        <f t="shared" ref="T188" si="919">S188/1000</f>
        <v>-2.4117139610085285</v>
      </c>
    </row>
    <row r="189" spans="1:20" x14ac:dyDescent="0.25">
      <c r="A189" s="5">
        <v>44404</v>
      </c>
      <c r="B189">
        <v>0.17036999999999999</v>
      </c>
      <c r="C189">
        <v>0.26251999999999998</v>
      </c>
      <c r="D189">
        <v>0.16225000000000001</v>
      </c>
      <c r="E189">
        <v>0.20471</v>
      </c>
      <c r="F189">
        <v>132017632.7</v>
      </c>
      <c r="G189">
        <v>0.20471</v>
      </c>
      <c r="L189" t="s">
        <v>8</v>
      </c>
      <c r="M189" t="s">
        <v>8</v>
      </c>
      <c r="N189" t="s">
        <v>8</v>
      </c>
      <c r="P189">
        <f t="shared" ref="P189" si="920">IF(C189=D189,0,((E189-D189)-(C189-E189))/(C189-D189))</f>
        <v>-0.15308666600179494</v>
      </c>
      <c r="Q189">
        <f t="shared" ref="Q189" si="921">F189*P189</f>
        <v>-20210139.24349254</v>
      </c>
      <c r="R189">
        <f t="shared" ref="R189" si="922">R190+Q189</f>
        <v>-189353572.76340392</v>
      </c>
      <c r="S189">
        <f t="shared" ref="S189" si="923">R189/100000</f>
        <v>-1893.5357276340392</v>
      </c>
      <c r="T189">
        <f t="shared" ref="T189" si="924">S189/1000</f>
        <v>-1.8935357276340392</v>
      </c>
    </row>
    <row r="190" spans="1:20" x14ac:dyDescent="0.25">
      <c r="A190" s="5">
        <v>44403</v>
      </c>
      <c r="B190">
        <v>0.16317000000000001</v>
      </c>
      <c r="C190">
        <v>0.18395</v>
      </c>
      <c r="D190">
        <v>0.16078999999999999</v>
      </c>
      <c r="E190">
        <v>0.16985</v>
      </c>
      <c r="F190">
        <v>20959790.300000001</v>
      </c>
      <c r="G190">
        <v>0.16985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-0.21761658031088021</v>
      </c>
      <c r="Q190">
        <f t="shared" ref="Q190" si="926">F190*P190</f>
        <v>-4561197.8891191585</v>
      </c>
      <c r="R190">
        <f t="shared" ref="R190" si="927">R191+Q190</f>
        <v>-169143433.51991138</v>
      </c>
      <c r="S190">
        <f t="shared" ref="S190" si="928">R190/100000</f>
        <v>-1691.4343351991138</v>
      </c>
      <c r="T190">
        <f t="shared" ref="T190" si="929">S190/1000</f>
        <v>-1.6914343351991137</v>
      </c>
    </row>
    <row r="191" spans="1:20" x14ac:dyDescent="0.25">
      <c r="A191" s="5">
        <v>44402</v>
      </c>
      <c r="B191">
        <v>0.16383</v>
      </c>
      <c r="C191">
        <v>0.16488</v>
      </c>
      <c r="D191">
        <v>0.15529000000000001</v>
      </c>
      <c r="E191">
        <v>0.16259999999999999</v>
      </c>
      <c r="F191">
        <v>6172479.5999999996</v>
      </c>
      <c r="G191">
        <v>0.16259999999999999</v>
      </c>
      <c r="L191" t="s">
        <v>7</v>
      </c>
      <c r="M191" t="s">
        <v>7</v>
      </c>
      <c r="N191" t="s">
        <v>8</v>
      </c>
      <c r="P191">
        <f t="shared" ref="P191" si="930">IF(C191=D191,0,((E191-D191)-(C191-E191))/(C191-D191))</f>
        <v>0.52450469238790254</v>
      </c>
      <c r="Q191">
        <f t="shared" ref="Q191" si="931">F191*P191</f>
        <v>3237494.5138686034</v>
      </c>
      <c r="R191">
        <f t="shared" ref="R191" si="932">R192+Q191</f>
        <v>-164582235.63079223</v>
      </c>
      <c r="S191">
        <f t="shared" ref="S191" si="933">R191/100000</f>
        <v>-1645.8223563079223</v>
      </c>
      <c r="T191">
        <f t="shared" ref="T191:T197" si="934">S191/1000</f>
        <v>-1.6458223563079224</v>
      </c>
    </row>
    <row r="192" spans="1:20" x14ac:dyDescent="0.25">
      <c r="A192" s="5">
        <v>44401</v>
      </c>
      <c r="B192">
        <v>0.16061</v>
      </c>
      <c r="C192">
        <v>0.16950000000000001</v>
      </c>
      <c r="D192">
        <v>0.15754000000000001</v>
      </c>
      <c r="E192">
        <v>0.16331999999999999</v>
      </c>
      <c r="F192">
        <v>12321008.300000001</v>
      </c>
      <c r="G192">
        <v>0.16331999999999999</v>
      </c>
      <c r="L192" t="s">
        <v>7</v>
      </c>
      <c r="M192" t="s">
        <v>8</v>
      </c>
      <c r="N192" t="s">
        <v>8</v>
      </c>
      <c r="P192">
        <f t="shared" ref="P192" si="935">IF(C192=D192,0,((E192-D192)-(C192-E192))/(C192-D192))</f>
        <v>-3.3444816053514986E-2</v>
      </c>
      <c r="Q192">
        <f t="shared" ref="Q192" si="936">F192*P192</f>
        <v>-412073.85618733143</v>
      </c>
      <c r="R192">
        <f t="shared" ref="R192" si="937">R193+Q192</f>
        <v>-167819730.14466083</v>
      </c>
      <c r="S192">
        <f t="shared" ref="S192" si="938">R192/100000</f>
        <v>-1678.1973014466082</v>
      </c>
      <c r="T192">
        <f t="shared" si="934"/>
        <v>-1.6781973014466083</v>
      </c>
    </row>
    <row r="193" spans="1:20" x14ac:dyDescent="0.25">
      <c r="A193" s="5">
        <v>44400</v>
      </c>
      <c r="B193">
        <v>0.16056999999999999</v>
      </c>
      <c r="C193">
        <v>0.18812999999999999</v>
      </c>
      <c r="D193">
        <v>0.15</v>
      </c>
      <c r="E193">
        <v>0.16048000000000001</v>
      </c>
      <c r="F193">
        <v>50568503.700000003</v>
      </c>
      <c r="G193">
        <v>0.16048000000000001</v>
      </c>
      <c r="L193" t="s">
        <v>8</v>
      </c>
      <c r="M193" t="s">
        <v>8</v>
      </c>
      <c r="N193" t="s">
        <v>8</v>
      </c>
      <c r="P193">
        <f t="shared" ref="P193" si="939">IF(C193=D193,0,((E193-D193)-(C193-E193))/(C193-D193))</f>
        <v>-0.45030159979019052</v>
      </c>
      <c r="Q193">
        <f t="shared" ref="Q193" si="940">F193*P193</f>
        <v>-22771078.115106169</v>
      </c>
      <c r="R193">
        <f t="shared" ref="R193" si="941">R194+Q193</f>
        <v>-167407656.28847349</v>
      </c>
      <c r="S193">
        <f t="shared" ref="S193" si="942">R193/100000</f>
        <v>-1674.0765628847348</v>
      </c>
      <c r="T193">
        <f t="shared" si="934"/>
        <v>-1.6740765628847347</v>
      </c>
    </row>
    <row r="194" spans="1:20" x14ac:dyDescent="0.25">
      <c r="A194" s="5">
        <v>44399</v>
      </c>
      <c r="B194">
        <v>0.15279999999999999</v>
      </c>
      <c r="C194">
        <v>0.16166</v>
      </c>
      <c r="D194">
        <v>0.14810999999999999</v>
      </c>
      <c r="E194">
        <v>0.16011</v>
      </c>
      <c r="F194">
        <v>15081380.1</v>
      </c>
      <c r="G194">
        <v>0.16011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0.77121771217712254</v>
      </c>
      <c r="Q194">
        <f t="shared" ref="Q194" si="944">F194*P194</f>
        <v>11631027.457195584</v>
      </c>
      <c r="R194">
        <f t="shared" ref="R194" si="945">R195+Q194</f>
        <v>-144636578.17336732</v>
      </c>
      <c r="S194">
        <f t="shared" ref="S194" si="946">R194/100000</f>
        <v>-1446.3657817336732</v>
      </c>
      <c r="T194">
        <f t="shared" si="934"/>
        <v>-1.4463657817336733</v>
      </c>
    </row>
    <row r="195" spans="1:20" x14ac:dyDescent="0.25">
      <c r="A195" s="5">
        <v>44398</v>
      </c>
      <c r="B195">
        <v>0.13966000000000001</v>
      </c>
      <c r="C195">
        <v>0.15675</v>
      </c>
      <c r="D195">
        <v>0.13816999999999999</v>
      </c>
      <c r="E195">
        <v>0.15240000000000001</v>
      </c>
      <c r="F195">
        <v>3953258</v>
      </c>
      <c r="G195">
        <v>0.15240000000000001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0.53175457481162647</v>
      </c>
      <c r="Q195">
        <f t="shared" ref="Q195" si="948">F195*P195</f>
        <v>2102163.0269106608</v>
      </c>
      <c r="R195">
        <f t="shared" ref="R195" si="949">R196+Q195</f>
        <v>-156267605.6305629</v>
      </c>
      <c r="S195">
        <f t="shared" ref="S195" si="950">R195/100000</f>
        <v>-1562.6760563056291</v>
      </c>
      <c r="T195">
        <f t="shared" si="934"/>
        <v>-1.5626760563056292</v>
      </c>
    </row>
    <row r="196" spans="1:20" x14ac:dyDescent="0.25">
      <c r="A196" s="5">
        <v>44397</v>
      </c>
      <c r="B196">
        <v>0.14663000000000001</v>
      </c>
      <c r="C196">
        <v>0.14865999999999999</v>
      </c>
      <c r="D196">
        <v>0.13422999999999999</v>
      </c>
      <c r="E196">
        <v>0.13907</v>
      </c>
      <c r="F196">
        <v>4780049</v>
      </c>
      <c r="G196">
        <v>0.13907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-0.3291753291753276</v>
      </c>
      <c r="Q196">
        <f t="shared" ref="Q196" si="952">F196*P196</f>
        <v>-1573474.2030491955</v>
      </c>
      <c r="R196">
        <f t="shared" ref="R196" si="953">R197+Q196</f>
        <v>-158369768.65747356</v>
      </c>
      <c r="S196">
        <f t="shared" ref="S196" si="954">R196/100000</f>
        <v>-1583.6976865747356</v>
      </c>
      <c r="T196">
        <f t="shared" si="934"/>
        <v>-1.5836976865747356</v>
      </c>
    </row>
    <row r="197" spans="1:20" x14ac:dyDescent="0.25">
      <c r="A197" s="5">
        <v>44396</v>
      </c>
      <c r="B197">
        <v>0.16045999999999999</v>
      </c>
      <c r="C197">
        <v>0.16084999999999999</v>
      </c>
      <c r="D197">
        <v>0.14499999999999999</v>
      </c>
      <c r="E197">
        <v>0.14659</v>
      </c>
      <c r="F197">
        <v>4993521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-0.79936908517350058</v>
      </c>
      <c r="Q197">
        <f t="shared" ref="Q197" si="956">F197*P197</f>
        <v>-3991666.3135646638</v>
      </c>
      <c r="R197">
        <f t="shared" ref="R197" si="957">R198+Q197</f>
        <v>-156796294.45442438</v>
      </c>
      <c r="S197">
        <f t="shared" ref="S197" si="958">R197/100000</f>
        <v>-1567.9629445442438</v>
      </c>
      <c r="T197">
        <f t="shared" si="934"/>
        <v>-1.5679629445442438</v>
      </c>
    </row>
    <row r="198" spans="1:20" x14ac:dyDescent="0.25">
      <c r="A198" s="5">
        <v>44395</v>
      </c>
      <c r="B198">
        <v>0.16344</v>
      </c>
      <c r="C198">
        <v>0.16930000000000001</v>
      </c>
      <c r="D198">
        <v>0.15789</v>
      </c>
      <c r="E198">
        <v>0.16045000000000001</v>
      </c>
      <c r="F198">
        <v>5188472.7</v>
      </c>
      <c r="G198">
        <v>0</v>
      </c>
      <c r="L198" t="s">
        <v>7</v>
      </c>
      <c r="M198" t="s">
        <v>7</v>
      </c>
      <c r="N198" t="s">
        <v>8</v>
      </c>
      <c r="P198">
        <f t="shared" ref="P198:P261" si="959">IF(C198=D198,0,((E198-D198)-(C198-E198))/(C198-D198))</f>
        <v>-0.55127081507449505</v>
      </c>
      <c r="Q198">
        <f t="shared" ref="Q198:Q261" si="960">F198*P198</f>
        <v>-2860253.5743207661</v>
      </c>
      <c r="R198">
        <f t="shared" ref="R198:R261" si="961">R199+Q198</f>
        <v>-152804628.14085972</v>
      </c>
      <c r="S198">
        <f t="shared" ref="S198:S261" si="962">R198/100000</f>
        <v>-1528.0462814085972</v>
      </c>
      <c r="T198">
        <f t="shared" ref="T198:T261" si="963">S198/1000</f>
        <v>-1.5280462814085973</v>
      </c>
    </row>
    <row r="199" spans="1:20" x14ac:dyDescent="0.25">
      <c r="A199" s="5">
        <v>44394</v>
      </c>
      <c r="B199">
        <v>0.16231000000000001</v>
      </c>
      <c r="C199">
        <v>0.16600000000000001</v>
      </c>
      <c r="D199">
        <v>0.1595</v>
      </c>
      <c r="E199">
        <v>0.16344</v>
      </c>
      <c r="F199">
        <v>2603311.1</v>
      </c>
      <c r="G199">
        <v>0</v>
      </c>
      <c r="L199" t="s">
        <v>7</v>
      </c>
      <c r="M199" t="s">
        <v>7</v>
      </c>
      <c r="N199" t="s">
        <v>8</v>
      </c>
      <c r="P199">
        <f t="shared" si="959"/>
        <v>0.21230769230769095</v>
      </c>
      <c r="Q199">
        <f t="shared" si="960"/>
        <v>552702.97199999646</v>
      </c>
      <c r="R199">
        <f t="shared" si="961"/>
        <v>-149944374.56653896</v>
      </c>
      <c r="S199">
        <f t="shared" si="962"/>
        <v>-1499.4437456653895</v>
      </c>
      <c r="T199">
        <f t="shared" si="963"/>
        <v>-1.4994437456653895</v>
      </c>
    </row>
    <row r="200" spans="1:20" x14ac:dyDescent="0.25">
      <c r="A200" s="5">
        <v>44393</v>
      </c>
      <c r="B200">
        <v>0.18071999999999999</v>
      </c>
      <c r="C200">
        <v>0.19550000000000001</v>
      </c>
      <c r="D200">
        <v>0.1615</v>
      </c>
      <c r="E200">
        <v>0.1623</v>
      </c>
      <c r="F200">
        <v>11700602.300000001</v>
      </c>
      <c r="G200">
        <v>0</v>
      </c>
      <c r="L200" t="s">
        <v>8</v>
      </c>
      <c r="M200" t="s">
        <v>8</v>
      </c>
      <c r="N200" t="s">
        <v>8</v>
      </c>
      <c r="P200">
        <f t="shared" si="959"/>
        <v>-0.95294117647058851</v>
      </c>
      <c r="Q200">
        <f t="shared" si="960"/>
        <v>-11149985.721176475</v>
      </c>
      <c r="R200">
        <f t="shared" si="961"/>
        <v>-150497077.53853896</v>
      </c>
      <c r="S200">
        <f t="shared" si="962"/>
        <v>-1504.9707753853895</v>
      </c>
      <c r="T200">
        <f t="shared" si="963"/>
        <v>-1.5049707753853896</v>
      </c>
    </row>
    <row r="201" spans="1:20" x14ac:dyDescent="0.25">
      <c r="A201" s="5">
        <v>44392</v>
      </c>
      <c r="B201">
        <v>0.16954</v>
      </c>
      <c r="C201">
        <v>0.18845000000000001</v>
      </c>
      <c r="D201">
        <v>0.16356999999999999</v>
      </c>
      <c r="E201">
        <v>0.17996000000000001</v>
      </c>
      <c r="F201">
        <v>18002358.5</v>
      </c>
      <c r="G201">
        <v>0</v>
      </c>
      <c r="L201" t="s">
        <v>8</v>
      </c>
      <c r="M201" t="s">
        <v>8</v>
      </c>
      <c r="N201" t="s">
        <v>8</v>
      </c>
      <c r="P201">
        <f t="shared" si="959"/>
        <v>0.31752411575562756</v>
      </c>
      <c r="Q201">
        <f t="shared" si="960"/>
        <v>5716182.964228306</v>
      </c>
      <c r="R201">
        <f t="shared" si="961"/>
        <v>-139347091.81736249</v>
      </c>
      <c r="S201">
        <f t="shared" si="962"/>
        <v>-1393.4709181736248</v>
      </c>
      <c r="T201">
        <f t="shared" si="963"/>
        <v>-1.3934709181736249</v>
      </c>
    </row>
    <row r="202" spans="1:20" x14ac:dyDescent="0.25">
      <c r="A202" s="5">
        <v>44391</v>
      </c>
      <c r="B202">
        <v>0.16602</v>
      </c>
      <c r="C202">
        <v>0.183</v>
      </c>
      <c r="D202">
        <v>0.15271999999999999</v>
      </c>
      <c r="E202">
        <v>0.16954</v>
      </c>
      <c r="F202">
        <v>9691605.5999999996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0.11096433289299873</v>
      </c>
      <c r="Q202">
        <f t="shared" si="960"/>
        <v>1075422.5500660506</v>
      </c>
      <c r="R202">
        <f t="shared" si="961"/>
        <v>-145063274.78159079</v>
      </c>
      <c r="S202">
        <f t="shared" si="962"/>
        <v>-1450.6327478159078</v>
      </c>
      <c r="T202">
        <f t="shared" si="963"/>
        <v>-1.4506327478159078</v>
      </c>
    </row>
    <row r="203" spans="1:20" x14ac:dyDescent="0.25">
      <c r="A203" s="5">
        <v>44390</v>
      </c>
      <c r="B203">
        <v>0.16766</v>
      </c>
      <c r="C203">
        <v>0.19</v>
      </c>
      <c r="D203">
        <v>0.16256999999999999</v>
      </c>
      <c r="E203">
        <v>0.16558999999999999</v>
      </c>
      <c r="F203">
        <v>20374108.399999999</v>
      </c>
      <c r="G203">
        <v>0</v>
      </c>
      <c r="L203" t="s">
        <v>8</v>
      </c>
      <c r="M203" t="s">
        <v>7</v>
      </c>
      <c r="N203" t="s">
        <v>8</v>
      </c>
      <c r="P203">
        <f t="shared" si="959"/>
        <v>-0.77980313525337264</v>
      </c>
      <c r="Q203">
        <f t="shared" si="960"/>
        <v>-15887793.608312074</v>
      </c>
      <c r="R203">
        <f t="shared" si="961"/>
        <v>-146138697.33165684</v>
      </c>
      <c r="S203">
        <f t="shared" si="962"/>
        <v>-1461.3869733165684</v>
      </c>
      <c r="T203">
        <f t="shared" si="963"/>
        <v>-1.4613869733165683</v>
      </c>
    </row>
    <row r="204" spans="1:20" x14ac:dyDescent="0.25">
      <c r="A204" s="5">
        <v>44389</v>
      </c>
      <c r="B204">
        <v>0.17452999999999999</v>
      </c>
      <c r="C204">
        <v>0.17899999999999999</v>
      </c>
      <c r="D204">
        <v>0.16120000000000001</v>
      </c>
      <c r="E204">
        <v>0.16755999999999999</v>
      </c>
      <c r="F204">
        <v>4851069.0999999996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-0.28539325842696822</v>
      </c>
      <c r="Q204">
        <f t="shared" si="960"/>
        <v>-1384462.4173033801</v>
      </c>
      <c r="R204">
        <f t="shared" si="961"/>
        <v>-130250903.72334477</v>
      </c>
      <c r="S204">
        <f t="shared" si="962"/>
        <v>-1302.5090372334478</v>
      </c>
      <c r="T204">
        <f t="shared" si="963"/>
        <v>-1.3025090372334478</v>
      </c>
    </row>
    <row r="205" spans="1:20" x14ac:dyDescent="0.25">
      <c r="A205" s="5">
        <v>44388</v>
      </c>
      <c r="B205">
        <v>0.16866</v>
      </c>
      <c r="C205">
        <v>0.17913999999999999</v>
      </c>
      <c r="D205">
        <v>0.16506999999999999</v>
      </c>
      <c r="E205">
        <v>0.17535999999999999</v>
      </c>
      <c r="F205">
        <v>3755250</v>
      </c>
      <c r="G205">
        <v>0</v>
      </c>
      <c r="L205" t="s">
        <v>7</v>
      </c>
      <c r="M205" t="s">
        <v>7</v>
      </c>
      <c r="N205" t="s">
        <v>8</v>
      </c>
      <c r="P205">
        <f t="shared" si="959"/>
        <v>0.46268656716417828</v>
      </c>
      <c r="Q205">
        <f t="shared" si="960"/>
        <v>1737503.7313432805</v>
      </c>
      <c r="R205">
        <f t="shared" si="961"/>
        <v>-128866441.30604139</v>
      </c>
      <c r="S205">
        <f t="shared" si="962"/>
        <v>-1288.6644130604138</v>
      </c>
      <c r="T205">
        <f t="shared" si="963"/>
        <v>-1.2886644130604139</v>
      </c>
    </row>
    <row r="206" spans="1:20" x14ac:dyDescent="0.25">
      <c r="A206" s="5">
        <v>44387</v>
      </c>
      <c r="B206">
        <v>0.17624999999999999</v>
      </c>
      <c r="C206">
        <v>0.17948</v>
      </c>
      <c r="D206">
        <v>0.16608000000000001</v>
      </c>
      <c r="E206">
        <v>0.16864000000000001</v>
      </c>
      <c r="F206">
        <v>5482580.9000000004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-0.61791044776119286</v>
      </c>
      <c r="Q206">
        <f t="shared" si="960"/>
        <v>-3387744.0188059639</v>
      </c>
      <c r="R206">
        <f t="shared" si="961"/>
        <v>-130603945.03738467</v>
      </c>
      <c r="S206">
        <f t="shared" si="962"/>
        <v>-1306.0394503738466</v>
      </c>
      <c r="T206">
        <f t="shared" si="963"/>
        <v>-1.3060394503738466</v>
      </c>
    </row>
    <row r="207" spans="1:20" x14ac:dyDescent="0.25">
      <c r="A207" s="5">
        <v>44386</v>
      </c>
      <c r="B207">
        <v>0.17138</v>
      </c>
      <c r="C207">
        <v>0.18342</v>
      </c>
      <c r="D207">
        <v>0.1643</v>
      </c>
      <c r="E207">
        <v>0.17623</v>
      </c>
      <c r="F207">
        <v>5754746.0999999996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0.2479079497907947</v>
      </c>
      <c r="Q207">
        <f t="shared" si="960"/>
        <v>1426647.3072175714</v>
      </c>
      <c r="R207">
        <f t="shared" si="961"/>
        <v>-127216201.01857871</v>
      </c>
      <c r="S207">
        <f t="shared" si="962"/>
        <v>-1272.162010185787</v>
      </c>
      <c r="T207">
        <f t="shared" si="963"/>
        <v>-1.2721620101857871</v>
      </c>
    </row>
    <row r="208" spans="1:20" x14ac:dyDescent="0.25">
      <c r="A208" s="5">
        <v>44385</v>
      </c>
      <c r="B208">
        <v>0.19319</v>
      </c>
      <c r="C208">
        <v>0.19458</v>
      </c>
      <c r="D208">
        <v>0.1678</v>
      </c>
      <c r="E208">
        <v>0.17143</v>
      </c>
      <c r="F208">
        <v>8699108.4000000004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-0.72890216579537004</v>
      </c>
      <c r="Q208">
        <f t="shared" si="960"/>
        <v>-6340798.9532486964</v>
      </c>
      <c r="R208">
        <f t="shared" si="961"/>
        <v>-128642848.32579628</v>
      </c>
      <c r="S208">
        <f t="shared" si="962"/>
        <v>-1286.4284832579629</v>
      </c>
      <c r="T208">
        <f t="shared" si="963"/>
        <v>-1.2864284832579629</v>
      </c>
    </row>
    <row r="209" spans="1:20" x14ac:dyDescent="0.25">
      <c r="A209" s="5">
        <v>44384</v>
      </c>
      <c r="B209">
        <v>0.17080000000000001</v>
      </c>
      <c r="C209">
        <v>0.20891000000000001</v>
      </c>
      <c r="D209">
        <v>0.16936999999999999</v>
      </c>
      <c r="E209">
        <v>0.19314999999999999</v>
      </c>
      <c r="F209">
        <v>21811106.899999999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0.20283257460799109</v>
      </c>
      <c r="Q209">
        <f t="shared" si="960"/>
        <v>4424002.9675771194</v>
      </c>
      <c r="R209">
        <f t="shared" si="961"/>
        <v>-122302049.37254758</v>
      </c>
      <c r="S209">
        <f t="shared" si="962"/>
        <v>-1223.0204937254757</v>
      </c>
      <c r="T209">
        <f t="shared" si="963"/>
        <v>-1.2230204937254756</v>
      </c>
    </row>
    <row r="210" spans="1:20" x14ac:dyDescent="0.25">
      <c r="A210" s="5">
        <v>44383</v>
      </c>
      <c r="B210">
        <v>0.16195999999999999</v>
      </c>
      <c r="C210">
        <v>0.17199999999999999</v>
      </c>
      <c r="D210">
        <v>0.16175</v>
      </c>
      <c r="E210">
        <v>0.17077000000000001</v>
      </c>
      <c r="F210">
        <v>5015250.2</v>
      </c>
      <c r="G210">
        <v>0</v>
      </c>
      <c r="L210" t="s">
        <v>8</v>
      </c>
      <c r="M210" t="s">
        <v>7</v>
      </c>
      <c r="N210" t="s">
        <v>8</v>
      </c>
      <c r="P210">
        <f t="shared" si="959"/>
        <v>0.76000000000000323</v>
      </c>
      <c r="Q210">
        <f t="shared" si="960"/>
        <v>3811590.1520000165</v>
      </c>
      <c r="R210">
        <f t="shared" si="961"/>
        <v>-126726052.3401247</v>
      </c>
      <c r="S210">
        <f t="shared" si="962"/>
        <v>-1267.2605234012469</v>
      </c>
      <c r="T210">
        <f t="shared" si="963"/>
        <v>-1.2672605234012468</v>
      </c>
    </row>
    <row r="211" spans="1:20" x14ac:dyDescent="0.25">
      <c r="A211" s="5">
        <v>44382</v>
      </c>
      <c r="B211">
        <v>0.16971</v>
      </c>
      <c r="C211">
        <v>0.17033999999999999</v>
      </c>
      <c r="D211">
        <v>0.15762000000000001</v>
      </c>
      <c r="E211">
        <v>0.16206000000000001</v>
      </c>
      <c r="F211">
        <v>3778455.1</v>
      </c>
      <c r="G211">
        <v>0</v>
      </c>
      <c r="L211" t="s">
        <v>7</v>
      </c>
      <c r="M211" t="s">
        <v>7</v>
      </c>
      <c r="N211" t="s">
        <v>8</v>
      </c>
      <c r="P211">
        <f t="shared" si="959"/>
        <v>-0.30188679245282923</v>
      </c>
      <c r="Q211">
        <f t="shared" si="960"/>
        <v>-1140665.6905660341</v>
      </c>
      <c r="R211">
        <f t="shared" si="961"/>
        <v>-130537642.49212471</v>
      </c>
      <c r="S211">
        <f t="shared" si="962"/>
        <v>-1305.376424921247</v>
      </c>
      <c r="T211">
        <f t="shared" si="963"/>
        <v>-1.3053764249212469</v>
      </c>
    </row>
    <row r="212" spans="1:20" x14ac:dyDescent="0.25">
      <c r="A212" s="5">
        <v>44381</v>
      </c>
      <c r="B212">
        <v>0.16889000000000001</v>
      </c>
      <c r="C212">
        <v>0.17499999999999999</v>
      </c>
      <c r="D212">
        <v>0.16305</v>
      </c>
      <c r="E212">
        <v>0.17022000000000001</v>
      </c>
      <c r="F212">
        <v>4700879.0999999996</v>
      </c>
      <c r="G212">
        <v>0</v>
      </c>
      <c r="L212" t="s">
        <v>8</v>
      </c>
      <c r="M212" t="s">
        <v>7</v>
      </c>
      <c r="N212" t="s">
        <v>8</v>
      </c>
      <c r="P212">
        <f t="shared" si="959"/>
        <v>0.20000000000000279</v>
      </c>
      <c r="Q212">
        <f t="shared" si="960"/>
        <v>940175.82000001299</v>
      </c>
      <c r="R212">
        <f t="shared" si="961"/>
        <v>-129396976.80155867</v>
      </c>
      <c r="S212">
        <f t="shared" si="962"/>
        <v>-1293.9697680155866</v>
      </c>
      <c r="T212">
        <f t="shared" si="963"/>
        <v>-1.2939697680155866</v>
      </c>
    </row>
    <row r="213" spans="1:20" x14ac:dyDescent="0.25">
      <c r="A213" s="5">
        <v>44380</v>
      </c>
      <c r="B213">
        <v>0.16356999999999999</v>
      </c>
      <c r="C213">
        <v>0.17321</v>
      </c>
      <c r="D213">
        <v>0.16011</v>
      </c>
      <c r="E213">
        <v>0.16927</v>
      </c>
      <c r="F213">
        <v>2958597.1</v>
      </c>
      <c r="G213">
        <v>0</v>
      </c>
      <c r="L213" t="s">
        <v>8</v>
      </c>
      <c r="M213" t="s">
        <v>7</v>
      </c>
      <c r="N213" t="s">
        <v>8</v>
      </c>
      <c r="P213">
        <f t="shared" si="959"/>
        <v>0.39847328244274827</v>
      </c>
      <c r="Q213">
        <f t="shared" si="960"/>
        <v>1178921.897862596</v>
      </c>
      <c r="R213">
        <f t="shared" si="961"/>
        <v>-130337152.62155868</v>
      </c>
      <c r="S213">
        <f t="shared" si="962"/>
        <v>-1303.3715262155868</v>
      </c>
      <c r="T213">
        <f t="shared" si="963"/>
        <v>-1.3033715262155867</v>
      </c>
    </row>
    <row r="214" spans="1:20" x14ac:dyDescent="0.25">
      <c r="A214" s="5">
        <v>44379</v>
      </c>
      <c r="B214">
        <v>0.16344</v>
      </c>
      <c r="C214">
        <v>0.16638</v>
      </c>
      <c r="D214">
        <v>0.15620000000000001</v>
      </c>
      <c r="E214">
        <v>0.16317999999999999</v>
      </c>
      <c r="F214">
        <v>2776974.6</v>
      </c>
      <c r="G214">
        <v>0</v>
      </c>
      <c r="L214" t="s">
        <v>7</v>
      </c>
      <c r="M214" t="s">
        <v>7</v>
      </c>
      <c r="N214" t="s">
        <v>8</v>
      </c>
      <c r="P214">
        <f t="shared" si="959"/>
        <v>0.37131630648329861</v>
      </c>
      <c r="Q214">
        <f t="shared" si="960"/>
        <v>1031135.9516699356</v>
      </c>
      <c r="R214">
        <f t="shared" si="961"/>
        <v>-131516074.51942128</v>
      </c>
      <c r="S214">
        <f t="shared" si="962"/>
        <v>-1315.1607451942127</v>
      </c>
      <c r="T214">
        <f t="shared" si="963"/>
        <v>-1.3151607451942127</v>
      </c>
    </row>
    <row r="215" spans="1:20" x14ac:dyDescent="0.25">
      <c r="A215" s="5">
        <v>44378</v>
      </c>
      <c r="B215">
        <v>0.17363999999999999</v>
      </c>
      <c r="C215">
        <v>0.17521999999999999</v>
      </c>
      <c r="D215">
        <v>0.15983</v>
      </c>
      <c r="E215">
        <v>0.16411000000000001</v>
      </c>
      <c r="F215">
        <v>4685832.4000000004</v>
      </c>
      <c r="G215">
        <v>0</v>
      </c>
      <c r="L215" t="s">
        <v>8</v>
      </c>
      <c r="M215" t="s">
        <v>8</v>
      </c>
      <c r="N215" t="s">
        <v>8</v>
      </c>
      <c r="P215">
        <f t="shared" si="959"/>
        <v>-0.44379467186484606</v>
      </c>
      <c r="Q215">
        <f t="shared" si="960"/>
        <v>-2079547.4523716643</v>
      </c>
      <c r="R215">
        <f t="shared" si="961"/>
        <v>-132547210.47109121</v>
      </c>
      <c r="S215">
        <f t="shared" si="962"/>
        <v>-1325.4721047109122</v>
      </c>
      <c r="T215">
        <f t="shared" si="963"/>
        <v>-1.3254721047109121</v>
      </c>
    </row>
    <row r="216" spans="1:20" x14ac:dyDescent="0.25">
      <c r="A216" s="5">
        <v>44377</v>
      </c>
      <c r="B216">
        <v>0.17613000000000001</v>
      </c>
      <c r="C216">
        <v>0.1784</v>
      </c>
      <c r="D216">
        <v>0.16153999999999999</v>
      </c>
      <c r="E216">
        <v>0.17413000000000001</v>
      </c>
      <c r="F216">
        <v>6663815.9000000004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0.49347568208778264</v>
      </c>
      <c r="Q216">
        <f t="shared" si="960"/>
        <v>3288431.0965599115</v>
      </c>
      <c r="R216">
        <f t="shared" si="961"/>
        <v>-130467663.01871954</v>
      </c>
      <c r="S216">
        <f t="shared" si="962"/>
        <v>-1304.6766301871953</v>
      </c>
      <c r="T216">
        <f t="shared" si="963"/>
        <v>-1.3046766301871953</v>
      </c>
    </row>
    <row r="217" spans="1:20" x14ac:dyDescent="0.25">
      <c r="A217" s="5">
        <v>44376</v>
      </c>
      <c r="B217">
        <v>0.17402999999999999</v>
      </c>
      <c r="C217">
        <v>0.185</v>
      </c>
      <c r="D217">
        <v>0.17233999999999999</v>
      </c>
      <c r="E217">
        <v>0.17593</v>
      </c>
      <c r="F217">
        <v>9805055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-0.43285939968404286</v>
      </c>
      <c r="Q217">
        <f t="shared" si="960"/>
        <v>-4244210.2211690228</v>
      </c>
      <c r="R217">
        <f t="shared" si="961"/>
        <v>-133756094.11527945</v>
      </c>
      <c r="S217">
        <f t="shared" si="962"/>
        <v>-1337.5609411527946</v>
      </c>
      <c r="T217">
        <f t="shared" si="963"/>
        <v>-1.3375609411527947</v>
      </c>
    </row>
    <row r="218" spans="1:20" x14ac:dyDescent="0.25">
      <c r="A218" s="5">
        <v>44375</v>
      </c>
      <c r="B218">
        <v>0.16755</v>
      </c>
      <c r="C218">
        <v>0.17876</v>
      </c>
      <c r="D218">
        <v>0.16389000000000001</v>
      </c>
      <c r="E218">
        <v>0.17368</v>
      </c>
      <c r="F218">
        <v>6101979.7999999998</v>
      </c>
      <c r="G218">
        <v>0</v>
      </c>
      <c r="L218" t="s">
        <v>8</v>
      </c>
      <c r="M218" t="s">
        <v>7</v>
      </c>
      <c r="N218" t="s">
        <v>8</v>
      </c>
      <c r="P218">
        <f t="shared" si="959"/>
        <v>0.31674512441156649</v>
      </c>
      <c r="Q218">
        <f t="shared" si="960"/>
        <v>1932772.3509078654</v>
      </c>
      <c r="R218">
        <f t="shared" si="961"/>
        <v>-129511883.89411043</v>
      </c>
      <c r="S218">
        <f t="shared" si="962"/>
        <v>-1295.1188389411043</v>
      </c>
      <c r="T218">
        <f t="shared" si="963"/>
        <v>-1.2951188389411044</v>
      </c>
    </row>
    <row r="219" spans="1:20" x14ac:dyDescent="0.25">
      <c r="A219" s="5">
        <v>44374</v>
      </c>
      <c r="B219">
        <v>0.16314999999999999</v>
      </c>
      <c r="C219">
        <v>0.16805999999999999</v>
      </c>
      <c r="D219">
        <v>0.15562999999999999</v>
      </c>
      <c r="E219">
        <v>0.16769000000000001</v>
      </c>
      <c r="F219">
        <v>5406683.2000000002</v>
      </c>
      <c r="G219">
        <v>0</v>
      </c>
      <c r="L219" t="s">
        <v>8</v>
      </c>
      <c r="M219" t="s">
        <v>7</v>
      </c>
      <c r="N219" t="s">
        <v>8</v>
      </c>
      <c r="P219">
        <f t="shared" si="959"/>
        <v>0.94046661303298773</v>
      </c>
      <c r="Q219">
        <f t="shared" si="960"/>
        <v>5084805.0368463555</v>
      </c>
      <c r="R219">
        <f t="shared" si="961"/>
        <v>-131444656.24501829</v>
      </c>
      <c r="S219">
        <f t="shared" si="962"/>
        <v>-1314.4465624501829</v>
      </c>
      <c r="T219">
        <f t="shared" si="963"/>
        <v>-1.3144465624501829</v>
      </c>
    </row>
    <row r="220" spans="1:20" x14ac:dyDescent="0.25">
      <c r="A220" s="5">
        <v>44373</v>
      </c>
      <c r="B220">
        <v>0.15984999999999999</v>
      </c>
      <c r="C220">
        <v>0.17011000000000001</v>
      </c>
      <c r="D220">
        <v>0.15071999999999999</v>
      </c>
      <c r="E220">
        <v>0.16355</v>
      </c>
      <c r="F220">
        <v>11270946.6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0.32336255801959729</v>
      </c>
      <c r="Q220">
        <f t="shared" si="960"/>
        <v>3644602.1238782825</v>
      </c>
      <c r="R220">
        <f t="shared" si="961"/>
        <v>-136529461.28186464</v>
      </c>
      <c r="S220">
        <f t="shared" si="962"/>
        <v>-1365.2946128186463</v>
      </c>
      <c r="T220">
        <f t="shared" si="963"/>
        <v>-1.3652946128186463</v>
      </c>
    </row>
    <row r="221" spans="1:20" x14ac:dyDescent="0.25">
      <c r="A221" s="5">
        <v>44372</v>
      </c>
      <c r="B221">
        <v>0.18448999999999999</v>
      </c>
      <c r="C221">
        <v>0.18955</v>
      </c>
      <c r="D221">
        <v>0.15842999999999999</v>
      </c>
      <c r="E221">
        <v>0.15987999999999999</v>
      </c>
      <c r="F221">
        <v>11694708.1</v>
      </c>
      <c r="G221">
        <v>0</v>
      </c>
      <c r="L221" t="s">
        <v>8</v>
      </c>
      <c r="M221" t="s">
        <v>8</v>
      </c>
      <c r="N221" t="s">
        <v>8</v>
      </c>
      <c r="P221">
        <f t="shared" si="959"/>
        <v>-0.90681233933161909</v>
      </c>
      <c r="Q221">
        <f t="shared" si="960"/>
        <v>-10604905.609961433</v>
      </c>
      <c r="R221">
        <f t="shared" si="961"/>
        <v>-140174063.40574291</v>
      </c>
      <c r="S221">
        <f t="shared" si="962"/>
        <v>-1401.7406340574291</v>
      </c>
      <c r="T221">
        <f t="shared" si="963"/>
        <v>-1.4017406340574292</v>
      </c>
    </row>
    <row r="222" spans="1:20" x14ac:dyDescent="0.25">
      <c r="A222" s="5">
        <v>44371</v>
      </c>
      <c r="B222">
        <v>0.17943000000000001</v>
      </c>
      <c r="C222">
        <v>0.18823999999999999</v>
      </c>
      <c r="D222">
        <v>0.16628999999999999</v>
      </c>
      <c r="E222">
        <v>0.18409</v>
      </c>
      <c r="F222">
        <v>8304803.2999999998</v>
      </c>
      <c r="G222">
        <v>0</v>
      </c>
      <c r="L222" t="s">
        <v>8</v>
      </c>
      <c r="M222" t="s">
        <v>8</v>
      </c>
      <c r="N222" t="s">
        <v>8</v>
      </c>
      <c r="P222">
        <f t="shared" si="959"/>
        <v>0.6218678815489761</v>
      </c>
      <c r="Q222">
        <f t="shared" si="960"/>
        <v>5164490.4348519454</v>
      </c>
      <c r="R222">
        <f t="shared" si="961"/>
        <v>-129569157.79578149</v>
      </c>
      <c r="S222">
        <f t="shared" si="962"/>
        <v>-1295.6915779578148</v>
      </c>
      <c r="T222">
        <f t="shared" si="963"/>
        <v>-1.2956915779578149</v>
      </c>
    </row>
    <row r="223" spans="1:20" x14ac:dyDescent="0.25">
      <c r="A223" s="5">
        <v>44370</v>
      </c>
      <c r="B223">
        <v>0.16017000000000001</v>
      </c>
      <c r="C223">
        <v>0.18165999999999999</v>
      </c>
      <c r="D223">
        <v>0.15253</v>
      </c>
      <c r="E223">
        <v>0.17946000000000001</v>
      </c>
      <c r="F223">
        <v>14707558.199999999</v>
      </c>
      <c r="G223">
        <v>0</v>
      </c>
      <c r="L223" t="s">
        <v>8</v>
      </c>
      <c r="M223" t="s">
        <v>8</v>
      </c>
      <c r="N223" t="s">
        <v>8</v>
      </c>
      <c r="P223">
        <f t="shared" si="959"/>
        <v>0.84895296944730647</v>
      </c>
      <c r="Q223">
        <f t="shared" si="960"/>
        <v>12486025.20720908</v>
      </c>
      <c r="R223">
        <f t="shared" si="961"/>
        <v>-134733648.23063344</v>
      </c>
      <c r="S223">
        <f t="shared" si="962"/>
        <v>-1347.3364823063343</v>
      </c>
      <c r="T223">
        <f t="shared" si="963"/>
        <v>-1.3473364823063343</v>
      </c>
    </row>
    <row r="224" spans="1:20" x14ac:dyDescent="0.25">
      <c r="A224" s="5">
        <v>44369</v>
      </c>
      <c r="B224">
        <v>0.15975</v>
      </c>
      <c r="C224">
        <v>0.17354</v>
      </c>
      <c r="D224">
        <v>0.13</v>
      </c>
      <c r="E224">
        <v>0.16017000000000001</v>
      </c>
      <c r="F224">
        <v>18247250.100000001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0.38585209003215459</v>
      </c>
      <c r="Q224">
        <f t="shared" si="960"/>
        <v>7040739.5884244423</v>
      </c>
      <c r="R224">
        <f t="shared" si="961"/>
        <v>-147219673.43784252</v>
      </c>
      <c r="S224">
        <f t="shared" si="962"/>
        <v>-1472.1967343784252</v>
      </c>
      <c r="T224">
        <f t="shared" si="963"/>
        <v>-1.4721967343784252</v>
      </c>
    </row>
    <row r="225" spans="1:20" x14ac:dyDescent="0.25">
      <c r="A225" s="5">
        <v>44368</v>
      </c>
      <c r="B225">
        <v>0.20852000000000001</v>
      </c>
      <c r="C225">
        <v>0.21067</v>
      </c>
      <c r="D225">
        <v>0.15773000000000001</v>
      </c>
      <c r="E225">
        <v>0.15901999999999999</v>
      </c>
      <c r="F225">
        <v>15915131.9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-0.95126558367963787</v>
      </c>
      <c r="Q225">
        <f t="shared" si="960"/>
        <v>-15139517.236191925</v>
      </c>
      <c r="R225">
        <f t="shared" si="961"/>
        <v>-154260413.02626696</v>
      </c>
      <c r="S225">
        <f t="shared" si="962"/>
        <v>-1542.6041302626695</v>
      </c>
      <c r="T225">
        <f t="shared" si="963"/>
        <v>-1.5426041302626694</v>
      </c>
    </row>
    <row r="226" spans="1:20" x14ac:dyDescent="0.25">
      <c r="A226" s="5">
        <v>44367</v>
      </c>
      <c r="B226">
        <v>0.20438000000000001</v>
      </c>
      <c r="C226">
        <v>0.21478</v>
      </c>
      <c r="D226">
        <v>0.18559</v>
      </c>
      <c r="E226">
        <v>0.20852000000000001</v>
      </c>
      <c r="F226">
        <v>9921996.5999999996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0.57108598835217617</v>
      </c>
      <c r="Q226">
        <f t="shared" si="960"/>
        <v>5666313.2347379318</v>
      </c>
      <c r="R226">
        <f t="shared" si="961"/>
        <v>-139120895.79007503</v>
      </c>
      <c r="S226">
        <f t="shared" si="962"/>
        <v>-1391.2089579007504</v>
      </c>
      <c r="T226">
        <f t="shared" si="963"/>
        <v>-1.3912089579007505</v>
      </c>
    </row>
    <row r="227" spans="1:20" x14ac:dyDescent="0.25">
      <c r="A227" s="5">
        <v>44366</v>
      </c>
      <c r="B227">
        <v>0.21561</v>
      </c>
      <c r="C227">
        <v>0.22098999999999999</v>
      </c>
      <c r="D227">
        <v>0.20430000000000001</v>
      </c>
      <c r="E227">
        <v>0.20502000000000001</v>
      </c>
      <c r="F227">
        <v>6175259.4000000004</v>
      </c>
      <c r="G227">
        <v>0</v>
      </c>
      <c r="L227" t="s">
        <v>8</v>
      </c>
      <c r="M227" t="s">
        <v>7</v>
      </c>
      <c r="N227" t="s">
        <v>7</v>
      </c>
      <c r="P227">
        <f t="shared" si="959"/>
        <v>-0.91372079089275027</v>
      </c>
      <c r="Q227">
        <f t="shared" si="960"/>
        <v>-5642462.9029358905</v>
      </c>
      <c r="R227">
        <f t="shared" si="961"/>
        <v>-144787209.02481297</v>
      </c>
      <c r="S227">
        <f t="shared" si="962"/>
        <v>-1447.8720902481296</v>
      </c>
      <c r="T227">
        <f t="shared" si="963"/>
        <v>-1.4478720902481295</v>
      </c>
    </row>
    <row r="228" spans="1:20" x14ac:dyDescent="0.25">
      <c r="A228" s="5">
        <v>44365</v>
      </c>
      <c r="B228">
        <v>0.22689000000000001</v>
      </c>
      <c r="C228">
        <v>0.22961000000000001</v>
      </c>
      <c r="D228">
        <v>0.20366999999999999</v>
      </c>
      <c r="E228">
        <v>0.21554000000000001</v>
      </c>
      <c r="F228">
        <v>15712266.9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-8.4811102544332231E-2</v>
      </c>
      <c r="Q228">
        <f t="shared" si="960"/>
        <v>-1332574.6792598171</v>
      </c>
      <c r="R228">
        <f t="shared" si="961"/>
        <v>-139144746.12187707</v>
      </c>
      <c r="S228">
        <f t="shared" si="962"/>
        <v>-1391.4474612187707</v>
      </c>
      <c r="T228">
        <f t="shared" si="963"/>
        <v>-1.3914474612187708</v>
      </c>
    </row>
    <row r="229" spans="1:20" x14ac:dyDescent="0.25">
      <c r="A229" s="5">
        <v>44364</v>
      </c>
      <c r="B229">
        <v>0.23089999999999999</v>
      </c>
      <c r="C229">
        <v>0.24392</v>
      </c>
      <c r="D229">
        <v>0.222</v>
      </c>
      <c r="E229">
        <v>0.2273</v>
      </c>
      <c r="F229">
        <v>6562243.5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-0.51642335766423353</v>
      </c>
      <c r="Q229">
        <f t="shared" si="960"/>
        <v>-3388895.8220802918</v>
      </c>
      <c r="R229">
        <f t="shared" si="961"/>
        <v>-137812171.44261727</v>
      </c>
      <c r="S229">
        <f t="shared" si="962"/>
        <v>-1378.1217144261727</v>
      </c>
      <c r="T229">
        <f t="shared" si="963"/>
        <v>-1.3781217144261728</v>
      </c>
    </row>
    <row r="230" spans="1:20" x14ac:dyDescent="0.25">
      <c r="A230" s="5">
        <v>44363</v>
      </c>
      <c r="B230">
        <v>0.23885000000000001</v>
      </c>
      <c r="C230">
        <v>0.24392</v>
      </c>
      <c r="D230">
        <v>0.22369</v>
      </c>
      <c r="E230">
        <v>0.23122999999999999</v>
      </c>
      <c r="F230">
        <v>10466800.6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-0.25457241720217577</v>
      </c>
      <c r="Q230">
        <f t="shared" si="960"/>
        <v>-2664558.7291151835</v>
      </c>
      <c r="R230">
        <f t="shared" si="961"/>
        <v>-134423275.62053698</v>
      </c>
      <c r="S230">
        <f t="shared" si="962"/>
        <v>-1344.2327562053699</v>
      </c>
      <c r="T230">
        <f t="shared" si="963"/>
        <v>-1.34423275620537</v>
      </c>
    </row>
    <row r="231" spans="1:20" x14ac:dyDescent="0.25">
      <c r="A231" s="5">
        <v>44362</v>
      </c>
      <c r="B231">
        <v>0.25474999999999998</v>
      </c>
      <c r="C231">
        <v>0.25842999999999999</v>
      </c>
      <c r="D231">
        <v>0.23519999999999999</v>
      </c>
      <c r="E231">
        <v>0.23885000000000001</v>
      </c>
      <c r="F231">
        <v>14412890.5</v>
      </c>
      <c r="G231">
        <v>0</v>
      </c>
      <c r="L231" t="s">
        <v>7</v>
      </c>
      <c r="M231" t="s">
        <v>8</v>
      </c>
      <c r="N231" t="s">
        <v>7</v>
      </c>
      <c r="P231">
        <f t="shared" si="959"/>
        <v>-0.68575118381403233</v>
      </c>
      <c r="Q231">
        <f t="shared" si="960"/>
        <v>-9883656.7225570194</v>
      </c>
      <c r="R231">
        <f t="shared" si="961"/>
        <v>-131758716.89142179</v>
      </c>
      <c r="S231">
        <f t="shared" si="962"/>
        <v>-1317.587168914218</v>
      </c>
      <c r="T231">
        <f t="shared" si="963"/>
        <v>-1.317587168914218</v>
      </c>
    </row>
    <row r="232" spans="1:20" x14ac:dyDescent="0.25">
      <c r="A232" s="5">
        <v>44361</v>
      </c>
      <c r="B232">
        <v>0.26080999999999999</v>
      </c>
      <c r="C232">
        <v>0.26855000000000001</v>
      </c>
      <c r="D232">
        <v>0.24543000000000001</v>
      </c>
      <c r="E232">
        <v>0.25491999999999998</v>
      </c>
      <c r="F232">
        <v>15069792.9</v>
      </c>
      <c r="G232">
        <v>0</v>
      </c>
      <c r="L232" t="s">
        <v>7</v>
      </c>
      <c r="M232" t="s">
        <v>8</v>
      </c>
      <c r="N232" t="s">
        <v>7</v>
      </c>
      <c r="P232">
        <f t="shared" si="959"/>
        <v>-0.17906574394463928</v>
      </c>
      <c r="Q232">
        <f t="shared" si="960"/>
        <v>-2698483.6767301429</v>
      </c>
      <c r="R232">
        <f t="shared" si="961"/>
        <v>-121875060.16886477</v>
      </c>
      <c r="S232">
        <f t="shared" si="962"/>
        <v>-1218.7506016886477</v>
      </c>
      <c r="T232">
        <f t="shared" si="963"/>
        <v>-1.2187506016886478</v>
      </c>
    </row>
    <row r="233" spans="1:20" x14ac:dyDescent="0.25">
      <c r="A233" s="5">
        <v>44360</v>
      </c>
      <c r="B233">
        <v>0.22216</v>
      </c>
      <c r="C233">
        <v>0.27400000000000002</v>
      </c>
      <c r="D233">
        <v>0.21399000000000001</v>
      </c>
      <c r="E233">
        <v>0.26049</v>
      </c>
      <c r="F233">
        <v>40715401.600000001</v>
      </c>
      <c r="G233">
        <v>0</v>
      </c>
      <c r="L233" t="s">
        <v>8</v>
      </c>
      <c r="M233" t="s">
        <v>8</v>
      </c>
      <c r="N233" t="s">
        <v>7</v>
      </c>
      <c r="P233">
        <f t="shared" si="959"/>
        <v>0.54974170971504677</v>
      </c>
      <c r="Q233">
        <f t="shared" si="960"/>
        <v>22382954.48731875</v>
      </c>
      <c r="R233">
        <f t="shared" si="961"/>
        <v>-119176576.49213463</v>
      </c>
      <c r="S233">
        <f t="shared" si="962"/>
        <v>-1191.7657649213463</v>
      </c>
      <c r="T233">
        <f t="shared" si="963"/>
        <v>-1.1917657649213462</v>
      </c>
    </row>
    <row r="234" spans="1:20" x14ac:dyDescent="0.25">
      <c r="A234" s="5">
        <v>44359</v>
      </c>
      <c r="B234">
        <v>0.22900999999999999</v>
      </c>
      <c r="C234">
        <v>0.22949</v>
      </c>
      <c r="D234">
        <v>0.20449999999999999</v>
      </c>
      <c r="E234">
        <v>0.22167999999999999</v>
      </c>
      <c r="F234">
        <v>15425838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0.3749499799919962</v>
      </c>
      <c r="Q234">
        <f t="shared" si="960"/>
        <v>5783917.6494597746</v>
      </c>
      <c r="R234">
        <f t="shared" si="961"/>
        <v>-141559530.97945338</v>
      </c>
      <c r="S234">
        <f t="shared" si="962"/>
        <v>-1415.5953097945339</v>
      </c>
      <c r="T234">
        <f t="shared" si="963"/>
        <v>-1.415595309794534</v>
      </c>
    </row>
    <row r="235" spans="1:20" x14ac:dyDescent="0.25">
      <c r="A235" s="5">
        <v>44358</v>
      </c>
      <c r="B235">
        <v>0.25718999999999997</v>
      </c>
      <c r="C235">
        <v>0.26704</v>
      </c>
      <c r="D235">
        <v>0.22400999999999999</v>
      </c>
      <c r="E235">
        <v>0.22958999999999999</v>
      </c>
      <c r="F235">
        <v>21362453.399999999</v>
      </c>
      <c r="G235">
        <v>0</v>
      </c>
      <c r="L235" t="s">
        <v>7</v>
      </c>
      <c r="M235" t="s">
        <v>7</v>
      </c>
      <c r="N235" t="s">
        <v>8</v>
      </c>
      <c r="P235">
        <f t="shared" si="959"/>
        <v>-0.74064606088775276</v>
      </c>
      <c r="Q235">
        <f t="shared" si="960"/>
        <v>-15822016.961608179</v>
      </c>
      <c r="R235">
        <f t="shared" si="961"/>
        <v>-147343448.62891316</v>
      </c>
      <c r="S235">
        <f t="shared" si="962"/>
        <v>-1473.4344862891317</v>
      </c>
      <c r="T235">
        <f t="shared" si="963"/>
        <v>-1.4734344862891318</v>
      </c>
    </row>
    <row r="236" spans="1:20" x14ac:dyDescent="0.25">
      <c r="A236" s="5">
        <v>44357</v>
      </c>
      <c r="B236">
        <v>0.27883999999999998</v>
      </c>
      <c r="C236">
        <v>0.31322</v>
      </c>
      <c r="D236">
        <v>0.25058000000000002</v>
      </c>
      <c r="E236">
        <v>0.25892999999999999</v>
      </c>
      <c r="F236">
        <v>44495392.299999997</v>
      </c>
      <c r="G236">
        <v>0</v>
      </c>
      <c r="L236" t="s">
        <v>8</v>
      </c>
      <c r="M236" t="s">
        <v>8</v>
      </c>
      <c r="N236" t="s">
        <v>8</v>
      </c>
      <c r="P236">
        <f t="shared" si="959"/>
        <v>-0.73339719029374295</v>
      </c>
      <c r="Q236">
        <f t="shared" si="960"/>
        <v>-32632795.693837844</v>
      </c>
      <c r="R236">
        <f t="shared" si="961"/>
        <v>-131521431.66730499</v>
      </c>
      <c r="S236">
        <f t="shared" si="962"/>
        <v>-1315.21431667305</v>
      </c>
      <c r="T236">
        <f t="shared" si="963"/>
        <v>-1.3152143166730501</v>
      </c>
    </row>
    <row r="237" spans="1:20" x14ac:dyDescent="0.25">
      <c r="A237" s="5">
        <v>44356</v>
      </c>
      <c r="B237">
        <v>0.22419</v>
      </c>
      <c r="C237">
        <v>0.30997999999999998</v>
      </c>
      <c r="D237">
        <v>0.21525</v>
      </c>
      <c r="E237">
        <v>0.27994999999999998</v>
      </c>
      <c r="F237">
        <v>40180476.299999997</v>
      </c>
      <c r="G237">
        <v>0</v>
      </c>
      <c r="L237" t="s">
        <v>8</v>
      </c>
      <c r="M237" t="s">
        <v>8</v>
      </c>
      <c r="N237" t="s">
        <v>8</v>
      </c>
      <c r="P237">
        <f t="shared" si="959"/>
        <v>0.36598754354481144</v>
      </c>
      <c r="Q237">
        <f t="shared" si="960"/>
        <v>14705553.819497513</v>
      </c>
      <c r="R237">
        <f t="shared" si="961"/>
        <v>-98888635.973467156</v>
      </c>
      <c r="S237">
        <f t="shared" si="962"/>
        <v>-988.8863597346716</v>
      </c>
      <c r="T237">
        <f t="shared" si="963"/>
        <v>-0.98888635973467165</v>
      </c>
    </row>
    <row r="238" spans="1:20" x14ac:dyDescent="0.25">
      <c r="A238" s="5">
        <v>44355</v>
      </c>
      <c r="B238">
        <v>0.22513</v>
      </c>
      <c r="C238">
        <v>0.24062</v>
      </c>
      <c r="D238">
        <v>0.19897999999999999</v>
      </c>
      <c r="E238">
        <v>0.22431999999999999</v>
      </c>
      <c r="F238">
        <v>20807882.5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0.21709894332372695</v>
      </c>
      <c r="Q238">
        <f t="shared" si="960"/>
        <v>4517369.3035542695</v>
      </c>
      <c r="R238">
        <f t="shared" si="961"/>
        <v>-113594189.79296467</v>
      </c>
      <c r="S238">
        <f t="shared" si="962"/>
        <v>-1135.9418979296468</v>
      </c>
      <c r="T238">
        <f t="shared" si="963"/>
        <v>-1.1359418979296467</v>
      </c>
    </row>
    <row r="239" spans="1:20" x14ac:dyDescent="0.25">
      <c r="A239" s="5">
        <v>44354</v>
      </c>
      <c r="B239">
        <v>0.23613999999999999</v>
      </c>
      <c r="C239">
        <v>0.27779999999999999</v>
      </c>
      <c r="D239">
        <v>0.22262000000000001</v>
      </c>
      <c r="E239">
        <v>0.22498000000000001</v>
      </c>
      <c r="F239">
        <v>28352817.699999999</v>
      </c>
      <c r="G239">
        <v>0</v>
      </c>
      <c r="L239" t="s">
        <v>7</v>
      </c>
      <c r="M239" t="s">
        <v>7</v>
      </c>
      <c r="N239" t="s">
        <v>8</v>
      </c>
      <c r="P239">
        <f t="shared" si="959"/>
        <v>-0.91446176150779257</v>
      </c>
      <c r="Q239">
        <f t="shared" si="960"/>
        <v>-25927567.617651321</v>
      </c>
      <c r="R239">
        <f t="shared" si="961"/>
        <v>-118111559.09651893</v>
      </c>
      <c r="S239">
        <f t="shared" si="962"/>
        <v>-1181.1155909651893</v>
      </c>
      <c r="T239">
        <f t="shared" si="963"/>
        <v>-1.1811155909651894</v>
      </c>
    </row>
    <row r="240" spans="1:20" x14ac:dyDescent="0.25">
      <c r="A240" s="5">
        <v>44353</v>
      </c>
      <c r="B240">
        <v>0.21249000000000001</v>
      </c>
      <c r="C240">
        <v>0.28996</v>
      </c>
      <c r="D240">
        <v>0.20995</v>
      </c>
      <c r="E240">
        <v>0.23613999999999999</v>
      </c>
      <c r="F240">
        <v>44234379.700000003</v>
      </c>
      <c r="G240">
        <v>0</v>
      </c>
      <c r="L240" t="s">
        <v>8</v>
      </c>
      <c r="M240" t="s">
        <v>8</v>
      </c>
      <c r="N240" t="s">
        <v>8</v>
      </c>
      <c r="P240">
        <f t="shared" si="959"/>
        <v>-0.34533183352081009</v>
      </c>
      <c r="Q240">
        <f t="shared" si="960"/>
        <v>-15275539.446456702</v>
      </c>
      <c r="R240">
        <f t="shared" si="961"/>
        <v>-92183991.47886762</v>
      </c>
      <c r="S240">
        <f t="shared" si="962"/>
        <v>-921.8399147886762</v>
      </c>
      <c r="T240">
        <f t="shared" si="963"/>
        <v>-0.92183991478867622</v>
      </c>
    </row>
    <row r="241" spans="1:20" x14ac:dyDescent="0.25">
      <c r="A241" s="5">
        <v>44352</v>
      </c>
      <c r="B241">
        <v>0.21959000000000001</v>
      </c>
      <c r="C241">
        <v>0.23616000000000001</v>
      </c>
      <c r="D241">
        <v>0.20211999999999999</v>
      </c>
      <c r="E241">
        <v>0.21249000000000001</v>
      </c>
      <c r="F241">
        <v>6972014.7000000002</v>
      </c>
      <c r="G241">
        <v>0</v>
      </c>
      <c r="L241" t="s">
        <v>7</v>
      </c>
      <c r="M241" t="s">
        <v>7</v>
      </c>
      <c r="N241" t="s">
        <v>7</v>
      </c>
      <c r="P241">
        <f t="shared" si="959"/>
        <v>-0.39071680376028123</v>
      </c>
      <c r="Q241">
        <f t="shared" si="960"/>
        <v>-2724083.2993536959</v>
      </c>
      <c r="R241">
        <f t="shared" si="961"/>
        <v>-76908452.03241092</v>
      </c>
      <c r="S241">
        <f t="shared" si="962"/>
        <v>-769.08452032410923</v>
      </c>
      <c r="T241">
        <f t="shared" si="963"/>
        <v>-0.76908452032410923</v>
      </c>
    </row>
    <row r="242" spans="1:20" x14ac:dyDescent="0.25">
      <c r="A242" s="5">
        <v>44351</v>
      </c>
      <c r="B242">
        <v>0.24848999999999999</v>
      </c>
      <c r="C242">
        <v>0.2492</v>
      </c>
      <c r="D242">
        <v>0.20915</v>
      </c>
      <c r="E242">
        <v>0.21926000000000001</v>
      </c>
      <c r="F242">
        <v>7464624.0999999996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-0.49513108614232171</v>
      </c>
      <c r="Q242">
        <f t="shared" si="960"/>
        <v>-3695967.4382771505</v>
      </c>
      <c r="R242">
        <f t="shared" si="961"/>
        <v>-74184368.733057231</v>
      </c>
      <c r="S242">
        <f t="shared" si="962"/>
        <v>-741.84368733057227</v>
      </c>
      <c r="T242">
        <f t="shared" si="963"/>
        <v>-0.74184368733057227</v>
      </c>
    </row>
    <row r="243" spans="1:20" x14ac:dyDescent="0.25">
      <c r="A243" s="5">
        <v>44350</v>
      </c>
      <c r="B243">
        <v>0.2414</v>
      </c>
      <c r="C243">
        <v>0.25957999999999998</v>
      </c>
      <c r="D243">
        <v>0.23830000000000001</v>
      </c>
      <c r="E243">
        <v>0.24826000000000001</v>
      </c>
      <c r="F243">
        <v>6557438.9000000004</v>
      </c>
      <c r="G243">
        <v>0</v>
      </c>
      <c r="L243" t="s">
        <v>8</v>
      </c>
      <c r="M243" t="s">
        <v>8</v>
      </c>
      <c r="N243" t="s">
        <v>7</v>
      </c>
      <c r="P243">
        <f t="shared" si="959"/>
        <v>-6.3909774436089029E-2</v>
      </c>
      <c r="Q243">
        <f t="shared" si="960"/>
        <v>-419084.44097743579</v>
      </c>
      <c r="R243">
        <f t="shared" si="961"/>
        <v>-70488401.294780076</v>
      </c>
      <c r="S243">
        <f t="shared" si="962"/>
        <v>-704.88401294780078</v>
      </c>
      <c r="T243">
        <f t="shared" si="963"/>
        <v>-0.70488401294780079</v>
      </c>
    </row>
    <row r="244" spans="1:20" x14ac:dyDescent="0.25">
      <c r="A244" s="5">
        <v>44349</v>
      </c>
      <c r="B244">
        <v>0.22120000000000001</v>
      </c>
      <c r="C244">
        <v>0.24681</v>
      </c>
      <c r="D244">
        <v>0.2145</v>
      </c>
      <c r="E244">
        <v>0.24243999999999999</v>
      </c>
      <c r="F244">
        <v>7852144.2999999998</v>
      </c>
      <c r="G244">
        <v>0</v>
      </c>
      <c r="L244" t="s">
        <v>8</v>
      </c>
      <c r="M244" t="s">
        <v>8</v>
      </c>
      <c r="N244" t="s">
        <v>7</v>
      </c>
      <c r="P244">
        <f t="shared" si="959"/>
        <v>0.7294955122253165</v>
      </c>
      <c r="Q244">
        <f t="shared" si="960"/>
        <v>5728104.0281955991</v>
      </c>
      <c r="R244">
        <f t="shared" si="961"/>
        <v>-70069316.853802636</v>
      </c>
      <c r="S244">
        <f t="shared" si="962"/>
        <v>-700.69316853802638</v>
      </c>
      <c r="T244">
        <f t="shared" si="963"/>
        <v>-0.70069316853802643</v>
      </c>
    </row>
    <row r="245" spans="1:20" x14ac:dyDescent="0.25">
      <c r="A245" s="5">
        <v>44348</v>
      </c>
      <c r="B245">
        <v>0.22600000000000001</v>
      </c>
      <c r="C245">
        <v>0.23066</v>
      </c>
      <c r="D245">
        <v>0.215</v>
      </c>
      <c r="E245">
        <v>0.22112999999999999</v>
      </c>
      <c r="F245">
        <v>4916715.7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-0.21711366538952825</v>
      </c>
      <c r="Q245">
        <f t="shared" si="960"/>
        <v>-1067486.1673052402</v>
      </c>
      <c r="R245">
        <f t="shared" si="961"/>
        <v>-75797420.881998241</v>
      </c>
      <c r="S245">
        <f t="shared" si="962"/>
        <v>-757.97420881998244</v>
      </c>
      <c r="T245">
        <f t="shared" si="963"/>
        <v>-0.75797420881998245</v>
      </c>
    </row>
    <row r="246" spans="1:20" x14ac:dyDescent="0.25">
      <c r="A246" s="5">
        <v>44347</v>
      </c>
      <c r="B246">
        <v>0.20660999999999999</v>
      </c>
      <c r="C246">
        <v>0.22600000000000001</v>
      </c>
      <c r="D246">
        <v>0.19361999999999999</v>
      </c>
      <c r="E246">
        <v>0.22600000000000001</v>
      </c>
      <c r="F246">
        <v>8051568.5999999996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1</v>
      </c>
      <c r="Q246">
        <f t="shared" si="960"/>
        <v>8051568.5999999996</v>
      </c>
      <c r="R246">
        <f t="shared" si="961"/>
        <v>-74729934.714692995</v>
      </c>
      <c r="S246">
        <f t="shared" si="962"/>
        <v>-747.2993471469299</v>
      </c>
      <c r="T246">
        <f t="shared" si="963"/>
        <v>-0.74729934714692992</v>
      </c>
    </row>
    <row r="247" spans="1:20" x14ac:dyDescent="0.25">
      <c r="A247" s="5">
        <v>44346</v>
      </c>
      <c r="B247">
        <v>0.19392999999999999</v>
      </c>
      <c r="C247">
        <v>0.21248</v>
      </c>
      <c r="D247">
        <v>0.18089</v>
      </c>
      <c r="E247">
        <v>0.20654</v>
      </c>
      <c r="F247">
        <v>6861912</v>
      </c>
      <c r="G247">
        <v>0</v>
      </c>
      <c r="L247" t="s">
        <v>7</v>
      </c>
      <c r="M247" t="s">
        <v>7</v>
      </c>
      <c r="N247" t="s">
        <v>7</v>
      </c>
      <c r="P247">
        <f t="shared" si="959"/>
        <v>0.62393162393162394</v>
      </c>
      <c r="Q247">
        <f t="shared" si="960"/>
        <v>4281363.897435897</v>
      </c>
      <c r="R247">
        <f t="shared" si="961"/>
        <v>-82781503.314692989</v>
      </c>
      <c r="S247">
        <f t="shared" si="962"/>
        <v>-827.81503314692986</v>
      </c>
      <c r="T247">
        <f t="shared" si="963"/>
        <v>-0.82781503314692984</v>
      </c>
    </row>
    <row r="248" spans="1:20" x14ac:dyDescent="0.25">
      <c r="A248" s="5">
        <v>44345</v>
      </c>
      <c r="B248">
        <v>0.20752000000000001</v>
      </c>
      <c r="C248">
        <v>0.216</v>
      </c>
      <c r="D248">
        <v>0.185</v>
      </c>
      <c r="E248">
        <v>0.19263</v>
      </c>
      <c r="F248">
        <v>7129155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-0.50774193548387114</v>
      </c>
      <c r="Q248">
        <f t="shared" si="960"/>
        <v>-3619770.9580645175</v>
      </c>
      <c r="R248">
        <f t="shared" si="961"/>
        <v>-87062867.212128893</v>
      </c>
      <c r="S248">
        <f t="shared" si="962"/>
        <v>-870.6286721212889</v>
      </c>
      <c r="T248">
        <f t="shared" si="963"/>
        <v>-0.87062867212128892</v>
      </c>
    </row>
    <row r="249" spans="1:20" x14ac:dyDescent="0.25">
      <c r="A249" s="5">
        <v>44344</v>
      </c>
      <c r="B249">
        <v>0.23846000000000001</v>
      </c>
      <c r="C249">
        <v>0.24041000000000001</v>
      </c>
      <c r="D249">
        <v>0.19583999999999999</v>
      </c>
      <c r="E249">
        <v>0.20762</v>
      </c>
      <c r="F249">
        <v>11137844.800000001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-0.47139331388826539</v>
      </c>
      <c r="Q249">
        <f t="shared" si="960"/>
        <v>-5250305.5698451847</v>
      </c>
      <c r="R249">
        <f t="shared" si="961"/>
        <v>-83443096.254064381</v>
      </c>
      <c r="S249">
        <f t="shared" si="962"/>
        <v>-834.4309625406438</v>
      </c>
      <c r="T249">
        <f t="shared" si="963"/>
        <v>-0.83443096254064375</v>
      </c>
    </row>
    <row r="250" spans="1:20" x14ac:dyDescent="0.25">
      <c r="A250" s="5">
        <v>44343</v>
      </c>
      <c r="B250">
        <v>0.26500000000000001</v>
      </c>
      <c r="C250">
        <v>0.26529000000000003</v>
      </c>
      <c r="D250">
        <v>0.22933000000000001</v>
      </c>
      <c r="E250">
        <v>0.23791000000000001</v>
      </c>
      <c r="F250">
        <v>10438946.800000001</v>
      </c>
      <c r="G250">
        <v>0</v>
      </c>
      <c r="L250" t="s">
        <v>7</v>
      </c>
      <c r="M250" t="s">
        <v>7</v>
      </c>
      <c r="N250" t="s">
        <v>8</v>
      </c>
      <c r="P250">
        <f t="shared" si="959"/>
        <v>-0.52280311457174644</v>
      </c>
      <c r="Q250">
        <f t="shared" si="960"/>
        <v>-5457513.899888766</v>
      </c>
      <c r="R250">
        <f t="shared" si="961"/>
        <v>-78192790.684219196</v>
      </c>
      <c r="S250">
        <f t="shared" si="962"/>
        <v>-781.92790684219199</v>
      </c>
      <c r="T250">
        <f t="shared" si="963"/>
        <v>-0.78192790684219193</v>
      </c>
    </row>
    <row r="251" spans="1:20" x14ac:dyDescent="0.25">
      <c r="A251" s="5">
        <v>44342</v>
      </c>
      <c r="B251">
        <v>0.23327000000000001</v>
      </c>
      <c r="C251">
        <v>0.26995000000000002</v>
      </c>
      <c r="D251">
        <v>0.22877</v>
      </c>
      <c r="E251">
        <v>0.26500000000000001</v>
      </c>
      <c r="F251">
        <v>57806937.5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0.75959203496843097</v>
      </c>
      <c r="Q251">
        <f t="shared" si="960"/>
        <v>43909689.290917903</v>
      </c>
      <c r="R251">
        <f t="shared" si="961"/>
        <v>-72735276.784330428</v>
      </c>
      <c r="S251">
        <f t="shared" si="962"/>
        <v>-727.35276784330426</v>
      </c>
      <c r="T251">
        <f t="shared" si="963"/>
        <v>-0.72735276784330427</v>
      </c>
    </row>
    <row r="252" spans="1:20" x14ac:dyDescent="0.25">
      <c r="A252" s="5">
        <v>44341</v>
      </c>
      <c r="B252">
        <v>0.21779999999999999</v>
      </c>
      <c r="C252">
        <v>0.24345</v>
      </c>
      <c r="D252">
        <v>0.19131000000000001</v>
      </c>
      <c r="E252">
        <v>0.23293</v>
      </c>
      <c r="F252">
        <v>55559578.299999997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0.59647103950901403</v>
      </c>
      <c r="Q252">
        <f t="shared" si="960"/>
        <v>33139679.423283458</v>
      </c>
      <c r="R252">
        <f t="shared" si="961"/>
        <v>-116644966.07524833</v>
      </c>
      <c r="S252">
        <f t="shared" si="962"/>
        <v>-1166.4496607524834</v>
      </c>
      <c r="T252">
        <f t="shared" si="963"/>
        <v>-1.1664496607524835</v>
      </c>
    </row>
    <row r="253" spans="1:20" x14ac:dyDescent="0.25">
      <c r="A253" s="5">
        <v>44340</v>
      </c>
      <c r="B253">
        <v>0.17104</v>
      </c>
      <c r="C253">
        <v>0.21995000000000001</v>
      </c>
      <c r="D253">
        <v>0.16758999999999999</v>
      </c>
      <c r="E253">
        <v>0.21704999999999999</v>
      </c>
      <c r="F253">
        <v>13549097.5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0.88922841864018287</v>
      </c>
      <c r="Q253">
        <f t="shared" si="960"/>
        <v>12048242.543926654</v>
      </c>
      <c r="R253">
        <f t="shared" si="961"/>
        <v>-149784645.49853179</v>
      </c>
      <c r="S253">
        <f t="shared" si="962"/>
        <v>-1497.8464549853179</v>
      </c>
      <c r="T253">
        <f t="shared" si="963"/>
        <v>-1.4978464549853179</v>
      </c>
    </row>
    <row r="254" spans="1:20" x14ac:dyDescent="0.25">
      <c r="A254" s="5">
        <v>44339</v>
      </c>
      <c r="B254">
        <v>0.20516000000000001</v>
      </c>
      <c r="C254">
        <v>0.21240999999999999</v>
      </c>
      <c r="D254">
        <v>0.13675000000000001</v>
      </c>
      <c r="E254">
        <v>0.17097999999999999</v>
      </c>
      <c r="F254">
        <v>19902924.399999999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-9.5162569389373702E-2</v>
      </c>
      <c r="Q254">
        <f t="shared" si="960"/>
        <v>-1894013.4242664587</v>
      </c>
      <c r="R254">
        <f t="shared" si="961"/>
        <v>-161832888.04245844</v>
      </c>
      <c r="S254">
        <f t="shared" si="962"/>
        <v>-1618.3288804245844</v>
      </c>
      <c r="T254">
        <f t="shared" si="963"/>
        <v>-1.6183288804245843</v>
      </c>
    </row>
    <row r="255" spans="1:20" x14ac:dyDescent="0.25">
      <c r="A255" s="5">
        <v>44338</v>
      </c>
      <c r="B255">
        <v>0.23527000000000001</v>
      </c>
      <c r="C255">
        <v>0.23696</v>
      </c>
      <c r="D255">
        <v>0.19189999999999999</v>
      </c>
      <c r="E255">
        <v>0.20541000000000001</v>
      </c>
      <c r="F255">
        <v>25196879.800000001</v>
      </c>
      <c r="G255">
        <v>0</v>
      </c>
      <c r="L255" t="s">
        <v>7</v>
      </c>
      <c r="M255" t="s">
        <v>7</v>
      </c>
      <c r="N255" t="s">
        <v>7</v>
      </c>
      <c r="P255">
        <f t="shared" si="959"/>
        <v>-0.40035508211273779</v>
      </c>
      <c r="Q255">
        <f t="shared" si="960"/>
        <v>-10087698.881313784</v>
      </c>
      <c r="R255">
        <f t="shared" si="961"/>
        <v>-159938874.61819199</v>
      </c>
      <c r="S255">
        <f t="shared" si="962"/>
        <v>-1599.3887461819199</v>
      </c>
      <c r="T255">
        <f t="shared" si="963"/>
        <v>-1.5993887461819198</v>
      </c>
    </row>
    <row r="256" spans="1:20" x14ac:dyDescent="0.25">
      <c r="A256" s="5">
        <v>44337</v>
      </c>
      <c r="B256">
        <v>0.30318000000000001</v>
      </c>
      <c r="C256">
        <v>0.31669000000000003</v>
      </c>
      <c r="D256">
        <v>0.20601</v>
      </c>
      <c r="E256">
        <v>0.23544999999999999</v>
      </c>
      <c r="F256">
        <v>19456794.100000001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-0.46801590169859075</v>
      </c>
      <c r="Q256">
        <f t="shared" si="960"/>
        <v>-9106089.0348753221</v>
      </c>
      <c r="R256">
        <f t="shared" si="961"/>
        <v>-149851175.73687822</v>
      </c>
      <c r="S256">
        <f t="shared" si="962"/>
        <v>-1498.5117573687821</v>
      </c>
      <c r="T256">
        <f t="shared" si="963"/>
        <v>-1.4985117573687821</v>
      </c>
    </row>
    <row r="257" spans="1:20" x14ac:dyDescent="0.25">
      <c r="A257" s="5">
        <v>44336</v>
      </c>
      <c r="B257">
        <v>0.27140999999999998</v>
      </c>
      <c r="C257">
        <v>0.32488</v>
      </c>
      <c r="D257">
        <v>0.23408999999999999</v>
      </c>
      <c r="E257">
        <v>0.30266999999999999</v>
      </c>
      <c r="F257">
        <v>15828208.699999999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0.5107390681793148</v>
      </c>
      <c r="Q257">
        <f t="shared" si="960"/>
        <v>8084084.562385723</v>
      </c>
      <c r="R257">
        <f t="shared" si="961"/>
        <v>-140745086.70200288</v>
      </c>
      <c r="S257">
        <f t="shared" si="962"/>
        <v>-1407.4508670200289</v>
      </c>
      <c r="T257">
        <f t="shared" si="963"/>
        <v>-1.407450867020029</v>
      </c>
    </row>
    <row r="258" spans="1:20" x14ac:dyDescent="0.25">
      <c r="A258" s="5">
        <v>44335</v>
      </c>
      <c r="B258">
        <v>0.39837</v>
      </c>
      <c r="C258">
        <v>0.40566999999999998</v>
      </c>
      <c r="D258">
        <v>0.17327000000000001</v>
      </c>
      <c r="E258">
        <v>0.27001999999999998</v>
      </c>
      <c r="F258">
        <v>19529628.100000001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-0.16738382099827892</v>
      </c>
      <c r="Q258">
        <f t="shared" si="960"/>
        <v>-3268943.7740533585</v>
      </c>
      <c r="R258">
        <f t="shared" si="961"/>
        <v>-148829171.26438862</v>
      </c>
      <c r="S258">
        <f t="shared" si="962"/>
        <v>-1488.2917126438863</v>
      </c>
      <c r="T258">
        <f t="shared" si="963"/>
        <v>-1.4882917126438864</v>
      </c>
    </row>
    <row r="259" spans="1:20" x14ac:dyDescent="0.25">
      <c r="A259" s="5">
        <v>44334</v>
      </c>
      <c r="B259">
        <v>0.39928999999999998</v>
      </c>
      <c r="C259">
        <v>0.42910999999999999</v>
      </c>
      <c r="D259">
        <v>0.39</v>
      </c>
      <c r="E259">
        <v>0.39837</v>
      </c>
      <c r="F259">
        <v>7168118.5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-0.57197647660444939</v>
      </c>
      <c r="Q259">
        <f t="shared" si="960"/>
        <v>-4099995.163513171</v>
      </c>
      <c r="R259">
        <f t="shared" si="961"/>
        <v>-145560227.49033526</v>
      </c>
      <c r="S259">
        <f t="shared" si="962"/>
        <v>-1455.6022749033525</v>
      </c>
      <c r="T259">
        <f t="shared" si="963"/>
        <v>-1.4556022749033526</v>
      </c>
    </row>
    <row r="260" spans="1:20" x14ac:dyDescent="0.25">
      <c r="A260" s="5">
        <v>44333</v>
      </c>
      <c r="B260">
        <v>0.43231000000000003</v>
      </c>
      <c r="C260">
        <v>0.43341000000000002</v>
      </c>
      <c r="D260">
        <v>0.38046000000000002</v>
      </c>
      <c r="E260">
        <v>0.39942</v>
      </c>
      <c r="F260">
        <v>9267487.4000000004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-0.28385269121813117</v>
      </c>
      <c r="Q260">
        <f t="shared" si="960"/>
        <v>-2630601.2393201212</v>
      </c>
      <c r="R260">
        <f t="shared" si="961"/>
        <v>-141460232.32682207</v>
      </c>
      <c r="S260">
        <f t="shared" si="962"/>
        <v>-1414.6023232682207</v>
      </c>
      <c r="T260">
        <f t="shared" si="963"/>
        <v>-1.4146023232682208</v>
      </c>
    </row>
    <row r="261" spans="1:20" x14ac:dyDescent="0.25">
      <c r="A261" s="5">
        <v>44332</v>
      </c>
      <c r="B261">
        <v>0.43490000000000001</v>
      </c>
      <c r="C261">
        <v>0.47585</v>
      </c>
      <c r="D261">
        <v>0.40110000000000001</v>
      </c>
      <c r="E261">
        <v>0.4325</v>
      </c>
      <c r="F261">
        <v>12014340.300000001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-0.15986622073578621</v>
      </c>
      <c r="Q261">
        <f t="shared" si="960"/>
        <v>-1920687.178394652</v>
      </c>
      <c r="R261">
        <f t="shared" si="961"/>
        <v>-138829631.08750194</v>
      </c>
      <c r="S261">
        <f t="shared" si="962"/>
        <v>-1388.2963108750193</v>
      </c>
      <c r="T261">
        <f t="shared" si="963"/>
        <v>-1.3882963108750193</v>
      </c>
    </row>
    <row r="262" spans="1:20" x14ac:dyDescent="0.25">
      <c r="A262" s="5">
        <v>44331</v>
      </c>
      <c r="B262">
        <v>0.47570000000000001</v>
      </c>
      <c r="C262">
        <v>0.48419000000000001</v>
      </c>
      <c r="D262">
        <v>0.42499999999999999</v>
      </c>
      <c r="E262">
        <v>0.43425999999999998</v>
      </c>
      <c r="F262">
        <v>7450170</v>
      </c>
      <c r="G262">
        <v>0</v>
      </c>
      <c r="L262" t="s">
        <v>8</v>
      </c>
      <c r="M262" t="s">
        <v>8</v>
      </c>
      <c r="N262" t="s">
        <v>7</v>
      </c>
      <c r="P262">
        <f t="shared" ref="P262:P325" si="964">IF(C262=D262,0,((E262-D262)-(C262-E262))/(C262-D262))</f>
        <v>-0.68710930900489986</v>
      </c>
      <c r="Q262">
        <f t="shared" ref="Q262:Q325" si="965">F262*P262</f>
        <v>-5119081.1606690343</v>
      </c>
      <c r="R262">
        <f t="shared" ref="R262:R325" si="966">R263+Q262</f>
        <v>-136908943.9091073</v>
      </c>
      <c r="S262">
        <f t="shared" ref="S262:S325" si="967">R262/100000</f>
        <v>-1369.089439091073</v>
      </c>
      <c r="T262">
        <f t="shared" ref="T262:T325" si="968">S262/1000</f>
        <v>-1.3690894390910731</v>
      </c>
    </row>
    <row r="263" spans="1:20" x14ac:dyDescent="0.25">
      <c r="A263" s="5">
        <v>44330</v>
      </c>
      <c r="B263">
        <v>0.43759999999999999</v>
      </c>
      <c r="C263">
        <v>0.48032999999999998</v>
      </c>
      <c r="D263">
        <v>0.43562000000000001</v>
      </c>
      <c r="E263">
        <v>0.47545999999999999</v>
      </c>
      <c r="F263">
        <v>6746453.0999999996</v>
      </c>
      <c r="G263">
        <v>0</v>
      </c>
      <c r="L263" t="s">
        <v>8</v>
      </c>
      <c r="M263" t="s">
        <v>7</v>
      </c>
      <c r="N263" t="s">
        <v>7</v>
      </c>
      <c r="P263">
        <f t="shared" si="964"/>
        <v>0.78215164392753356</v>
      </c>
      <c r="Q263">
        <f t="shared" si="965"/>
        <v>5276749.382845005</v>
      </c>
      <c r="R263">
        <f t="shared" si="966"/>
        <v>-131789862.74843825</v>
      </c>
      <c r="S263">
        <f t="shared" si="967"/>
        <v>-1317.8986274843826</v>
      </c>
      <c r="T263">
        <f t="shared" si="968"/>
        <v>-1.3178986274843827</v>
      </c>
    </row>
    <row r="264" spans="1:20" x14ac:dyDescent="0.25">
      <c r="A264" s="5">
        <v>44329</v>
      </c>
      <c r="B264">
        <v>0.42408000000000001</v>
      </c>
      <c r="C264">
        <v>0.46435999999999999</v>
      </c>
      <c r="D264">
        <v>0.40231</v>
      </c>
      <c r="E264">
        <v>0.43779000000000001</v>
      </c>
      <c r="F264">
        <v>15566301.6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0.14359387590652747</v>
      </c>
      <c r="Q264">
        <f t="shared" si="965"/>
        <v>2235225.5802739798</v>
      </c>
      <c r="R264">
        <f t="shared" si="966"/>
        <v>-137066612.13128325</v>
      </c>
      <c r="S264">
        <f t="shared" si="967"/>
        <v>-1370.6661213128325</v>
      </c>
      <c r="T264">
        <f t="shared" si="968"/>
        <v>-1.3706661213128326</v>
      </c>
    </row>
    <row r="265" spans="1:20" x14ac:dyDescent="0.25">
      <c r="A265" s="5">
        <v>44328</v>
      </c>
      <c r="B265">
        <v>0.51600000000000001</v>
      </c>
      <c r="C265">
        <v>0.53217999999999999</v>
      </c>
      <c r="D265">
        <v>0.42198999999999998</v>
      </c>
      <c r="E265">
        <v>0.42362</v>
      </c>
      <c r="F265">
        <v>10906123.1</v>
      </c>
      <c r="G265">
        <v>0</v>
      </c>
      <c r="L265" t="s">
        <v>8</v>
      </c>
      <c r="M265" t="s">
        <v>7</v>
      </c>
      <c r="N265" t="s">
        <v>7</v>
      </c>
      <c r="P265">
        <f t="shared" si="964"/>
        <v>-0.97041473817950774</v>
      </c>
      <c r="Q265">
        <f t="shared" si="965"/>
        <v>-10583462.592639981</v>
      </c>
      <c r="R265">
        <f t="shared" si="966"/>
        <v>-139301837.71155724</v>
      </c>
      <c r="S265">
        <f t="shared" si="967"/>
        <v>-1393.0183771155723</v>
      </c>
      <c r="T265">
        <f t="shared" si="968"/>
        <v>-1.3930183771155724</v>
      </c>
    </row>
    <row r="266" spans="1:20" x14ac:dyDescent="0.25">
      <c r="A266" s="5">
        <v>44327</v>
      </c>
      <c r="B266">
        <v>0.50109999999999999</v>
      </c>
      <c r="C266">
        <v>0.52595999999999998</v>
      </c>
      <c r="D266">
        <v>0.48320000000000002</v>
      </c>
      <c r="E266">
        <v>0.5161</v>
      </c>
      <c r="F266">
        <v>6726941</v>
      </c>
      <c r="G266">
        <v>0</v>
      </c>
      <c r="L266" t="s">
        <v>8</v>
      </c>
      <c r="M266" t="s">
        <v>7</v>
      </c>
      <c r="N266" t="s">
        <v>7</v>
      </c>
      <c r="P266">
        <f t="shared" si="964"/>
        <v>0.53882132834424756</v>
      </c>
      <c r="Q266">
        <f t="shared" si="965"/>
        <v>3624619.2853133809</v>
      </c>
      <c r="R266">
        <f t="shared" si="966"/>
        <v>-128718375.11891726</v>
      </c>
      <c r="S266">
        <f t="shared" si="967"/>
        <v>-1287.1837511891727</v>
      </c>
      <c r="T266">
        <f t="shared" si="968"/>
        <v>-1.2871837511891726</v>
      </c>
    </row>
    <row r="267" spans="1:20" x14ac:dyDescent="0.25">
      <c r="A267" s="5">
        <v>44326</v>
      </c>
      <c r="B267">
        <v>0.56540000000000001</v>
      </c>
      <c r="C267">
        <v>0.58381000000000005</v>
      </c>
      <c r="D267">
        <v>0.47499000000000002</v>
      </c>
      <c r="E267">
        <v>0.50183</v>
      </c>
      <c r="F267">
        <v>11322819.9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-0.5067083256754279</v>
      </c>
      <c r="Q267">
        <f t="shared" si="965"/>
        <v>-5737367.1134534162</v>
      </c>
      <c r="R267">
        <f t="shared" si="966"/>
        <v>-132342994.40423064</v>
      </c>
      <c r="S267">
        <f t="shared" si="967"/>
        <v>-1323.4299440423065</v>
      </c>
      <c r="T267">
        <f t="shared" si="968"/>
        <v>-1.3234299440423065</v>
      </c>
    </row>
    <row r="268" spans="1:20" x14ac:dyDescent="0.25">
      <c r="A268" s="5">
        <v>44325</v>
      </c>
      <c r="B268">
        <v>0.56769999999999998</v>
      </c>
      <c r="C268">
        <v>0.58220000000000005</v>
      </c>
      <c r="D268">
        <v>0.54600000000000004</v>
      </c>
      <c r="E268">
        <v>0.56540000000000001</v>
      </c>
      <c r="F268">
        <v>9827869.4000000004</v>
      </c>
      <c r="G268">
        <v>0</v>
      </c>
      <c r="L268" t="s">
        <v>8</v>
      </c>
      <c r="M268" t="s">
        <v>7</v>
      </c>
      <c r="N268" t="s">
        <v>7</v>
      </c>
      <c r="P268">
        <f t="shared" si="964"/>
        <v>7.182320441988771E-2</v>
      </c>
      <c r="Q268">
        <f t="shared" si="965"/>
        <v>705869.07292815915</v>
      </c>
      <c r="R268">
        <f t="shared" si="966"/>
        <v>-126605627.29077722</v>
      </c>
      <c r="S268">
        <f t="shared" si="967"/>
        <v>-1266.0562729077722</v>
      </c>
      <c r="T268">
        <f t="shared" si="968"/>
        <v>-1.2660562729077722</v>
      </c>
    </row>
    <row r="269" spans="1:20" x14ac:dyDescent="0.25">
      <c r="A269" s="5">
        <v>44324</v>
      </c>
      <c r="B269">
        <v>0.54574999999999996</v>
      </c>
      <c r="C269">
        <v>0.57299999999999995</v>
      </c>
      <c r="D269">
        <v>0.54098999999999997</v>
      </c>
      <c r="E269">
        <v>0.56810000000000005</v>
      </c>
      <c r="F269">
        <v>8379601.4000000004</v>
      </c>
      <c r="G269">
        <v>0</v>
      </c>
      <c r="L269" t="s">
        <v>7</v>
      </c>
      <c r="M269" t="s">
        <v>7</v>
      </c>
      <c r="N269" t="s">
        <v>7</v>
      </c>
      <c r="P269">
        <f t="shared" si="964"/>
        <v>0.69384567322712232</v>
      </c>
      <c r="Q269">
        <f t="shared" si="965"/>
        <v>5814150.174757937</v>
      </c>
      <c r="R269">
        <f t="shared" si="966"/>
        <v>-127311496.36370538</v>
      </c>
      <c r="S269">
        <f t="shared" si="967"/>
        <v>-1273.1149636370537</v>
      </c>
      <c r="T269">
        <f t="shared" si="968"/>
        <v>-1.2731149636370538</v>
      </c>
    </row>
    <row r="270" spans="1:20" x14ac:dyDescent="0.25">
      <c r="A270" s="5">
        <v>44323</v>
      </c>
      <c r="B270">
        <v>0.57259000000000004</v>
      </c>
      <c r="C270">
        <v>0.58352999999999999</v>
      </c>
      <c r="D270">
        <v>0.53661999999999999</v>
      </c>
      <c r="E270">
        <v>0.54574999999999996</v>
      </c>
      <c r="F270">
        <v>9588948</v>
      </c>
      <c r="G270">
        <v>0</v>
      </c>
      <c r="L270" t="s">
        <v>7</v>
      </c>
      <c r="M270" t="s">
        <v>7</v>
      </c>
      <c r="N270" t="s">
        <v>7</v>
      </c>
      <c r="P270">
        <f t="shared" si="964"/>
        <v>-0.61074397782988832</v>
      </c>
      <c r="Q270">
        <f t="shared" si="965"/>
        <v>-5856392.2447239524</v>
      </c>
      <c r="R270">
        <f t="shared" si="966"/>
        <v>-133125646.53846332</v>
      </c>
      <c r="S270">
        <f t="shared" si="967"/>
        <v>-1331.2564653846332</v>
      </c>
      <c r="T270">
        <f t="shared" si="968"/>
        <v>-1.3312564653846333</v>
      </c>
    </row>
    <row r="271" spans="1:20" x14ac:dyDescent="0.25">
      <c r="A271" s="5">
        <v>44322</v>
      </c>
      <c r="B271">
        <v>0.62529000000000001</v>
      </c>
      <c r="C271">
        <v>0.63</v>
      </c>
      <c r="D271">
        <v>0.55900000000000005</v>
      </c>
      <c r="E271">
        <v>0.57301999999999997</v>
      </c>
      <c r="F271">
        <v>9261027.9000000004</v>
      </c>
      <c r="G271">
        <v>0</v>
      </c>
      <c r="L271" t="s">
        <v>7</v>
      </c>
      <c r="M271" t="s">
        <v>7</v>
      </c>
      <c r="N271" t="s">
        <v>7</v>
      </c>
      <c r="P271">
        <f t="shared" si="964"/>
        <v>-0.60507042253521326</v>
      </c>
      <c r="Q271">
        <f t="shared" si="965"/>
        <v>-5603574.0645633992</v>
      </c>
      <c r="R271">
        <f t="shared" si="966"/>
        <v>-127269254.29373938</v>
      </c>
      <c r="S271">
        <f t="shared" si="967"/>
        <v>-1272.6925429373937</v>
      </c>
      <c r="T271">
        <f t="shared" si="968"/>
        <v>-1.2726925429373936</v>
      </c>
    </row>
    <row r="272" spans="1:20" x14ac:dyDescent="0.25">
      <c r="A272" s="5">
        <v>44321</v>
      </c>
      <c r="B272">
        <v>0.55435999999999996</v>
      </c>
      <c r="C272">
        <v>0.64400000000000002</v>
      </c>
      <c r="D272">
        <v>0.55000000000000004</v>
      </c>
      <c r="E272">
        <v>0.62372000000000005</v>
      </c>
      <c r="F272">
        <v>13833421.300000001</v>
      </c>
      <c r="G272">
        <v>0</v>
      </c>
      <c r="L272" t="s">
        <v>8</v>
      </c>
      <c r="M272" t="s">
        <v>7</v>
      </c>
      <c r="N272" t="s">
        <v>7</v>
      </c>
      <c r="P272">
        <f t="shared" si="964"/>
        <v>0.56851063829787296</v>
      </c>
      <c r="Q272">
        <f t="shared" si="965"/>
        <v>7864447.1731063919</v>
      </c>
      <c r="R272">
        <f t="shared" si="966"/>
        <v>-121665680.22917598</v>
      </c>
      <c r="S272">
        <f t="shared" si="967"/>
        <v>-1216.65680229176</v>
      </c>
      <c r="T272">
        <f t="shared" si="968"/>
        <v>-1.2166568022917599</v>
      </c>
    </row>
    <row r="273" spans="1:20" x14ac:dyDescent="0.25">
      <c r="A273" s="5">
        <v>44320</v>
      </c>
      <c r="B273">
        <v>0.61343999999999999</v>
      </c>
      <c r="C273">
        <v>0.61399999999999999</v>
      </c>
      <c r="D273">
        <v>0.54906999999999995</v>
      </c>
      <c r="E273">
        <v>0.55298999999999998</v>
      </c>
      <c r="F273">
        <v>11288975.1</v>
      </c>
      <c r="G273">
        <v>0</v>
      </c>
      <c r="L273" t="s">
        <v>7</v>
      </c>
      <c r="M273" t="s">
        <v>7</v>
      </c>
      <c r="N273" t="s">
        <v>7</v>
      </c>
      <c r="P273">
        <f t="shared" si="964"/>
        <v>-0.87925458185738392</v>
      </c>
      <c r="Q273">
        <f t="shared" si="965"/>
        <v>-9925883.0811489187</v>
      </c>
      <c r="R273">
        <f t="shared" si="966"/>
        <v>-129530127.40228237</v>
      </c>
      <c r="S273">
        <f t="shared" si="967"/>
        <v>-1295.3012740228237</v>
      </c>
      <c r="T273">
        <f t="shared" si="968"/>
        <v>-1.2953012740228238</v>
      </c>
    </row>
    <row r="274" spans="1:20" x14ac:dyDescent="0.25">
      <c r="A274" s="5">
        <v>44319</v>
      </c>
      <c r="B274">
        <v>0.62495999999999996</v>
      </c>
      <c r="C274">
        <v>0.65375000000000005</v>
      </c>
      <c r="D274">
        <v>0.59953000000000001</v>
      </c>
      <c r="E274">
        <v>0.61399999999999999</v>
      </c>
      <c r="F274">
        <v>12898538.300000001</v>
      </c>
      <c r="G274">
        <v>0</v>
      </c>
      <c r="L274" t="s">
        <v>7</v>
      </c>
      <c r="M274" t="s">
        <v>7</v>
      </c>
      <c r="N274" t="s">
        <v>8</v>
      </c>
      <c r="P274">
        <f t="shared" si="964"/>
        <v>-0.46624861674658907</v>
      </c>
      <c r="Q274">
        <f t="shared" si="965"/>
        <v>-6013925.6404279005</v>
      </c>
      <c r="R274">
        <f t="shared" si="966"/>
        <v>-119604244.32113345</v>
      </c>
      <c r="S274">
        <f t="shared" si="967"/>
        <v>-1196.0424432113346</v>
      </c>
      <c r="T274">
        <f t="shared" si="968"/>
        <v>-1.1960424432113346</v>
      </c>
    </row>
    <row r="275" spans="1:20" x14ac:dyDescent="0.25">
      <c r="A275" s="5">
        <v>44318</v>
      </c>
      <c r="B275">
        <v>0.65127000000000002</v>
      </c>
      <c r="C275">
        <v>0.66191</v>
      </c>
      <c r="D275">
        <v>0.61387000000000003</v>
      </c>
      <c r="E275">
        <v>0.62421000000000004</v>
      </c>
      <c r="F275">
        <v>16299460.4</v>
      </c>
      <c r="G275">
        <v>0</v>
      </c>
      <c r="L275" t="s">
        <v>7</v>
      </c>
      <c r="M275" t="s">
        <v>7</v>
      </c>
      <c r="N275" t="s">
        <v>8</v>
      </c>
      <c r="P275">
        <f t="shared" si="964"/>
        <v>-0.56952539550374592</v>
      </c>
      <c r="Q275">
        <f t="shared" si="965"/>
        <v>-9282956.6308076456</v>
      </c>
      <c r="R275">
        <f t="shared" si="966"/>
        <v>-113590318.68070555</v>
      </c>
      <c r="S275">
        <f t="shared" si="967"/>
        <v>-1135.9031868070554</v>
      </c>
      <c r="T275">
        <f t="shared" si="968"/>
        <v>-1.1359031868070553</v>
      </c>
    </row>
    <row r="276" spans="1:20" x14ac:dyDescent="0.25">
      <c r="A276" s="5">
        <v>44317</v>
      </c>
      <c r="B276">
        <v>0.67952000000000001</v>
      </c>
      <c r="C276">
        <v>0.77434000000000003</v>
      </c>
      <c r="D276">
        <v>0.64539000000000002</v>
      </c>
      <c r="E276">
        <v>0.65127999999999997</v>
      </c>
      <c r="F276">
        <v>42463445.700000003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-0.90864676231097397</v>
      </c>
      <c r="Q276">
        <f t="shared" si="965"/>
        <v>-38584272.451872855</v>
      </c>
      <c r="R276">
        <f t="shared" si="966"/>
        <v>-104307362.04989791</v>
      </c>
      <c r="S276">
        <f t="shared" si="967"/>
        <v>-1043.0736204989792</v>
      </c>
      <c r="T276">
        <f t="shared" si="968"/>
        <v>-1.0430736204989792</v>
      </c>
    </row>
    <row r="277" spans="1:20" x14ac:dyDescent="0.25">
      <c r="A277" s="5">
        <v>44316</v>
      </c>
      <c r="B277">
        <v>0.50990999999999997</v>
      </c>
      <c r="C277">
        <v>0.72338999999999998</v>
      </c>
      <c r="D277">
        <v>0.5</v>
      </c>
      <c r="E277">
        <v>0.67986999999999997</v>
      </c>
      <c r="F277">
        <v>51738595.700000003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0.61036751868928774</v>
      </c>
      <c r="Q277">
        <f t="shared" si="965"/>
        <v>31579558.277877253</v>
      </c>
      <c r="R277">
        <f t="shared" si="966"/>
        <v>-65723089.598025054</v>
      </c>
      <c r="S277">
        <f t="shared" si="967"/>
        <v>-657.23089598025058</v>
      </c>
      <c r="T277">
        <f t="shared" si="968"/>
        <v>-0.65723089598025053</v>
      </c>
    </row>
    <row r="278" spans="1:20" x14ac:dyDescent="0.25">
      <c r="A278" s="5">
        <v>44315</v>
      </c>
      <c r="B278">
        <v>0.49967</v>
      </c>
      <c r="C278">
        <v>0.53434999999999999</v>
      </c>
      <c r="D278">
        <v>0.48607</v>
      </c>
      <c r="E278">
        <v>0.51014000000000004</v>
      </c>
      <c r="F278">
        <v>8143670.2000000002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-2.8997514498740264E-3</v>
      </c>
      <c r="Q278">
        <f t="shared" si="965"/>
        <v>-23614.619469745903</v>
      </c>
      <c r="R278">
        <f t="shared" si="966"/>
        <v>-97302647.87590231</v>
      </c>
      <c r="S278">
        <f t="shared" si="967"/>
        <v>-973.02647875902312</v>
      </c>
      <c r="T278">
        <f t="shared" si="968"/>
        <v>-0.97302647875902315</v>
      </c>
    </row>
    <row r="279" spans="1:20" x14ac:dyDescent="0.25">
      <c r="A279" s="5">
        <v>44314</v>
      </c>
      <c r="B279">
        <v>0.52673999999999999</v>
      </c>
      <c r="C279">
        <v>0.53139999999999998</v>
      </c>
      <c r="D279">
        <v>0.47570000000000001</v>
      </c>
      <c r="E279">
        <v>0.49915999999999999</v>
      </c>
      <c r="F279">
        <v>8022947.2000000002</v>
      </c>
      <c r="G279">
        <v>0</v>
      </c>
      <c r="L279" t="s">
        <v>7</v>
      </c>
      <c r="M279" t="s">
        <v>8</v>
      </c>
      <c r="N279" t="s">
        <v>8</v>
      </c>
      <c r="P279">
        <f t="shared" si="964"/>
        <v>-0.15763016157989254</v>
      </c>
      <c r="Q279">
        <f t="shared" si="965"/>
        <v>-1264658.4634829464</v>
      </c>
      <c r="R279">
        <f t="shared" si="966"/>
        <v>-97279033.256432563</v>
      </c>
      <c r="S279">
        <f t="shared" si="967"/>
        <v>-972.79033256432558</v>
      </c>
      <c r="T279">
        <f t="shared" si="968"/>
        <v>-0.97279033256432557</v>
      </c>
    </row>
    <row r="280" spans="1:20" x14ac:dyDescent="0.25">
      <c r="A280" s="5">
        <v>44313</v>
      </c>
      <c r="B280">
        <v>0.52385000000000004</v>
      </c>
      <c r="C280">
        <v>0.55127000000000004</v>
      </c>
      <c r="D280">
        <v>0.50749999999999995</v>
      </c>
      <c r="E280">
        <v>0.52595000000000003</v>
      </c>
      <c r="F280">
        <v>11151995.4</v>
      </c>
      <c r="G280">
        <v>0</v>
      </c>
      <c r="L280" t="s">
        <v>7</v>
      </c>
      <c r="M280" t="s">
        <v>8</v>
      </c>
      <c r="N280" t="s">
        <v>8</v>
      </c>
      <c r="P280">
        <f t="shared" si="964"/>
        <v>-0.15695681973954576</v>
      </c>
      <c r="Q280">
        <f t="shared" si="965"/>
        <v>-1750381.7317340435</v>
      </c>
      <c r="R280">
        <f t="shared" si="966"/>
        <v>-96014374.792949617</v>
      </c>
      <c r="S280">
        <f t="shared" si="967"/>
        <v>-960.14374792949616</v>
      </c>
      <c r="T280">
        <f t="shared" si="968"/>
        <v>-0.96014374792949619</v>
      </c>
    </row>
    <row r="281" spans="1:20" x14ac:dyDescent="0.25">
      <c r="A281" s="5">
        <v>44312</v>
      </c>
      <c r="B281">
        <v>0.43729000000000001</v>
      </c>
      <c r="C281">
        <v>0.54635</v>
      </c>
      <c r="D281">
        <v>0.42736000000000002</v>
      </c>
      <c r="E281">
        <v>0.52537</v>
      </c>
      <c r="F281">
        <v>17358465.300000001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0.64736532481721154</v>
      </c>
      <c r="Q281">
        <f t="shared" si="965"/>
        <v>11237268.527262796</v>
      </c>
      <c r="R281">
        <f t="shared" si="966"/>
        <v>-94263993.06121558</v>
      </c>
      <c r="S281">
        <f t="shared" si="967"/>
        <v>-942.63993061215581</v>
      </c>
      <c r="T281">
        <f t="shared" si="968"/>
        <v>-0.94263993061215579</v>
      </c>
    </row>
    <row r="282" spans="1:20" x14ac:dyDescent="0.25">
      <c r="A282" s="5">
        <v>44311</v>
      </c>
      <c r="B282">
        <v>0.38411000000000001</v>
      </c>
      <c r="C282">
        <v>0.48382999999999998</v>
      </c>
      <c r="D282">
        <v>0.37872</v>
      </c>
      <c r="E282">
        <v>0.43745000000000001</v>
      </c>
      <c r="F282">
        <v>22038382.699999999</v>
      </c>
      <c r="G282">
        <v>0</v>
      </c>
      <c r="L282" t="s">
        <v>8</v>
      </c>
      <c r="M282" t="s">
        <v>8</v>
      </c>
      <c r="N282" t="s">
        <v>7</v>
      </c>
      <c r="P282">
        <f t="shared" si="964"/>
        <v>0.11749595661687784</v>
      </c>
      <c r="Q282">
        <f t="shared" si="965"/>
        <v>2589420.8576253508</v>
      </c>
      <c r="R282">
        <f t="shared" si="966"/>
        <v>-105501261.58847837</v>
      </c>
      <c r="S282">
        <f t="shared" si="967"/>
        <v>-1055.0126158847838</v>
      </c>
      <c r="T282">
        <f t="shared" si="968"/>
        <v>-1.0550126158847839</v>
      </c>
    </row>
    <row r="283" spans="1:20" x14ac:dyDescent="0.25">
      <c r="A283" s="5">
        <v>44310</v>
      </c>
      <c r="B283">
        <v>0.41879</v>
      </c>
      <c r="C283">
        <v>0.42499999999999999</v>
      </c>
      <c r="D283">
        <v>0.37644</v>
      </c>
      <c r="E283">
        <v>0.38258999999999999</v>
      </c>
      <c r="F283">
        <v>9667806.0999999996</v>
      </c>
      <c r="G283">
        <v>0</v>
      </c>
      <c r="L283" t="s">
        <v>8</v>
      </c>
      <c r="M283" t="s">
        <v>7</v>
      </c>
      <c r="N283" t="s">
        <v>7</v>
      </c>
      <c r="P283">
        <f t="shared" si="964"/>
        <v>-0.74670510708402016</v>
      </c>
      <c r="Q283">
        <f t="shared" si="965"/>
        <v>-7219000.1891680434</v>
      </c>
      <c r="R283">
        <f t="shared" si="966"/>
        <v>-108090682.44610372</v>
      </c>
      <c r="S283">
        <f t="shared" si="967"/>
        <v>-1080.9068244610373</v>
      </c>
      <c r="T283">
        <f t="shared" si="968"/>
        <v>-1.0809068244610374</v>
      </c>
    </row>
    <row r="284" spans="1:20" x14ac:dyDescent="0.25">
      <c r="A284" s="5">
        <v>44309</v>
      </c>
      <c r="B284">
        <v>0.43972</v>
      </c>
      <c r="C284">
        <v>0.44952999999999999</v>
      </c>
      <c r="D284">
        <v>0.36013000000000001</v>
      </c>
      <c r="E284">
        <v>0.41879</v>
      </c>
      <c r="F284">
        <v>19905536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0.31230425055928418</v>
      </c>
      <c r="Q284">
        <f t="shared" si="965"/>
        <v>6216583.5024608513</v>
      </c>
      <c r="R284">
        <f t="shared" si="966"/>
        <v>-100871682.25693567</v>
      </c>
      <c r="S284">
        <f t="shared" si="967"/>
        <v>-1008.7168225693567</v>
      </c>
      <c r="T284">
        <f t="shared" si="968"/>
        <v>-1.0087168225693568</v>
      </c>
    </row>
    <row r="285" spans="1:20" x14ac:dyDescent="0.25">
      <c r="A285" s="5">
        <v>44308</v>
      </c>
      <c r="B285">
        <v>0.50385999999999997</v>
      </c>
      <c r="C285">
        <v>0.53759999999999997</v>
      </c>
      <c r="D285">
        <v>0.4</v>
      </c>
      <c r="E285">
        <v>0.44094</v>
      </c>
      <c r="F285">
        <v>18213989.399999999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-0.40494186046511638</v>
      </c>
      <c r="Q285">
        <f t="shared" si="965"/>
        <v>-7375606.7541279085</v>
      </c>
      <c r="R285">
        <f t="shared" si="966"/>
        <v>-107088265.75939652</v>
      </c>
      <c r="S285">
        <f t="shared" si="967"/>
        <v>-1070.8826575939652</v>
      </c>
      <c r="T285">
        <f t="shared" si="968"/>
        <v>-1.0708826575939652</v>
      </c>
    </row>
    <row r="286" spans="1:20" x14ac:dyDescent="0.25">
      <c r="A286" s="5">
        <v>44307</v>
      </c>
      <c r="B286">
        <v>0.56716</v>
      </c>
      <c r="C286">
        <v>0.57545999999999997</v>
      </c>
      <c r="D286">
        <v>0.49256</v>
      </c>
      <c r="E286">
        <v>0.50397999999999998</v>
      </c>
      <c r="F286">
        <v>11132629.800000001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-0.72448733413751532</v>
      </c>
      <c r="Q286">
        <f t="shared" si="965"/>
        <v>-8065449.285741861</v>
      </c>
      <c r="R286">
        <f t="shared" si="966"/>
        <v>-99712659.005268618</v>
      </c>
      <c r="S286">
        <f t="shared" si="967"/>
        <v>-997.1265900526862</v>
      </c>
      <c r="T286">
        <f t="shared" si="968"/>
        <v>-0.99712659005268622</v>
      </c>
    </row>
    <row r="287" spans="1:20" x14ac:dyDescent="0.25">
      <c r="A287" s="5">
        <v>44306</v>
      </c>
      <c r="B287">
        <v>0.55894999999999995</v>
      </c>
      <c r="C287">
        <v>0.56930000000000003</v>
      </c>
      <c r="D287">
        <v>0.46</v>
      </c>
      <c r="E287">
        <v>0.56799999999999995</v>
      </c>
      <c r="F287">
        <v>11873483.1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0.97621225983531423</v>
      </c>
      <c r="Q287">
        <f t="shared" si="965"/>
        <v>11591039.769167412</v>
      </c>
      <c r="R287">
        <f t="shared" si="966"/>
        <v>-91647209.719526753</v>
      </c>
      <c r="S287">
        <f t="shared" si="967"/>
        <v>-916.47209719526757</v>
      </c>
      <c r="T287">
        <f t="shared" si="968"/>
        <v>-0.91647209719526757</v>
      </c>
    </row>
    <row r="288" spans="1:20" x14ac:dyDescent="0.25">
      <c r="A288" s="5">
        <v>44305</v>
      </c>
      <c r="B288">
        <v>0.61680000000000001</v>
      </c>
      <c r="C288">
        <v>0.65615999999999997</v>
      </c>
      <c r="D288">
        <v>0.54813000000000001</v>
      </c>
      <c r="E288">
        <v>0.55925999999999998</v>
      </c>
      <c r="F288">
        <v>10257644.5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-0.79394612607609039</v>
      </c>
      <c r="Q288">
        <f t="shared" si="965"/>
        <v>-8144017.1134407148</v>
      </c>
      <c r="R288">
        <f t="shared" si="966"/>
        <v>-103238249.48869416</v>
      </c>
      <c r="S288">
        <f t="shared" si="967"/>
        <v>-1032.3824948869417</v>
      </c>
      <c r="T288">
        <f t="shared" si="968"/>
        <v>-1.0323824948869418</v>
      </c>
    </row>
    <row r="289" spans="1:20" x14ac:dyDescent="0.25">
      <c r="A289" s="5">
        <v>44304</v>
      </c>
      <c r="B289">
        <v>0.69737000000000005</v>
      </c>
      <c r="C289">
        <v>0.70174999999999998</v>
      </c>
      <c r="D289">
        <v>0.54440999999999995</v>
      </c>
      <c r="E289">
        <v>0.61443999999999999</v>
      </c>
      <c r="F289">
        <v>13456989.4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-0.1098258548366592</v>
      </c>
      <c r="Q289">
        <f t="shared" si="965"/>
        <v>-1477925.3643828616</v>
      </c>
      <c r="R289">
        <f t="shared" si="966"/>
        <v>-95094232.375253439</v>
      </c>
      <c r="S289">
        <f t="shared" si="967"/>
        <v>-950.94232375253443</v>
      </c>
      <c r="T289">
        <f t="shared" si="968"/>
        <v>-0.9509423237525344</v>
      </c>
    </row>
    <row r="290" spans="1:20" x14ac:dyDescent="0.25">
      <c r="A290" s="5">
        <v>44303</v>
      </c>
      <c r="B290">
        <v>0.68657000000000001</v>
      </c>
      <c r="C290">
        <v>0.75</v>
      </c>
      <c r="D290">
        <v>0.68250999999999995</v>
      </c>
      <c r="E290">
        <v>0.69852999999999998</v>
      </c>
      <c r="F290">
        <v>10045044.9</v>
      </c>
      <c r="G290">
        <v>0</v>
      </c>
      <c r="L290" t="s">
        <v>8</v>
      </c>
      <c r="M290" t="s">
        <v>7</v>
      </c>
      <c r="N290" t="s">
        <v>8</v>
      </c>
      <c r="P290">
        <f t="shared" si="964"/>
        <v>-0.52526300192621067</v>
      </c>
      <c r="Q290">
        <f t="shared" si="965"/>
        <v>-5276290.4386575725</v>
      </c>
      <c r="R290">
        <f t="shared" si="966"/>
        <v>-93616307.010870576</v>
      </c>
      <c r="S290">
        <f t="shared" si="967"/>
        <v>-936.16307010870571</v>
      </c>
      <c r="T290">
        <f t="shared" si="968"/>
        <v>-0.9361630701087057</v>
      </c>
    </row>
    <row r="291" spans="1:20" x14ac:dyDescent="0.25">
      <c r="A291" s="5">
        <v>44302</v>
      </c>
      <c r="B291">
        <v>0.69979000000000002</v>
      </c>
      <c r="C291">
        <v>0.70343999999999995</v>
      </c>
      <c r="D291">
        <v>0.64878999999999998</v>
      </c>
      <c r="E291">
        <v>0.68655999999999995</v>
      </c>
      <c r="F291">
        <v>10176650.199999999</v>
      </c>
      <c r="G291">
        <v>0</v>
      </c>
      <c r="L291" t="s">
        <v>7</v>
      </c>
      <c r="M291" t="s">
        <v>7</v>
      </c>
      <c r="N291" t="s">
        <v>8</v>
      </c>
      <c r="P291">
        <f t="shared" si="964"/>
        <v>0.38225068618481195</v>
      </c>
      <c r="Q291">
        <f t="shared" si="965"/>
        <v>3890031.5220128037</v>
      </c>
      <c r="R291">
        <f t="shared" si="966"/>
        <v>-88340016.572213009</v>
      </c>
      <c r="S291">
        <f t="shared" si="967"/>
        <v>-883.40016572213005</v>
      </c>
      <c r="T291">
        <f t="shared" si="968"/>
        <v>-0.88340016572213009</v>
      </c>
    </row>
    <row r="292" spans="1:20" x14ac:dyDescent="0.25">
      <c r="A292" s="5">
        <v>44301</v>
      </c>
      <c r="B292">
        <v>0.71901000000000004</v>
      </c>
      <c r="C292">
        <v>0.75416000000000005</v>
      </c>
      <c r="D292">
        <v>0.68700000000000006</v>
      </c>
      <c r="E292">
        <v>0.69993000000000005</v>
      </c>
      <c r="F292">
        <v>10166968.699999999</v>
      </c>
      <c r="G292">
        <v>0</v>
      </c>
      <c r="L292" t="s">
        <v>8</v>
      </c>
      <c r="M292" t="s">
        <v>7</v>
      </c>
      <c r="N292" t="s">
        <v>8</v>
      </c>
      <c r="P292">
        <f t="shared" si="964"/>
        <v>-0.61494937462775467</v>
      </c>
      <c r="Q292">
        <f t="shared" si="965"/>
        <v>-6252171.0439249557</v>
      </c>
      <c r="R292">
        <f t="shared" si="966"/>
        <v>-92230048.094225809</v>
      </c>
      <c r="S292">
        <f t="shared" si="967"/>
        <v>-922.3004809422581</v>
      </c>
      <c r="T292">
        <f t="shared" si="968"/>
        <v>-0.92230048094225814</v>
      </c>
    </row>
    <row r="293" spans="1:20" x14ac:dyDescent="0.25">
      <c r="A293" s="5">
        <v>44300</v>
      </c>
      <c r="B293">
        <v>0.68632000000000004</v>
      </c>
      <c r="C293">
        <v>0.72</v>
      </c>
      <c r="D293">
        <v>0.64739999999999998</v>
      </c>
      <c r="E293">
        <v>0.72</v>
      </c>
      <c r="F293">
        <v>14757206.9</v>
      </c>
      <c r="G293">
        <v>0</v>
      </c>
      <c r="L293" t="s">
        <v>7</v>
      </c>
      <c r="M293" t="s">
        <v>7</v>
      </c>
      <c r="N293" t="s">
        <v>8</v>
      </c>
      <c r="P293">
        <f t="shared" si="964"/>
        <v>1</v>
      </c>
      <c r="Q293">
        <f t="shared" si="965"/>
        <v>14757206.9</v>
      </c>
      <c r="R293">
        <f t="shared" si="966"/>
        <v>-85977877.050300851</v>
      </c>
      <c r="S293">
        <f t="shared" si="967"/>
        <v>-859.77877050300856</v>
      </c>
      <c r="T293">
        <f t="shared" si="968"/>
        <v>-0.85977877050300855</v>
      </c>
    </row>
    <row r="294" spans="1:20" x14ac:dyDescent="0.25">
      <c r="A294" s="5">
        <v>44299</v>
      </c>
      <c r="B294">
        <v>0.72836000000000001</v>
      </c>
      <c r="C294">
        <v>0.74499000000000004</v>
      </c>
      <c r="D294">
        <v>0.67164999999999997</v>
      </c>
      <c r="E294">
        <v>0.68713999999999997</v>
      </c>
      <c r="F294">
        <v>12059825.800000001</v>
      </c>
      <c r="G294">
        <v>0</v>
      </c>
      <c r="L294" t="s">
        <v>7</v>
      </c>
      <c r="M294" t="s">
        <v>7</v>
      </c>
      <c r="N294" t="s">
        <v>8</v>
      </c>
      <c r="P294">
        <f t="shared" si="964"/>
        <v>-0.57758385601309004</v>
      </c>
      <c r="Q294">
        <f t="shared" si="965"/>
        <v>-6965560.688410149</v>
      </c>
      <c r="R294">
        <f t="shared" si="966"/>
        <v>-100735083.95030086</v>
      </c>
      <c r="S294">
        <f t="shared" si="967"/>
        <v>-1007.3508395030086</v>
      </c>
      <c r="T294">
        <f t="shared" si="968"/>
        <v>-1.0073508395030086</v>
      </c>
    </row>
    <row r="295" spans="1:20" x14ac:dyDescent="0.25">
      <c r="A295" s="5">
        <v>44298</v>
      </c>
      <c r="B295">
        <v>0.76822999999999997</v>
      </c>
      <c r="C295">
        <v>0.80400000000000005</v>
      </c>
      <c r="D295">
        <v>0.71867999999999999</v>
      </c>
      <c r="E295">
        <v>0.72860999999999998</v>
      </c>
      <c r="F295">
        <v>9198289.9000000004</v>
      </c>
      <c r="G295">
        <v>0</v>
      </c>
      <c r="L295" t="s">
        <v>7</v>
      </c>
      <c r="M295" t="s">
        <v>7</v>
      </c>
      <c r="N295" t="s">
        <v>8</v>
      </c>
      <c r="P295">
        <f t="shared" si="964"/>
        <v>-0.76722925457102698</v>
      </c>
      <c r="Q295">
        <f t="shared" si="965"/>
        <v>-7057197.1033052066</v>
      </c>
      <c r="R295">
        <f t="shared" si="966"/>
        <v>-93769523.261890709</v>
      </c>
      <c r="S295">
        <f t="shared" si="967"/>
        <v>-937.69523261890708</v>
      </c>
      <c r="T295">
        <f t="shared" si="968"/>
        <v>-0.93769523261890708</v>
      </c>
    </row>
    <row r="296" spans="1:20" x14ac:dyDescent="0.25">
      <c r="A296" s="5">
        <v>44297</v>
      </c>
      <c r="B296">
        <v>0.76022999999999996</v>
      </c>
      <c r="C296">
        <v>0.78254000000000001</v>
      </c>
      <c r="D296">
        <v>0.73631999999999997</v>
      </c>
      <c r="E296">
        <v>0.76837999999999995</v>
      </c>
      <c r="F296">
        <v>8683237.5</v>
      </c>
      <c r="G296">
        <v>0</v>
      </c>
      <c r="L296" t="s">
        <v>7</v>
      </c>
      <c r="M296" t="s">
        <v>7</v>
      </c>
      <c r="N296" t="s">
        <v>8</v>
      </c>
      <c r="P296">
        <f t="shared" si="964"/>
        <v>0.38727823453050414</v>
      </c>
      <c r="Q296">
        <f t="shared" si="965"/>
        <v>3362828.8890090683</v>
      </c>
      <c r="R296">
        <f t="shared" si="966"/>
        <v>-86712326.158585504</v>
      </c>
      <c r="S296">
        <f t="shared" si="967"/>
        <v>-867.12326158585506</v>
      </c>
      <c r="T296">
        <f t="shared" si="968"/>
        <v>-0.86712326158585507</v>
      </c>
    </row>
    <row r="297" spans="1:20" x14ac:dyDescent="0.25">
      <c r="A297" s="5">
        <v>44296</v>
      </c>
      <c r="B297">
        <v>0.80376000000000003</v>
      </c>
      <c r="C297">
        <v>0.81588000000000005</v>
      </c>
      <c r="D297">
        <v>0.74</v>
      </c>
      <c r="E297">
        <v>0.75927</v>
      </c>
      <c r="F297">
        <v>9420022</v>
      </c>
      <c r="G297">
        <v>0</v>
      </c>
      <c r="L297" t="s">
        <v>7</v>
      </c>
      <c r="M297" t="s">
        <v>7</v>
      </c>
      <c r="N297" t="s">
        <v>8</v>
      </c>
      <c r="P297">
        <f t="shared" si="964"/>
        <v>-0.492092778070638</v>
      </c>
      <c r="Q297">
        <f t="shared" si="965"/>
        <v>-4635524.7954665273</v>
      </c>
      <c r="R297">
        <f t="shared" si="966"/>
        <v>-90075155.047594577</v>
      </c>
      <c r="S297">
        <f t="shared" si="967"/>
        <v>-900.75155047594581</v>
      </c>
      <c r="T297">
        <f t="shared" si="968"/>
        <v>-0.90075155047594579</v>
      </c>
    </row>
    <row r="298" spans="1:20" x14ac:dyDescent="0.25">
      <c r="A298" s="5">
        <v>44295</v>
      </c>
      <c r="B298">
        <v>0.82786000000000004</v>
      </c>
      <c r="C298">
        <v>0.83721999999999996</v>
      </c>
      <c r="D298">
        <v>0.78652999999999995</v>
      </c>
      <c r="E298">
        <v>0.80500000000000005</v>
      </c>
      <c r="F298">
        <v>7875277.2000000002</v>
      </c>
      <c r="G298">
        <v>0</v>
      </c>
      <c r="L298" t="s">
        <v>8</v>
      </c>
      <c r="M298" t="s">
        <v>7</v>
      </c>
      <c r="N298" t="s">
        <v>8</v>
      </c>
      <c r="P298">
        <f t="shared" si="964"/>
        <v>-0.27125665811796834</v>
      </c>
      <c r="Q298">
        <f t="shared" si="965"/>
        <v>-2136221.3750246312</v>
      </c>
      <c r="R298">
        <f t="shared" si="966"/>
        <v>-85439630.25212805</v>
      </c>
      <c r="S298">
        <f t="shared" si="967"/>
        <v>-854.39630252128052</v>
      </c>
      <c r="T298">
        <f t="shared" si="968"/>
        <v>-0.85439630252128052</v>
      </c>
    </row>
    <row r="299" spans="1:20" x14ac:dyDescent="0.25">
      <c r="A299" s="5">
        <v>44294</v>
      </c>
      <c r="B299">
        <v>0.78383000000000003</v>
      </c>
      <c r="C299">
        <v>0.86107</v>
      </c>
      <c r="D299">
        <v>0.78</v>
      </c>
      <c r="E299">
        <v>0.82899999999999996</v>
      </c>
      <c r="F299">
        <v>9773150.5</v>
      </c>
      <c r="G299">
        <v>0</v>
      </c>
      <c r="L299" t="s">
        <v>7</v>
      </c>
      <c r="M299" t="s">
        <v>7</v>
      </c>
      <c r="N299" t="s">
        <v>8</v>
      </c>
      <c r="P299">
        <f t="shared" si="964"/>
        <v>0.20883187368940292</v>
      </c>
      <c r="Q299">
        <f t="shared" si="965"/>
        <v>2040945.3307635251</v>
      </c>
      <c r="R299">
        <f t="shared" si="966"/>
        <v>-83303408.877103418</v>
      </c>
      <c r="S299">
        <f t="shared" si="967"/>
        <v>-833.03408877103413</v>
      </c>
      <c r="T299">
        <f t="shared" si="968"/>
        <v>-0.83303408877103413</v>
      </c>
    </row>
    <row r="300" spans="1:20" x14ac:dyDescent="0.25">
      <c r="A300" s="5">
        <v>44293</v>
      </c>
      <c r="B300">
        <v>0.89266999999999996</v>
      </c>
      <c r="C300">
        <v>0.90900000000000003</v>
      </c>
      <c r="D300">
        <v>0.71</v>
      </c>
      <c r="E300">
        <v>0.78383000000000003</v>
      </c>
      <c r="F300">
        <v>14945819.800000001</v>
      </c>
      <c r="G300">
        <v>0</v>
      </c>
      <c r="L300" t="s">
        <v>8</v>
      </c>
      <c r="M300" t="s">
        <v>8</v>
      </c>
      <c r="N300" t="s">
        <v>8</v>
      </c>
      <c r="P300">
        <f t="shared" si="964"/>
        <v>-0.25798994974874334</v>
      </c>
      <c r="Q300">
        <f t="shared" si="965"/>
        <v>-3855871.2991557736</v>
      </c>
      <c r="R300">
        <f t="shared" si="966"/>
        <v>-85344354.207866937</v>
      </c>
      <c r="S300">
        <f t="shared" si="967"/>
        <v>-853.44354207866934</v>
      </c>
      <c r="T300">
        <f t="shared" si="968"/>
        <v>-0.85344354207866935</v>
      </c>
    </row>
    <row r="301" spans="1:20" x14ac:dyDescent="0.25">
      <c r="A301" s="5">
        <v>44292</v>
      </c>
      <c r="B301">
        <v>0.82064999999999999</v>
      </c>
      <c r="C301">
        <v>0.89776999999999996</v>
      </c>
      <c r="D301">
        <v>0.80100000000000005</v>
      </c>
      <c r="E301">
        <v>0.89268000000000003</v>
      </c>
      <c r="F301">
        <v>12783018.6</v>
      </c>
      <c r="G301">
        <v>0</v>
      </c>
      <c r="L301" t="s">
        <v>8</v>
      </c>
      <c r="M301" t="s">
        <v>8</v>
      </c>
      <c r="N301" t="s">
        <v>8</v>
      </c>
      <c r="P301">
        <f t="shared" si="964"/>
        <v>0.89480210809135197</v>
      </c>
      <c r="Q301">
        <f t="shared" si="965"/>
        <v>11438271.991050962</v>
      </c>
      <c r="R301">
        <f t="shared" si="966"/>
        <v>-81488482.908711165</v>
      </c>
      <c r="S301">
        <f t="shared" si="967"/>
        <v>-814.8848290871116</v>
      </c>
      <c r="T301">
        <f t="shared" si="968"/>
        <v>-0.81488482908711157</v>
      </c>
    </row>
    <row r="302" spans="1:20" x14ac:dyDescent="0.25">
      <c r="A302" s="5">
        <v>44291</v>
      </c>
      <c r="B302">
        <v>0.76400999999999997</v>
      </c>
      <c r="C302">
        <v>0.83577999999999997</v>
      </c>
      <c r="D302">
        <v>0.74590000000000001</v>
      </c>
      <c r="E302">
        <v>0.82064999999999999</v>
      </c>
      <c r="F302">
        <v>11989476.5</v>
      </c>
      <c r="G302">
        <v>0</v>
      </c>
      <c r="L302" t="s">
        <v>8</v>
      </c>
      <c r="M302" t="s">
        <v>7</v>
      </c>
      <c r="N302" t="s">
        <v>8</v>
      </c>
      <c r="P302">
        <f t="shared" si="964"/>
        <v>0.66332888295505155</v>
      </c>
      <c r="Q302">
        <f t="shared" si="965"/>
        <v>7952966.0539608411</v>
      </c>
      <c r="R302">
        <f t="shared" si="966"/>
        <v>-92926754.899762124</v>
      </c>
      <c r="S302">
        <f t="shared" si="967"/>
        <v>-929.26754899762125</v>
      </c>
      <c r="T302">
        <f t="shared" si="968"/>
        <v>-0.92926754899762121</v>
      </c>
    </row>
    <row r="303" spans="1:20" x14ac:dyDescent="0.25">
      <c r="A303" s="5">
        <v>44290</v>
      </c>
      <c r="B303">
        <v>0.78100999999999998</v>
      </c>
      <c r="C303">
        <v>0.84079999999999999</v>
      </c>
      <c r="D303">
        <v>0.74012999999999995</v>
      </c>
      <c r="E303">
        <v>0.76444000000000001</v>
      </c>
      <c r="F303">
        <v>16269548</v>
      </c>
      <c r="G303">
        <v>0</v>
      </c>
      <c r="L303" t="s">
        <v>7</v>
      </c>
      <c r="M303" t="s">
        <v>7</v>
      </c>
      <c r="N303" t="s">
        <v>8</v>
      </c>
      <c r="P303">
        <f t="shared" si="964"/>
        <v>-0.51703585973974286</v>
      </c>
      <c r="Q303">
        <f t="shared" si="965"/>
        <v>-8411939.7377570141</v>
      </c>
      <c r="R303">
        <f t="shared" si="966"/>
        <v>-100879720.95372297</v>
      </c>
      <c r="S303">
        <f t="shared" si="967"/>
        <v>-1008.7972095372297</v>
      </c>
      <c r="T303">
        <f t="shared" si="968"/>
        <v>-1.0087972095372297</v>
      </c>
    </row>
    <row r="304" spans="1:20" x14ac:dyDescent="0.25">
      <c r="A304" s="5">
        <v>44289</v>
      </c>
      <c r="B304">
        <v>0.871</v>
      </c>
      <c r="C304">
        <v>0.88</v>
      </c>
      <c r="D304">
        <v>0.77490999999999999</v>
      </c>
      <c r="E304">
        <v>0.78330999999999995</v>
      </c>
      <c r="F304">
        <v>8698882</v>
      </c>
      <c r="G304">
        <v>0</v>
      </c>
      <c r="L304" t="s">
        <v>7</v>
      </c>
      <c r="M304" t="s">
        <v>8</v>
      </c>
      <c r="N304" t="s">
        <v>8</v>
      </c>
      <c r="P304">
        <f t="shared" si="964"/>
        <v>-0.84013702540679491</v>
      </c>
      <c r="Q304">
        <f t="shared" si="965"/>
        <v>-7308252.8478447106</v>
      </c>
      <c r="R304">
        <f t="shared" si="966"/>
        <v>-92467781.215965956</v>
      </c>
      <c r="S304">
        <f t="shared" si="967"/>
        <v>-924.67781215965954</v>
      </c>
      <c r="T304">
        <f t="shared" si="968"/>
        <v>-0.9246778121596595</v>
      </c>
    </row>
    <row r="305" spans="1:20" x14ac:dyDescent="0.25">
      <c r="A305" s="5">
        <v>44288</v>
      </c>
      <c r="B305">
        <v>0.85741999999999996</v>
      </c>
      <c r="C305">
        <v>0.89970000000000006</v>
      </c>
      <c r="D305">
        <v>0.83053999999999994</v>
      </c>
      <c r="E305">
        <v>0.871</v>
      </c>
      <c r="F305">
        <v>12868135.1</v>
      </c>
      <c r="G305">
        <v>0</v>
      </c>
      <c r="L305" t="s">
        <v>8</v>
      </c>
      <c r="M305" t="s">
        <v>8</v>
      </c>
      <c r="N305" t="s">
        <v>8</v>
      </c>
      <c r="P305">
        <f t="shared" si="964"/>
        <v>0.17004048582995915</v>
      </c>
      <c r="Q305">
        <f t="shared" si="965"/>
        <v>2188103.9441295499</v>
      </c>
      <c r="R305">
        <f t="shared" si="966"/>
        <v>-85159528.368121251</v>
      </c>
      <c r="S305">
        <f t="shared" si="967"/>
        <v>-851.59528368121255</v>
      </c>
      <c r="T305">
        <f t="shared" si="968"/>
        <v>-0.85159528368121251</v>
      </c>
    </row>
    <row r="306" spans="1:20" x14ac:dyDescent="0.25">
      <c r="A306" s="5">
        <v>44287</v>
      </c>
      <c r="B306">
        <v>0.80247999999999997</v>
      </c>
      <c r="C306">
        <v>0.86999000000000004</v>
      </c>
      <c r="D306">
        <v>0.76500000000000001</v>
      </c>
      <c r="E306">
        <v>0.85741999999999996</v>
      </c>
      <c r="F306">
        <v>10505287.699999999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0.76054862367844411</v>
      </c>
      <c r="Q306">
        <f t="shared" si="965"/>
        <v>7989782.1015810873</v>
      </c>
      <c r="R306">
        <f t="shared" si="966"/>
        <v>-87347632.312250808</v>
      </c>
      <c r="S306">
        <f t="shared" si="967"/>
        <v>-873.47632312250812</v>
      </c>
      <c r="T306">
        <f t="shared" si="968"/>
        <v>-0.87347632312250811</v>
      </c>
    </row>
    <row r="307" spans="1:20" x14ac:dyDescent="0.25">
      <c r="A307" s="5">
        <v>44286</v>
      </c>
      <c r="B307">
        <v>0.82169999999999999</v>
      </c>
      <c r="C307">
        <v>0.83569000000000004</v>
      </c>
      <c r="D307">
        <v>0.748</v>
      </c>
      <c r="E307">
        <v>0.80079999999999996</v>
      </c>
      <c r="F307">
        <v>16697600.4</v>
      </c>
      <c r="G307">
        <v>0</v>
      </c>
      <c r="L307" t="s">
        <v>7</v>
      </c>
      <c r="M307" t="s">
        <v>8</v>
      </c>
      <c r="N307" t="s">
        <v>8</v>
      </c>
      <c r="P307">
        <f t="shared" si="964"/>
        <v>0.20424221690044317</v>
      </c>
      <c r="Q307">
        <f t="shared" si="965"/>
        <v>3410354.9226137265</v>
      </c>
      <c r="R307">
        <f t="shared" si="966"/>
        <v>-95337414.41383189</v>
      </c>
      <c r="S307">
        <f t="shared" si="967"/>
        <v>-953.37414413831891</v>
      </c>
      <c r="T307">
        <f t="shared" si="968"/>
        <v>-0.95337414413831889</v>
      </c>
    </row>
    <row r="308" spans="1:20" x14ac:dyDescent="0.25">
      <c r="A308" s="5">
        <v>44285</v>
      </c>
      <c r="B308">
        <v>0.83952000000000004</v>
      </c>
      <c r="C308">
        <v>0.88</v>
      </c>
      <c r="D308">
        <v>0.80989</v>
      </c>
      <c r="E308">
        <v>0.82167999999999997</v>
      </c>
      <c r="F308">
        <v>10028964.6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-0.66367137355584183</v>
      </c>
      <c r="Q308">
        <f t="shared" si="965"/>
        <v>-6655936.7114249133</v>
      </c>
      <c r="R308">
        <f t="shared" si="966"/>
        <v>-98747769.336445615</v>
      </c>
      <c r="S308">
        <f t="shared" si="967"/>
        <v>-987.47769336445617</v>
      </c>
      <c r="T308">
        <f t="shared" si="968"/>
        <v>-0.98747769336445612</v>
      </c>
    </row>
    <row r="309" spans="1:20" x14ac:dyDescent="0.25">
      <c r="A309" s="5">
        <v>44284</v>
      </c>
      <c r="B309">
        <v>0.78398000000000001</v>
      </c>
      <c r="C309">
        <v>0.85</v>
      </c>
      <c r="D309">
        <v>0.76300000000000001</v>
      </c>
      <c r="E309">
        <v>0.83952000000000004</v>
      </c>
      <c r="F309">
        <v>12411127.6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0.7590804597701164</v>
      </c>
      <c r="Q309">
        <f t="shared" si="965"/>
        <v>9421044.4448735807</v>
      </c>
      <c r="R309">
        <f t="shared" si="966"/>
        <v>-92091832.625020698</v>
      </c>
      <c r="S309">
        <f t="shared" si="967"/>
        <v>-920.91832625020697</v>
      </c>
      <c r="T309">
        <f t="shared" si="968"/>
        <v>-0.92091832625020698</v>
      </c>
    </row>
    <row r="310" spans="1:20" x14ac:dyDescent="0.25">
      <c r="A310" s="5">
        <v>44283</v>
      </c>
      <c r="B310">
        <v>0.69965999999999995</v>
      </c>
      <c r="C310">
        <v>0.79466000000000003</v>
      </c>
      <c r="D310">
        <v>0.68274000000000001</v>
      </c>
      <c r="E310">
        <v>0.78069999999999995</v>
      </c>
      <c r="F310">
        <v>12911632.699999999</v>
      </c>
      <c r="G310">
        <v>0</v>
      </c>
      <c r="L310" t="s">
        <v>8</v>
      </c>
      <c r="M310" t="s">
        <v>8</v>
      </c>
      <c r="N310" t="s">
        <v>7</v>
      </c>
      <c r="P310">
        <f t="shared" si="964"/>
        <v>0.75053609721229309</v>
      </c>
      <c r="Q310">
        <f t="shared" si="965"/>
        <v>9690646.4152966216</v>
      </c>
      <c r="R310">
        <f t="shared" si="966"/>
        <v>-101512877.06989428</v>
      </c>
      <c r="S310">
        <f t="shared" si="967"/>
        <v>-1015.1287706989428</v>
      </c>
      <c r="T310">
        <f t="shared" si="968"/>
        <v>-1.0151287706989429</v>
      </c>
    </row>
    <row r="311" spans="1:20" x14ac:dyDescent="0.25">
      <c r="A311" s="5">
        <v>44282</v>
      </c>
      <c r="B311">
        <v>0.72502999999999995</v>
      </c>
      <c r="C311">
        <v>0.73658000000000001</v>
      </c>
      <c r="D311">
        <v>0.67286000000000001</v>
      </c>
      <c r="E311">
        <v>0.69994000000000001</v>
      </c>
      <c r="F311">
        <v>7858420</v>
      </c>
      <c r="G311">
        <v>0</v>
      </c>
      <c r="L311" t="s">
        <v>7</v>
      </c>
      <c r="M311" t="s">
        <v>8</v>
      </c>
      <c r="N311" t="s">
        <v>7</v>
      </c>
      <c r="P311">
        <f t="shared" si="964"/>
        <v>-0.15003138731952312</v>
      </c>
      <c r="Q311">
        <f t="shared" si="965"/>
        <v>-1179009.6547394868</v>
      </c>
      <c r="R311">
        <f t="shared" si="966"/>
        <v>-111203523.48519091</v>
      </c>
      <c r="S311">
        <f t="shared" si="967"/>
        <v>-1112.0352348519091</v>
      </c>
      <c r="T311">
        <f t="shared" si="968"/>
        <v>-1.1120352348519091</v>
      </c>
    </row>
    <row r="312" spans="1:20" x14ac:dyDescent="0.25">
      <c r="A312" s="5">
        <v>44281</v>
      </c>
      <c r="B312">
        <v>0.61309000000000002</v>
      </c>
      <c r="C312">
        <v>0.74997999999999998</v>
      </c>
      <c r="D312">
        <v>0.61204999999999998</v>
      </c>
      <c r="E312">
        <v>0.72499999999999998</v>
      </c>
      <c r="F312">
        <v>14662178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0.63778728340462554</v>
      </c>
      <c r="Q312">
        <f t="shared" si="965"/>
        <v>9351350.6754150651</v>
      </c>
      <c r="R312">
        <f t="shared" si="966"/>
        <v>-110024513.83045143</v>
      </c>
      <c r="S312">
        <f t="shared" si="967"/>
        <v>-1100.2451383045143</v>
      </c>
      <c r="T312">
        <f t="shared" si="968"/>
        <v>-1.1002451383045142</v>
      </c>
    </row>
    <row r="313" spans="1:20" x14ac:dyDescent="0.25">
      <c r="A313" s="5">
        <v>44280</v>
      </c>
      <c r="B313">
        <v>0.68298999999999999</v>
      </c>
      <c r="C313">
        <v>0.72</v>
      </c>
      <c r="D313">
        <v>0.58792999999999995</v>
      </c>
      <c r="E313">
        <v>0.61475000000000002</v>
      </c>
      <c r="F313">
        <v>18133873.300000001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-0.59385174528658946</v>
      </c>
      <c r="Q313">
        <f t="shared" si="965"/>
        <v>-10768832.308010885</v>
      </c>
      <c r="R313">
        <f t="shared" si="966"/>
        <v>-119375864.5058665</v>
      </c>
      <c r="S313">
        <f t="shared" si="967"/>
        <v>-1193.758645058665</v>
      </c>
      <c r="T313">
        <f t="shared" si="968"/>
        <v>-1.193758645058665</v>
      </c>
    </row>
    <row r="314" spans="1:20" x14ac:dyDescent="0.25">
      <c r="A314" s="5">
        <v>44279</v>
      </c>
      <c r="B314">
        <v>0.63365000000000005</v>
      </c>
      <c r="C314">
        <v>0.84799999999999998</v>
      </c>
      <c r="D314">
        <v>0.61780999999999997</v>
      </c>
      <c r="E314">
        <v>0.68147000000000002</v>
      </c>
      <c r="F314">
        <v>68982652</v>
      </c>
      <c r="G314">
        <v>0</v>
      </c>
      <c r="L314" t="s">
        <v>8</v>
      </c>
      <c r="M314" t="s">
        <v>8</v>
      </c>
      <c r="N314" t="s">
        <v>8</v>
      </c>
      <c r="P314">
        <f t="shared" si="964"/>
        <v>-0.44689169816238716</v>
      </c>
      <c r="Q314">
        <f t="shared" si="965"/>
        <v>-30827774.496024992</v>
      </c>
      <c r="R314">
        <f t="shared" si="966"/>
        <v>-108607032.19785561</v>
      </c>
      <c r="S314">
        <f t="shared" si="967"/>
        <v>-1086.070321978556</v>
      </c>
      <c r="T314">
        <f t="shared" si="968"/>
        <v>-1.0860703219785559</v>
      </c>
    </row>
    <row r="315" spans="1:20" x14ac:dyDescent="0.25">
      <c r="A315" s="5">
        <v>44278</v>
      </c>
      <c r="B315">
        <v>0.53595999999999999</v>
      </c>
      <c r="C315">
        <v>0.66886999999999996</v>
      </c>
      <c r="D315">
        <v>0.50617999999999996</v>
      </c>
      <c r="E315">
        <v>0.63221000000000005</v>
      </c>
      <c r="F315">
        <v>26538686.800000001</v>
      </c>
      <c r="G315">
        <v>0</v>
      </c>
      <c r="L315" t="s">
        <v>7</v>
      </c>
      <c r="M315" t="s">
        <v>8</v>
      </c>
      <c r="N315" t="s">
        <v>8</v>
      </c>
      <c r="P315">
        <f t="shared" si="964"/>
        <v>0.54932694080767208</v>
      </c>
      <c r="Q315">
        <f t="shared" si="965"/>
        <v>14578415.632896949</v>
      </c>
      <c r="R315">
        <f t="shared" si="966"/>
        <v>-77779257.701830611</v>
      </c>
      <c r="S315">
        <f t="shared" si="967"/>
        <v>-777.79257701830613</v>
      </c>
      <c r="T315">
        <f t="shared" si="968"/>
        <v>-0.77779257701830617</v>
      </c>
    </row>
    <row r="316" spans="1:20" x14ac:dyDescent="0.25">
      <c r="A316" s="5">
        <v>44277</v>
      </c>
      <c r="B316">
        <v>0.59311000000000003</v>
      </c>
      <c r="C316">
        <v>0.60816000000000003</v>
      </c>
      <c r="D316">
        <v>0.51920999999999995</v>
      </c>
      <c r="E316">
        <v>0.53781999999999996</v>
      </c>
      <c r="F316">
        <v>14737688.300000001</v>
      </c>
      <c r="G316">
        <v>0</v>
      </c>
      <c r="L316" t="s">
        <v>7</v>
      </c>
      <c r="M316" t="s">
        <v>7</v>
      </c>
      <c r="N316" t="s">
        <v>8</v>
      </c>
      <c r="P316">
        <f t="shared" si="964"/>
        <v>-0.58156267566048347</v>
      </c>
      <c r="Q316">
        <f t="shared" si="965"/>
        <v>-8570889.4407982025</v>
      </c>
      <c r="R316">
        <f t="shared" si="966"/>
        <v>-92357673.334727556</v>
      </c>
      <c r="S316">
        <f t="shared" si="967"/>
        <v>-923.57673334727554</v>
      </c>
      <c r="T316">
        <f t="shared" si="968"/>
        <v>-0.92357673334727552</v>
      </c>
    </row>
    <row r="317" spans="1:20" x14ac:dyDescent="0.25">
      <c r="A317" s="5">
        <v>44276</v>
      </c>
      <c r="B317">
        <v>0.55898000000000003</v>
      </c>
      <c r="C317">
        <v>0.64659999999999995</v>
      </c>
      <c r="D317">
        <v>0.53400000000000003</v>
      </c>
      <c r="E317">
        <v>0.59311000000000003</v>
      </c>
      <c r="F317">
        <v>24194617.699999999</v>
      </c>
      <c r="G317">
        <v>0</v>
      </c>
      <c r="L317" t="s">
        <v>8</v>
      </c>
      <c r="M317" t="s">
        <v>8</v>
      </c>
      <c r="N317" t="s">
        <v>8</v>
      </c>
      <c r="P317">
        <f t="shared" si="964"/>
        <v>4.9911190053286619E-2</v>
      </c>
      <c r="Q317">
        <f t="shared" si="965"/>
        <v>1207582.1622913124</v>
      </c>
      <c r="R317">
        <f t="shared" si="966"/>
        <v>-83786783.893929347</v>
      </c>
      <c r="S317">
        <f t="shared" si="967"/>
        <v>-837.86783893929351</v>
      </c>
      <c r="T317">
        <f t="shared" si="968"/>
        <v>-0.83786783893929351</v>
      </c>
    </row>
    <row r="318" spans="1:20" x14ac:dyDescent="0.25">
      <c r="A318" s="5">
        <v>44275</v>
      </c>
      <c r="B318">
        <v>0.52905999999999997</v>
      </c>
      <c r="C318">
        <v>0.56772999999999996</v>
      </c>
      <c r="D318">
        <v>0.52</v>
      </c>
      <c r="E318">
        <v>0.55745999999999996</v>
      </c>
      <c r="F318">
        <v>8566765.1999999993</v>
      </c>
      <c r="G318">
        <v>0</v>
      </c>
      <c r="L318" t="s">
        <v>8</v>
      </c>
      <c r="M318" t="s">
        <v>7</v>
      </c>
      <c r="N318" t="s">
        <v>7</v>
      </c>
      <c r="P318">
        <f t="shared" si="964"/>
        <v>0.56966268594175506</v>
      </c>
      <c r="Q318">
        <f t="shared" si="965"/>
        <v>4880166.4736643564</v>
      </c>
      <c r="R318">
        <f t="shared" si="966"/>
        <v>-84994366.056220666</v>
      </c>
      <c r="S318">
        <f t="shared" si="967"/>
        <v>-849.94366056220667</v>
      </c>
      <c r="T318">
        <f t="shared" si="968"/>
        <v>-0.84994366056220672</v>
      </c>
    </row>
    <row r="319" spans="1:20" x14ac:dyDescent="0.25">
      <c r="A319" s="5">
        <v>44274</v>
      </c>
      <c r="B319">
        <v>0.52337999999999996</v>
      </c>
      <c r="C319">
        <v>0.54818</v>
      </c>
      <c r="D319">
        <v>0.5111</v>
      </c>
      <c r="E319">
        <v>0.52908999999999995</v>
      </c>
      <c r="F319">
        <v>5684509</v>
      </c>
      <c r="G319">
        <v>0</v>
      </c>
      <c r="L319" t="s">
        <v>8</v>
      </c>
      <c r="M319" t="s">
        <v>7</v>
      </c>
      <c r="N319" t="s">
        <v>7</v>
      </c>
      <c r="P319">
        <f t="shared" si="964"/>
        <v>-2.9665587918017822E-2</v>
      </c>
      <c r="Q319">
        <f t="shared" si="965"/>
        <v>-168634.30151026358</v>
      </c>
      <c r="R319">
        <f t="shared" si="966"/>
        <v>-89874532.529885024</v>
      </c>
      <c r="S319">
        <f t="shared" si="967"/>
        <v>-898.74532529885028</v>
      </c>
      <c r="T319">
        <f t="shared" si="968"/>
        <v>-0.89874532529885032</v>
      </c>
    </row>
    <row r="320" spans="1:20" x14ac:dyDescent="0.25">
      <c r="A320" s="5">
        <v>44273</v>
      </c>
      <c r="B320">
        <v>0.53076999999999996</v>
      </c>
      <c r="C320">
        <v>0.54</v>
      </c>
      <c r="D320">
        <v>0.51983000000000001</v>
      </c>
      <c r="E320">
        <v>0.52361000000000002</v>
      </c>
      <c r="F320">
        <v>7273056.9000000004</v>
      </c>
      <c r="G320">
        <v>0</v>
      </c>
      <c r="L320" t="s">
        <v>7</v>
      </c>
      <c r="M320" t="s">
        <v>7</v>
      </c>
      <c r="N320" t="s">
        <v>7</v>
      </c>
      <c r="P320">
        <f t="shared" si="964"/>
        <v>-0.62518591968269688</v>
      </c>
      <c r="Q320">
        <f t="shared" si="965"/>
        <v>-4547012.7669310849</v>
      </c>
      <c r="R320">
        <f t="shared" si="966"/>
        <v>-89705898.228374764</v>
      </c>
      <c r="S320">
        <f t="shared" si="967"/>
        <v>-897.0589822837477</v>
      </c>
      <c r="T320">
        <f t="shared" si="968"/>
        <v>-0.8970589822837477</v>
      </c>
    </row>
    <row r="321" spans="1:20" x14ac:dyDescent="0.25">
      <c r="A321" s="5">
        <v>44272</v>
      </c>
      <c r="B321">
        <v>0.57172999999999996</v>
      </c>
      <c r="C321">
        <v>0.57242999999999999</v>
      </c>
      <c r="D321">
        <v>0.50178</v>
      </c>
      <c r="E321">
        <v>0.53076000000000001</v>
      </c>
      <c r="F321">
        <v>14744121.4</v>
      </c>
      <c r="G321">
        <v>0</v>
      </c>
      <c r="L321" t="s">
        <v>7</v>
      </c>
      <c r="M321" t="s">
        <v>7</v>
      </c>
      <c r="N321" t="s">
        <v>7</v>
      </c>
      <c r="P321">
        <f t="shared" si="964"/>
        <v>-0.1796178343949042</v>
      </c>
      <c r="Q321">
        <f t="shared" si="965"/>
        <v>-2648307.1559235631</v>
      </c>
      <c r="R321">
        <f t="shared" si="966"/>
        <v>-85158885.461443678</v>
      </c>
      <c r="S321">
        <f t="shared" si="967"/>
        <v>-851.58885461443674</v>
      </c>
      <c r="T321">
        <f t="shared" si="968"/>
        <v>-0.85158885461443679</v>
      </c>
    </row>
    <row r="322" spans="1:20" x14ac:dyDescent="0.25">
      <c r="A322" s="5">
        <v>44271</v>
      </c>
      <c r="B322">
        <v>0.51407999999999998</v>
      </c>
      <c r="C322">
        <v>0.59899999999999998</v>
      </c>
      <c r="D322">
        <v>0.4914</v>
      </c>
      <c r="E322">
        <v>0.57138</v>
      </c>
      <c r="F322">
        <v>23973362.899999999</v>
      </c>
      <c r="G322">
        <v>0</v>
      </c>
      <c r="L322" t="s">
        <v>8</v>
      </c>
      <c r="M322" t="s">
        <v>8</v>
      </c>
      <c r="N322" t="s">
        <v>7</v>
      </c>
      <c r="P322">
        <f t="shared" si="964"/>
        <v>0.48661710037174749</v>
      </c>
      <c r="Q322">
        <f t="shared" si="965"/>
        <v>11665848.340557627</v>
      </c>
      <c r="R322">
        <f t="shared" si="966"/>
        <v>-82510578.305520117</v>
      </c>
      <c r="S322">
        <f t="shared" si="967"/>
        <v>-825.10578305520119</v>
      </c>
      <c r="T322">
        <f t="shared" si="968"/>
        <v>-0.82510578305520121</v>
      </c>
    </row>
    <row r="323" spans="1:20" x14ac:dyDescent="0.25">
      <c r="A323" s="5">
        <v>44270</v>
      </c>
      <c r="B323">
        <v>0.50000999999999995</v>
      </c>
      <c r="C323">
        <v>0.53300000000000003</v>
      </c>
      <c r="D323">
        <v>0.45101000000000002</v>
      </c>
      <c r="E323">
        <v>0.51202999999999999</v>
      </c>
      <c r="F323">
        <v>11714431.300000001</v>
      </c>
      <c r="G323">
        <v>0</v>
      </c>
      <c r="L323" t="s">
        <v>7</v>
      </c>
      <c r="M323" t="s">
        <v>7</v>
      </c>
      <c r="N323" t="s">
        <v>7</v>
      </c>
      <c r="P323">
        <f t="shared" si="964"/>
        <v>0.48847420417123938</v>
      </c>
      <c r="Q323">
        <f t="shared" si="965"/>
        <v>5722197.5065861577</v>
      </c>
      <c r="R323">
        <f t="shared" si="966"/>
        <v>-94176426.646077752</v>
      </c>
      <c r="S323">
        <f t="shared" si="967"/>
        <v>-941.76426646077755</v>
      </c>
      <c r="T323">
        <f t="shared" si="968"/>
        <v>-0.9417642664607776</v>
      </c>
    </row>
    <row r="324" spans="1:20" x14ac:dyDescent="0.25">
      <c r="A324" s="5">
        <v>44269</v>
      </c>
      <c r="B324">
        <v>0.53964999999999996</v>
      </c>
      <c r="C324">
        <v>0.55018999999999996</v>
      </c>
      <c r="D324">
        <v>0.50005999999999995</v>
      </c>
      <c r="E324">
        <v>0.50005999999999995</v>
      </c>
      <c r="F324">
        <v>8511158.4000000004</v>
      </c>
      <c r="G324">
        <v>0</v>
      </c>
      <c r="L324" t="s">
        <v>7</v>
      </c>
      <c r="M324" t="s">
        <v>7</v>
      </c>
      <c r="N324" t="s">
        <v>8</v>
      </c>
      <c r="P324">
        <f t="shared" si="964"/>
        <v>-1</v>
      </c>
      <c r="Q324">
        <f t="shared" si="965"/>
        <v>-8511158.4000000004</v>
      </c>
      <c r="R324">
        <f t="shared" si="966"/>
        <v>-99898624.152663916</v>
      </c>
      <c r="S324">
        <f t="shared" si="967"/>
        <v>-998.98624152663922</v>
      </c>
      <c r="T324">
        <f t="shared" si="968"/>
        <v>-0.99898624152663917</v>
      </c>
    </row>
    <row r="325" spans="1:20" x14ac:dyDescent="0.25">
      <c r="A325" s="5">
        <v>44268</v>
      </c>
      <c r="B325">
        <v>0.52027999999999996</v>
      </c>
      <c r="C325">
        <v>0.56999999999999995</v>
      </c>
      <c r="D325">
        <v>0.48576999999999998</v>
      </c>
      <c r="E325">
        <v>0.54</v>
      </c>
      <c r="F325">
        <v>12122091.9</v>
      </c>
      <c r="G325">
        <v>0</v>
      </c>
      <c r="L325" t="s">
        <v>8</v>
      </c>
      <c r="M325" t="s">
        <v>7</v>
      </c>
      <c r="N325" t="s">
        <v>8</v>
      </c>
      <c r="P325">
        <f t="shared" si="964"/>
        <v>0.28766472753176003</v>
      </c>
      <c r="Q325">
        <f t="shared" si="965"/>
        <v>3487098.2635284555</v>
      </c>
      <c r="R325">
        <f t="shared" si="966"/>
        <v>-91387465.75266391</v>
      </c>
      <c r="S325">
        <f t="shared" si="967"/>
        <v>-913.87465752663911</v>
      </c>
      <c r="T325">
        <f t="shared" si="968"/>
        <v>-0.9138746575266391</v>
      </c>
    </row>
    <row r="326" spans="1:20" x14ac:dyDescent="0.25">
      <c r="A326" s="5">
        <v>44267</v>
      </c>
      <c r="B326">
        <v>0.52436000000000005</v>
      </c>
      <c r="C326">
        <v>0.57499999999999996</v>
      </c>
      <c r="D326">
        <v>0.48713000000000001</v>
      </c>
      <c r="E326">
        <v>0.52056000000000002</v>
      </c>
      <c r="F326">
        <v>13901637.300000001</v>
      </c>
      <c r="G326">
        <v>0</v>
      </c>
      <c r="L326" t="s">
        <v>7</v>
      </c>
      <c r="M326" t="s">
        <v>7</v>
      </c>
      <c r="N326" t="s">
        <v>8</v>
      </c>
      <c r="P326">
        <f t="shared" ref="P326:P389" si="969">IF(C326=D326,0,((E326-D326)-(C326-E326))/(C326-D326))</f>
        <v>-0.23910322066689349</v>
      </c>
      <c r="Q326">
        <f t="shared" ref="Q326:Q389" si="970">F326*P326</f>
        <v>-3323926.2509730174</v>
      </c>
      <c r="R326">
        <f t="shared" ref="R326:R389" si="971">R327+Q326</f>
        <v>-94874564.016192362</v>
      </c>
      <c r="S326">
        <f t="shared" ref="S326:S389" si="972">R326/100000</f>
        <v>-948.74564016192357</v>
      </c>
      <c r="T326">
        <f t="shared" ref="T326:T389" si="973">S326/1000</f>
        <v>-0.94874564016192353</v>
      </c>
    </row>
    <row r="327" spans="1:20" x14ac:dyDescent="0.25">
      <c r="A327" s="5">
        <v>44266</v>
      </c>
      <c r="B327">
        <v>0.53532000000000002</v>
      </c>
      <c r="C327">
        <v>0.56208000000000002</v>
      </c>
      <c r="D327">
        <v>0.51310999999999996</v>
      </c>
      <c r="E327">
        <v>0.52578000000000003</v>
      </c>
      <c r="F327">
        <v>12783113.199999999</v>
      </c>
      <c r="G327">
        <v>0</v>
      </c>
      <c r="L327" t="s">
        <v>7</v>
      </c>
      <c r="M327" t="s">
        <v>7</v>
      </c>
      <c r="N327" t="s">
        <v>8</v>
      </c>
      <c r="P327">
        <f t="shared" si="969"/>
        <v>-0.48254033081478243</v>
      </c>
      <c r="Q327">
        <f t="shared" si="970"/>
        <v>-6168367.6723708119</v>
      </c>
      <c r="R327">
        <f t="shared" si="971"/>
        <v>-91550637.765219346</v>
      </c>
      <c r="S327">
        <f t="shared" si="972"/>
        <v>-915.50637765219346</v>
      </c>
      <c r="T327">
        <f t="shared" si="973"/>
        <v>-0.91550637765219345</v>
      </c>
    </row>
    <row r="328" spans="1:20" x14ac:dyDescent="0.25">
      <c r="A328" s="5">
        <v>44265</v>
      </c>
      <c r="B328">
        <v>0.58165</v>
      </c>
      <c r="C328">
        <v>0.6</v>
      </c>
      <c r="D328">
        <v>0.52800000000000002</v>
      </c>
      <c r="E328">
        <v>0.53520000000000001</v>
      </c>
      <c r="F328">
        <v>19037235.399999999</v>
      </c>
      <c r="G328">
        <v>0</v>
      </c>
      <c r="L328" t="s">
        <v>7</v>
      </c>
      <c r="M328" t="s">
        <v>7</v>
      </c>
      <c r="N328" t="s">
        <v>8</v>
      </c>
      <c r="P328">
        <f t="shared" si="969"/>
        <v>-0.80000000000000027</v>
      </c>
      <c r="Q328">
        <f t="shared" si="970"/>
        <v>-15229788.320000004</v>
      </c>
      <c r="R328">
        <f t="shared" si="971"/>
        <v>-85382270.092848539</v>
      </c>
      <c r="S328">
        <f t="shared" si="972"/>
        <v>-853.82270092848535</v>
      </c>
      <c r="T328">
        <f t="shared" si="973"/>
        <v>-0.85382270092848533</v>
      </c>
    </row>
    <row r="329" spans="1:20" x14ac:dyDescent="0.25">
      <c r="A329" s="5">
        <v>44264</v>
      </c>
      <c r="B329">
        <v>0.56781000000000004</v>
      </c>
      <c r="C329">
        <v>0.61</v>
      </c>
      <c r="D329">
        <v>0.53700000000000003</v>
      </c>
      <c r="E329">
        <v>0.58004</v>
      </c>
      <c r="F329">
        <v>28446535.699999999</v>
      </c>
      <c r="G329">
        <v>0</v>
      </c>
      <c r="L329" t="s">
        <v>8</v>
      </c>
      <c r="M329" t="s">
        <v>7</v>
      </c>
      <c r="N329" t="s">
        <v>8</v>
      </c>
      <c r="P329">
        <f t="shared" si="969"/>
        <v>0.17917808219178066</v>
      </c>
      <c r="Q329">
        <f t="shared" si="970"/>
        <v>5096995.7117260229</v>
      </c>
      <c r="R329">
        <f t="shared" si="971"/>
        <v>-70152481.772848532</v>
      </c>
      <c r="S329">
        <f t="shared" si="972"/>
        <v>-701.52481772848535</v>
      </c>
      <c r="T329">
        <f t="shared" si="973"/>
        <v>-0.70152481772848529</v>
      </c>
    </row>
    <row r="330" spans="1:20" x14ac:dyDescent="0.25">
      <c r="A330" s="5">
        <v>44263</v>
      </c>
      <c r="B330">
        <v>0.55976999999999999</v>
      </c>
      <c r="C330">
        <v>0.64480000000000004</v>
      </c>
      <c r="D330">
        <v>0.52063000000000004</v>
      </c>
      <c r="E330">
        <v>0.56674000000000002</v>
      </c>
      <c r="F330">
        <v>78920683.799999997</v>
      </c>
      <c r="G330">
        <v>0</v>
      </c>
      <c r="L330" t="s">
        <v>7</v>
      </c>
      <c r="M330" t="s">
        <v>8</v>
      </c>
      <c r="N330" t="s">
        <v>8</v>
      </c>
      <c r="P330">
        <f t="shared" si="969"/>
        <v>-0.25730852863010417</v>
      </c>
      <c r="Q330">
        <f t="shared" si="970"/>
        <v>-20306965.027059697</v>
      </c>
      <c r="R330">
        <f t="shared" si="971"/>
        <v>-75249477.484574556</v>
      </c>
      <c r="S330">
        <f t="shared" si="972"/>
        <v>-752.49477484574561</v>
      </c>
      <c r="T330">
        <f t="shared" si="973"/>
        <v>-0.75249477484574556</v>
      </c>
    </row>
    <row r="331" spans="1:20" x14ac:dyDescent="0.25">
      <c r="A331" s="5">
        <v>44262</v>
      </c>
      <c r="B331">
        <v>0.40708</v>
      </c>
      <c r="C331">
        <v>0.63500000000000001</v>
      </c>
      <c r="D331">
        <v>0.39602999999999999</v>
      </c>
      <c r="E331">
        <v>0.55978000000000006</v>
      </c>
      <c r="F331">
        <v>57155589.799999997</v>
      </c>
      <c r="G331">
        <v>0</v>
      </c>
      <c r="L331" t="s">
        <v>8</v>
      </c>
      <c r="M331" t="s">
        <v>8</v>
      </c>
      <c r="N331" t="s">
        <v>8</v>
      </c>
      <c r="P331">
        <f t="shared" si="969"/>
        <v>0.37046491191362974</v>
      </c>
      <c r="Q331">
        <f t="shared" si="970"/>
        <v>21174140.540628552</v>
      </c>
      <c r="R331">
        <f t="shared" si="971"/>
        <v>-54942512.457514867</v>
      </c>
      <c r="S331">
        <f t="shared" si="972"/>
        <v>-549.42512457514863</v>
      </c>
      <c r="T331">
        <f t="shared" si="973"/>
        <v>-0.54942512457514858</v>
      </c>
    </row>
    <row r="332" spans="1:20" x14ac:dyDescent="0.25">
      <c r="A332" s="5">
        <v>44261</v>
      </c>
      <c r="B332">
        <v>0.36445</v>
      </c>
      <c r="C332">
        <v>0.44</v>
      </c>
      <c r="D332">
        <v>0.35893999999999998</v>
      </c>
      <c r="E332">
        <v>0.40600000000000003</v>
      </c>
      <c r="F332">
        <v>20958467.5</v>
      </c>
      <c r="G332">
        <v>0</v>
      </c>
      <c r="L332" t="s">
        <v>8</v>
      </c>
      <c r="M332" t="s">
        <v>8</v>
      </c>
      <c r="N332" t="s">
        <v>8</v>
      </c>
      <c r="P332">
        <f t="shared" si="969"/>
        <v>0.16111522329138994</v>
      </c>
      <c r="Q332">
        <f t="shared" si="970"/>
        <v>3376728.1711078393</v>
      </c>
      <c r="R332">
        <f t="shared" si="971"/>
        <v>-76116652.99814342</v>
      </c>
      <c r="S332">
        <f t="shared" si="972"/>
        <v>-761.16652998143422</v>
      </c>
      <c r="T332">
        <f t="shared" si="973"/>
        <v>-0.76116652998143419</v>
      </c>
    </row>
    <row r="333" spans="1:20" x14ac:dyDescent="0.25">
      <c r="A333" s="5">
        <v>44260</v>
      </c>
      <c r="B333">
        <v>0.36631999999999998</v>
      </c>
      <c r="C333">
        <v>0.37139</v>
      </c>
      <c r="D333">
        <v>0.33339999999999997</v>
      </c>
      <c r="E333">
        <v>0.36499999999999999</v>
      </c>
      <c r="F333">
        <v>6788811</v>
      </c>
      <c r="G333">
        <v>0</v>
      </c>
      <c r="L333" t="s">
        <v>7</v>
      </c>
      <c r="M333" t="s">
        <v>7</v>
      </c>
      <c r="N333" t="s">
        <v>8</v>
      </c>
      <c r="P333">
        <f t="shared" si="969"/>
        <v>0.66359568307449313</v>
      </c>
      <c r="Q333">
        <f t="shared" si="970"/>
        <v>4505025.6728086332</v>
      </c>
      <c r="R333">
        <f t="shared" si="971"/>
        <v>-79493381.169251263</v>
      </c>
      <c r="S333">
        <f t="shared" si="972"/>
        <v>-794.93381169251268</v>
      </c>
      <c r="T333">
        <f t="shared" si="973"/>
        <v>-0.79493381169251265</v>
      </c>
    </row>
    <row r="334" spans="1:20" x14ac:dyDescent="0.25">
      <c r="A334" s="5">
        <v>44259</v>
      </c>
      <c r="B334">
        <v>0.39439000000000002</v>
      </c>
      <c r="C334">
        <v>0.39711999999999997</v>
      </c>
      <c r="D334">
        <v>0.35104000000000002</v>
      </c>
      <c r="E334">
        <v>0.36742999999999998</v>
      </c>
      <c r="F334">
        <v>7128679.9000000004</v>
      </c>
      <c r="G334">
        <v>0</v>
      </c>
      <c r="L334" t="s">
        <v>7</v>
      </c>
      <c r="M334" t="s">
        <v>8</v>
      </c>
      <c r="N334" t="s">
        <v>8</v>
      </c>
      <c r="P334">
        <f t="shared" si="969"/>
        <v>-0.28862847222222326</v>
      </c>
      <c r="Q334">
        <f t="shared" si="970"/>
        <v>-2057539.9884982714</v>
      </c>
      <c r="R334">
        <f t="shared" si="971"/>
        <v>-83998406.842059895</v>
      </c>
      <c r="S334">
        <f t="shared" si="972"/>
        <v>-839.98406842059899</v>
      </c>
      <c r="T334">
        <f t="shared" si="973"/>
        <v>-0.83998406842059903</v>
      </c>
    </row>
    <row r="335" spans="1:20" x14ac:dyDescent="0.25">
      <c r="A335" s="5">
        <v>44258</v>
      </c>
      <c r="B335">
        <v>0.36986999999999998</v>
      </c>
      <c r="C335">
        <v>0.41</v>
      </c>
      <c r="D335">
        <v>0.3674</v>
      </c>
      <c r="E335">
        <v>0.39405000000000001</v>
      </c>
      <c r="F335">
        <v>6299597.7000000002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0.25117370892018898</v>
      </c>
      <c r="Q335">
        <f t="shared" si="970"/>
        <v>1582293.319014092</v>
      </c>
      <c r="R335">
        <f t="shared" si="971"/>
        <v>-81940866.853561625</v>
      </c>
      <c r="S335">
        <f t="shared" si="972"/>
        <v>-819.40866853561624</v>
      </c>
      <c r="T335">
        <f t="shared" si="973"/>
        <v>-0.81940866853561622</v>
      </c>
    </row>
    <row r="336" spans="1:20" x14ac:dyDescent="0.25">
      <c r="A336" s="5">
        <v>44257</v>
      </c>
      <c r="B336">
        <v>0.37123</v>
      </c>
      <c r="C336">
        <v>0.38999</v>
      </c>
      <c r="D336">
        <v>0.35243999999999998</v>
      </c>
      <c r="E336">
        <v>0.36997999999999998</v>
      </c>
      <c r="F336">
        <v>5214343.3</v>
      </c>
      <c r="G336">
        <v>0</v>
      </c>
      <c r="L336" t="s">
        <v>7</v>
      </c>
      <c r="M336" t="s">
        <v>8</v>
      </c>
      <c r="N336" t="s">
        <v>8</v>
      </c>
      <c r="P336">
        <f t="shared" si="969"/>
        <v>-6.5778961384820936E-2</v>
      </c>
      <c r="Q336">
        <f t="shared" si="970"/>
        <v>-342994.08657789975</v>
      </c>
      <c r="R336">
        <f t="shared" si="971"/>
        <v>-83523160.172575712</v>
      </c>
      <c r="S336">
        <f t="shared" si="972"/>
        <v>-835.23160172575717</v>
      </c>
      <c r="T336">
        <f t="shared" si="973"/>
        <v>-0.83523160172575717</v>
      </c>
    </row>
    <row r="337" spans="1:20" x14ac:dyDescent="0.25">
      <c r="A337" s="5">
        <v>44256</v>
      </c>
      <c r="B337">
        <v>0.30590000000000001</v>
      </c>
      <c r="C337">
        <v>0.39</v>
      </c>
      <c r="D337">
        <v>0.30299999999999999</v>
      </c>
      <c r="E337">
        <v>0.37123</v>
      </c>
      <c r="F337">
        <v>15359020.300000001</v>
      </c>
      <c r="G337">
        <v>0</v>
      </c>
      <c r="L337" t="s">
        <v>8</v>
      </c>
      <c r="M337" t="s">
        <v>8</v>
      </c>
      <c r="N337" t="s">
        <v>8</v>
      </c>
      <c r="P337">
        <f t="shared" si="969"/>
        <v>0.56850574712643664</v>
      </c>
      <c r="Q337">
        <f t="shared" si="970"/>
        <v>8731691.3107816074</v>
      </c>
      <c r="R337">
        <f t="shared" si="971"/>
        <v>-83180166.08599782</v>
      </c>
      <c r="S337">
        <f t="shared" si="972"/>
        <v>-831.80166085997826</v>
      </c>
      <c r="T337">
        <f t="shared" si="973"/>
        <v>-0.83180166085997831</v>
      </c>
    </row>
    <row r="338" spans="1:20" x14ac:dyDescent="0.25">
      <c r="A338" s="5">
        <v>44255</v>
      </c>
      <c r="B338">
        <v>0.30342000000000002</v>
      </c>
      <c r="C338">
        <v>0.31314999999999998</v>
      </c>
      <c r="D338">
        <v>0.27690999999999999</v>
      </c>
      <c r="E338">
        <v>0.30570000000000003</v>
      </c>
      <c r="F338">
        <v>5311782.0999999996</v>
      </c>
      <c r="G338">
        <v>0</v>
      </c>
      <c r="L338" t="s">
        <v>7</v>
      </c>
      <c r="M338" t="s">
        <v>8</v>
      </c>
      <c r="N338" t="s">
        <v>8</v>
      </c>
      <c r="P338">
        <f t="shared" si="969"/>
        <v>0.58885209713024511</v>
      </c>
      <c r="Q338">
        <f t="shared" si="970"/>
        <v>3127854.0290838974</v>
      </c>
      <c r="R338">
        <f t="shared" si="971"/>
        <v>-91911857.396779433</v>
      </c>
      <c r="S338">
        <f t="shared" si="972"/>
        <v>-919.1185739677943</v>
      </c>
      <c r="T338">
        <f t="shared" si="973"/>
        <v>-0.91911857396779428</v>
      </c>
    </row>
    <row r="339" spans="1:20" x14ac:dyDescent="0.25">
      <c r="A339" s="5">
        <v>44254</v>
      </c>
      <c r="B339">
        <v>0.29071000000000002</v>
      </c>
      <c r="C339">
        <v>0.32077</v>
      </c>
      <c r="D339">
        <v>0.28955999999999998</v>
      </c>
      <c r="E339">
        <v>0.30364000000000002</v>
      </c>
      <c r="F339">
        <v>5982171.4000000004</v>
      </c>
      <c r="G339">
        <v>0</v>
      </c>
      <c r="L339" t="s">
        <v>8</v>
      </c>
      <c r="M339" t="s">
        <v>8</v>
      </c>
      <c r="N339" t="s">
        <v>8</v>
      </c>
      <c r="P339">
        <f t="shared" si="969"/>
        <v>-9.7725088112782452E-2</v>
      </c>
      <c r="Q339">
        <f t="shared" si="970"/>
        <v>-584608.22717076715</v>
      </c>
      <c r="R339">
        <f t="shared" si="971"/>
        <v>-95039711.425863326</v>
      </c>
      <c r="S339">
        <f t="shared" si="972"/>
        <v>-950.39711425863322</v>
      </c>
      <c r="T339">
        <f t="shared" si="973"/>
        <v>-0.95039711425863327</v>
      </c>
    </row>
    <row r="340" spans="1:20" x14ac:dyDescent="0.25">
      <c r="A340" s="5">
        <v>44253</v>
      </c>
      <c r="B340">
        <v>0.28538999999999998</v>
      </c>
      <c r="C340">
        <v>0.31802000000000002</v>
      </c>
      <c r="D340">
        <v>0.25890000000000002</v>
      </c>
      <c r="E340">
        <v>0.28871000000000002</v>
      </c>
      <c r="F340">
        <v>8213303.9000000004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8.4573748308525102E-3</v>
      </c>
      <c r="Q340">
        <f t="shared" si="970"/>
        <v>69462.989682002764</v>
      </c>
      <c r="R340">
        <f t="shared" si="971"/>
        <v>-94455103.19869256</v>
      </c>
      <c r="S340">
        <f t="shared" si="972"/>
        <v>-944.55103198692564</v>
      </c>
      <c r="T340">
        <f t="shared" si="973"/>
        <v>-0.94455103198692558</v>
      </c>
    </row>
    <row r="341" spans="1:20" x14ac:dyDescent="0.25">
      <c r="A341" s="5">
        <v>44252</v>
      </c>
      <c r="B341">
        <v>0.29594999999999999</v>
      </c>
      <c r="C341">
        <v>0.32933000000000001</v>
      </c>
      <c r="D341">
        <v>0.28183000000000002</v>
      </c>
      <c r="E341">
        <v>0.2848</v>
      </c>
      <c r="F341">
        <v>6966471.5</v>
      </c>
      <c r="G341">
        <v>0</v>
      </c>
      <c r="L341" t="s">
        <v>7</v>
      </c>
      <c r="M341" t="s">
        <v>8</v>
      </c>
      <c r="N341" t="s">
        <v>8</v>
      </c>
      <c r="P341">
        <f t="shared" si="969"/>
        <v>-0.8749473684210537</v>
      </c>
      <c r="Q341">
        <f t="shared" si="970"/>
        <v>-6095295.9061052706</v>
      </c>
      <c r="R341">
        <f t="shared" si="971"/>
        <v>-94524566.188374564</v>
      </c>
      <c r="S341">
        <f t="shared" si="972"/>
        <v>-945.2456618837457</v>
      </c>
      <c r="T341">
        <f t="shared" si="973"/>
        <v>-0.9452456618837457</v>
      </c>
    </row>
    <row r="342" spans="1:20" x14ac:dyDescent="0.25">
      <c r="A342" s="5">
        <v>44251</v>
      </c>
      <c r="B342">
        <v>0.28842000000000001</v>
      </c>
      <c r="C342">
        <v>0.32400000000000001</v>
      </c>
      <c r="D342">
        <v>0.2757</v>
      </c>
      <c r="E342">
        <v>0.29436000000000001</v>
      </c>
      <c r="F342">
        <v>7550505.2000000002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-0.2273291925465836</v>
      </c>
      <c r="Q342">
        <f t="shared" si="970"/>
        <v>-1716450.2504347807</v>
      </c>
      <c r="R342">
        <f t="shared" si="971"/>
        <v>-88429270.282269299</v>
      </c>
      <c r="S342">
        <f t="shared" si="972"/>
        <v>-884.29270282269295</v>
      </c>
      <c r="T342">
        <f t="shared" si="973"/>
        <v>-0.8842927028226929</v>
      </c>
    </row>
    <row r="343" spans="1:20" x14ac:dyDescent="0.25">
      <c r="A343" s="5">
        <v>44250</v>
      </c>
      <c r="B343">
        <v>0.34054000000000001</v>
      </c>
      <c r="C343">
        <v>0.34211000000000003</v>
      </c>
      <c r="D343">
        <v>0.23397999999999999</v>
      </c>
      <c r="E343">
        <v>0.28759000000000001</v>
      </c>
      <c r="F343">
        <v>11012351.1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-8.4157958013501705E-3</v>
      </c>
      <c r="Q343">
        <f t="shared" si="970"/>
        <v>-92677.698150373923</v>
      </c>
      <c r="R343">
        <f t="shared" si="971"/>
        <v>-86712820.031834513</v>
      </c>
      <c r="S343">
        <f t="shared" si="972"/>
        <v>-867.12820031834508</v>
      </c>
      <c r="T343">
        <f t="shared" si="973"/>
        <v>-0.86712820031834503</v>
      </c>
    </row>
    <row r="344" spans="1:20" x14ac:dyDescent="0.25">
      <c r="A344" s="5">
        <v>44249</v>
      </c>
      <c r="B344">
        <v>0.37226999999999999</v>
      </c>
      <c r="C344">
        <v>0.37430000000000002</v>
      </c>
      <c r="D344">
        <v>0.27295999999999998</v>
      </c>
      <c r="E344">
        <v>0.33966000000000002</v>
      </c>
      <c r="F344">
        <v>10911390.1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0.31636076573909633</v>
      </c>
      <c r="Q344">
        <f t="shared" si="970"/>
        <v>3451935.7273139949</v>
      </c>
      <c r="R344">
        <f t="shared" si="971"/>
        <v>-86620142.333684146</v>
      </c>
      <c r="S344">
        <f t="shared" si="972"/>
        <v>-866.20142333684146</v>
      </c>
      <c r="T344">
        <f t="shared" si="973"/>
        <v>-0.86620142333684147</v>
      </c>
    </row>
    <row r="345" spans="1:20" x14ac:dyDescent="0.25">
      <c r="A345" s="5">
        <v>44248</v>
      </c>
      <c r="B345">
        <v>0.37656000000000001</v>
      </c>
      <c r="C345">
        <v>0.38790999999999998</v>
      </c>
      <c r="D345">
        <v>0.36523</v>
      </c>
      <c r="E345">
        <v>0.37280999999999997</v>
      </c>
      <c r="F345">
        <v>4475622</v>
      </c>
      <c r="G345">
        <v>0</v>
      </c>
      <c r="L345" t="s">
        <v>8</v>
      </c>
      <c r="M345" t="s">
        <v>8</v>
      </c>
      <c r="N345" t="s">
        <v>7</v>
      </c>
      <c r="P345">
        <f t="shared" si="969"/>
        <v>-0.33156966490299972</v>
      </c>
      <c r="Q345">
        <f t="shared" si="970"/>
        <v>-1483980.4867724935</v>
      </c>
      <c r="R345">
        <f t="shared" si="971"/>
        <v>-90072078.060998142</v>
      </c>
      <c r="S345">
        <f t="shared" si="972"/>
        <v>-900.72078060998138</v>
      </c>
      <c r="T345">
        <f t="shared" si="973"/>
        <v>-0.9007207806099814</v>
      </c>
    </row>
    <row r="346" spans="1:20" x14ac:dyDescent="0.25">
      <c r="A346" s="5">
        <v>44247</v>
      </c>
      <c r="B346">
        <v>0.38483000000000001</v>
      </c>
      <c r="C346">
        <v>0.42</v>
      </c>
      <c r="D346">
        <v>0.36004999999999998</v>
      </c>
      <c r="E346">
        <v>0.37656000000000001</v>
      </c>
      <c r="F346">
        <v>9022736</v>
      </c>
      <c r="G346">
        <v>0</v>
      </c>
      <c r="L346" t="s">
        <v>7</v>
      </c>
      <c r="M346" t="s">
        <v>8</v>
      </c>
      <c r="N346" t="s">
        <v>7</v>
      </c>
      <c r="P346">
        <f t="shared" si="969"/>
        <v>-0.44920767306088327</v>
      </c>
      <c r="Q346">
        <f t="shared" si="970"/>
        <v>-4053082.2432026616</v>
      </c>
      <c r="R346">
        <f t="shared" si="971"/>
        <v>-88588097.574225649</v>
      </c>
      <c r="S346">
        <f t="shared" si="972"/>
        <v>-885.88097574225651</v>
      </c>
      <c r="T346">
        <f t="shared" si="973"/>
        <v>-0.88588097574225655</v>
      </c>
    </row>
    <row r="347" spans="1:20" x14ac:dyDescent="0.25">
      <c r="A347" s="5">
        <v>44246</v>
      </c>
      <c r="B347">
        <v>0.38374000000000003</v>
      </c>
      <c r="C347">
        <v>0.39471000000000001</v>
      </c>
      <c r="D347">
        <v>0.36840000000000001</v>
      </c>
      <c r="E347">
        <v>0.38233</v>
      </c>
      <c r="F347">
        <v>6331848.2999999998</v>
      </c>
      <c r="G347">
        <v>0</v>
      </c>
      <c r="L347" t="s">
        <v>7</v>
      </c>
      <c r="M347" t="s">
        <v>7</v>
      </c>
      <c r="N347" t="s">
        <v>7</v>
      </c>
      <c r="P347">
        <f t="shared" si="969"/>
        <v>5.8912960851387149E-2</v>
      </c>
      <c r="Q347">
        <f t="shared" si="970"/>
        <v>373027.93101482227</v>
      </c>
      <c r="R347">
        <f t="shared" si="971"/>
        <v>-84535015.331022993</v>
      </c>
      <c r="S347">
        <f t="shared" si="972"/>
        <v>-845.35015331022987</v>
      </c>
      <c r="T347">
        <f t="shared" si="973"/>
        <v>-0.84535015331022989</v>
      </c>
    </row>
    <row r="348" spans="1:20" x14ac:dyDescent="0.25">
      <c r="A348" s="5">
        <v>44245</v>
      </c>
      <c r="B348">
        <v>0.38899</v>
      </c>
      <c r="C348">
        <v>0.40499000000000002</v>
      </c>
      <c r="D348">
        <v>0.33500000000000002</v>
      </c>
      <c r="E348">
        <v>0.38296999999999998</v>
      </c>
      <c r="F348">
        <v>7745232.7000000002</v>
      </c>
      <c r="G348">
        <v>0</v>
      </c>
      <c r="L348" t="s">
        <v>8</v>
      </c>
      <c r="M348" t="s">
        <v>7</v>
      </c>
      <c r="N348" t="s">
        <v>7</v>
      </c>
      <c r="P348">
        <f t="shared" si="969"/>
        <v>0.37076725246463665</v>
      </c>
      <c r="Q348">
        <f t="shared" si="970"/>
        <v>2871678.6478782594</v>
      </c>
      <c r="R348">
        <f t="shared" si="971"/>
        <v>-84908043.262037814</v>
      </c>
      <c r="S348">
        <f t="shared" si="972"/>
        <v>-849.08043262037813</v>
      </c>
      <c r="T348">
        <f t="shared" si="973"/>
        <v>-0.84908043262037813</v>
      </c>
    </row>
    <row r="349" spans="1:20" x14ac:dyDescent="0.25">
      <c r="A349" s="5">
        <v>44244</v>
      </c>
      <c r="B349">
        <v>0.34649000000000002</v>
      </c>
      <c r="C349">
        <v>0.39700000000000002</v>
      </c>
      <c r="D349">
        <v>0.32735999999999998</v>
      </c>
      <c r="E349">
        <v>0.38740000000000002</v>
      </c>
      <c r="F349">
        <v>8450726.3000000007</v>
      </c>
      <c r="G349">
        <v>0</v>
      </c>
      <c r="L349" t="s">
        <v>8</v>
      </c>
      <c r="M349" t="s">
        <v>8</v>
      </c>
      <c r="N349" t="s">
        <v>7</v>
      </c>
      <c r="P349">
        <f t="shared" si="969"/>
        <v>0.72429638139000596</v>
      </c>
      <c r="Q349">
        <f t="shared" si="970"/>
        <v>6120830.4792073546</v>
      </c>
      <c r="R349">
        <f t="shared" si="971"/>
        <v>-87779721.909916073</v>
      </c>
      <c r="S349">
        <f t="shared" si="972"/>
        <v>-877.79721909916077</v>
      </c>
      <c r="T349">
        <f t="shared" si="973"/>
        <v>-0.87779721909916075</v>
      </c>
    </row>
    <row r="350" spans="1:20" x14ac:dyDescent="0.25">
      <c r="A350" s="5">
        <v>44243</v>
      </c>
      <c r="B350">
        <v>0.35952000000000001</v>
      </c>
      <c r="C350">
        <v>0.39</v>
      </c>
      <c r="D350">
        <v>0.32888000000000001</v>
      </c>
      <c r="E350">
        <v>0.34655999999999998</v>
      </c>
      <c r="F350">
        <v>20904803.5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-0.42146596858638835</v>
      </c>
      <c r="Q350">
        <f t="shared" si="970"/>
        <v>-8810663.2552356217</v>
      </c>
      <c r="R350">
        <f t="shared" si="971"/>
        <v>-93900552.389123425</v>
      </c>
      <c r="S350">
        <f t="shared" si="972"/>
        <v>-939.00552389123425</v>
      </c>
      <c r="T350">
        <f t="shared" si="973"/>
        <v>-0.93900552389123426</v>
      </c>
    </row>
    <row r="351" spans="1:20" x14ac:dyDescent="0.25">
      <c r="A351" s="5">
        <v>44242</v>
      </c>
      <c r="B351">
        <v>0.37086000000000002</v>
      </c>
      <c r="C351">
        <v>0.39190000000000003</v>
      </c>
      <c r="D351">
        <v>0.31319999999999998</v>
      </c>
      <c r="E351">
        <v>0.35926000000000002</v>
      </c>
      <c r="F351">
        <v>8871157.0999999996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0.17052096569250361</v>
      </c>
      <c r="Q351">
        <f t="shared" si="970"/>
        <v>1512718.2755019097</v>
      </c>
      <c r="R351">
        <f t="shared" si="971"/>
        <v>-85089889.133887798</v>
      </c>
      <c r="S351">
        <f t="shared" si="972"/>
        <v>-850.898891338878</v>
      </c>
      <c r="T351">
        <f t="shared" si="973"/>
        <v>-0.85089889133887797</v>
      </c>
    </row>
    <row r="352" spans="1:20" x14ac:dyDescent="0.25">
      <c r="A352" s="5">
        <v>44241</v>
      </c>
      <c r="B352">
        <v>0.39832000000000001</v>
      </c>
      <c r="C352">
        <v>0.40160000000000001</v>
      </c>
      <c r="D352">
        <v>0.36512</v>
      </c>
      <c r="E352">
        <v>0.37104999999999999</v>
      </c>
      <c r="F352">
        <v>6114650.9000000004</v>
      </c>
      <c r="G352">
        <v>0</v>
      </c>
      <c r="L352" t="s">
        <v>8</v>
      </c>
      <c r="M352" t="s">
        <v>7</v>
      </c>
      <c r="N352" t="s">
        <v>8</v>
      </c>
      <c r="P352">
        <f t="shared" si="969"/>
        <v>-0.67489035087719362</v>
      </c>
      <c r="Q352">
        <f t="shared" si="970"/>
        <v>-4126718.8913925481</v>
      </c>
      <c r="R352">
        <f t="shared" si="971"/>
        <v>-86602607.409389704</v>
      </c>
      <c r="S352">
        <f t="shared" si="972"/>
        <v>-866.02607409389702</v>
      </c>
      <c r="T352">
        <f t="shared" si="973"/>
        <v>-0.86602607409389698</v>
      </c>
    </row>
    <row r="353" spans="1:20" x14ac:dyDescent="0.25">
      <c r="A353" s="5">
        <v>44240</v>
      </c>
      <c r="B353">
        <v>0.39862999999999998</v>
      </c>
      <c r="C353">
        <v>0.43</v>
      </c>
      <c r="D353">
        <v>0.36499999999999999</v>
      </c>
      <c r="E353">
        <v>0.39832000000000001</v>
      </c>
      <c r="F353">
        <v>8364748.2000000002</v>
      </c>
      <c r="G353">
        <v>0</v>
      </c>
      <c r="L353" t="s">
        <v>7</v>
      </c>
      <c r="M353" t="s">
        <v>7</v>
      </c>
      <c r="N353" t="s">
        <v>8</v>
      </c>
      <c r="P353">
        <f t="shared" si="969"/>
        <v>2.5230769230769695E-2</v>
      </c>
      <c r="Q353">
        <f t="shared" si="970"/>
        <v>211049.0315076962</v>
      </c>
      <c r="R353">
        <f t="shared" si="971"/>
        <v>-82475888.517997161</v>
      </c>
      <c r="S353">
        <f t="shared" si="972"/>
        <v>-824.75888517997157</v>
      </c>
      <c r="T353">
        <f t="shared" si="973"/>
        <v>-0.82475888517997153</v>
      </c>
    </row>
    <row r="354" spans="1:20" x14ac:dyDescent="0.25">
      <c r="A354" s="5">
        <v>44239</v>
      </c>
      <c r="B354">
        <v>0.36829000000000001</v>
      </c>
      <c r="C354">
        <v>0.44658999999999999</v>
      </c>
      <c r="D354">
        <v>0.35</v>
      </c>
      <c r="E354">
        <v>0.39672000000000002</v>
      </c>
      <c r="F354">
        <v>11855187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-3.2612071643026506E-2</v>
      </c>
      <c r="Q354">
        <f t="shared" si="970"/>
        <v>-386622.20778547646</v>
      </c>
      <c r="R354">
        <f t="shared" si="971"/>
        <v>-82686937.549504861</v>
      </c>
      <c r="S354">
        <f t="shared" si="972"/>
        <v>-826.86937549504864</v>
      </c>
      <c r="T354">
        <f t="shared" si="973"/>
        <v>-0.82686937549504869</v>
      </c>
    </row>
    <row r="355" spans="1:20" x14ac:dyDescent="0.25">
      <c r="A355" s="5">
        <v>44238</v>
      </c>
      <c r="B355">
        <v>0.30671999999999999</v>
      </c>
      <c r="C355">
        <v>0.37407000000000001</v>
      </c>
      <c r="D355">
        <v>0.30219000000000001</v>
      </c>
      <c r="E355">
        <v>0.36792000000000002</v>
      </c>
      <c r="F355">
        <v>12700993.9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0.82888146911519234</v>
      </c>
      <c r="Q355">
        <f t="shared" si="970"/>
        <v>10527618.483055096</v>
      </c>
      <c r="R355">
        <f t="shared" si="971"/>
        <v>-82300315.341719389</v>
      </c>
      <c r="S355">
        <f t="shared" si="972"/>
        <v>-823.00315341719386</v>
      </c>
      <c r="T355">
        <f t="shared" si="973"/>
        <v>-0.82300315341719388</v>
      </c>
    </row>
    <row r="356" spans="1:20" x14ac:dyDescent="0.25">
      <c r="A356" s="5">
        <v>44237</v>
      </c>
      <c r="B356">
        <v>0.31975999999999999</v>
      </c>
      <c r="C356">
        <v>0.33689999999999998</v>
      </c>
      <c r="D356">
        <v>0.28215000000000001</v>
      </c>
      <c r="E356">
        <v>0.30703000000000003</v>
      </c>
      <c r="F356">
        <v>11033086.199999999</v>
      </c>
      <c r="G356">
        <v>0</v>
      </c>
      <c r="L356" t="s">
        <v>7</v>
      </c>
      <c r="M356" t="s">
        <v>7</v>
      </c>
      <c r="N356" t="s">
        <v>8</v>
      </c>
      <c r="P356">
        <f t="shared" si="969"/>
        <v>-9.1141552511414467E-2</v>
      </c>
      <c r="Q356">
        <f t="shared" si="970"/>
        <v>-1005572.6052602623</v>
      </c>
      <c r="R356">
        <f t="shared" si="971"/>
        <v>-92827933.824774489</v>
      </c>
      <c r="S356">
        <f t="shared" si="972"/>
        <v>-928.27933824774493</v>
      </c>
      <c r="T356">
        <f t="shared" si="973"/>
        <v>-0.92827933824774489</v>
      </c>
    </row>
    <row r="357" spans="1:20" x14ac:dyDescent="0.25">
      <c r="A357" s="5">
        <v>44236</v>
      </c>
      <c r="B357">
        <v>0.29049999999999998</v>
      </c>
      <c r="C357">
        <v>0.34899999999999998</v>
      </c>
      <c r="D357">
        <v>0.28228999999999999</v>
      </c>
      <c r="E357">
        <v>0.32090000000000002</v>
      </c>
      <c r="F357">
        <v>14195006.4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0.15754759406385963</v>
      </c>
      <c r="Q357">
        <f t="shared" si="970"/>
        <v>2236389.1060410896</v>
      </c>
      <c r="R357">
        <f t="shared" si="971"/>
        <v>-91822361.219514221</v>
      </c>
      <c r="S357">
        <f t="shared" si="972"/>
        <v>-918.22361219514221</v>
      </c>
      <c r="T357">
        <f t="shared" si="973"/>
        <v>-0.91822361219514226</v>
      </c>
    </row>
    <row r="358" spans="1:20" x14ac:dyDescent="0.25">
      <c r="A358" s="5">
        <v>44235</v>
      </c>
      <c r="B358">
        <v>0.23791999999999999</v>
      </c>
      <c r="C358">
        <v>0.29499999999999998</v>
      </c>
      <c r="D358">
        <v>0.23368</v>
      </c>
      <c r="E358">
        <v>0.29126000000000002</v>
      </c>
      <c r="F358">
        <v>12991099.9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0.87801696020874209</v>
      </c>
      <c r="Q358">
        <f t="shared" si="970"/>
        <v>11406406.043966094</v>
      </c>
      <c r="R358">
        <f t="shared" si="971"/>
        <v>-94058750.32555531</v>
      </c>
      <c r="S358">
        <f t="shared" si="972"/>
        <v>-940.58750325555309</v>
      </c>
      <c r="T358">
        <f t="shared" si="973"/>
        <v>-0.94058750325555307</v>
      </c>
    </row>
    <row r="359" spans="1:20" x14ac:dyDescent="0.25">
      <c r="A359" s="5">
        <v>44234</v>
      </c>
      <c r="B359">
        <v>0.25108999999999998</v>
      </c>
      <c r="C359">
        <v>0.25622</v>
      </c>
      <c r="D359">
        <v>0.22828999999999999</v>
      </c>
      <c r="E359">
        <v>0.23743</v>
      </c>
      <c r="F359">
        <v>5458773.5999999996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-0.34550662370211199</v>
      </c>
      <c r="Q359">
        <f t="shared" si="970"/>
        <v>-1886042.436090223</v>
      </c>
      <c r="R359">
        <f t="shared" si="971"/>
        <v>-105465156.36952141</v>
      </c>
      <c r="S359">
        <f t="shared" si="972"/>
        <v>-1054.651563695214</v>
      </c>
      <c r="T359">
        <f t="shared" si="973"/>
        <v>-1.0546515636952141</v>
      </c>
    </row>
    <row r="360" spans="1:20" x14ac:dyDescent="0.25">
      <c r="A360" s="5">
        <v>44233</v>
      </c>
      <c r="B360">
        <v>0.26705000000000001</v>
      </c>
      <c r="C360">
        <v>0.27345000000000003</v>
      </c>
      <c r="D360">
        <v>0.24884000000000001</v>
      </c>
      <c r="E360">
        <v>0.25197999999999998</v>
      </c>
      <c r="F360">
        <v>9532842.9000000004</v>
      </c>
      <c r="G360">
        <v>0</v>
      </c>
      <c r="L360" t="s">
        <v>7</v>
      </c>
      <c r="M360" t="s">
        <v>8</v>
      </c>
      <c r="N360" t="s">
        <v>8</v>
      </c>
      <c r="P360">
        <f t="shared" si="969"/>
        <v>-0.74481917919545115</v>
      </c>
      <c r="Q360">
        <f t="shared" si="970"/>
        <v>-7100244.2241771845</v>
      </c>
      <c r="R360">
        <f t="shared" si="971"/>
        <v>-103579113.93343119</v>
      </c>
      <c r="S360">
        <f t="shared" si="972"/>
        <v>-1035.791139334312</v>
      </c>
      <c r="T360">
        <f t="shared" si="973"/>
        <v>-1.035791139334312</v>
      </c>
    </row>
    <row r="361" spans="1:20" x14ac:dyDescent="0.25">
      <c r="A361" s="5">
        <v>44232</v>
      </c>
      <c r="B361">
        <v>0.23118</v>
      </c>
      <c r="C361">
        <v>0.27690999999999999</v>
      </c>
      <c r="D361">
        <v>0.23118</v>
      </c>
      <c r="E361">
        <v>0.26705000000000001</v>
      </c>
      <c r="F361">
        <v>11196987.699999999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0.56877323420074433</v>
      </c>
      <c r="Q361">
        <f t="shared" si="970"/>
        <v>6368546.9074349534</v>
      </c>
      <c r="R361">
        <f t="shared" si="971"/>
        <v>-96478869.709254012</v>
      </c>
      <c r="S361">
        <f t="shared" si="972"/>
        <v>-964.78869709254013</v>
      </c>
      <c r="T361">
        <f t="shared" si="973"/>
        <v>-0.96478869709254012</v>
      </c>
    </row>
    <row r="362" spans="1:20" x14ac:dyDescent="0.25">
      <c r="A362" s="5">
        <v>44231</v>
      </c>
      <c r="B362">
        <v>0.22087000000000001</v>
      </c>
      <c r="C362">
        <v>0.24</v>
      </c>
      <c r="D362">
        <v>0.21848000000000001</v>
      </c>
      <c r="E362">
        <v>0.23136000000000001</v>
      </c>
      <c r="F362">
        <v>9243360.4000000004</v>
      </c>
      <c r="G362">
        <v>0</v>
      </c>
      <c r="L362" t="s">
        <v>8</v>
      </c>
      <c r="M362" t="s">
        <v>8</v>
      </c>
      <c r="N362" t="s">
        <v>7</v>
      </c>
      <c r="P362">
        <f t="shared" si="969"/>
        <v>0.19702602230483388</v>
      </c>
      <c r="Q362">
        <f t="shared" si="970"/>
        <v>1821182.5323420183</v>
      </c>
      <c r="R362">
        <f t="shared" si="971"/>
        <v>-102847416.61668897</v>
      </c>
      <c r="S362">
        <f t="shared" si="972"/>
        <v>-1028.4741661668897</v>
      </c>
      <c r="T362">
        <f t="shared" si="973"/>
        <v>-1.0284741661668897</v>
      </c>
    </row>
    <row r="363" spans="1:20" x14ac:dyDescent="0.25">
      <c r="A363" s="5">
        <v>44230</v>
      </c>
      <c r="B363">
        <v>0.21792</v>
      </c>
      <c r="C363">
        <v>0.22209999999999999</v>
      </c>
      <c r="D363">
        <v>0.21501999999999999</v>
      </c>
      <c r="E363">
        <v>0.22089</v>
      </c>
      <c r="F363">
        <v>3852185.8</v>
      </c>
      <c r="G363">
        <v>0</v>
      </c>
      <c r="L363" t="s">
        <v>7</v>
      </c>
      <c r="M363" t="s">
        <v>8</v>
      </c>
      <c r="N363" t="s">
        <v>7</v>
      </c>
      <c r="P363">
        <f t="shared" si="969"/>
        <v>0.65819209039548354</v>
      </c>
      <c r="Q363">
        <f t="shared" si="970"/>
        <v>2535478.2242937977</v>
      </c>
      <c r="R363">
        <f t="shared" si="971"/>
        <v>-104668599.14903098</v>
      </c>
      <c r="S363">
        <f t="shared" si="972"/>
        <v>-1046.6859914903098</v>
      </c>
      <c r="T363">
        <f t="shared" si="973"/>
        <v>-1.0466859914903097</v>
      </c>
    </row>
    <row r="364" spans="1:20" x14ac:dyDescent="0.25">
      <c r="A364" s="5">
        <v>44229</v>
      </c>
      <c r="B364">
        <v>0.21868000000000001</v>
      </c>
      <c r="C364">
        <v>0.22878000000000001</v>
      </c>
      <c r="D364">
        <v>0.21335999999999999</v>
      </c>
      <c r="E364">
        <v>0.21704999999999999</v>
      </c>
      <c r="F364">
        <v>4836486.4000000004</v>
      </c>
      <c r="G364">
        <v>0</v>
      </c>
      <c r="L364" t="s">
        <v>7</v>
      </c>
      <c r="M364" t="s">
        <v>8</v>
      </c>
      <c r="N364" t="s">
        <v>7</v>
      </c>
      <c r="P364">
        <f t="shared" si="969"/>
        <v>-0.52140077821011743</v>
      </c>
      <c r="Q364">
        <f t="shared" si="970"/>
        <v>-2521747.7727626497</v>
      </c>
      <c r="R364">
        <f t="shared" si="971"/>
        <v>-107204077.37332478</v>
      </c>
      <c r="S364">
        <f t="shared" si="972"/>
        <v>-1072.0407737332478</v>
      </c>
      <c r="T364">
        <f t="shared" si="973"/>
        <v>-1.0720407737332478</v>
      </c>
    </row>
    <row r="365" spans="1:20" x14ac:dyDescent="0.25">
      <c r="A365" s="5">
        <v>44228</v>
      </c>
      <c r="B365">
        <v>0.19620000000000001</v>
      </c>
      <c r="C365">
        <v>0.22670000000000001</v>
      </c>
      <c r="D365">
        <v>0.1895</v>
      </c>
      <c r="E365">
        <v>0.21962999999999999</v>
      </c>
      <c r="F365">
        <v>9255062.1999999993</v>
      </c>
      <c r="G365">
        <v>0</v>
      </c>
      <c r="L365" t="s">
        <v>8</v>
      </c>
      <c r="M365" t="s">
        <v>8</v>
      </c>
      <c r="N365" t="s">
        <v>7</v>
      </c>
      <c r="P365">
        <f t="shared" si="969"/>
        <v>0.61989247311827855</v>
      </c>
      <c r="Q365">
        <f t="shared" si="970"/>
        <v>5737143.3960214956</v>
      </c>
      <c r="R365">
        <f t="shared" si="971"/>
        <v>-104682329.60056213</v>
      </c>
      <c r="S365">
        <f t="shared" si="972"/>
        <v>-1046.8232960056212</v>
      </c>
      <c r="T365">
        <f t="shared" si="973"/>
        <v>-1.0468232960056212</v>
      </c>
    </row>
    <row r="366" spans="1:20" x14ac:dyDescent="0.25">
      <c r="A366" s="5">
        <v>44227</v>
      </c>
      <c r="B366">
        <v>0.19844000000000001</v>
      </c>
      <c r="C366">
        <v>0.20849999999999999</v>
      </c>
      <c r="D366">
        <v>0.18901000000000001</v>
      </c>
      <c r="E366">
        <v>0.1963</v>
      </c>
      <c r="F366">
        <v>8213415.2999999998</v>
      </c>
      <c r="G366">
        <v>0</v>
      </c>
      <c r="L366" t="s">
        <v>7</v>
      </c>
      <c r="M366" t="s">
        <v>7</v>
      </c>
      <c r="N366" t="s">
        <v>7</v>
      </c>
      <c r="P366">
        <f t="shared" si="969"/>
        <v>-0.25192406362237058</v>
      </c>
      <c r="Q366">
        <f t="shared" si="970"/>
        <v>-2069156.9585941518</v>
      </c>
      <c r="R366">
        <f t="shared" si="971"/>
        <v>-110419472.99658363</v>
      </c>
      <c r="S366">
        <f t="shared" si="972"/>
        <v>-1104.1947299658364</v>
      </c>
      <c r="T366">
        <f t="shared" si="973"/>
        <v>-1.1041947299658363</v>
      </c>
    </row>
    <row r="367" spans="1:20" x14ac:dyDescent="0.25">
      <c r="A367" s="5">
        <v>44226</v>
      </c>
      <c r="B367">
        <v>0.20075999999999999</v>
      </c>
      <c r="C367">
        <v>0.20710999999999999</v>
      </c>
      <c r="D367">
        <v>0.19500000000000001</v>
      </c>
      <c r="E367">
        <v>0.19708999999999999</v>
      </c>
      <c r="F367">
        <v>6086116.7999999998</v>
      </c>
      <c r="G367">
        <v>0</v>
      </c>
      <c r="L367" t="s">
        <v>7</v>
      </c>
      <c r="M367" t="s">
        <v>8</v>
      </c>
      <c r="N367" t="s">
        <v>7</v>
      </c>
      <c r="P367">
        <f t="shared" si="969"/>
        <v>-0.65483071841453611</v>
      </c>
      <c r="Q367">
        <f t="shared" si="970"/>
        <v>-3985376.2364987773</v>
      </c>
      <c r="R367">
        <f t="shared" si="971"/>
        <v>-108350316.03798947</v>
      </c>
      <c r="S367">
        <f t="shared" si="972"/>
        <v>-1083.5031603798948</v>
      </c>
      <c r="T367">
        <f t="shared" si="973"/>
        <v>-1.0835031603798948</v>
      </c>
    </row>
    <row r="368" spans="1:20" x14ac:dyDescent="0.25">
      <c r="A368" s="5">
        <v>44225</v>
      </c>
      <c r="B368">
        <v>0.20610999999999999</v>
      </c>
      <c r="C368">
        <v>0.22620000000000001</v>
      </c>
      <c r="D368">
        <v>0.19500000000000001</v>
      </c>
      <c r="E368">
        <v>0.20075999999999999</v>
      </c>
      <c r="F368">
        <v>9413836.0999999996</v>
      </c>
      <c r="G368">
        <v>0</v>
      </c>
      <c r="L368" t="s">
        <v>8</v>
      </c>
      <c r="M368" t="s">
        <v>8</v>
      </c>
      <c r="N368" t="s">
        <v>7</v>
      </c>
      <c r="P368">
        <f t="shared" si="969"/>
        <v>-0.63076923076923164</v>
      </c>
      <c r="Q368">
        <f t="shared" si="970"/>
        <v>-5937958.1553846234</v>
      </c>
      <c r="R368">
        <f t="shared" si="971"/>
        <v>-104364939.80149069</v>
      </c>
      <c r="S368">
        <f t="shared" si="972"/>
        <v>-1043.6493980149069</v>
      </c>
      <c r="T368">
        <f t="shared" si="973"/>
        <v>-1.0436493980149069</v>
      </c>
    </row>
    <row r="369" spans="1:20" x14ac:dyDescent="0.25">
      <c r="A369" s="5">
        <v>44224</v>
      </c>
      <c r="B369">
        <v>0.19949</v>
      </c>
      <c r="C369">
        <v>0.22</v>
      </c>
      <c r="D369">
        <v>0.19702</v>
      </c>
      <c r="E369">
        <v>0.20610000000000001</v>
      </c>
      <c r="F369">
        <v>7351261.2999999998</v>
      </c>
      <c r="G369">
        <v>0</v>
      </c>
      <c r="L369" t="s">
        <v>8</v>
      </c>
      <c r="M369" t="s">
        <v>7</v>
      </c>
      <c r="N369" t="s">
        <v>7</v>
      </c>
      <c r="P369">
        <f t="shared" si="969"/>
        <v>-0.20974760661444694</v>
      </c>
      <c r="Q369">
        <f t="shared" si="970"/>
        <v>-1541909.4632724079</v>
      </c>
      <c r="R369">
        <f t="shared" si="971"/>
        <v>-98426981.646106064</v>
      </c>
      <c r="S369">
        <f t="shared" si="972"/>
        <v>-984.2698164610606</v>
      </c>
      <c r="T369">
        <f t="shared" si="973"/>
        <v>-0.9842698164610606</v>
      </c>
    </row>
    <row r="370" spans="1:20" x14ac:dyDescent="0.25">
      <c r="A370" s="5">
        <v>44223</v>
      </c>
      <c r="B370">
        <v>0.21768000000000001</v>
      </c>
      <c r="C370">
        <v>0.21779999999999999</v>
      </c>
      <c r="D370">
        <v>0.186</v>
      </c>
      <c r="E370">
        <v>0.19983000000000001</v>
      </c>
      <c r="F370">
        <v>5783616.7000000002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-0.13018867924528232</v>
      </c>
      <c r="Q370">
        <f t="shared" si="970"/>
        <v>-752961.41943395825</v>
      </c>
      <c r="R370">
        <f t="shared" si="971"/>
        <v>-96885072.182833657</v>
      </c>
      <c r="S370">
        <f t="shared" si="972"/>
        <v>-968.85072182833653</v>
      </c>
      <c r="T370">
        <f t="shared" si="973"/>
        <v>-0.96885072182833654</v>
      </c>
    </row>
    <row r="371" spans="1:20" x14ac:dyDescent="0.25">
      <c r="A371" s="5">
        <v>44222</v>
      </c>
      <c r="B371">
        <v>0.21640000000000001</v>
      </c>
      <c r="C371">
        <v>0.22742000000000001</v>
      </c>
      <c r="D371">
        <v>0.20333000000000001</v>
      </c>
      <c r="E371">
        <v>0.21667</v>
      </c>
      <c r="F371">
        <v>4087355</v>
      </c>
      <c r="G371">
        <v>0</v>
      </c>
      <c r="L371" t="s">
        <v>7</v>
      </c>
      <c r="M371" t="s">
        <v>7</v>
      </c>
      <c r="N371" t="s">
        <v>7</v>
      </c>
      <c r="P371">
        <f t="shared" si="969"/>
        <v>0.10751349107513412</v>
      </c>
      <c r="Q371">
        <f t="shared" si="970"/>
        <v>439445.80531340482</v>
      </c>
      <c r="R371">
        <f t="shared" si="971"/>
        <v>-96132110.763399705</v>
      </c>
      <c r="S371">
        <f t="shared" si="972"/>
        <v>-961.32110763399703</v>
      </c>
      <c r="T371">
        <f t="shared" si="973"/>
        <v>-0.96132110763399703</v>
      </c>
    </row>
    <row r="372" spans="1:20" x14ac:dyDescent="0.25">
      <c r="A372" s="5">
        <v>44221</v>
      </c>
      <c r="B372">
        <v>0.23416000000000001</v>
      </c>
      <c r="C372">
        <v>0.24475</v>
      </c>
      <c r="D372">
        <v>0.21043000000000001</v>
      </c>
      <c r="E372">
        <v>0.21743999999999999</v>
      </c>
      <c r="F372">
        <v>4958312.4000000004</v>
      </c>
      <c r="G372">
        <v>0</v>
      </c>
      <c r="L372" t="s">
        <v>7</v>
      </c>
      <c r="M372" t="s">
        <v>8</v>
      </c>
      <c r="N372" t="s">
        <v>7</v>
      </c>
      <c r="P372">
        <f t="shared" si="969"/>
        <v>-0.59149184149184209</v>
      </c>
      <c r="Q372">
        <f t="shared" si="970"/>
        <v>-2932801.3321678354</v>
      </c>
      <c r="R372">
        <f t="shared" si="971"/>
        <v>-96571556.568713114</v>
      </c>
      <c r="S372">
        <f t="shared" si="972"/>
        <v>-965.71556568713117</v>
      </c>
      <c r="T372">
        <f t="shared" si="973"/>
        <v>-0.96571556568713113</v>
      </c>
    </row>
    <row r="373" spans="1:20" x14ac:dyDescent="0.25">
      <c r="A373" s="5">
        <v>44220</v>
      </c>
      <c r="B373">
        <v>0.22503000000000001</v>
      </c>
      <c r="C373">
        <v>0.24948999999999999</v>
      </c>
      <c r="D373">
        <v>0.22262000000000001</v>
      </c>
      <c r="E373">
        <v>0.23286999999999999</v>
      </c>
      <c r="F373">
        <v>7634647.0999999996</v>
      </c>
      <c r="G373">
        <v>0</v>
      </c>
      <c r="L373" t="s">
        <v>8</v>
      </c>
      <c r="M373" t="s">
        <v>8</v>
      </c>
      <c r="N373" t="s">
        <v>7</v>
      </c>
      <c r="P373">
        <f t="shared" si="969"/>
        <v>-0.23706736136955786</v>
      </c>
      <c r="Q373">
        <f t="shared" si="970"/>
        <v>-1809925.642984747</v>
      </c>
      <c r="R373">
        <f t="shared" si="971"/>
        <v>-93638755.23654528</v>
      </c>
      <c r="S373">
        <f t="shared" si="972"/>
        <v>-936.38755236545285</v>
      </c>
      <c r="T373">
        <f t="shared" si="973"/>
        <v>-0.9363875523654529</v>
      </c>
    </row>
    <row r="374" spans="1:20" x14ac:dyDescent="0.25">
      <c r="A374" s="5">
        <v>44219</v>
      </c>
      <c r="B374">
        <v>0.23555000000000001</v>
      </c>
      <c r="C374">
        <v>0.24</v>
      </c>
      <c r="D374">
        <v>0.21454999999999999</v>
      </c>
      <c r="E374">
        <v>0.22502</v>
      </c>
      <c r="F374">
        <v>11168245.1</v>
      </c>
      <c r="G374">
        <v>0</v>
      </c>
      <c r="L374" t="s">
        <v>8</v>
      </c>
      <c r="M374" t="s">
        <v>8</v>
      </c>
      <c r="N374" t="s">
        <v>7</v>
      </c>
      <c r="P374">
        <f t="shared" si="969"/>
        <v>-0.17721021611001911</v>
      </c>
      <c r="Q374">
        <f t="shared" si="970"/>
        <v>-1979127.1277406618</v>
      </c>
      <c r="R374">
        <f t="shared" si="971"/>
        <v>-91828829.593560532</v>
      </c>
      <c r="S374">
        <f t="shared" si="972"/>
        <v>-918.28829593560533</v>
      </c>
      <c r="T374">
        <f t="shared" si="973"/>
        <v>-0.91828829593560535</v>
      </c>
    </row>
    <row r="375" spans="1:20" x14ac:dyDescent="0.25">
      <c r="A375" s="5">
        <v>44218</v>
      </c>
      <c r="B375">
        <v>0.20502999999999999</v>
      </c>
      <c r="C375">
        <v>0.2407</v>
      </c>
      <c r="D375">
        <v>0.185</v>
      </c>
      <c r="E375">
        <v>0.23505000000000001</v>
      </c>
      <c r="F375">
        <v>51876633.200000003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0.79712746858168804</v>
      </c>
      <c r="Q375">
        <f t="shared" si="970"/>
        <v>41352289.301256754</v>
      </c>
      <c r="R375">
        <f t="shared" si="971"/>
        <v>-89849702.465819865</v>
      </c>
      <c r="S375">
        <f t="shared" si="972"/>
        <v>-898.49702465819871</v>
      </c>
      <c r="T375">
        <f t="shared" si="973"/>
        <v>-0.8984970246581987</v>
      </c>
    </row>
    <row r="376" spans="1:20" x14ac:dyDescent="0.25">
      <c r="A376" s="5">
        <v>44217</v>
      </c>
      <c r="B376">
        <v>0.25001000000000001</v>
      </c>
      <c r="C376">
        <v>0.26643</v>
      </c>
      <c r="D376">
        <v>0.19400999999999999</v>
      </c>
      <c r="E376">
        <v>0.20580000000000001</v>
      </c>
      <c r="F376">
        <v>15472350.800000001</v>
      </c>
      <c r="G376">
        <v>0</v>
      </c>
      <c r="L376" t="s">
        <v>7</v>
      </c>
      <c r="M376" t="s">
        <v>7</v>
      </c>
      <c r="N376" t="s">
        <v>7</v>
      </c>
      <c r="P376">
        <f t="shared" si="969"/>
        <v>-0.67439933719966805</v>
      </c>
      <c r="Q376">
        <f t="shared" si="970"/>
        <v>-10434543.124440754</v>
      </c>
      <c r="R376">
        <f t="shared" si="971"/>
        <v>-131201991.76707663</v>
      </c>
      <c r="S376">
        <f t="shared" si="972"/>
        <v>-1312.0199176707663</v>
      </c>
      <c r="T376">
        <f t="shared" si="973"/>
        <v>-1.3120199176707663</v>
      </c>
    </row>
    <row r="377" spans="1:20" x14ac:dyDescent="0.25">
      <c r="A377" s="5">
        <v>44216</v>
      </c>
      <c r="B377">
        <v>0.23549999999999999</v>
      </c>
      <c r="C377">
        <v>0.25280999999999998</v>
      </c>
      <c r="D377">
        <v>0.20680000000000001</v>
      </c>
      <c r="E377">
        <v>0.24998000000000001</v>
      </c>
      <c r="F377">
        <v>54085203.100000001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0.87698326450771691</v>
      </c>
      <c r="Q377">
        <f t="shared" si="970"/>
        <v>47431817.976200894</v>
      </c>
      <c r="R377">
        <f t="shared" si="971"/>
        <v>-120767448.64263587</v>
      </c>
      <c r="S377">
        <f t="shared" si="972"/>
        <v>-1207.6744864263587</v>
      </c>
      <c r="T377">
        <f t="shared" si="973"/>
        <v>-1.2076744864263587</v>
      </c>
    </row>
    <row r="378" spans="1:20" x14ac:dyDescent="0.25">
      <c r="A378" s="5">
        <v>44215</v>
      </c>
      <c r="B378">
        <v>0.25723000000000001</v>
      </c>
      <c r="C378">
        <v>0.27661999999999998</v>
      </c>
      <c r="D378">
        <v>0.23313</v>
      </c>
      <c r="E378">
        <v>0.23549999999999999</v>
      </c>
      <c r="F378">
        <v>89671497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-0.891009427454588</v>
      </c>
      <c r="Q378">
        <f t="shared" si="970"/>
        <v>-79898149.200965807</v>
      </c>
      <c r="R378">
        <f t="shared" si="971"/>
        <v>-168199266.61883676</v>
      </c>
      <c r="S378">
        <f t="shared" si="972"/>
        <v>-1681.9926661883676</v>
      </c>
      <c r="T378">
        <f t="shared" si="973"/>
        <v>-1.6819926661883675</v>
      </c>
    </row>
    <row r="379" spans="1:20" x14ac:dyDescent="0.25">
      <c r="A379" s="5">
        <v>44214</v>
      </c>
      <c r="B379">
        <v>0.21253</v>
      </c>
      <c r="C379">
        <v>0.25996999999999998</v>
      </c>
      <c r="D379">
        <v>0.21132999999999999</v>
      </c>
      <c r="E379">
        <v>0.25707999999999998</v>
      </c>
      <c r="F379">
        <v>12272457.6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0.88116776315789458</v>
      </c>
      <c r="Q379">
        <f t="shared" si="970"/>
        <v>10814094.011842104</v>
      </c>
      <c r="R379">
        <f t="shared" si="971"/>
        <v>-88301117.417870969</v>
      </c>
      <c r="S379">
        <f t="shared" si="972"/>
        <v>-883.01117417870967</v>
      </c>
      <c r="T379">
        <f t="shared" si="973"/>
        <v>-0.88301117417870967</v>
      </c>
    </row>
    <row r="380" spans="1:20" x14ac:dyDescent="0.25">
      <c r="A380" s="5">
        <v>44213</v>
      </c>
      <c r="B380">
        <v>0.18762999999999999</v>
      </c>
      <c r="C380">
        <v>0.221</v>
      </c>
      <c r="D380">
        <v>0.1792</v>
      </c>
      <c r="E380">
        <v>0.21210000000000001</v>
      </c>
      <c r="F380">
        <v>8705510.5999999996</v>
      </c>
      <c r="G380">
        <v>0</v>
      </c>
      <c r="L380" t="s">
        <v>8</v>
      </c>
      <c r="M380" t="s">
        <v>8</v>
      </c>
      <c r="N380" t="s">
        <v>8</v>
      </c>
      <c r="P380">
        <f t="shared" si="969"/>
        <v>0.57416267942583776</v>
      </c>
      <c r="Q380">
        <f t="shared" si="970"/>
        <v>4998379.2918660324</v>
      </c>
      <c r="R380">
        <f t="shared" si="971"/>
        <v>-99115211.42971307</v>
      </c>
      <c r="S380">
        <f t="shared" si="972"/>
        <v>-991.15211429713065</v>
      </c>
      <c r="T380">
        <f t="shared" si="973"/>
        <v>-0.99115211429713068</v>
      </c>
    </row>
    <row r="381" spans="1:20" x14ac:dyDescent="0.25">
      <c r="A381" s="5">
        <v>44212</v>
      </c>
      <c r="B381">
        <v>0.18811</v>
      </c>
      <c r="C381">
        <v>0.20660000000000001</v>
      </c>
      <c r="D381">
        <v>0.18468999999999999</v>
      </c>
      <c r="E381">
        <v>0.18762000000000001</v>
      </c>
      <c r="F381">
        <v>7865778.2999999998</v>
      </c>
      <c r="G381">
        <v>0</v>
      </c>
      <c r="L381" t="s">
        <v>8</v>
      </c>
      <c r="M381" t="s">
        <v>8</v>
      </c>
      <c r="N381" t="s">
        <v>7</v>
      </c>
      <c r="P381">
        <f t="shared" si="969"/>
        <v>-0.73254221816522003</v>
      </c>
      <c r="Q381">
        <f t="shared" si="970"/>
        <v>-5762014.6834778534</v>
      </c>
      <c r="R381">
        <f t="shared" si="971"/>
        <v>-104113590.7215791</v>
      </c>
      <c r="S381">
        <f t="shared" si="972"/>
        <v>-1041.1359072157911</v>
      </c>
      <c r="T381">
        <f t="shared" si="973"/>
        <v>-1.0411359072157911</v>
      </c>
    </row>
    <row r="382" spans="1:20" x14ac:dyDescent="0.25">
      <c r="A382" s="5">
        <v>44211</v>
      </c>
      <c r="B382">
        <v>0.18662999999999999</v>
      </c>
      <c r="C382">
        <v>0.19231999999999999</v>
      </c>
      <c r="D382">
        <v>0.16500000000000001</v>
      </c>
      <c r="E382">
        <v>0.18833</v>
      </c>
      <c r="F382">
        <v>7577634.5</v>
      </c>
      <c r="G382">
        <v>0</v>
      </c>
      <c r="L382" t="s">
        <v>7</v>
      </c>
      <c r="M382" t="s">
        <v>7</v>
      </c>
      <c r="N382" t="s">
        <v>7</v>
      </c>
      <c r="P382">
        <f t="shared" si="969"/>
        <v>0.70790629575402664</v>
      </c>
      <c r="Q382">
        <f t="shared" si="970"/>
        <v>5364255.1694729161</v>
      </c>
      <c r="R382">
        <f t="shared" si="971"/>
        <v>-98351576.038101256</v>
      </c>
      <c r="S382">
        <f t="shared" si="972"/>
        <v>-983.51576038101257</v>
      </c>
      <c r="T382">
        <f t="shared" si="973"/>
        <v>-0.98351576038101252</v>
      </c>
    </row>
    <row r="383" spans="1:20" x14ac:dyDescent="0.25">
      <c r="A383" s="5">
        <v>44210</v>
      </c>
      <c r="B383">
        <v>0.19497999999999999</v>
      </c>
      <c r="C383">
        <v>0.20336000000000001</v>
      </c>
      <c r="D383">
        <v>0.18002000000000001</v>
      </c>
      <c r="E383">
        <v>0.18686</v>
      </c>
      <c r="F383">
        <v>6569937.5</v>
      </c>
      <c r="G383">
        <v>0</v>
      </c>
      <c r="L383" t="s">
        <v>7</v>
      </c>
      <c r="M383" t="s">
        <v>8</v>
      </c>
      <c r="N383" t="s">
        <v>7</v>
      </c>
      <c r="P383">
        <f t="shared" si="969"/>
        <v>-0.41388174807198069</v>
      </c>
      <c r="Q383">
        <f t="shared" si="970"/>
        <v>-2719177.2172236587</v>
      </c>
      <c r="R383">
        <f t="shared" si="971"/>
        <v>-103715831.20757417</v>
      </c>
      <c r="S383">
        <f t="shared" si="972"/>
        <v>-1037.1583120757418</v>
      </c>
      <c r="T383">
        <f t="shared" si="973"/>
        <v>-1.0371583120757419</v>
      </c>
    </row>
    <row r="384" spans="1:20" x14ac:dyDescent="0.25">
      <c r="A384" s="5">
        <v>44209</v>
      </c>
      <c r="B384">
        <v>0.17374999999999999</v>
      </c>
      <c r="C384">
        <v>0.20799999999999999</v>
      </c>
      <c r="D384">
        <v>0.16627</v>
      </c>
      <c r="E384">
        <v>0.19492000000000001</v>
      </c>
      <c r="F384">
        <v>9077173.5999999996</v>
      </c>
      <c r="G384">
        <v>0</v>
      </c>
      <c r="L384" t="s">
        <v>8</v>
      </c>
      <c r="M384" t="s">
        <v>8</v>
      </c>
      <c r="N384" t="s">
        <v>7</v>
      </c>
      <c r="P384">
        <f t="shared" si="969"/>
        <v>0.37311286843997199</v>
      </c>
      <c r="Q384">
        <f t="shared" si="970"/>
        <v>3386810.2792235869</v>
      </c>
      <c r="R384">
        <f t="shared" si="971"/>
        <v>-100996653.99035051</v>
      </c>
      <c r="S384">
        <f t="shared" si="972"/>
        <v>-1009.9665399035051</v>
      </c>
      <c r="T384">
        <f t="shared" si="973"/>
        <v>-1.0099665399035052</v>
      </c>
    </row>
    <row r="385" spans="1:20" x14ac:dyDescent="0.25">
      <c r="A385" s="5">
        <v>44208</v>
      </c>
      <c r="B385">
        <v>0.1885</v>
      </c>
      <c r="C385">
        <v>0.19431000000000001</v>
      </c>
      <c r="D385">
        <v>0.16750000000000001</v>
      </c>
      <c r="E385">
        <v>0.17396</v>
      </c>
      <c r="F385">
        <v>10779861.699999999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-0.51809026482655773</v>
      </c>
      <c r="Q385">
        <f t="shared" si="970"/>
        <v>-5584941.4029466668</v>
      </c>
      <c r="R385">
        <f t="shared" si="971"/>
        <v>-104383464.26957411</v>
      </c>
      <c r="S385">
        <f t="shared" si="972"/>
        <v>-1043.834642695741</v>
      </c>
      <c r="T385">
        <f t="shared" si="973"/>
        <v>-1.043834642695741</v>
      </c>
    </row>
    <row r="386" spans="1:20" x14ac:dyDescent="0.25">
      <c r="A386" s="5">
        <v>44207</v>
      </c>
      <c r="B386">
        <v>0.21903</v>
      </c>
      <c r="C386">
        <v>0.22017</v>
      </c>
      <c r="D386">
        <v>0.157</v>
      </c>
      <c r="E386">
        <v>0.1885</v>
      </c>
      <c r="F386">
        <v>14090694.9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-2.691150862751361E-3</v>
      </c>
      <c r="Q386">
        <f t="shared" si="970"/>
        <v>-37920.185736901207</v>
      </c>
      <c r="R386">
        <f t="shared" si="971"/>
        <v>-98798522.86662744</v>
      </c>
      <c r="S386">
        <f t="shared" si="972"/>
        <v>-987.98522866627445</v>
      </c>
      <c r="T386">
        <f t="shared" si="973"/>
        <v>-0.98798522866627447</v>
      </c>
    </row>
    <row r="387" spans="1:20" x14ac:dyDescent="0.25">
      <c r="A387" s="5">
        <v>44206</v>
      </c>
      <c r="B387">
        <v>0.21601000000000001</v>
      </c>
      <c r="C387">
        <v>0.22889999999999999</v>
      </c>
      <c r="D387">
        <v>0.19547999999999999</v>
      </c>
      <c r="E387">
        <v>0.21919</v>
      </c>
      <c r="F387">
        <v>9727105.8000000007</v>
      </c>
      <c r="G387">
        <v>0</v>
      </c>
      <c r="L387" t="s">
        <v>7</v>
      </c>
      <c r="M387" t="s">
        <v>7</v>
      </c>
      <c r="N387" t="s">
        <v>8</v>
      </c>
      <c r="P387">
        <f t="shared" si="969"/>
        <v>0.41891083183722355</v>
      </c>
      <c r="Q387">
        <f t="shared" si="970"/>
        <v>4074789.9820466824</v>
      </c>
      <c r="R387">
        <f t="shared" si="971"/>
        <v>-98760602.680890545</v>
      </c>
      <c r="S387">
        <f t="shared" si="972"/>
        <v>-987.60602680890543</v>
      </c>
      <c r="T387">
        <f t="shared" si="973"/>
        <v>-0.98760602680890541</v>
      </c>
    </row>
    <row r="388" spans="1:20" x14ac:dyDescent="0.25">
      <c r="A388" s="5">
        <v>44205</v>
      </c>
      <c r="B388">
        <v>0.21790000000000001</v>
      </c>
      <c r="C388">
        <v>0.25</v>
      </c>
      <c r="D388">
        <v>0.2102</v>
      </c>
      <c r="E388">
        <v>0.21626000000000001</v>
      </c>
      <c r="F388">
        <v>14081991.699999999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-0.69547738693467287</v>
      </c>
      <c r="Q388">
        <f t="shared" si="970"/>
        <v>-9793706.7903517522</v>
      </c>
      <c r="R388">
        <f t="shared" si="971"/>
        <v>-102835392.66293722</v>
      </c>
      <c r="S388">
        <f t="shared" si="972"/>
        <v>-1028.3539266293722</v>
      </c>
      <c r="T388">
        <f t="shared" si="973"/>
        <v>-1.0283539266293722</v>
      </c>
    </row>
    <row r="389" spans="1:20" x14ac:dyDescent="0.25">
      <c r="A389" s="5">
        <v>44204</v>
      </c>
      <c r="B389">
        <v>0.19266</v>
      </c>
      <c r="C389">
        <v>0.23244000000000001</v>
      </c>
      <c r="D389">
        <v>0.17255000000000001</v>
      </c>
      <c r="E389">
        <v>0.21926999999999999</v>
      </c>
      <c r="F389">
        <v>22495900</v>
      </c>
      <c r="G389">
        <v>0</v>
      </c>
      <c r="L389" t="s">
        <v>8</v>
      </c>
      <c r="M389" t="s">
        <v>8</v>
      </c>
      <c r="N389" t="s">
        <v>8</v>
      </c>
      <c r="P389">
        <f t="shared" si="969"/>
        <v>0.56019368842878559</v>
      </c>
      <c r="Q389">
        <f t="shared" si="970"/>
        <v>12602061.195525117</v>
      </c>
      <c r="R389">
        <f t="shared" si="971"/>
        <v>-93041685.872585475</v>
      </c>
      <c r="S389">
        <f t="shared" si="972"/>
        <v>-930.41685872585481</v>
      </c>
      <c r="T389">
        <f t="shared" si="973"/>
        <v>-0.93041685872585478</v>
      </c>
    </row>
    <row r="390" spans="1:20" x14ac:dyDescent="0.25">
      <c r="A390" s="5">
        <v>44203</v>
      </c>
      <c r="B390">
        <v>0.19148999999999999</v>
      </c>
      <c r="C390">
        <v>0.20512</v>
      </c>
      <c r="D390">
        <v>0.17355000000000001</v>
      </c>
      <c r="E390">
        <v>0.19278000000000001</v>
      </c>
      <c r="F390">
        <v>10656754.4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0.21824516946468198</v>
      </c>
      <c r="Q390">
        <f t="shared" ref="Q390:Q453" si="975">F390*P390</f>
        <v>2325785.1699714954</v>
      </c>
      <c r="R390">
        <f t="shared" ref="R390:R453" si="976">R391+Q390</f>
        <v>-105643747.06811059</v>
      </c>
      <c r="S390">
        <f t="shared" ref="S390:S453" si="977">R390/100000</f>
        <v>-1056.4374706811059</v>
      </c>
      <c r="T390">
        <f t="shared" ref="T390:T453" si="978">S390/1000</f>
        <v>-1.0564374706811059</v>
      </c>
    </row>
    <row r="391" spans="1:20" x14ac:dyDescent="0.25">
      <c r="A391" s="5">
        <v>44202</v>
      </c>
      <c r="B391">
        <v>0.18573999999999999</v>
      </c>
      <c r="C391">
        <v>0.20227999999999999</v>
      </c>
      <c r="D391">
        <v>0.17349999999999999</v>
      </c>
      <c r="E391">
        <v>0.1915</v>
      </c>
      <c r="F391">
        <v>11972143.800000001</v>
      </c>
      <c r="G391">
        <v>0</v>
      </c>
      <c r="L391" t="s">
        <v>7</v>
      </c>
      <c r="M391" t="s">
        <v>8</v>
      </c>
      <c r="N391" t="s">
        <v>8</v>
      </c>
      <c r="P391">
        <f t="shared" si="974"/>
        <v>0.25086865879082809</v>
      </c>
      <c r="Q391">
        <f t="shared" si="975"/>
        <v>3003435.657956928</v>
      </c>
      <c r="R391">
        <f t="shared" si="976"/>
        <v>-107969532.23808208</v>
      </c>
      <c r="S391">
        <f t="shared" si="977"/>
        <v>-1079.6953223808207</v>
      </c>
      <c r="T391">
        <f t="shared" si="978"/>
        <v>-1.0796953223808208</v>
      </c>
    </row>
    <row r="392" spans="1:20" x14ac:dyDescent="0.25">
      <c r="A392" s="5">
        <v>44201</v>
      </c>
      <c r="B392">
        <v>0.16930000000000001</v>
      </c>
      <c r="C392">
        <v>0.20344999999999999</v>
      </c>
      <c r="D392">
        <v>0.16685</v>
      </c>
      <c r="E392">
        <v>0.18573999999999999</v>
      </c>
      <c r="F392">
        <v>28634895.199999999</v>
      </c>
      <c r="G392">
        <v>0</v>
      </c>
      <c r="L392" t="s">
        <v>8</v>
      </c>
      <c r="M392" t="s">
        <v>8</v>
      </c>
      <c r="N392" t="s">
        <v>8</v>
      </c>
      <c r="P392">
        <f t="shared" si="974"/>
        <v>3.2240437158469588E-2</v>
      </c>
      <c r="Q392">
        <f t="shared" si="975"/>
        <v>923201.53923496243</v>
      </c>
      <c r="R392">
        <f t="shared" si="976"/>
        <v>-110972967.89603901</v>
      </c>
      <c r="S392">
        <f t="shared" si="977"/>
        <v>-1109.7296789603902</v>
      </c>
      <c r="T392">
        <f t="shared" si="978"/>
        <v>-1.1097296789603901</v>
      </c>
    </row>
    <row r="393" spans="1:20" x14ac:dyDescent="0.25">
      <c r="A393" s="5">
        <v>44200</v>
      </c>
      <c r="B393">
        <v>0.13682</v>
      </c>
      <c r="C393">
        <v>0.1862</v>
      </c>
      <c r="D393">
        <v>0.13608999999999999</v>
      </c>
      <c r="E393">
        <v>0.16930000000000001</v>
      </c>
      <c r="F393">
        <v>29326859.100000001</v>
      </c>
      <c r="G393">
        <v>0</v>
      </c>
      <c r="L393" t="s">
        <v>8</v>
      </c>
      <c r="M393" t="s">
        <v>8</v>
      </c>
      <c r="N393" t="s">
        <v>8</v>
      </c>
      <c r="P393">
        <f t="shared" si="974"/>
        <v>0.32548393534224734</v>
      </c>
      <c r="Q393">
        <f t="shared" si="975"/>
        <v>9545421.5110955983</v>
      </c>
      <c r="R393">
        <f t="shared" si="976"/>
        <v>-111896169.43527398</v>
      </c>
      <c r="S393">
        <f t="shared" si="977"/>
        <v>-1118.9616943527396</v>
      </c>
      <c r="T393">
        <f t="shared" si="978"/>
        <v>-1.1189616943527396</v>
      </c>
    </row>
    <row r="394" spans="1:20" x14ac:dyDescent="0.25">
      <c r="A394" s="5">
        <v>44199</v>
      </c>
      <c r="B394">
        <v>0.12485</v>
      </c>
      <c r="C394">
        <v>0.14199999999999999</v>
      </c>
      <c r="D394">
        <v>0.12228</v>
      </c>
      <c r="E394">
        <v>0.1361</v>
      </c>
      <c r="F394">
        <v>9320368.5</v>
      </c>
      <c r="G394">
        <v>0</v>
      </c>
      <c r="L394" t="s">
        <v>8</v>
      </c>
      <c r="M394" t="s">
        <v>8</v>
      </c>
      <c r="N394" t="s">
        <v>8</v>
      </c>
      <c r="P394">
        <f t="shared" si="974"/>
        <v>0.40162271805273914</v>
      </c>
      <c r="Q394">
        <f t="shared" si="975"/>
        <v>3743271.7302231314</v>
      </c>
      <c r="R394">
        <f t="shared" si="976"/>
        <v>-121441590.94636957</v>
      </c>
      <c r="S394">
        <f t="shared" si="977"/>
        <v>-1214.4159094636957</v>
      </c>
      <c r="T394">
        <f t="shared" si="978"/>
        <v>-1.2144159094636957</v>
      </c>
    </row>
    <row r="395" spans="1:20" x14ac:dyDescent="0.25">
      <c r="A395" s="5">
        <v>44198</v>
      </c>
      <c r="B395">
        <v>0.12956000000000001</v>
      </c>
      <c r="C395">
        <v>0.13292000000000001</v>
      </c>
      <c r="D395">
        <v>0.11600000000000001</v>
      </c>
      <c r="E395">
        <v>0.12376</v>
      </c>
      <c r="F395">
        <v>12641805.4</v>
      </c>
      <c r="G395">
        <v>0</v>
      </c>
      <c r="L395" t="s">
        <v>7</v>
      </c>
      <c r="M395" t="s">
        <v>7</v>
      </c>
      <c r="N395" t="s">
        <v>8</v>
      </c>
      <c r="P395">
        <f t="shared" si="974"/>
        <v>-8.2742316784871497E-2</v>
      </c>
      <c r="Q395">
        <f t="shared" si="975"/>
        <v>-1046012.2671394992</v>
      </c>
      <c r="R395">
        <f t="shared" si="976"/>
        <v>-125184862.67659271</v>
      </c>
      <c r="S395">
        <f t="shared" si="977"/>
        <v>-1251.8486267659271</v>
      </c>
      <c r="T395">
        <f t="shared" si="978"/>
        <v>-1.251848626765927</v>
      </c>
    </row>
    <row r="396" spans="1:20" x14ac:dyDescent="0.25">
      <c r="A396" s="5">
        <v>44197</v>
      </c>
      <c r="B396">
        <v>0.13164000000000001</v>
      </c>
      <c r="C396">
        <v>0.13663</v>
      </c>
      <c r="D396">
        <v>0.12559000000000001</v>
      </c>
      <c r="E396">
        <v>0.13059999999999999</v>
      </c>
      <c r="F396">
        <v>7790297.2000000002</v>
      </c>
      <c r="G396">
        <v>0</v>
      </c>
      <c r="L396" t="s">
        <v>7</v>
      </c>
      <c r="M396" t="s">
        <v>8</v>
      </c>
      <c r="N396" t="s">
        <v>8</v>
      </c>
      <c r="P396">
        <f t="shared" si="974"/>
        <v>-9.2391304347828024E-2</v>
      </c>
      <c r="Q396">
        <f t="shared" si="975"/>
        <v>-719755.71956523252</v>
      </c>
      <c r="R396">
        <f t="shared" si="976"/>
        <v>-124138850.40945321</v>
      </c>
      <c r="S396">
        <f t="shared" si="977"/>
        <v>-1241.3885040945322</v>
      </c>
      <c r="T396">
        <f t="shared" si="978"/>
        <v>-1.2413885040945323</v>
      </c>
    </row>
    <row r="397" spans="1:20" x14ac:dyDescent="0.25">
      <c r="A397" s="5">
        <v>44196</v>
      </c>
      <c r="B397">
        <v>0.12878999999999999</v>
      </c>
      <c r="C397">
        <v>0.14199999999999999</v>
      </c>
      <c r="D397">
        <v>0.12454999999999999</v>
      </c>
      <c r="E397">
        <v>0.13166</v>
      </c>
      <c r="F397">
        <v>14637652.800000001</v>
      </c>
      <c r="G397">
        <v>0</v>
      </c>
      <c r="L397" t="s">
        <v>8</v>
      </c>
      <c r="M397" t="s">
        <v>8</v>
      </c>
      <c r="N397" t="s">
        <v>8</v>
      </c>
      <c r="P397">
        <f t="shared" si="974"/>
        <v>-0.18510028653295038</v>
      </c>
      <c r="Q397">
        <f t="shared" si="975"/>
        <v>-2709433.7274498437</v>
      </c>
      <c r="R397">
        <f t="shared" si="976"/>
        <v>-123419094.68988799</v>
      </c>
      <c r="S397">
        <f t="shared" si="977"/>
        <v>-1234.1909468988799</v>
      </c>
      <c r="T397">
        <f t="shared" si="978"/>
        <v>-1.2341909468988799</v>
      </c>
    </row>
    <row r="398" spans="1:20" x14ac:dyDescent="0.25">
      <c r="A398" s="5">
        <v>44195</v>
      </c>
      <c r="B398">
        <v>0.11706</v>
      </c>
      <c r="C398">
        <v>0.12898999999999999</v>
      </c>
      <c r="D398">
        <v>0.11151999999999999</v>
      </c>
      <c r="E398">
        <v>0.12887999999999999</v>
      </c>
      <c r="F398">
        <v>8710696.3000000007</v>
      </c>
      <c r="G398">
        <v>0</v>
      </c>
      <c r="L398" t="s">
        <v>8</v>
      </c>
      <c r="M398" t="s">
        <v>8</v>
      </c>
      <c r="N398" t="s">
        <v>8</v>
      </c>
      <c r="P398">
        <f t="shared" si="974"/>
        <v>0.98740698340011457</v>
      </c>
      <c r="Q398">
        <f t="shared" si="975"/>
        <v>8601002.3568975404</v>
      </c>
      <c r="R398">
        <f t="shared" si="976"/>
        <v>-120709660.96243814</v>
      </c>
      <c r="S398">
        <f t="shared" si="977"/>
        <v>-1207.0966096243815</v>
      </c>
      <c r="T398">
        <f t="shared" si="978"/>
        <v>-1.2070966096243814</v>
      </c>
    </row>
    <row r="399" spans="1:20" x14ac:dyDescent="0.25">
      <c r="A399" s="5">
        <v>44194</v>
      </c>
      <c r="B399">
        <v>0.11045000000000001</v>
      </c>
      <c r="C399">
        <v>0.12049</v>
      </c>
      <c r="D399">
        <v>0.10156999999999999</v>
      </c>
      <c r="E399">
        <v>0.11734</v>
      </c>
      <c r="F399">
        <v>10062654.5</v>
      </c>
      <c r="G399">
        <v>0</v>
      </c>
      <c r="L399" t="s">
        <v>8</v>
      </c>
      <c r="M399" t="s">
        <v>8</v>
      </c>
      <c r="N399" t="s">
        <v>7</v>
      </c>
      <c r="P399">
        <f t="shared" si="974"/>
        <v>0.66701902748414388</v>
      </c>
      <c r="Q399">
        <f t="shared" si="975"/>
        <v>6711982.0184989441</v>
      </c>
      <c r="R399">
        <f t="shared" si="976"/>
        <v>-129310663.31933568</v>
      </c>
      <c r="S399">
        <f t="shared" si="977"/>
        <v>-1293.1066331933569</v>
      </c>
      <c r="T399">
        <f t="shared" si="978"/>
        <v>-1.2931066331933569</v>
      </c>
    </row>
    <row r="400" spans="1:20" x14ac:dyDescent="0.25">
      <c r="A400" s="5">
        <v>44193</v>
      </c>
      <c r="B400">
        <v>0.10265000000000001</v>
      </c>
      <c r="C400">
        <v>0.11451</v>
      </c>
      <c r="D400">
        <v>0.10226</v>
      </c>
      <c r="E400">
        <v>0.11035</v>
      </c>
      <c r="F400">
        <v>7427422.7999999998</v>
      </c>
      <c r="G400">
        <v>0</v>
      </c>
      <c r="L400" t="s">
        <v>7</v>
      </c>
      <c r="M400" t="s">
        <v>8</v>
      </c>
      <c r="N400" t="s">
        <v>7</v>
      </c>
      <c r="P400">
        <f t="shared" si="974"/>
        <v>0.32081632653061254</v>
      </c>
      <c r="Q400">
        <f t="shared" si="975"/>
        <v>2382838.4982857164</v>
      </c>
      <c r="R400">
        <f t="shared" si="976"/>
        <v>-136022645.33783463</v>
      </c>
      <c r="S400">
        <f t="shared" si="977"/>
        <v>-1360.2264533783464</v>
      </c>
      <c r="T400">
        <f t="shared" si="978"/>
        <v>-1.3602264533783464</v>
      </c>
    </row>
    <row r="401" spans="1:20" x14ac:dyDescent="0.25">
      <c r="A401" s="5">
        <v>44192</v>
      </c>
      <c r="B401">
        <v>0.10606</v>
      </c>
      <c r="C401">
        <v>0.1148</v>
      </c>
      <c r="D401">
        <v>9.5519999999999994E-2</v>
      </c>
      <c r="E401">
        <v>0.10265000000000001</v>
      </c>
      <c r="F401">
        <v>10134809.199999999</v>
      </c>
      <c r="G401">
        <v>0</v>
      </c>
      <c r="L401" t="s">
        <v>8</v>
      </c>
      <c r="M401" t="s">
        <v>8</v>
      </c>
      <c r="N401" t="s">
        <v>7</v>
      </c>
      <c r="P401">
        <f t="shared" si="974"/>
        <v>-0.26037344398340151</v>
      </c>
      <c r="Q401">
        <f t="shared" si="975"/>
        <v>-2638835.1755186622</v>
      </c>
      <c r="R401">
        <f t="shared" si="976"/>
        <v>-138405483.83612034</v>
      </c>
      <c r="S401">
        <f t="shared" si="977"/>
        <v>-1384.0548383612033</v>
      </c>
      <c r="T401">
        <f t="shared" si="978"/>
        <v>-1.3840548383612032</v>
      </c>
    </row>
    <row r="402" spans="1:20" x14ac:dyDescent="0.25">
      <c r="A402" s="5">
        <v>44191</v>
      </c>
      <c r="B402">
        <v>0.10173</v>
      </c>
      <c r="C402">
        <v>0.108</v>
      </c>
      <c r="D402">
        <v>9.8580000000000001E-2</v>
      </c>
      <c r="E402">
        <v>0.10603</v>
      </c>
      <c r="F402">
        <v>5463585.5999999996</v>
      </c>
      <c r="G402">
        <v>0</v>
      </c>
      <c r="L402" t="s">
        <v>8</v>
      </c>
      <c r="M402" t="s">
        <v>8</v>
      </c>
      <c r="N402" t="s">
        <v>7</v>
      </c>
      <c r="P402">
        <f t="shared" si="974"/>
        <v>0.58174097664543523</v>
      </c>
      <c r="Q402">
        <f t="shared" si="975"/>
        <v>3178391.6229299358</v>
      </c>
      <c r="R402">
        <f t="shared" si="976"/>
        <v>-135766648.66060168</v>
      </c>
      <c r="S402">
        <f t="shared" si="977"/>
        <v>-1357.6664866060169</v>
      </c>
      <c r="T402">
        <f t="shared" si="978"/>
        <v>-1.3576664866060169</v>
      </c>
    </row>
    <row r="403" spans="1:20" x14ac:dyDescent="0.25">
      <c r="A403" s="5">
        <v>44190</v>
      </c>
      <c r="B403">
        <v>0.10353999999999999</v>
      </c>
      <c r="C403">
        <v>0.105</v>
      </c>
      <c r="D403">
        <v>9.8280000000000006E-2</v>
      </c>
      <c r="E403">
        <v>0.10173</v>
      </c>
      <c r="F403">
        <v>5470413</v>
      </c>
      <c r="G403">
        <v>0</v>
      </c>
      <c r="L403" t="s">
        <v>8</v>
      </c>
      <c r="M403" t="s">
        <v>7</v>
      </c>
      <c r="N403" t="s">
        <v>7</v>
      </c>
      <c r="P403">
        <f t="shared" si="974"/>
        <v>2.6785714285714267E-2</v>
      </c>
      <c r="Q403">
        <f t="shared" si="975"/>
        <v>146528.91964285704</v>
      </c>
      <c r="R403">
        <f t="shared" si="976"/>
        <v>-138945040.28353161</v>
      </c>
      <c r="S403">
        <f t="shared" si="977"/>
        <v>-1389.450402835316</v>
      </c>
      <c r="T403">
        <f t="shared" si="978"/>
        <v>-1.3894504028353161</v>
      </c>
    </row>
    <row r="404" spans="1:20" x14ac:dyDescent="0.25">
      <c r="A404" s="5">
        <v>44189</v>
      </c>
      <c r="B404">
        <v>9.4869999999999996E-2</v>
      </c>
      <c r="C404">
        <v>0.10444000000000001</v>
      </c>
      <c r="D404">
        <v>9.2020000000000005E-2</v>
      </c>
      <c r="E404">
        <v>0.10353</v>
      </c>
      <c r="F404">
        <v>9109987.3000000007</v>
      </c>
      <c r="G404">
        <v>0</v>
      </c>
      <c r="L404" t="s">
        <v>8</v>
      </c>
      <c r="M404" t="s">
        <v>7</v>
      </c>
      <c r="N404" t="s">
        <v>7</v>
      </c>
      <c r="P404">
        <f t="shared" si="974"/>
        <v>0.85346215780998258</v>
      </c>
      <c r="Q404">
        <f t="shared" si="975"/>
        <v>7775029.4186795382</v>
      </c>
      <c r="R404">
        <f t="shared" si="976"/>
        <v>-139091569.20317447</v>
      </c>
      <c r="S404">
        <f t="shared" si="977"/>
        <v>-1390.9156920317448</v>
      </c>
      <c r="T404">
        <f t="shared" si="978"/>
        <v>-1.3909156920317449</v>
      </c>
    </row>
    <row r="405" spans="1:20" x14ac:dyDescent="0.25">
      <c r="A405" s="5">
        <v>44188</v>
      </c>
      <c r="B405">
        <v>0.11114</v>
      </c>
      <c r="C405">
        <v>0.1113</v>
      </c>
      <c r="D405">
        <v>9.0450000000000003E-2</v>
      </c>
      <c r="E405">
        <v>9.4850000000000004E-2</v>
      </c>
      <c r="F405">
        <v>12053005.699999999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-0.57793764988009566</v>
      </c>
      <c r="Q405">
        <f t="shared" si="975"/>
        <v>-6965885.7882493967</v>
      </c>
      <c r="R405">
        <f t="shared" si="976"/>
        <v>-146866598.62185401</v>
      </c>
      <c r="S405">
        <f t="shared" si="977"/>
        <v>-1468.6659862185402</v>
      </c>
      <c r="T405">
        <f t="shared" si="978"/>
        <v>-1.4686659862185403</v>
      </c>
    </row>
    <row r="406" spans="1:20" x14ac:dyDescent="0.25">
      <c r="A406" s="5">
        <v>44187</v>
      </c>
      <c r="B406">
        <v>0.10775999999999999</v>
      </c>
      <c r="C406">
        <v>0.1239</v>
      </c>
      <c r="D406">
        <v>0.1061</v>
      </c>
      <c r="E406">
        <v>0.11121</v>
      </c>
      <c r="F406">
        <v>20597192.899999999</v>
      </c>
      <c r="G406">
        <v>0</v>
      </c>
      <c r="L406" t="s">
        <v>8</v>
      </c>
      <c r="M406" t="s">
        <v>8</v>
      </c>
      <c r="N406" t="s">
        <v>7</v>
      </c>
      <c r="P406">
        <f t="shared" si="974"/>
        <v>-0.42584269662921298</v>
      </c>
      <c r="Q406">
        <f t="shared" si="975"/>
        <v>-8771164.167528078</v>
      </c>
      <c r="R406">
        <f t="shared" si="976"/>
        <v>-139900712.8336046</v>
      </c>
      <c r="S406">
        <f t="shared" si="977"/>
        <v>-1399.007128336046</v>
      </c>
      <c r="T406">
        <f t="shared" si="978"/>
        <v>-1.3990071283360459</v>
      </c>
    </row>
    <row r="407" spans="1:20" x14ac:dyDescent="0.25">
      <c r="A407" s="5">
        <v>44186</v>
      </c>
      <c r="B407">
        <v>0.10331</v>
      </c>
      <c r="C407">
        <v>0.11316</v>
      </c>
      <c r="D407">
        <v>0.10005</v>
      </c>
      <c r="E407">
        <v>0.10775999999999999</v>
      </c>
      <c r="F407">
        <v>12704369.6</v>
      </c>
      <c r="G407">
        <v>0</v>
      </c>
      <c r="L407" t="s">
        <v>8</v>
      </c>
      <c r="M407" t="s">
        <v>7</v>
      </c>
      <c r="N407" t="s">
        <v>7</v>
      </c>
      <c r="P407">
        <f t="shared" si="974"/>
        <v>0.17620137299771116</v>
      </c>
      <c r="Q407">
        <f t="shared" si="975"/>
        <v>2238527.3665903825</v>
      </c>
      <c r="R407">
        <f t="shared" si="976"/>
        <v>-131129548.66607653</v>
      </c>
      <c r="S407">
        <f t="shared" si="977"/>
        <v>-1311.2954866607652</v>
      </c>
      <c r="T407">
        <f t="shared" si="978"/>
        <v>-1.3112954866607651</v>
      </c>
    </row>
    <row r="408" spans="1:20" x14ac:dyDescent="0.25">
      <c r="A408" s="5">
        <v>44185</v>
      </c>
      <c r="B408">
        <v>0.10414</v>
      </c>
      <c r="C408">
        <v>0.1087</v>
      </c>
      <c r="D408">
        <v>9.8650000000000002E-2</v>
      </c>
      <c r="E408">
        <v>0.10334</v>
      </c>
      <c r="F408">
        <v>12855495.800000001</v>
      </c>
      <c r="G408">
        <v>0</v>
      </c>
      <c r="L408" t="s">
        <v>7</v>
      </c>
      <c r="M408" t="s">
        <v>7</v>
      </c>
      <c r="N408" t="s">
        <v>7</v>
      </c>
      <c r="P408">
        <f t="shared" si="974"/>
        <v>-6.666666666666704E-2</v>
      </c>
      <c r="Q408">
        <f t="shared" si="975"/>
        <v>-857033.05333333823</v>
      </c>
      <c r="R408">
        <f t="shared" si="976"/>
        <v>-133368076.03266691</v>
      </c>
      <c r="S408">
        <f t="shared" si="977"/>
        <v>-1333.6807603266691</v>
      </c>
      <c r="T408">
        <f t="shared" si="978"/>
        <v>-1.3336807603266692</v>
      </c>
    </row>
    <row r="409" spans="1:20" x14ac:dyDescent="0.25">
      <c r="A409" s="5">
        <v>44184</v>
      </c>
      <c r="B409">
        <v>0.10489</v>
      </c>
      <c r="C409">
        <v>0.10902000000000001</v>
      </c>
      <c r="D409">
        <v>0.10076</v>
      </c>
      <c r="E409">
        <v>0.10424</v>
      </c>
      <c r="F409">
        <v>10958102.9</v>
      </c>
      <c r="G409">
        <v>0</v>
      </c>
      <c r="L409" t="s">
        <v>8</v>
      </c>
      <c r="M409" t="s">
        <v>7</v>
      </c>
      <c r="N409" t="s">
        <v>7</v>
      </c>
      <c r="P409">
        <f t="shared" si="974"/>
        <v>-0.15738498789346356</v>
      </c>
      <c r="Q409">
        <f t="shared" si="975"/>
        <v>-1724640.892251828</v>
      </c>
      <c r="R409">
        <f t="shared" si="976"/>
        <v>-132511042.97933356</v>
      </c>
      <c r="S409">
        <f t="shared" si="977"/>
        <v>-1325.1104297933357</v>
      </c>
      <c r="T409">
        <f t="shared" si="978"/>
        <v>-1.3251104297933356</v>
      </c>
    </row>
    <row r="410" spans="1:20" x14ac:dyDescent="0.25">
      <c r="A410" s="5">
        <v>44183</v>
      </c>
      <c r="B410">
        <v>0.10224</v>
      </c>
      <c r="C410">
        <v>0.10949</v>
      </c>
      <c r="D410">
        <v>9.8500000000000004E-2</v>
      </c>
      <c r="E410">
        <v>0.10499</v>
      </c>
      <c r="F410">
        <v>14401372.300000001</v>
      </c>
      <c r="G410">
        <v>0</v>
      </c>
      <c r="L410" t="s">
        <v>7</v>
      </c>
      <c r="M410" t="s">
        <v>7</v>
      </c>
      <c r="N410" t="s">
        <v>7</v>
      </c>
      <c r="P410">
        <f t="shared" si="974"/>
        <v>0.18107370336669626</v>
      </c>
      <c r="Q410">
        <f t="shared" si="975"/>
        <v>2607709.8159235562</v>
      </c>
      <c r="R410">
        <f t="shared" si="976"/>
        <v>-130786402.08708173</v>
      </c>
      <c r="S410">
        <f t="shared" si="977"/>
        <v>-1307.8640208708173</v>
      </c>
      <c r="T410">
        <f t="shared" si="978"/>
        <v>-1.3078640208708172</v>
      </c>
    </row>
    <row r="411" spans="1:20" x14ac:dyDescent="0.25">
      <c r="A411" s="5">
        <v>44182</v>
      </c>
      <c r="B411">
        <v>0.1082</v>
      </c>
      <c r="C411">
        <v>0.12564</v>
      </c>
      <c r="D411">
        <v>0.1018</v>
      </c>
      <c r="E411">
        <v>0.10205</v>
      </c>
      <c r="F411">
        <v>20647994.5</v>
      </c>
      <c r="G411">
        <v>0</v>
      </c>
      <c r="L411" t="s">
        <v>8</v>
      </c>
      <c r="M411" t="s">
        <v>8</v>
      </c>
      <c r="N411" t="s">
        <v>7</v>
      </c>
      <c r="P411">
        <f t="shared" si="974"/>
        <v>-0.97902684563758391</v>
      </c>
      <c r="Q411">
        <f t="shared" si="975"/>
        <v>-20214940.924077183</v>
      </c>
      <c r="R411">
        <f t="shared" si="976"/>
        <v>-133394111.90300529</v>
      </c>
      <c r="S411">
        <f t="shared" si="977"/>
        <v>-1333.941119030053</v>
      </c>
      <c r="T411">
        <f t="shared" si="978"/>
        <v>-1.333941119030053</v>
      </c>
    </row>
    <row r="412" spans="1:20" x14ac:dyDescent="0.25">
      <c r="A412" s="5">
        <v>44181</v>
      </c>
      <c r="B412">
        <v>0.1037</v>
      </c>
      <c r="C412">
        <v>0.11111</v>
      </c>
      <c r="D412">
        <v>0.10093000000000001</v>
      </c>
      <c r="E412">
        <v>0.10829999999999999</v>
      </c>
      <c r="F412">
        <v>9916977.6999999993</v>
      </c>
      <c r="G412">
        <v>0</v>
      </c>
      <c r="L412" t="s">
        <v>8</v>
      </c>
      <c r="M412" t="s">
        <v>7</v>
      </c>
      <c r="N412" t="s">
        <v>7</v>
      </c>
      <c r="P412">
        <f t="shared" si="974"/>
        <v>0.44793713163064669</v>
      </c>
      <c r="Q412">
        <f t="shared" si="975"/>
        <v>4442182.5453830874</v>
      </c>
      <c r="R412">
        <f t="shared" si="976"/>
        <v>-113179170.9789281</v>
      </c>
      <c r="S412">
        <f t="shared" si="977"/>
        <v>-1131.791709789281</v>
      </c>
      <c r="T412">
        <f t="shared" si="978"/>
        <v>-1.1317917097892809</v>
      </c>
    </row>
    <row r="413" spans="1:20" x14ac:dyDescent="0.25">
      <c r="A413" s="5">
        <v>44180</v>
      </c>
      <c r="B413">
        <v>0.10491</v>
      </c>
      <c r="C413">
        <v>0.10716000000000001</v>
      </c>
      <c r="D413">
        <v>0.10212</v>
      </c>
      <c r="E413">
        <v>0.1037</v>
      </c>
      <c r="F413">
        <v>5548743</v>
      </c>
      <c r="G413">
        <v>0</v>
      </c>
      <c r="L413" t="s">
        <v>7</v>
      </c>
      <c r="M413" t="s">
        <v>7</v>
      </c>
      <c r="N413" t="s">
        <v>7</v>
      </c>
      <c r="P413">
        <f t="shared" si="974"/>
        <v>-0.37301587301587413</v>
      </c>
      <c r="Q413">
        <f t="shared" si="975"/>
        <v>-2069769.2142857204</v>
      </c>
      <c r="R413">
        <f t="shared" si="976"/>
        <v>-117621353.52431118</v>
      </c>
      <c r="S413">
        <f t="shared" si="977"/>
        <v>-1176.2135352431119</v>
      </c>
      <c r="T413">
        <f t="shared" si="978"/>
        <v>-1.1762135352431118</v>
      </c>
    </row>
    <row r="414" spans="1:20" x14ac:dyDescent="0.25">
      <c r="A414" s="5">
        <v>44179</v>
      </c>
      <c r="B414">
        <v>0.10569000000000001</v>
      </c>
      <c r="C414">
        <v>0.11111</v>
      </c>
      <c r="D414">
        <v>0.10259</v>
      </c>
      <c r="E414">
        <v>0.10494000000000001</v>
      </c>
      <c r="F414">
        <v>7180450.0999999996</v>
      </c>
      <c r="G414">
        <v>0</v>
      </c>
      <c r="L414" t="s">
        <v>8</v>
      </c>
      <c r="M414" t="s">
        <v>7</v>
      </c>
      <c r="N414" t="s">
        <v>7</v>
      </c>
      <c r="P414">
        <f t="shared" si="974"/>
        <v>-0.44835680751173596</v>
      </c>
      <c r="Q414">
        <f t="shared" si="975"/>
        <v>-3219403.6833333252</v>
      </c>
      <c r="R414">
        <f t="shared" si="976"/>
        <v>-115551584.31002547</v>
      </c>
      <c r="S414">
        <f t="shared" si="977"/>
        <v>-1155.5158431002546</v>
      </c>
      <c r="T414">
        <f t="shared" si="978"/>
        <v>-1.1555158431002546</v>
      </c>
    </row>
    <row r="415" spans="1:20" x14ac:dyDescent="0.25">
      <c r="A415" s="5">
        <v>44178</v>
      </c>
      <c r="B415">
        <v>0.10332</v>
      </c>
      <c r="C415">
        <v>0.10833</v>
      </c>
      <c r="D415">
        <v>0.10255</v>
      </c>
      <c r="E415">
        <v>0.10582999999999999</v>
      </c>
      <c r="F415">
        <v>5147927.9000000004</v>
      </c>
      <c r="G415">
        <v>0</v>
      </c>
      <c r="L415" t="s">
        <v>7</v>
      </c>
      <c r="M415" t="s">
        <v>7</v>
      </c>
      <c r="N415" t="s">
        <v>7</v>
      </c>
      <c r="P415">
        <f t="shared" si="974"/>
        <v>0.13494809688581141</v>
      </c>
      <c r="Q415">
        <f t="shared" si="975"/>
        <v>694703.07301037177</v>
      </c>
      <c r="R415">
        <f t="shared" si="976"/>
        <v>-112332180.62669215</v>
      </c>
      <c r="S415">
        <f t="shared" si="977"/>
        <v>-1123.3218062669214</v>
      </c>
      <c r="T415">
        <f t="shared" si="978"/>
        <v>-1.1233218062669215</v>
      </c>
    </row>
    <row r="416" spans="1:20" x14ac:dyDescent="0.25">
      <c r="A416" s="5">
        <v>44177</v>
      </c>
      <c r="B416">
        <v>9.8360000000000003E-2</v>
      </c>
      <c r="C416">
        <v>0.109</v>
      </c>
      <c r="D416">
        <v>9.7769999999999996E-2</v>
      </c>
      <c r="E416">
        <v>0.10337</v>
      </c>
      <c r="F416">
        <v>6117802.2000000002</v>
      </c>
      <c r="G416">
        <v>0</v>
      </c>
      <c r="L416" t="s">
        <v>8</v>
      </c>
      <c r="M416" t="s">
        <v>7</v>
      </c>
      <c r="N416" t="s">
        <v>7</v>
      </c>
      <c r="P416">
        <f t="shared" si="974"/>
        <v>-2.6714158503996759E-3</v>
      </c>
      <c r="Q416">
        <f t="shared" si="975"/>
        <v>-16343.193766690008</v>
      </c>
      <c r="R416">
        <f t="shared" si="976"/>
        <v>-113026883.69970252</v>
      </c>
      <c r="S416">
        <f t="shared" si="977"/>
        <v>-1130.2688369970251</v>
      </c>
      <c r="T416">
        <f t="shared" si="978"/>
        <v>-1.1302688369970251</v>
      </c>
    </row>
    <row r="417" spans="1:20" x14ac:dyDescent="0.25">
      <c r="A417" s="5">
        <v>44176</v>
      </c>
      <c r="B417">
        <v>0.10666</v>
      </c>
      <c r="C417">
        <v>0.10714</v>
      </c>
      <c r="D417">
        <v>9.5189999999999997E-2</v>
      </c>
      <c r="E417">
        <v>9.8369999999999999E-2</v>
      </c>
      <c r="F417">
        <v>7513245.7000000002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-0.46778242677824239</v>
      </c>
      <c r="Q417">
        <f t="shared" si="975"/>
        <v>-3514564.3065271946</v>
      </c>
      <c r="R417">
        <f t="shared" si="976"/>
        <v>-113010540.50593583</v>
      </c>
      <c r="S417">
        <f t="shared" si="977"/>
        <v>-1130.1054050593584</v>
      </c>
      <c r="T417">
        <f t="shared" si="978"/>
        <v>-1.1301054050593584</v>
      </c>
    </row>
    <row r="418" spans="1:20" x14ac:dyDescent="0.25">
      <c r="A418" s="5">
        <v>44175</v>
      </c>
      <c r="B418">
        <v>0.10688</v>
      </c>
      <c r="C418">
        <v>0.10962</v>
      </c>
      <c r="D418">
        <v>0.10256999999999999</v>
      </c>
      <c r="E418">
        <v>0.1066</v>
      </c>
      <c r="F418">
        <v>8416577.0999999996</v>
      </c>
      <c r="G418">
        <v>0</v>
      </c>
      <c r="L418" t="s">
        <v>8</v>
      </c>
      <c r="M418" t="s">
        <v>7</v>
      </c>
      <c r="N418" t="s">
        <v>7</v>
      </c>
      <c r="P418">
        <f t="shared" si="974"/>
        <v>0.14326241134751927</v>
      </c>
      <c r="Q418">
        <f t="shared" si="975"/>
        <v>1205779.1306383107</v>
      </c>
      <c r="R418">
        <f t="shared" si="976"/>
        <v>-109495976.19940864</v>
      </c>
      <c r="S418">
        <f t="shared" si="977"/>
        <v>-1094.9597619940864</v>
      </c>
      <c r="T418">
        <f t="shared" si="978"/>
        <v>-1.0949597619940865</v>
      </c>
    </row>
    <row r="419" spans="1:20" x14ac:dyDescent="0.25">
      <c r="A419" s="5">
        <v>44174</v>
      </c>
      <c r="B419">
        <v>0.1081</v>
      </c>
      <c r="C419">
        <v>0.11559999999999999</v>
      </c>
      <c r="D419">
        <v>0.10188</v>
      </c>
      <c r="E419">
        <v>0.10667</v>
      </c>
      <c r="F419">
        <v>9727958.5999999996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-0.30174927113702565</v>
      </c>
      <c r="Q419">
        <f t="shared" si="975"/>
        <v>-2935404.4172011605</v>
      </c>
      <c r="R419">
        <f t="shared" si="976"/>
        <v>-110701755.33004695</v>
      </c>
      <c r="S419">
        <f t="shared" si="977"/>
        <v>-1107.0175533004694</v>
      </c>
      <c r="T419">
        <f t="shared" si="978"/>
        <v>-1.1070175533004694</v>
      </c>
    </row>
    <row r="420" spans="1:20" x14ac:dyDescent="0.25">
      <c r="A420" s="5">
        <v>44173</v>
      </c>
      <c r="B420">
        <v>0.12478</v>
      </c>
      <c r="C420">
        <v>0.12769</v>
      </c>
      <c r="D420">
        <v>0.10642</v>
      </c>
      <c r="E420">
        <v>0.1081</v>
      </c>
      <c r="F420">
        <v>12196898.9</v>
      </c>
      <c r="G420">
        <v>0</v>
      </c>
      <c r="L420" t="s">
        <v>8</v>
      </c>
      <c r="M420" t="s">
        <v>8</v>
      </c>
      <c r="N420" t="s">
        <v>7</v>
      </c>
      <c r="P420">
        <f t="shared" si="974"/>
        <v>-0.84203102961918186</v>
      </c>
      <c r="Q420">
        <f t="shared" si="975"/>
        <v>-10270167.338928066</v>
      </c>
      <c r="R420">
        <f t="shared" si="976"/>
        <v>-107766350.91284579</v>
      </c>
      <c r="S420">
        <f t="shared" si="977"/>
        <v>-1077.6635091284579</v>
      </c>
      <c r="T420">
        <f t="shared" si="978"/>
        <v>-1.0776635091284579</v>
      </c>
    </row>
    <row r="421" spans="1:20" x14ac:dyDescent="0.25">
      <c r="A421" s="5">
        <v>44172</v>
      </c>
      <c r="B421">
        <v>0.11097</v>
      </c>
      <c r="C421">
        <v>0.125</v>
      </c>
      <c r="D421">
        <v>0.10921</v>
      </c>
      <c r="E421">
        <v>0.12479</v>
      </c>
      <c r="F421">
        <v>18226353.300000001</v>
      </c>
      <c r="G421">
        <v>0</v>
      </c>
      <c r="L421" t="s">
        <v>8</v>
      </c>
      <c r="M421" t="s">
        <v>8</v>
      </c>
      <c r="N421" t="s">
        <v>7</v>
      </c>
      <c r="P421">
        <f t="shared" si="974"/>
        <v>0.97340088663711188</v>
      </c>
      <c r="Q421">
        <f t="shared" si="975"/>
        <v>17741548.462381251</v>
      </c>
      <c r="R421">
        <f t="shared" si="976"/>
        <v>-97496183.573917717</v>
      </c>
      <c r="S421">
        <f t="shared" si="977"/>
        <v>-974.96183573917722</v>
      </c>
      <c r="T421">
        <f t="shared" si="978"/>
        <v>-0.97496183573917716</v>
      </c>
    </row>
    <row r="422" spans="1:20" x14ac:dyDescent="0.25">
      <c r="A422" s="5">
        <v>44171</v>
      </c>
      <c r="B422">
        <v>0.11272</v>
      </c>
      <c r="C422">
        <v>0.11559999999999999</v>
      </c>
      <c r="D422">
        <v>0.10904</v>
      </c>
      <c r="E422">
        <v>0.11107</v>
      </c>
      <c r="F422">
        <v>9208208.3000000007</v>
      </c>
      <c r="G422">
        <v>0</v>
      </c>
      <c r="L422" t="s">
        <v>8</v>
      </c>
      <c r="M422" t="s">
        <v>7</v>
      </c>
      <c r="N422" t="s">
        <v>7</v>
      </c>
      <c r="P422">
        <f t="shared" si="974"/>
        <v>-0.38109756097560821</v>
      </c>
      <c r="Q422">
        <f t="shared" si="975"/>
        <v>-3509225.7240853519</v>
      </c>
      <c r="R422">
        <f t="shared" si="976"/>
        <v>-115237732.03629896</v>
      </c>
      <c r="S422">
        <f t="shared" si="977"/>
        <v>-1152.3773203629896</v>
      </c>
      <c r="T422">
        <f t="shared" si="978"/>
        <v>-1.1523773203629897</v>
      </c>
    </row>
    <row r="423" spans="1:20" x14ac:dyDescent="0.25">
      <c r="A423" s="5">
        <v>44170</v>
      </c>
      <c r="B423">
        <v>0.10571</v>
      </c>
      <c r="C423">
        <v>0.11700000000000001</v>
      </c>
      <c r="D423">
        <v>0.10304000000000001</v>
      </c>
      <c r="E423">
        <v>0.11269</v>
      </c>
      <c r="F423">
        <v>20999559</v>
      </c>
      <c r="G423">
        <v>0</v>
      </c>
      <c r="L423" t="s">
        <v>7</v>
      </c>
      <c r="M423" t="s">
        <v>7</v>
      </c>
      <c r="N423" t="s">
        <v>7</v>
      </c>
      <c r="P423">
        <f t="shared" si="974"/>
        <v>0.38252148997134555</v>
      </c>
      <c r="Q423">
        <f t="shared" si="975"/>
        <v>8032782.5974211795</v>
      </c>
      <c r="R423">
        <f t="shared" si="976"/>
        <v>-111728506.31221361</v>
      </c>
      <c r="S423">
        <f t="shared" si="977"/>
        <v>-1117.2850631221361</v>
      </c>
      <c r="T423">
        <f t="shared" si="978"/>
        <v>-1.117285063122136</v>
      </c>
    </row>
    <row r="424" spans="1:20" x14ac:dyDescent="0.25">
      <c r="A424" s="5">
        <v>44169</v>
      </c>
      <c r="B424">
        <v>0.12477000000000001</v>
      </c>
      <c r="C424">
        <v>0.12634999999999999</v>
      </c>
      <c r="D424">
        <v>0.10539</v>
      </c>
      <c r="E424">
        <v>0.10564</v>
      </c>
      <c r="F424">
        <v>30634832.5</v>
      </c>
      <c r="G424">
        <v>0</v>
      </c>
      <c r="L424" t="s">
        <v>7</v>
      </c>
      <c r="M424" t="s">
        <v>7</v>
      </c>
      <c r="N424" t="s">
        <v>7</v>
      </c>
      <c r="P424">
        <f t="shared" si="974"/>
        <v>-0.97614503816793885</v>
      </c>
      <c r="Q424">
        <f t="shared" si="975"/>
        <v>-29904039.739980914</v>
      </c>
      <c r="R424">
        <f t="shared" si="976"/>
        <v>-119761288.9096348</v>
      </c>
      <c r="S424">
        <f t="shared" si="977"/>
        <v>-1197.612889096348</v>
      </c>
      <c r="T424">
        <f t="shared" si="978"/>
        <v>-1.197612889096348</v>
      </c>
    </row>
    <row r="425" spans="1:20" x14ac:dyDescent="0.25">
      <c r="A425" s="5">
        <v>44168</v>
      </c>
      <c r="B425">
        <v>0.13872999999999999</v>
      </c>
      <c r="C425">
        <v>0.13972000000000001</v>
      </c>
      <c r="D425">
        <v>0.12411999999999999</v>
      </c>
      <c r="E425">
        <v>0.12466000000000001</v>
      </c>
      <c r="F425">
        <v>37162725.5</v>
      </c>
      <c r="G425">
        <v>0</v>
      </c>
      <c r="L425" t="s">
        <v>7</v>
      </c>
      <c r="M425" t="s">
        <v>7</v>
      </c>
      <c r="N425" t="s">
        <v>8</v>
      </c>
      <c r="P425">
        <f t="shared" si="974"/>
        <v>-0.93076923076922924</v>
      </c>
      <c r="Q425">
        <f t="shared" si="975"/>
        <v>-34589921.426923022</v>
      </c>
      <c r="R425">
        <f t="shared" si="976"/>
        <v>-89857249.169653878</v>
      </c>
      <c r="S425">
        <f t="shared" si="977"/>
        <v>-898.5724916965388</v>
      </c>
      <c r="T425">
        <f t="shared" si="978"/>
        <v>-0.89857249169653886</v>
      </c>
    </row>
    <row r="426" spans="1:20" x14ac:dyDescent="0.25">
      <c r="A426" s="5">
        <v>44167</v>
      </c>
      <c r="B426">
        <v>0.1477</v>
      </c>
      <c r="C426">
        <v>0.17709</v>
      </c>
      <c r="D426">
        <v>0.13655</v>
      </c>
      <c r="E426">
        <v>0.13872999999999999</v>
      </c>
      <c r="F426">
        <v>24257993.199999999</v>
      </c>
      <c r="G426">
        <v>0</v>
      </c>
      <c r="L426" t="s">
        <v>8</v>
      </c>
      <c r="M426" t="s">
        <v>8</v>
      </c>
      <c r="N426" t="s">
        <v>8</v>
      </c>
      <c r="P426">
        <f t="shared" si="974"/>
        <v>-0.89245189935865876</v>
      </c>
      <c r="Q426">
        <f t="shared" si="975"/>
        <v>-21649092.105969429</v>
      </c>
      <c r="R426">
        <f t="shared" si="976"/>
        <v>-55267327.742730856</v>
      </c>
      <c r="S426">
        <f t="shared" si="977"/>
        <v>-552.67327742730856</v>
      </c>
      <c r="T426">
        <f t="shared" si="978"/>
        <v>-0.55267327742730854</v>
      </c>
    </row>
    <row r="427" spans="1:20" x14ac:dyDescent="0.25">
      <c r="A427" s="5">
        <v>44166</v>
      </c>
      <c r="B427">
        <v>0.13872999999999999</v>
      </c>
      <c r="C427">
        <v>0.15236</v>
      </c>
      <c r="D427">
        <v>0.13144</v>
      </c>
      <c r="E427">
        <v>0.1477</v>
      </c>
      <c r="F427">
        <v>10530397.800000001</v>
      </c>
      <c r="G427">
        <v>0</v>
      </c>
      <c r="L427" t="s">
        <v>7</v>
      </c>
      <c r="M427" t="s">
        <v>7</v>
      </c>
      <c r="N427" t="s">
        <v>8</v>
      </c>
      <c r="P427">
        <f t="shared" si="974"/>
        <v>0.55449330783938822</v>
      </c>
      <c r="Q427">
        <f t="shared" si="975"/>
        <v>5839035.1089866171</v>
      </c>
      <c r="R427">
        <f t="shared" si="976"/>
        <v>-33618235.636761427</v>
      </c>
      <c r="S427">
        <f t="shared" si="977"/>
        <v>-336.18235636761426</v>
      </c>
      <c r="T427">
        <f t="shared" si="978"/>
        <v>-0.33618235636761429</v>
      </c>
    </row>
    <row r="428" spans="1:20" x14ac:dyDescent="0.25">
      <c r="A428" s="5">
        <v>44165</v>
      </c>
      <c r="B428">
        <v>0.15401000000000001</v>
      </c>
      <c r="C428">
        <v>0.16</v>
      </c>
      <c r="D428">
        <v>0.13603000000000001</v>
      </c>
      <c r="E428">
        <v>0.13872999999999999</v>
      </c>
      <c r="F428">
        <v>10059861.5</v>
      </c>
      <c r="G428">
        <v>0</v>
      </c>
      <c r="L428" t="s">
        <v>7</v>
      </c>
      <c r="M428" t="s">
        <v>7</v>
      </c>
      <c r="N428" t="s">
        <v>8</v>
      </c>
      <c r="P428">
        <f t="shared" si="974"/>
        <v>-0.77471839799749842</v>
      </c>
      <c r="Q428">
        <f t="shared" si="975"/>
        <v>-7793559.7853567116</v>
      </c>
      <c r="R428">
        <f t="shared" si="976"/>
        <v>-39457270.745748043</v>
      </c>
      <c r="S428">
        <f t="shared" si="977"/>
        <v>-394.57270745748042</v>
      </c>
      <c r="T428">
        <f t="shared" si="978"/>
        <v>-0.39457270745748041</v>
      </c>
    </row>
    <row r="429" spans="1:20" x14ac:dyDescent="0.25">
      <c r="A429" s="5">
        <v>44164</v>
      </c>
      <c r="B429">
        <v>0.14527000000000001</v>
      </c>
      <c r="C429">
        <v>0.16886999999999999</v>
      </c>
      <c r="D429">
        <v>0.14099999999999999</v>
      </c>
      <c r="E429">
        <v>0.15407999999999999</v>
      </c>
      <c r="F429">
        <v>16142921.9</v>
      </c>
      <c r="G429">
        <v>0</v>
      </c>
      <c r="L429" t="s">
        <v>8</v>
      </c>
      <c r="M429" t="s">
        <v>8</v>
      </c>
      <c r="N429" t="s">
        <v>8</v>
      </c>
      <c r="P429">
        <f t="shared" si="974"/>
        <v>-6.135629709364869E-2</v>
      </c>
      <c r="Q429">
        <f t="shared" si="975"/>
        <v>-990469.91205596784</v>
      </c>
      <c r="R429">
        <f t="shared" si="976"/>
        <v>-31663710.960391331</v>
      </c>
      <c r="S429">
        <f t="shared" si="977"/>
        <v>-316.6371096039133</v>
      </c>
      <c r="T429">
        <f t="shared" si="978"/>
        <v>-0.31663710960391328</v>
      </c>
    </row>
    <row r="430" spans="1:20" x14ac:dyDescent="0.25">
      <c r="A430" s="5">
        <v>44163</v>
      </c>
      <c r="B430">
        <v>0.12447</v>
      </c>
      <c r="C430">
        <v>0.14990000000000001</v>
      </c>
      <c r="D430">
        <v>0.12085</v>
      </c>
      <c r="E430">
        <v>0.14501</v>
      </c>
      <c r="F430">
        <v>13459907.4</v>
      </c>
      <c r="G430">
        <v>0</v>
      </c>
      <c r="L430" t="s">
        <v>8</v>
      </c>
      <c r="M430" t="s">
        <v>8</v>
      </c>
      <c r="N430" t="s">
        <v>8</v>
      </c>
      <c r="P430">
        <f t="shared" si="974"/>
        <v>0.66333907056798591</v>
      </c>
      <c r="Q430">
        <f t="shared" si="975"/>
        <v>8928482.4646471553</v>
      </c>
      <c r="R430">
        <f t="shared" si="976"/>
        <v>-30673241.048335362</v>
      </c>
      <c r="S430">
        <f t="shared" si="977"/>
        <v>-306.73241048335365</v>
      </c>
      <c r="T430">
        <f t="shared" si="978"/>
        <v>-0.30673241048335365</v>
      </c>
    </row>
    <row r="431" spans="1:20" x14ac:dyDescent="0.25">
      <c r="A431" s="5">
        <v>44162</v>
      </c>
      <c r="B431">
        <v>0.12620000000000001</v>
      </c>
      <c r="C431">
        <v>0.12964999999999999</v>
      </c>
      <c r="D431">
        <v>0.1125</v>
      </c>
      <c r="E431">
        <v>0.12447999999999999</v>
      </c>
      <c r="F431">
        <v>9587829.6999999993</v>
      </c>
      <c r="G431">
        <v>0</v>
      </c>
      <c r="L431" t="s">
        <v>7</v>
      </c>
      <c r="M431" t="s">
        <v>7</v>
      </c>
      <c r="N431" t="s">
        <v>8</v>
      </c>
      <c r="P431">
        <f t="shared" si="974"/>
        <v>0.39708454810495641</v>
      </c>
      <c r="Q431">
        <f t="shared" si="975"/>
        <v>3807179.0237317793</v>
      </c>
      <c r="R431">
        <f t="shared" si="976"/>
        <v>-39601723.512982517</v>
      </c>
      <c r="S431">
        <f t="shared" si="977"/>
        <v>-396.01723512982517</v>
      </c>
      <c r="T431">
        <f t="shared" si="978"/>
        <v>-0.39601723512982517</v>
      </c>
    </row>
    <row r="432" spans="1:20" x14ac:dyDescent="0.25">
      <c r="A432" s="5">
        <v>44161</v>
      </c>
      <c r="B432">
        <v>0.12078999999999999</v>
      </c>
      <c r="C432">
        <v>0.13799</v>
      </c>
      <c r="D432">
        <v>0.10431</v>
      </c>
      <c r="E432">
        <v>0.12608</v>
      </c>
      <c r="F432">
        <v>29111387.600000001</v>
      </c>
      <c r="G432">
        <v>0</v>
      </c>
      <c r="L432" t="s">
        <v>8</v>
      </c>
      <c r="M432" t="s">
        <v>8</v>
      </c>
      <c r="N432" t="s">
        <v>8</v>
      </c>
      <c r="P432">
        <f t="shared" si="974"/>
        <v>0.29275534441805207</v>
      </c>
      <c r="Q432">
        <f t="shared" si="975"/>
        <v>8522514.3033254109</v>
      </c>
      <c r="R432">
        <f t="shared" si="976"/>
        <v>-43408902.536714301</v>
      </c>
      <c r="S432">
        <f t="shared" si="977"/>
        <v>-434.08902536714299</v>
      </c>
      <c r="T432">
        <f t="shared" si="978"/>
        <v>-0.434089025367143</v>
      </c>
    </row>
    <row r="433" spans="1:20" x14ac:dyDescent="0.25">
      <c r="A433" s="5">
        <v>44160</v>
      </c>
      <c r="B433">
        <v>0.11898</v>
      </c>
      <c r="C433">
        <v>0.122</v>
      </c>
      <c r="D433">
        <v>0.10394</v>
      </c>
      <c r="E433">
        <v>0.12139</v>
      </c>
      <c r="F433">
        <v>10037610.300000001</v>
      </c>
      <c r="G433">
        <v>0</v>
      </c>
      <c r="L433" t="s">
        <v>7</v>
      </c>
      <c r="M433" t="s">
        <v>8</v>
      </c>
      <c r="N433" t="s">
        <v>8</v>
      </c>
      <c r="P433">
        <f t="shared" si="974"/>
        <v>0.93244739756367667</v>
      </c>
      <c r="Q433">
        <f t="shared" si="975"/>
        <v>9359543.6019933559</v>
      </c>
      <c r="R433">
        <f t="shared" si="976"/>
        <v>-51931416.840039715</v>
      </c>
      <c r="S433">
        <f t="shared" si="977"/>
        <v>-519.31416840039719</v>
      </c>
      <c r="T433">
        <f t="shared" si="978"/>
        <v>-0.51931416840039724</v>
      </c>
    </row>
    <row r="434" spans="1:20" x14ac:dyDescent="0.25">
      <c r="A434" s="5">
        <v>44159</v>
      </c>
      <c r="B434">
        <v>0.11427</v>
      </c>
      <c r="C434">
        <v>0.12179</v>
      </c>
      <c r="D434">
        <v>0.10707</v>
      </c>
      <c r="E434">
        <v>0.11852</v>
      </c>
      <c r="F434">
        <v>9461713.0999999996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0.55570652173913104</v>
      </c>
      <c r="Q434">
        <f t="shared" si="975"/>
        <v>5257935.6764945704</v>
      </c>
      <c r="R434">
        <f t="shared" si="976"/>
        <v>-61290960.442033067</v>
      </c>
      <c r="S434">
        <f t="shared" si="977"/>
        <v>-612.90960442033065</v>
      </c>
      <c r="T434">
        <f t="shared" si="978"/>
        <v>-0.6129096044203306</v>
      </c>
    </row>
    <row r="435" spans="1:20" x14ac:dyDescent="0.25">
      <c r="A435" s="5">
        <v>44158</v>
      </c>
      <c r="B435">
        <v>0.10897</v>
      </c>
      <c r="C435">
        <v>0.11576</v>
      </c>
      <c r="D435">
        <v>0.10605000000000001</v>
      </c>
      <c r="E435">
        <v>0.1142</v>
      </c>
      <c r="F435">
        <v>7496229.0999999996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0.67868177136972063</v>
      </c>
      <c r="Q435">
        <f t="shared" si="975"/>
        <v>5087554.0441812463</v>
      </c>
      <c r="R435">
        <f t="shared" si="976"/>
        <v>-66548896.118527636</v>
      </c>
      <c r="S435">
        <f t="shared" si="977"/>
        <v>-665.48896118527637</v>
      </c>
      <c r="T435">
        <f t="shared" si="978"/>
        <v>-0.66548896118527634</v>
      </c>
    </row>
    <row r="436" spans="1:20" x14ac:dyDescent="0.25">
      <c r="A436" s="5">
        <v>44157</v>
      </c>
      <c r="B436">
        <v>0.10301</v>
      </c>
      <c r="C436">
        <v>0.1099</v>
      </c>
      <c r="D436">
        <v>9.01E-2</v>
      </c>
      <c r="E436">
        <v>0.10926</v>
      </c>
      <c r="F436">
        <v>8140535.5999999996</v>
      </c>
      <c r="G436">
        <v>0</v>
      </c>
      <c r="L436" t="s">
        <v>7</v>
      </c>
      <c r="M436" t="s">
        <v>7</v>
      </c>
      <c r="N436" t="s">
        <v>8</v>
      </c>
      <c r="P436">
        <f t="shared" si="974"/>
        <v>0.93535353535353516</v>
      </c>
      <c r="Q436">
        <f t="shared" si="975"/>
        <v>7614278.7531313114</v>
      </c>
      <c r="R436">
        <f t="shared" si="976"/>
        <v>-71636450.162708879</v>
      </c>
      <c r="S436">
        <f t="shared" si="977"/>
        <v>-716.36450162708877</v>
      </c>
      <c r="T436">
        <f t="shared" si="978"/>
        <v>-0.71636450162708876</v>
      </c>
    </row>
    <row r="437" spans="1:20" x14ac:dyDescent="0.25">
      <c r="A437" s="5">
        <v>44156</v>
      </c>
      <c r="B437">
        <v>0.10061</v>
      </c>
      <c r="C437">
        <v>0.10975</v>
      </c>
      <c r="D437">
        <v>9.826E-2</v>
      </c>
      <c r="E437">
        <v>0.10271</v>
      </c>
      <c r="F437">
        <v>5957662.7000000002</v>
      </c>
      <c r="G437">
        <v>0</v>
      </c>
      <c r="L437" t="s">
        <v>8</v>
      </c>
      <c r="M437" t="s">
        <v>8</v>
      </c>
      <c r="N437" t="s">
        <v>8</v>
      </c>
      <c r="P437">
        <f t="shared" si="974"/>
        <v>-0.22541340295909565</v>
      </c>
      <c r="Q437">
        <f t="shared" si="975"/>
        <v>-1342937.0228894737</v>
      </c>
      <c r="R437">
        <f t="shared" si="976"/>
        <v>-79250728.915840194</v>
      </c>
      <c r="S437">
        <f t="shared" si="977"/>
        <v>-792.50728915840193</v>
      </c>
      <c r="T437">
        <f t="shared" si="978"/>
        <v>-0.79250728915840196</v>
      </c>
    </row>
    <row r="438" spans="1:20" x14ac:dyDescent="0.25">
      <c r="A438" s="5">
        <v>44155</v>
      </c>
      <c r="B438">
        <v>9.282E-2</v>
      </c>
      <c r="C438">
        <v>0.10198</v>
      </c>
      <c r="D438">
        <v>9.264E-2</v>
      </c>
      <c r="E438">
        <v>0.10072</v>
      </c>
      <c r="F438">
        <v>7381087.2999999998</v>
      </c>
      <c r="G438">
        <v>0</v>
      </c>
      <c r="L438" t="s">
        <v>8</v>
      </c>
      <c r="M438" t="s">
        <v>8</v>
      </c>
      <c r="N438" t="s">
        <v>8</v>
      </c>
      <c r="P438">
        <f t="shared" si="974"/>
        <v>0.730192719486082</v>
      </c>
      <c r="Q438">
        <f t="shared" si="975"/>
        <v>5389616.2083511818</v>
      </c>
      <c r="R438">
        <f t="shared" si="976"/>
        <v>-77907791.892950714</v>
      </c>
      <c r="S438">
        <f t="shared" si="977"/>
        <v>-779.07791892950718</v>
      </c>
      <c r="T438">
        <f t="shared" si="978"/>
        <v>-0.77907791892950717</v>
      </c>
    </row>
    <row r="439" spans="1:20" x14ac:dyDescent="0.25">
      <c r="A439" s="5">
        <v>44154</v>
      </c>
      <c r="B439">
        <v>8.9980000000000004E-2</v>
      </c>
      <c r="C439">
        <v>9.5570000000000002E-2</v>
      </c>
      <c r="D439">
        <v>8.7919999999999998E-2</v>
      </c>
      <c r="E439">
        <v>9.2740000000000003E-2</v>
      </c>
      <c r="F439">
        <v>8607742.6999999993</v>
      </c>
      <c r="G439">
        <v>0</v>
      </c>
      <c r="L439" t="s">
        <v>8</v>
      </c>
      <c r="M439" t="s">
        <v>8</v>
      </c>
      <c r="N439" t="s">
        <v>8</v>
      </c>
      <c r="P439">
        <f t="shared" si="974"/>
        <v>0.26013071895424894</v>
      </c>
      <c r="Q439">
        <f t="shared" si="975"/>
        <v>2239138.2971241879</v>
      </c>
      <c r="R439">
        <f t="shared" si="976"/>
        <v>-83297408.101301894</v>
      </c>
      <c r="S439">
        <f t="shared" si="977"/>
        <v>-832.97408101301892</v>
      </c>
      <c r="T439">
        <f t="shared" si="978"/>
        <v>-0.83297408101301895</v>
      </c>
    </row>
    <row r="440" spans="1:20" x14ac:dyDescent="0.25">
      <c r="A440" s="5">
        <v>44153</v>
      </c>
      <c r="B440">
        <v>8.702E-2</v>
      </c>
      <c r="C440">
        <v>9.4649999999999998E-2</v>
      </c>
      <c r="D440">
        <v>7.9409999999999994E-2</v>
      </c>
      <c r="E440">
        <v>8.9899999999999994E-2</v>
      </c>
      <c r="F440">
        <v>8399476.5</v>
      </c>
      <c r="G440">
        <v>0</v>
      </c>
      <c r="L440" t="s">
        <v>8</v>
      </c>
      <c r="M440" t="s">
        <v>8</v>
      </c>
      <c r="N440" t="s">
        <v>8</v>
      </c>
      <c r="P440">
        <f t="shared" si="974"/>
        <v>0.37664041994750613</v>
      </c>
      <c r="Q440">
        <f t="shared" si="975"/>
        <v>3163582.3562992089</v>
      </c>
      <c r="R440">
        <f t="shared" si="976"/>
        <v>-85536546.398426086</v>
      </c>
      <c r="S440">
        <f t="shared" si="977"/>
        <v>-855.36546398426083</v>
      </c>
      <c r="T440">
        <f t="shared" si="978"/>
        <v>-0.85536546398426083</v>
      </c>
    </row>
    <row r="441" spans="1:20" x14ac:dyDescent="0.25">
      <c r="A441" s="5">
        <v>44152</v>
      </c>
      <c r="B441">
        <v>7.6840000000000006E-2</v>
      </c>
      <c r="C441">
        <v>8.8539999999999994E-2</v>
      </c>
      <c r="D441">
        <v>7.603E-2</v>
      </c>
      <c r="E441">
        <v>8.702E-2</v>
      </c>
      <c r="F441">
        <v>6067914.7999999998</v>
      </c>
      <c r="G441">
        <v>0</v>
      </c>
      <c r="L441" t="s">
        <v>8</v>
      </c>
      <c r="M441" t="s">
        <v>8</v>
      </c>
      <c r="N441" t="s">
        <v>8</v>
      </c>
      <c r="P441">
        <f t="shared" si="974"/>
        <v>0.75699440447641975</v>
      </c>
      <c r="Q441">
        <f t="shared" si="975"/>
        <v>4593377.5504396539</v>
      </c>
      <c r="R441">
        <f t="shared" si="976"/>
        <v>-88700128.754725292</v>
      </c>
      <c r="S441">
        <f t="shared" si="977"/>
        <v>-887.0012875472529</v>
      </c>
      <c r="T441">
        <f t="shared" si="978"/>
        <v>-0.88700128754725294</v>
      </c>
    </row>
    <row r="442" spans="1:20" x14ac:dyDescent="0.25">
      <c r="A442" s="5">
        <v>44151</v>
      </c>
      <c r="B442">
        <v>7.4469999999999995E-2</v>
      </c>
      <c r="C442">
        <v>8.1949999999999995E-2</v>
      </c>
      <c r="D442">
        <v>7.3590000000000003E-2</v>
      </c>
      <c r="E442">
        <v>7.6910000000000006E-2</v>
      </c>
      <c r="F442">
        <v>5479475.5</v>
      </c>
      <c r="G442">
        <v>0</v>
      </c>
      <c r="L442" t="s">
        <v>8</v>
      </c>
      <c r="M442" t="s">
        <v>8</v>
      </c>
      <c r="N442" t="s">
        <v>8</v>
      </c>
      <c r="P442">
        <f t="shared" si="974"/>
        <v>-0.20574162679425681</v>
      </c>
      <c r="Q442">
        <f t="shared" si="975"/>
        <v>-1127356.2033492737</v>
      </c>
      <c r="R442">
        <f t="shared" si="976"/>
        <v>-93293506.305164948</v>
      </c>
      <c r="S442">
        <f t="shared" si="977"/>
        <v>-932.93506305164954</v>
      </c>
      <c r="T442">
        <f t="shared" si="978"/>
        <v>-0.93293506305164953</v>
      </c>
    </row>
    <row r="443" spans="1:20" x14ac:dyDescent="0.25">
      <c r="A443" s="5">
        <v>44150</v>
      </c>
      <c r="B443">
        <v>7.578E-2</v>
      </c>
      <c r="C443">
        <v>7.85E-2</v>
      </c>
      <c r="D443">
        <v>7.324E-2</v>
      </c>
      <c r="E443">
        <v>7.4490000000000001E-2</v>
      </c>
      <c r="F443">
        <v>2479576.4</v>
      </c>
      <c r="G443">
        <v>0</v>
      </c>
      <c r="L443" t="s">
        <v>8</v>
      </c>
      <c r="M443" t="s">
        <v>8</v>
      </c>
      <c r="N443" t="s">
        <v>8</v>
      </c>
      <c r="P443">
        <f t="shared" si="974"/>
        <v>-0.524714828897338</v>
      </c>
      <c r="Q443">
        <f t="shared" si="975"/>
        <v>-1301070.5064638774</v>
      </c>
      <c r="R443">
        <f t="shared" si="976"/>
        <v>-92166150.101815671</v>
      </c>
      <c r="S443">
        <f t="shared" si="977"/>
        <v>-921.66150101815674</v>
      </c>
      <c r="T443">
        <f t="shared" si="978"/>
        <v>-0.92166150101815669</v>
      </c>
    </row>
    <row r="444" spans="1:20" x14ac:dyDescent="0.25">
      <c r="A444" s="5">
        <v>44149</v>
      </c>
      <c r="B444">
        <v>7.6509999999999995E-2</v>
      </c>
      <c r="C444">
        <v>7.7799999999999994E-2</v>
      </c>
      <c r="D444">
        <v>7.2550000000000003E-2</v>
      </c>
      <c r="E444">
        <v>7.578E-2</v>
      </c>
      <c r="F444">
        <v>3290723.4</v>
      </c>
      <c r="G444">
        <v>0</v>
      </c>
      <c r="L444" t="s">
        <v>7</v>
      </c>
      <c r="M444" t="s">
        <v>8</v>
      </c>
      <c r="N444" t="s">
        <v>8</v>
      </c>
      <c r="P444">
        <f t="shared" si="974"/>
        <v>0.23047619047619139</v>
      </c>
      <c r="Q444">
        <f t="shared" si="975"/>
        <v>758433.39314286015</v>
      </c>
      <c r="R444">
        <f t="shared" si="976"/>
        <v>-90865079.5953518</v>
      </c>
      <c r="S444">
        <f t="shared" si="977"/>
        <v>-908.65079595351801</v>
      </c>
      <c r="T444">
        <f t="shared" si="978"/>
        <v>-0.90865079595351805</v>
      </c>
    </row>
    <row r="445" spans="1:20" x14ac:dyDescent="0.25">
      <c r="A445" s="5">
        <v>44148</v>
      </c>
      <c r="B445">
        <v>7.3800000000000004E-2</v>
      </c>
      <c r="C445">
        <v>7.8899999999999998E-2</v>
      </c>
      <c r="D445">
        <v>7.0999999999999994E-2</v>
      </c>
      <c r="E445">
        <v>7.6259999999999994E-2</v>
      </c>
      <c r="F445">
        <v>3078212.4</v>
      </c>
      <c r="G445">
        <v>0</v>
      </c>
      <c r="L445" t="s">
        <v>8</v>
      </c>
      <c r="M445" t="s">
        <v>8</v>
      </c>
      <c r="N445" t="s">
        <v>8</v>
      </c>
      <c r="P445">
        <f t="shared" si="974"/>
        <v>0.33164556962025266</v>
      </c>
      <c r="Q445">
        <f t="shared" si="975"/>
        <v>1020875.504810125</v>
      </c>
      <c r="R445">
        <f t="shared" si="976"/>
        <v>-91623512.988494664</v>
      </c>
      <c r="S445">
        <f t="shared" si="977"/>
        <v>-916.23512988494667</v>
      </c>
      <c r="T445">
        <f t="shared" si="978"/>
        <v>-0.91623512988494671</v>
      </c>
    </row>
    <row r="446" spans="1:20" x14ac:dyDescent="0.25">
      <c r="A446" s="5">
        <v>44147</v>
      </c>
      <c r="B446">
        <v>7.8780000000000003E-2</v>
      </c>
      <c r="C446">
        <v>0.08</v>
      </c>
      <c r="D446">
        <v>7.0999999999999994E-2</v>
      </c>
      <c r="E446">
        <v>7.3819999999999997E-2</v>
      </c>
      <c r="F446">
        <v>5326358.2</v>
      </c>
      <c r="G446">
        <v>0</v>
      </c>
      <c r="L446" t="s">
        <v>7</v>
      </c>
      <c r="M446" t="s">
        <v>8</v>
      </c>
      <c r="N446" t="s">
        <v>8</v>
      </c>
      <c r="P446">
        <f t="shared" si="974"/>
        <v>-0.37333333333333318</v>
      </c>
      <c r="Q446">
        <f t="shared" si="975"/>
        <v>-1988507.0613333327</v>
      </c>
      <c r="R446">
        <f t="shared" si="976"/>
        <v>-92644388.493304789</v>
      </c>
      <c r="S446">
        <f t="shared" si="977"/>
        <v>-926.44388493304791</v>
      </c>
      <c r="T446">
        <f t="shared" si="978"/>
        <v>-0.92644388493304786</v>
      </c>
    </row>
    <row r="447" spans="1:20" x14ac:dyDescent="0.25">
      <c r="A447" s="5">
        <v>44146</v>
      </c>
      <c r="B447">
        <v>7.5569999999999998E-2</v>
      </c>
      <c r="C447">
        <v>8.1369999999999998E-2</v>
      </c>
      <c r="D447">
        <v>7.5569999999999998E-2</v>
      </c>
      <c r="E447">
        <v>7.8609999999999999E-2</v>
      </c>
      <c r="F447">
        <v>4602739.5999999996</v>
      </c>
      <c r="G447">
        <v>0</v>
      </c>
      <c r="L447" t="s">
        <v>8</v>
      </c>
      <c r="M447" t="s">
        <v>8</v>
      </c>
      <c r="N447" t="s">
        <v>8</v>
      </c>
      <c r="P447">
        <f t="shared" si="974"/>
        <v>4.8275862068965947E-2</v>
      </c>
      <c r="Q447">
        <f t="shared" si="975"/>
        <v>222201.22206896747</v>
      </c>
      <c r="R447">
        <f t="shared" si="976"/>
        <v>-90655881.431971461</v>
      </c>
      <c r="S447">
        <f t="shared" si="977"/>
        <v>-906.55881431971466</v>
      </c>
      <c r="T447">
        <f t="shared" si="978"/>
        <v>-0.90655881431971463</v>
      </c>
    </row>
    <row r="448" spans="1:20" x14ac:dyDescent="0.25">
      <c r="A448" s="5">
        <v>44145</v>
      </c>
      <c r="B448">
        <v>7.3889999999999997E-2</v>
      </c>
      <c r="C448">
        <v>7.7369999999999994E-2</v>
      </c>
      <c r="D448">
        <v>7.2400000000000006E-2</v>
      </c>
      <c r="E448">
        <v>7.5609999999999997E-2</v>
      </c>
      <c r="F448">
        <v>5271569.2</v>
      </c>
      <c r="G448">
        <v>0</v>
      </c>
      <c r="L448" t="s">
        <v>8</v>
      </c>
      <c r="M448" t="s">
        <v>8</v>
      </c>
      <c r="N448" t="s">
        <v>8</v>
      </c>
      <c r="P448">
        <f t="shared" si="974"/>
        <v>0.2917505030181079</v>
      </c>
      <c r="Q448">
        <f t="shared" si="975"/>
        <v>1537982.9657947647</v>
      </c>
      <c r="R448">
        <f t="shared" si="976"/>
        <v>-90878082.654040426</v>
      </c>
      <c r="S448">
        <f t="shared" si="977"/>
        <v>-908.78082654040429</v>
      </c>
      <c r="T448">
        <f t="shared" si="978"/>
        <v>-0.90878082654040426</v>
      </c>
    </row>
    <row r="449" spans="1:20" x14ac:dyDescent="0.25">
      <c r="A449" s="5">
        <v>44144</v>
      </c>
      <c r="B449">
        <v>7.2919999999999999E-2</v>
      </c>
      <c r="C449">
        <v>7.4620000000000006E-2</v>
      </c>
      <c r="D449">
        <v>6.8849999999999995E-2</v>
      </c>
      <c r="E449">
        <v>7.3840000000000003E-2</v>
      </c>
      <c r="F449">
        <v>3029003.4</v>
      </c>
      <c r="G449">
        <v>0</v>
      </c>
      <c r="L449" t="s">
        <v>8</v>
      </c>
      <c r="M449" t="s">
        <v>7</v>
      </c>
      <c r="N449" t="s">
        <v>8</v>
      </c>
      <c r="P449">
        <f t="shared" si="974"/>
        <v>0.72963604852686259</v>
      </c>
      <c r="Q449">
        <f t="shared" si="975"/>
        <v>2210070.0717504318</v>
      </c>
      <c r="R449">
        <f t="shared" si="976"/>
        <v>-92416065.619835198</v>
      </c>
      <c r="S449">
        <f t="shared" si="977"/>
        <v>-924.16065619835194</v>
      </c>
      <c r="T449">
        <f t="shared" si="978"/>
        <v>-0.92416065619835197</v>
      </c>
    </row>
    <row r="450" spans="1:20" x14ac:dyDescent="0.25">
      <c r="A450" s="5">
        <v>44143</v>
      </c>
      <c r="B450">
        <v>6.7040000000000002E-2</v>
      </c>
      <c r="C450">
        <v>7.3929999999999996E-2</v>
      </c>
      <c r="D450">
        <v>6.6659999999999997E-2</v>
      </c>
      <c r="E450">
        <v>7.2940000000000005E-2</v>
      </c>
      <c r="F450">
        <v>2758371.6</v>
      </c>
      <c r="G450">
        <v>0</v>
      </c>
      <c r="L450" t="s">
        <v>7</v>
      </c>
      <c r="M450" t="s">
        <v>7</v>
      </c>
      <c r="N450" t="s">
        <v>8</v>
      </c>
      <c r="P450">
        <f t="shared" si="974"/>
        <v>0.72764786795048386</v>
      </c>
      <c r="Q450">
        <f t="shared" si="975"/>
        <v>2007123.213755165</v>
      </c>
      <c r="R450">
        <f t="shared" si="976"/>
        <v>-94626135.69158563</v>
      </c>
      <c r="S450">
        <f t="shared" si="977"/>
        <v>-946.26135691585625</v>
      </c>
      <c r="T450">
        <f t="shared" si="978"/>
        <v>-0.94626135691585622</v>
      </c>
    </row>
    <row r="451" spans="1:20" x14ac:dyDescent="0.25">
      <c r="A451" s="5">
        <v>44142</v>
      </c>
      <c r="B451">
        <v>7.5109999999999996E-2</v>
      </c>
      <c r="C451">
        <v>7.6399999999999996E-2</v>
      </c>
      <c r="D451">
        <v>6.3500000000000001E-2</v>
      </c>
      <c r="E451">
        <v>6.7080000000000001E-2</v>
      </c>
      <c r="F451">
        <v>8290353.2999999998</v>
      </c>
      <c r="G451">
        <v>0</v>
      </c>
      <c r="L451" t="s">
        <v>8</v>
      </c>
      <c r="M451" t="s">
        <v>7</v>
      </c>
      <c r="N451" t="s">
        <v>8</v>
      </c>
      <c r="P451">
        <f t="shared" si="974"/>
        <v>-0.44496124031007733</v>
      </c>
      <c r="Q451">
        <f t="shared" si="975"/>
        <v>-3688885.8869767427</v>
      </c>
      <c r="R451">
        <f t="shared" si="976"/>
        <v>-96633258.905340791</v>
      </c>
      <c r="S451">
        <f t="shared" si="977"/>
        <v>-966.3325890534079</v>
      </c>
      <c r="T451">
        <f t="shared" si="978"/>
        <v>-0.96633258905340791</v>
      </c>
    </row>
    <row r="452" spans="1:20" x14ac:dyDescent="0.25">
      <c r="A452" s="5">
        <v>44141</v>
      </c>
      <c r="B452">
        <v>6.4810000000000006E-2</v>
      </c>
      <c r="C452">
        <v>7.5999999999999998E-2</v>
      </c>
      <c r="D452">
        <v>6.4259999999999998E-2</v>
      </c>
      <c r="E452">
        <v>7.5109999999999996E-2</v>
      </c>
      <c r="F452">
        <v>5736731.7999999998</v>
      </c>
      <c r="G452">
        <v>0</v>
      </c>
      <c r="L452" t="s">
        <v>8</v>
      </c>
      <c r="M452" t="s">
        <v>8</v>
      </c>
      <c r="N452" t="s">
        <v>8</v>
      </c>
      <c r="P452">
        <f t="shared" si="974"/>
        <v>0.84838160136286167</v>
      </c>
      <c r="Q452">
        <f t="shared" si="975"/>
        <v>4866937.7110732514</v>
      </c>
      <c r="R452">
        <f t="shared" si="976"/>
        <v>-92944373.018364042</v>
      </c>
      <c r="S452">
        <f t="shared" si="977"/>
        <v>-929.44373018364047</v>
      </c>
      <c r="T452">
        <f t="shared" si="978"/>
        <v>-0.92944373018364046</v>
      </c>
    </row>
    <row r="453" spans="1:20" x14ac:dyDescent="0.25">
      <c r="A453" s="5">
        <v>44140</v>
      </c>
      <c r="B453">
        <v>5.8139999999999997E-2</v>
      </c>
      <c r="C453">
        <v>6.5530000000000005E-2</v>
      </c>
      <c r="D453">
        <v>5.747E-2</v>
      </c>
      <c r="E453">
        <v>6.4810000000000006E-2</v>
      </c>
      <c r="F453">
        <v>2514235.5</v>
      </c>
      <c r="G453">
        <v>0</v>
      </c>
      <c r="L453" t="s">
        <v>8</v>
      </c>
      <c r="M453" t="s">
        <v>8</v>
      </c>
      <c r="N453" t="s">
        <v>7</v>
      </c>
      <c r="P453">
        <f t="shared" si="974"/>
        <v>0.82133995037220897</v>
      </c>
      <c r="Q453">
        <f t="shared" si="975"/>
        <v>2065042.0607940459</v>
      </c>
      <c r="R453">
        <f t="shared" si="976"/>
        <v>-97811310.729437292</v>
      </c>
      <c r="S453">
        <f t="shared" si="977"/>
        <v>-978.11310729437287</v>
      </c>
      <c r="T453">
        <f t="shared" si="978"/>
        <v>-0.97811310729437284</v>
      </c>
    </row>
    <row r="454" spans="1:20" x14ac:dyDescent="0.25">
      <c r="A454" s="5">
        <v>44139</v>
      </c>
      <c r="B454">
        <v>5.7349999999999998E-2</v>
      </c>
      <c r="C454">
        <v>5.9799999999999999E-2</v>
      </c>
      <c r="D454">
        <v>5.339E-2</v>
      </c>
      <c r="E454">
        <v>5.7950000000000002E-2</v>
      </c>
      <c r="F454">
        <v>1538382.8</v>
      </c>
      <c r="G454">
        <v>0</v>
      </c>
      <c r="L454" t="s">
        <v>8</v>
      </c>
      <c r="M454" t="s">
        <v>7</v>
      </c>
      <c r="N454" t="s">
        <v>7</v>
      </c>
      <c r="P454">
        <f t="shared" ref="P454:P517" si="979">IF(C454=D454,0,((E454-D454)-(C454-E454))/(C454-D454))</f>
        <v>0.42277691107644377</v>
      </c>
      <c r="Q454">
        <f t="shared" ref="Q454:Q517" si="980">F454*P454</f>
        <v>650392.72823713056</v>
      </c>
      <c r="R454">
        <f t="shared" ref="R454:R517" si="981">R455+Q454</f>
        <v>-99876352.790231332</v>
      </c>
      <c r="S454">
        <f t="shared" ref="S454:S517" si="982">R454/100000</f>
        <v>-998.76352790231329</v>
      </c>
      <c r="T454">
        <f t="shared" ref="T454:T517" si="983">S454/1000</f>
        <v>-0.99876352790231326</v>
      </c>
    </row>
    <row r="455" spans="1:20" x14ac:dyDescent="0.25">
      <c r="A455" s="5">
        <v>44138</v>
      </c>
      <c r="B455">
        <v>6.0429999999999998E-2</v>
      </c>
      <c r="C455">
        <v>6.0519999999999997E-2</v>
      </c>
      <c r="D455">
        <v>5.1999999999999998E-2</v>
      </c>
      <c r="E455">
        <v>5.7290000000000001E-2</v>
      </c>
      <c r="F455">
        <v>1173770.6000000001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0.24178403755868619</v>
      </c>
      <c r="Q455">
        <f t="shared" si="980"/>
        <v>283798.99483568163</v>
      </c>
      <c r="R455">
        <f t="shared" si="981"/>
        <v>-100526745.51846847</v>
      </c>
      <c r="S455">
        <f t="shared" si="982"/>
        <v>-1005.2674551846846</v>
      </c>
      <c r="T455">
        <f t="shared" si="983"/>
        <v>-1.0052674551846847</v>
      </c>
    </row>
    <row r="456" spans="1:20" x14ac:dyDescent="0.25">
      <c r="A456" s="5">
        <v>44137</v>
      </c>
      <c r="B456">
        <v>6.0679999999999998E-2</v>
      </c>
      <c r="C456">
        <v>6.1600000000000002E-2</v>
      </c>
      <c r="D456">
        <v>5.6759999999999998E-2</v>
      </c>
      <c r="E456">
        <v>6.0380000000000003E-2</v>
      </c>
      <c r="F456">
        <v>1591637.5</v>
      </c>
      <c r="G456">
        <v>0</v>
      </c>
      <c r="L456" t="s">
        <v>7</v>
      </c>
      <c r="M456" t="s">
        <v>8</v>
      </c>
      <c r="N456" t="s">
        <v>7</v>
      </c>
      <c r="P456">
        <f t="shared" si="979"/>
        <v>0.49586776859504222</v>
      </c>
      <c r="Q456">
        <f t="shared" si="980"/>
        <v>789241.7355371915</v>
      </c>
      <c r="R456">
        <f t="shared" si="981"/>
        <v>-100810544.51330414</v>
      </c>
      <c r="S456">
        <f t="shared" si="982"/>
        <v>-1008.1054451330415</v>
      </c>
      <c r="T456">
        <f t="shared" si="983"/>
        <v>-1.0081054451330416</v>
      </c>
    </row>
    <row r="457" spans="1:20" x14ac:dyDescent="0.25">
      <c r="A457" s="5">
        <v>44136</v>
      </c>
      <c r="B457">
        <v>6.0580000000000002E-2</v>
      </c>
      <c r="C457">
        <v>6.2059999999999997E-2</v>
      </c>
      <c r="D457">
        <v>5.9900000000000002E-2</v>
      </c>
      <c r="E457">
        <v>6.0539999999999997E-2</v>
      </c>
      <c r="F457">
        <v>1719388.1</v>
      </c>
      <c r="G457">
        <v>0</v>
      </c>
      <c r="L457" t="s">
        <v>8</v>
      </c>
      <c r="M457" t="s">
        <v>8</v>
      </c>
      <c r="N457" t="s">
        <v>7</v>
      </c>
      <c r="P457">
        <f t="shared" si="979"/>
        <v>-0.40740740740741099</v>
      </c>
      <c r="Q457">
        <f t="shared" si="980"/>
        <v>-700491.4481481543</v>
      </c>
      <c r="R457">
        <f t="shared" si="981"/>
        <v>-101599786.24884133</v>
      </c>
      <c r="S457">
        <f t="shared" si="982"/>
        <v>-1015.9978624884133</v>
      </c>
      <c r="T457">
        <f t="shared" si="983"/>
        <v>-1.0159978624884132</v>
      </c>
    </row>
    <row r="458" spans="1:20" x14ac:dyDescent="0.25">
      <c r="A458" s="5">
        <v>44135</v>
      </c>
      <c r="B458">
        <v>5.7000000000000002E-2</v>
      </c>
      <c r="C458">
        <v>6.2469999999999998E-2</v>
      </c>
      <c r="D458">
        <v>5.6230000000000002E-2</v>
      </c>
      <c r="E458">
        <v>6.0609999999999997E-2</v>
      </c>
      <c r="F458">
        <v>2331489.2000000002</v>
      </c>
      <c r="G458">
        <v>0</v>
      </c>
      <c r="L458" t="s">
        <v>8</v>
      </c>
      <c r="M458" t="s">
        <v>8</v>
      </c>
      <c r="N458" t="s">
        <v>7</v>
      </c>
      <c r="P458">
        <f t="shared" si="979"/>
        <v>0.40384615384615324</v>
      </c>
      <c r="Q458">
        <f t="shared" si="980"/>
        <v>941562.94615384482</v>
      </c>
      <c r="R458">
        <f t="shared" si="981"/>
        <v>-100899294.80069317</v>
      </c>
      <c r="S458">
        <f t="shared" si="982"/>
        <v>-1008.9929480069317</v>
      </c>
      <c r="T458">
        <f t="shared" si="983"/>
        <v>-1.0089929480069317</v>
      </c>
    </row>
    <row r="459" spans="1:20" x14ac:dyDescent="0.25">
      <c r="A459" s="5">
        <v>44134</v>
      </c>
      <c r="B459">
        <v>5.466E-2</v>
      </c>
      <c r="C459">
        <v>5.9389999999999998E-2</v>
      </c>
      <c r="D459">
        <v>5.2170000000000001E-2</v>
      </c>
      <c r="E459">
        <v>5.7419999999999999E-2</v>
      </c>
      <c r="F459">
        <v>1284288.7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0.4542936288088642</v>
      </c>
      <c r="Q459">
        <f t="shared" si="980"/>
        <v>583444.17396121868</v>
      </c>
      <c r="R459">
        <f t="shared" si="981"/>
        <v>-101840857.74684702</v>
      </c>
      <c r="S459">
        <f t="shared" si="982"/>
        <v>-1018.4085774684702</v>
      </c>
      <c r="T459">
        <f t="shared" si="983"/>
        <v>-1.0184085774684701</v>
      </c>
    </row>
    <row r="460" spans="1:20" x14ac:dyDescent="0.25">
      <c r="A460" s="5">
        <v>44133</v>
      </c>
      <c r="B460">
        <v>5.7009999999999998E-2</v>
      </c>
      <c r="C460">
        <v>5.7880000000000001E-2</v>
      </c>
      <c r="D460">
        <v>5.3710000000000001E-2</v>
      </c>
      <c r="E460">
        <v>5.4670000000000003E-2</v>
      </c>
      <c r="F460">
        <v>1619601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-0.53956834532373976</v>
      </c>
      <c r="Q460">
        <f t="shared" si="980"/>
        <v>-873885.43165467423</v>
      </c>
      <c r="R460">
        <f t="shared" si="981"/>
        <v>-102424301.92080824</v>
      </c>
      <c r="S460">
        <f t="shared" si="982"/>
        <v>-1024.2430192080824</v>
      </c>
      <c r="T460">
        <f t="shared" si="983"/>
        <v>-1.0242430192080825</v>
      </c>
    </row>
    <row r="461" spans="1:20" x14ac:dyDescent="0.25">
      <c r="A461" s="5">
        <v>44132</v>
      </c>
      <c r="B461">
        <v>6.139E-2</v>
      </c>
      <c r="C461">
        <v>6.2480000000000001E-2</v>
      </c>
      <c r="D461">
        <v>5.5309999999999998E-2</v>
      </c>
      <c r="E461">
        <v>5.7009999999999998E-2</v>
      </c>
      <c r="F461">
        <v>3173170.4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-0.52580195258019535</v>
      </c>
      <c r="Q461">
        <f t="shared" si="980"/>
        <v>-1668459.1921896795</v>
      </c>
      <c r="R461">
        <f t="shared" si="981"/>
        <v>-101550416.48915356</v>
      </c>
      <c r="S461">
        <f t="shared" si="982"/>
        <v>-1015.5041648915357</v>
      </c>
      <c r="T461">
        <f t="shared" si="983"/>
        <v>-1.0155041648915357</v>
      </c>
    </row>
    <row r="462" spans="1:20" x14ac:dyDescent="0.25">
      <c r="A462" s="5">
        <v>44131</v>
      </c>
      <c r="B462">
        <v>6.1859999999999998E-2</v>
      </c>
      <c r="C462">
        <v>6.3079999999999997E-2</v>
      </c>
      <c r="D462">
        <v>5.9929999999999997E-2</v>
      </c>
      <c r="E462">
        <v>6.1449999999999998E-2</v>
      </c>
      <c r="F462">
        <v>3119535.9</v>
      </c>
      <c r="G462">
        <v>0</v>
      </c>
      <c r="L462" t="s">
        <v>7</v>
      </c>
      <c r="M462" t="s">
        <v>8</v>
      </c>
      <c r="N462" t="s">
        <v>7</v>
      </c>
      <c r="P462">
        <f t="shared" si="979"/>
        <v>-3.4920634920634602E-2</v>
      </c>
      <c r="Q462">
        <f t="shared" si="980"/>
        <v>-108936.17428571329</v>
      </c>
      <c r="R462">
        <f t="shared" si="981"/>
        <v>-99881957.296963885</v>
      </c>
      <c r="S462">
        <f t="shared" si="982"/>
        <v>-998.8195729696389</v>
      </c>
      <c r="T462">
        <f t="shared" si="983"/>
        <v>-0.99881957296963886</v>
      </c>
    </row>
    <row r="463" spans="1:20" x14ac:dyDescent="0.25">
      <c r="A463" s="5">
        <v>44130</v>
      </c>
      <c r="B463">
        <v>6.4089999999999994E-2</v>
      </c>
      <c r="C463">
        <v>6.5589999999999996E-2</v>
      </c>
      <c r="D463">
        <v>6.0720000000000003E-2</v>
      </c>
      <c r="E463">
        <v>6.191E-2</v>
      </c>
      <c r="F463">
        <v>2636558</v>
      </c>
      <c r="G463">
        <v>0</v>
      </c>
      <c r="L463" t="s">
        <v>7</v>
      </c>
      <c r="M463" t="s">
        <v>8</v>
      </c>
      <c r="N463" t="s">
        <v>7</v>
      </c>
      <c r="P463">
        <f t="shared" si="979"/>
        <v>-0.51129363449692056</v>
      </c>
      <c r="Q463">
        <f t="shared" si="980"/>
        <v>-1348055.3223819318</v>
      </c>
      <c r="R463">
        <f t="shared" si="981"/>
        <v>-99773021.122678176</v>
      </c>
      <c r="S463">
        <f t="shared" si="982"/>
        <v>-997.73021122678176</v>
      </c>
      <c r="T463">
        <f t="shared" si="983"/>
        <v>-0.99773021122678174</v>
      </c>
    </row>
    <row r="464" spans="1:20" x14ac:dyDescent="0.25">
      <c r="A464" s="5">
        <v>44129</v>
      </c>
      <c r="B464">
        <v>6.6229999999999997E-2</v>
      </c>
      <c r="C464">
        <v>6.7400000000000002E-2</v>
      </c>
      <c r="D464">
        <v>6.3839999999999994E-2</v>
      </c>
      <c r="E464">
        <v>6.4089999999999994E-2</v>
      </c>
      <c r="F464">
        <v>2393492.6</v>
      </c>
      <c r="G464">
        <v>0</v>
      </c>
      <c r="L464" t="s">
        <v>8</v>
      </c>
      <c r="M464" t="s">
        <v>8</v>
      </c>
      <c r="N464" t="s">
        <v>7</v>
      </c>
      <c r="P464">
        <f t="shared" si="979"/>
        <v>-0.85955056179775302</v>
      </c>
      <c r="Q464">
        <f t="shared" si="980"/>
        <v>-2057327.9089887647</v>
      </c>
      <c r="R464">
        <f t="shared" si="981"/>
        <v>-98424965.800296247</v>
      </c>
      <c r="S464">
        <f t="shared" si="982"/>
        <v>-984.24965800296252</v>
      </c>
      <c r="T464">
        <f t="shared" si="983"/>
        <v>-0.98424965800296249</v>
      </c>
    </row>
    <row r="465" spans="1:20" x14ac:dyDescent="0.25">
      <c r="A465" s="5">
        <v>44128</v>
      </c>
      <c r="B465">
        <v>6.4180000000000001E-2</v>
      </c>
      <c r="C465">
        <v>6.7000000000000004E-2</v>
      </c>
      <c r="D465">
        <v>6.3589999999999994E-2</v>
      </c>
      <c r="E465">
        <v>6.6229999999999997E-2</v>
      </c>
      <c r="F465">
        <v>2627670.2999999998</v>
      </c>
      <c r="G465">
        <v>0</v>
      </c>
      <c r="L465" t="s">
        <v>8</v>
      </c>
      <c r="M465" t="s">
        <v>8</v>
      </c>
      <c r="N465" t="s">
        <v>7</v>
      </c>
      <c r="P465">
        <f t="shared" si="979"/>
        <v>0.54838709677419095</v>
      </c>
      <c r="Q465">
        <f t="shared" si="980"/>
        <v>1440980.4870967672</v>
      </c>
      <c r="R465">
        <f t="shared" si="981"/>
        <v>-96367637.891307488</v>
      </c>
      <c r="S465">
        <f t="shared" si="982"/>
        <v>-963.67637891307493</v>
      </c>
      <c r="T465">
        <f t="shared" si="983"/>
        <v>-0.96367637891307489</v>
      </c>
    </row>
    <row r="466" spans="1:20" x14ac:dyDescent="0.25">
      <c r="A466" s="5">
        <v>44127</v>
      </c>
      <c r="B466">
        <v>6.5960000000000005E-2</v>
      </c>
      <c r="C466">
        <v>6.7360000000000003E-2</v>
      </c>
      <c r="D466">
        <v>6.2190000000000002E-2</v>
      </c>
      <c r="E466">
        <v>6.4170000000000005E-2</v>
      </c>
      <c r="F466">
        <v>3701113.5</v>
      </c>
      <c r="G466">
        <v>0</v>
      </c>
      <c r="L466" t="s">
        <v>7</v>
      </c>
      <c r="M466" t="s">
        <v>8</v>
      </c>
      <c r="N466" t="s">
        <v>7</v>
      </c>
      <c r="P466">
        <f t="shared" si="979"/>
        <v>-0.23404255319148851</v>
      </c>
      <c r="Q466">
        <f t="shared" si="980"/>
        <v>-866218.05319148616</v>
      </c>
      <c r="R466">
        <f t="shared" si="981"/>
        <v>-97808618.37840426</v>
      </c>
      <c r="S466">
        <f t="shared" si="982"/>
        <v>-978.08618378404265</v>
      </c>
      <c r="T466">
        <f t="shared" si="983"/>
        <v>-0.97808618378404266</v>
      </c>
    </row>
    <row r="467" spans="1:20" x14ac:dyDescent="0.25">
      <c r="A467" s="5">
        <v>44126</v>
      </c>
      <c r="B467">
        <v>6.3869999999999996E-2</v>
      </c>
      <c r="C467">
        <v>6.7500000000000004E-2</v>
      </c>
      <c r="D467">
        <v>6.2920000000000004E-2</v>
      </c>
      <c r="E467">
        <v>6.5970000000000001E-2</v>
      </c>
      <c r="F467">
        <v>3927476.9</v>
      </c>
      <c r="G467">
        <v>0</v>
      </c>
      <c r="L467" t="s">
        <v>7</v>
      </c>
      <c r="M467" t="s">
        <v>8</v>
      </c>
      <c r="N467" t="s">
        <v>7</v>
      </c>
      <c r="P467">
        <f t="shared" si="979"/>
        <v>0.33187772925764047</v>
      </c>
      <c r="Q467">
        <f t="shared" si="980"/>
        <v>1303442.1152838371</v>
      </c>
      <c r="R467">
        <f t="shared" si="981"/>
        <v>-96942400.325212777</v>
      </c>
      <c r="S467">
        <f t="shared" si="982"/>
        <v>-969.42400325212782</v>
      </c>
      <c r="T467">
        <f t="shared" si="983"/>
        <v>-0.96942400325212785</v>
      </c>
    </row>
    <row r="468" spans="1:20" x14ac:dyDescent="0.25">
      <c r="A468" s="5">
        <v>44125</v>
      </c>
      <c r="B468">
        <v>6.1359999999999998E-2</v>
      </c>
      <c r="C468">
        <v>6.7799999999999999E-2</v>
      </c>
      <c r="D468">
        <v>6.0789999999999997E-2</v>
      </c>
      <c r="E468">
        <v>6.386E-2</v>
      </c>
      <c r="F468">
        <v>4023606.3</v>
      </c>
      <c r="G468">
        <v>0</v>
      </c>
      <c r="L468" t="s">
        <v>8</v>
      </c>
      <c r="M468" t="s">
        <v>8</v>
      </c>
      <c r="N468" t="s">
        <v>7</v>
      </c>
      <c r="P468">
        <f t="shared" si="979"/>
        <v>-0.12410841654778823</v>
      </c>
      <c r="Q468">
        <f t="shared" si="980"/>
        <v>-499363.40670470498</v>
      </c>
      <c r="R468">
        <f t="shared" si="981"/>
        <v>-98245842.440496609</v>
      </c>
      <c r="S468">
        <f t="shared" si="982"/>
        <v>-982.45842440496608</v>
      </c>
      <c r="T468">
        <f t="shared" si="983"/>
        <v>-0.98245842440496611</v>
      </c>
    </row>
    <row r="469" spans="1:20" x14ac:dyDescent="0.25">
      <c r="A469" s="5">
        <v>44124</v>
      </c>
      <c r="B469">
        <v>6.5269999999999995E-2</v>
      </c>
      <c r="C469">
        <v>6.5280000000000005E-2</v>
      </c>
      <c r="D469">
        <v>6.0060000000000002E-2</v>
      </c>
      <c r="E469">
        <v>6.139E-2</v>
      </c>
      <c r="F469">
        <v>3533944.8</v>
      </c>
      <c r="G469">
        <v>0</v>
      </c>
      <c r="L469" t="s">
        <v>7</v>
      </c>
      <c r="M469" t="s">
        <v>8</v>
      </c>
      <c r="N469" t="s">
        <v>7</v>
      </c>
      <c r="P469">
        <f t="shared" si="979"/>
        <v>-0.4904214559386984</v>
      </c>
      <c r="Q469">
        <f t="shared" si="980"/>
        <v>-1733122.3540229923</v>
      </c>
      <c r="R469">
        <f t="shared" si="981"/>
        <v>-97746479.0337919</v>
      </c>
      <c r="S469">
        <f t="shared" si="982"/>
        <v>-977.464790337919</v>
      </c>
      <c r="T469">
        <f t="shared" si="983"/>
        <v>-0.977464790337919</v>
      </c>
    </row>
    <row r="470" spans="1:20" x14ac:dyDescent="0.25">
      <c r="A470" s="5">
        <v>44123</v>
      </c>
      <c r="B470">
        <v>6.5420000000000006E-2</v>
      </c>
      <c r="C470">
        <v>6.762E-2</v>
      </c>
      <c r="D470">
        <v>6.4579999999999999E-2</v>
      </c>
      <c r="E470">
        <v>6.5269999999999995E-2</v>
      </c>
      <c r="F470">
        <v>2925585.6</v>
      </c>
      <c r="G470">
        <v>0</v>
      </c>
      <c r="L470" t="s">
        <v>8</v>
      </c>
      <c r="M470" t="s">
        <v>8</v>
      </c>
      <c r="N470" t="s">
        <v>7</v>
      </c>
      <c r="P470">
        <f t="shared" si="979"/>
        <v>-0.54605263157895001</v>
      </c>
      <c r="Q470">
        <f t="shared" si="980"/>
        <v>-1597523.7157894815</v>
      </c>
      <c r="R470">
        <f t="shared" si="981"/>
        <v>-96013356.679768905</v>
      </c>
      <c r="S470">
        <f t="shared" si="982"/>
        <v>-960.13356679768901</v>
      </c>
      <c r="T470">
        <f t="shared" si="983"/>
        <v>-0.96013356679768902</v>
      </c>
    </row>
    <row r="471" spans="1:20" x14ac:dyDescent="0.25">
      <c r="A471" s="5">
        <v>44122</v>
      </c>
      <c r="B471">
        <v>6.2990000000000004E-2</v>
      </c>
      <c r="C471">
        <v>6.5680000000000002E-2</v>
      </c>
      <c r="D471">
        <v>6.25E-2</v>
      </c>
      <c r="E471">
        <v>6.5409999999999996E-2</v>
      </c>
      <c r="F471">
        <v>2609476.7000000002</v>
      </c>
      <c r="G471">
        <v>0</v>
      </c>
      <c r="L471" t="s">
        <v>7</v>
      </c>
      <c r="M471" t="s">
        <v>8</v>
      </c>
      <c r="N471" t="s">
        <v>7</v>
      </c>
      <c r="P471">
        <f t="shared" si="979"/>
        <v>0.83018867924527917</v>
      </c>
      <c r="Q471">
        <f t="shared" si="980"/>
        <v>2166358.0150943296</v>
      </c>
      <c r="R471">
        <f t="shared" si="981"/>
        <v>-94415832.963979423</v>
      </c>
      <c r="S471">
        <f t="shared" si="982"/>
        <v>-944.15832963979426</v>
      </c>
      <c r="T471">
        <f t="shared" si="983"/>
        <v>-0.94415832963979429</v>
      </c>
    </row>
    <row r="472" spans="1:20" x14ac:dyDescent="0.25">
      <c r="A472" s="5">
        <v>44121</v>
      </c>
      <c r="B472">
        <v>6.2469999999999998E-2</v>
      </c>
      <c r="C472">
        <v>6.3769999999999993E-2</v>
      </c>
      <c r="D472">
        <v>6.2010000000000003E-2</v>
      </c>
      <c r="E472">
        <v>6.2969999999999998E-2</v>
      </c>
      <c r="F472">
        <v>2242022.7000000002</v>
      </c>
      <c r="G472">
        <v>0</v>
      </c>
      <c r="L472" t="s">
        <v>7</v>
      </c>
      <c r="M472" t="s">
        <v>8</v>
      </c>
      <c r="N472" t="s">
        <v>7</v>
      </c>
      <c r="P472">
        <f t="shared" si="979"/>
        <v>9.0909090909091619E-2</v>
      </c>
      <c r="Q472">
        <f t="shared" si="980"/>
        <v>203820.24545454705</v>
      </c>
      <c r="R472">
        <f t="shared" si="981"/>
        <v>-96582190.979073748</v>
      </c>
      <c r="S472">
        <f t="shared" si="982"/>
        <v>-965.82190979073744</v>
      </c>
      <c r="T472">
        <f t="shared" si="983"/>
        <v>-0.96582190979073745</v>
      </c>
    </row>
    <row r="473" spans="1:20" x14ac:dyDescent="0.25">
      <c r="A473" s="5">
        <v>44120</v>
      </c>
      <c r="B473">
        <v>6.6659999999999997E-2</v>
      </c>
      <c r="C473">
        <v>6.676E-2</v>
      </c>
      <c r="D473">
        <v>6.1600000000000002E-2</v>
      </c>
      <c r="E473">
        <v>6.2429999999999999E-2</v>
      </c>
      <c r="F473">
        <v>2979717</v>
      </c>
      <c r="G473">
        <v>0</v>
      </c>
      <c r="L473" t="s">
        <v>7</v>
      </c>
      <c r="M473" t="s">
        <v>8</v>
      </c>
      <c r="N473" t="s">
        <v>7</v>
      </c>
      <c r="P473">
        <f t="shared" si="979"/>
        <v>-0.67829457364341172</v>
      </c>
      <c r="Q473">
        <f t="shared" si="980"/>
        <v>-2021125.8720930258</v>
      </c>
      <c r="R473">
        <f t="shared" si="981"/>
        <v>-96786011.224528298</v>
      </c>
      <c r="S473">
        <f t="shared" si="982"/>
        <v>-967.86011224528295</v>
      </c>
      <c r="T473">
        <f t="shared" si="983"/>
        <v>-0.9678601122452829</v>
      </c>
    </row>
    <row r="474" spans="1:20" x14ac:dyDescent="0.25">
      <c r="A474" s="5">
        <v>44119</v>
      </c>
      <c r="B474">
        <v>6.7239999999999994E-2</v>
      </c>
      <c r="C474">
        <v>6.8269999999999997E-2</v>
      </c>
      <c r="D474">
        <v>6.4659999999999995E-2</v>
      </c>
      <c r="E474">
        <v>6.6659999999999997E-2</v>
      </c>
      <c r="F474">
        <v>3542047</v>
      </c>
      <c r="G474">
        <v>0</v>
      </c>
      <c r="L474" t="s">
        <v>7</v>
      </c>
      <c r="M474" t="s">
        <v>8</v>
      </c>
      <c r="N474" t="s">
        <v>7</v>
      </c>
      <c r="P474">
        <f t="shared" si="979"/>
        <v>0.10803324099723026</v>
      </c>
      <c r="Q474">
        <f t="shared" si="980"/>
        <v>382658.81717451644</v>
      </c>
      <c r="R474">
        <f t="shared" si="981"/>
        <v>-94764885.352435276</v>
      </c>
      <c r="S474">
        <f t="shared" si="982"/>
        <v>-947.64885352435272</v>
      </c>
      <c r="T474">
        <f t="shared" si="983"/>
        <v>-0.94764885352435269</v>
      </c>
    </row>
    <row r="475" spans="1:20" x14ac:dyDescent="0.25">
      <c r="A475" s="5">
        <v>44118</v>
      </c>
      <c r="B475">
        <v>6.633E-2</v>
      </c>
      <c r="C475">
        <v>6.7320000000000005E-2</v>
      </c>
      <c r="D475">
        <v>6.4000000000000001E-2</v>
      </c>
      <c r="E475">
        <v>6.7210000000000006E-2</v>
      </c>
      <c r="F475">
        <v>2707653.3</v>
      </c>
      <c r="G475">
        <v>0</v>
      </c>
      <c r="L475" t="s">
        <v>7</v>
      </c>
      <c r="M475" t="s">
        <v>8</v>
      </c>
      <c r="N475" t="s">
        <v>7</v>
      </c>
      <c r="P475">
        <f t="shared" si="979"/>
        <v>0.93373493975903687</v>
      </c>
      <c r="Q475">
        <f t="shared" si="980"/>
        <v>2528230.4909638572</v>
      </c>
      <c r="R475">
        <f t="shared" si="981"/>
        <v>-95147544.169609785</v>
      </c>
      <c r="S475">
        <f t="shared" si="982"/>
        <v>-951.47544169609785</v>
      </c>
      <c r="T475">
        <f t="shared" si="983"/>
        <v>-0.95147544169609788</v>
      </c>
    </row>
    <row r="476" spans="1:20" x14ac:dyDescent="0.25">
      <c r="A476" s="5">
        <v>44117</v>
      </c>
      <c r="B476">
        <v>6.7720000000000002E-2</v>
      </c>
      <c r="C476">
        <v>6.8640000000000007E-2</v>
      </c>
      <c r="D476">
        <v>6.5060000000000007E-2</v>
      </c>
      <c r="E476">
        <v>6.6229999999999997E-2</v>
      </c>
      <c r="F476">
        <v>3395043.3</v>
      </c>
      <c r="G476">
        <v>0</v>
      </c>
      <c r="L476" t="s">
        <v>8</v>
      </c>
      <c r="M476" t="s">
        <v>8</v>
      </c>
      <c r="N476" t="s">
        <v>7</v>
      </c>
      <c r="P476">
        <f t="shared" si="979"/>
        <v>-0.34636871508380418</v>
      </c>
      <c r="Q476">
        <f t="shared" si="980"/>
        <v>-1175936.7854748783</v>
      </c>
      <c r="R476">
        <f t="shared" si="981"/>
        <v>-97675774.660573646</v>
      </c>
      <c r="S476">
        <f t="shared" si="982"/>
        <v>-976.75774660573643</v>
      </c>
      <c r="T476">
        <f t="shared" si="983"/>
        <v>-0.97675774660573644</v>
      </c>
    </row>
    <row r="477" spans="1:20" x14ac:dyDescent="0.25">
      <c r="A477" s="5">
        <v>44116</v>
      </c>
      <c r="B477">
        <v>6.7960000000000007E-2</v>
      </c>
      <c r="C477">
        <v>7.0139999999999994E-2</v>
      </c>
      <c r="D477">
        <v>6.6400000000000001E-2</v>
      </c>
      <c r="E477">
        <v>6.7710000000000006E-2</v>
      </c>
      <c r="F477">
        <v>3029078.6</v>
      </c>
      <c r="G477">
        <v>0</v>
      </c>
      <c r="L477" t="s">
        <v>8</v>
      </c>
      <c r="M477" t="s">
        <v>8</v>
      </c>
      <c r="N477" t="s">
        <v>7</v>
      </c>
      <c r="P477">
        <f t="shared" si="979"/>
        <v>-0.29946524064170699</v>
      </c>
      <c r="Q477">
        <f t="shared" si="980"/>
        <v>-907103.75187164498</v>
      </c>
      <c r="R477">
        <f t="shared" si="981"/>
        <v>-96499837.875098765</v>
      </c>
      <c r="S477">
        <f t="shared" si="982"/>
        <v>-964.99837875098763</v>
      </c>
      <c r="T477">
        <f t="shared" si="983"/>
        <v>-0.9649983787509876</v>
      </c>
    </row>
    <row r="478" spans="1:20" x14ac:dyDescent="0.25">
      <c r="A478" s="5">
        <v>44115</v>
      </c>
      <c r="B478">
        <v>6.7030000000000006E-2</v>
      </c>
      <c r="C478">
        <v>6.9000000000000006E-2</v>
      </c>
      <c r="D478">
        <v>6.6479999999999997E-2</v>
      </c>
      <c r="E478">
        <v>6.8110000000000004E-2</v>
      </c>
      <c r="F478">
        <v>2930131.7</v>
      </c>
      <c r="G478">
        <v>0</v>
      </c>
      <c r="L478" t="s">
        <v>8</v>
      </c>
      <c r="M478" t="s">
        <v>8</v>
      </c>
      <c r="N478" t="s">
        <v>7</v>
      </c>
      <c r="P478">
        <f t="shared" si="979"/>
        <v>0.29365079365079449</v>
      </c>
      <c r="Q478">
        <f t="shared" si="980"/>
        <v>860435.4992063517</v>
      </c>
      <c r="R478">
        <f t="shared" si="981"/>
        <v>-95592734.123227119</v>
      </c>
      <c r="S478">
        <f t="shared" si="982"/>
        <v>-955.92734123227115</v>
      </c>
      <c r="T478">
        <f t="shared" si="983"/>
        <v>-0.95592734123227119</v>
      </c>
    </row>
    <row r="479" spans="1:20" x14ac:dyDescent="0.25">
      <c r="A479" s="5">
        <v>44114</v>
      </c>
      <c r="B479">
        <v>6.5860000000000002E-2</v>
      </c>
      <c r="C479">
        <v>6.9389999999999993E-2</v>
      </c>
      <c r="D479">
        <v>6.4930000000000002E-2</v>
      </c>
      <c r="E479">
        <v>6.7030000000000006E-2</v>
      </c>
      <c r="F479">
        <v>4048408.7</v>
      </c>
      <c r="G479">
        <v>0</v>
      </c>
      <c r="L479" t="s">
        <v>8</v>
      </c>
      <c r="M479" t="s">
        <v>8</v>
      </c>
      <c r="N479" t="s">
        <v>7</v>
      </c>
      <c r="P479">
        <f t="shared" si="979"/>
        <v>-5.8295964125556717E-2</v>
      </c>
      <c r="Q479">
        <f t="shared" si="980"/>
        <v>-236005.88834079172</v>
      </c>
      <c r="R479">
        <f t="shared" si="981"/>
        <v>-96453169.622433469</v>
      </c>
      <c r="S479">
        <f t="shared" si="982"/>
        <v>-964.53169622433472</v>
      </c>
      <c r="T479">
        <f t="shared" si="983"/>
        <v>-0.96453169622433477</v>
      </c>
    </row>
    <row r="480" spans="1:20" x14ac:dyDescent="0.25">
      <c r="A480" s="5">
        <v>44113</v>
      </c>
      <c r="B480">
        <v>6.2729999999999994E-2</v>
      </c>
      <c r="C480">
        <v>6.6799999999999998E-2</v>
      </c>
      <c r="D480">
        <v>6.207E-2</v>
      </c>
      <c r="E480">
        <v>6.5850000000000006E-2</v>
      </c>
      <c r="F480">
        <v>6039199</v>
      </c>
      <c r="G480">
        <v>0</v>
      </c>
      <c r="L480" t="s">
        <v>8</v>
      </c>
      <c r="M480" t="s">
        <v>8</v>
      </c>
      <c r="N480" t="s">
        <v>7</v>
      </c>
      <c r="P480">
        <f t="shared" si="979"/>
        <v>0.59830866807611294</v>
      </c>
      <c r="Q480">
        <f t="shared" si="980"/>
        <v>3613305.1099365931</v>
      </c>
      <c r="R480">
        <f t="shared" si="981"/>
        <v>-96217163.734092683</v>
      </c>
      <c r="S480">
        <f t="shared" si="982"/>
        <v>-962.17163734092685</v>
      </c>
      <c r="T480">
        <f t="shared" si="983"/>
        <v>-0.96217163734092681</v>
      </c>
    </row>
    <row r="481" spans="1:20" x14ac:dyDescent="0.25">
      <c r="A481" s="5">
        <v>44112</v>
      </c>
      <c r="B481">
        <v>6.0580000000000002E-2</v>
      </c>
      <c r="C481">
        <v>6.2829999999999997E-2</v>
      </c>
      <c r="D481">
        <v>5.6520000000000001E-2</v>
      </c>
      <c r="E481">
        <v>6.2710000000000002E-2</v>
      </c>
      <c r="F481">
        <v>5594918.2999999998</v>
      </c>
      <c r="G481">
        <v>0</v>
      </c>
      <c r="L481" t="s">
        <v>8</v>
      </c>
      <c r="M481" t="s">
        <v>7</v>
      </c>
      <c r="N481" t="s">
        <v>7</v>
      </c>
      <c r="P481">
        <f t="shared" si="979"/>
        <v>0.96196513470681611</v>
      </c>
      <c r="Q481">
        <f t="shared" si="980"/>
        <v>5382116.3361331308</v>
      </c>
      <c r="R481">
        <f t="shared" si="981"/>
        <v>-99830468.844029278</v>
      </c>
      <c r="S481">
        <f t="shared" si="982"/>
        <v>-998.30468844029281</v>
      </c>
      <c r="T481">
        <f t="shared" si="983"/>
        <v>-0.99830468844029285</v>
      </c>
    </row>
    <row r="482" spans="1:20" x14ac:dyDescent="0.25">
      <c r="A482" s="5">
        <v>44111</v>
      </c>
      <c r="B482">
        <v>5.8650000000000001E-2</v>
      </c>
      <c r="C482">
        <v>6.087E-2</v>
      </c>
      <c r="D482">
        <v>5.5669999999999997E-2</v>
      </c>
      <c r="E482">
        <v>6.0580000000000002E-2</v>
      </c>
      <c r="F482">
        <v>5253727.0999999996</v>
      </c>
      <c r="G482">
        <v>0</v>
      </c>
      <c r="L482" t="s">
        <v>8</v>
      </c>
      <c r="M482" t="s">
        <v>7</v>
      </c>
      <c r="N482" t="s">
        <v>7</v>
      </c>
      <c r="P482">
        <f t="shared" si="979"/>
        <v>0.88846153846153908</v>
      </c>
      <c r="Q482">
        <f t="shared" si="980"/>
        <v>4667734.4619230796</v>
      </c>
      <c r="R482">
        <f t="shared" si="981"/>
        <v>-105212585.18016241</v>
      </c>
      <c r="S482">
        <f t="shared" si="982"/>
        <v>-1052.1258518016241</v>
      </c>
      <c r="T482">
        <f t="shared" si="983"/>
        <v>-1.0521258518016241</v>
      </c>
    </row>
    <row r="483" spans="1:20" x14ac:dyDescent="0.25">
      <c r="A483" s="5">
        <v>44110</v>
      </c>
      <c r="B483">
        <v>6.6540000000000002E-2</v>
      </c>
      <c r="C483">
        <v>6.6750000000000004E-2</v>
      </c>
      <c r="D483">
        <v>5.6300000000000003E-2</v>
      </c>
      <c r="E483">
        <v>5.8529999999999999E-2</v>
      </c>
      <c r="F483">
        <v>7847468.7000000002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-0.57320574162679505</v>
      </c>
      <c r="Q483">
        <f t="shared" si="980"/>
        <v>-4498214.1160765616</v>
      </c>
      <c r="R483">
        <f t="shared" si="981"/>
        <v>-109880319.64208549</v>
      </c>
      <c r="S483">
        <f t="shared" si="982"/>
        <v>-1098.8031964208549</v>
      </c>
      <c r="T483">
        <f t="shared" si="983"/>
        <v>-1.0988031964208549</v>
      </c>
    </row>
    <row r="484" spans="1:20" x14ac:dyDescent="0.25">
      <c r="A484" s="5">
        <v>44109</v>
      </c>
      <c r="B484">
        <v>6.9599999999999995E-2</v>
      </c>
      <c r="C484">
        <v>7.0790000000000006E-2</v>
      </c>
      <c r="D484">
        <v>6.6290000000000002E-2</v>
      </c>
      <c r="E484">
        <v>6.6549999999999998E-2</v>
      </c>
      <c r="F484">
        <v>4997123.2</v>
      </c>
      <c r="G484">
        <v>0</v>
      </c>
      <c r="L484" t="s">
        <v>7</v>
      </c>
      <c r="M484" t="s">
        <v>7</v>
      </c>
      <c r="N484" t="s">
        <v>8</v>
      </c>
      <c r="P484">
        <f t="shared" si="979"/>
        <v>-0.88444444444444614</v>
      </c>
      <c r="Q484">
        <f t="shared" si="980"/>
        <v>-4419677.8524444532</v>
      </c>
      <c r="R484">
        <f t="shared" si="981"/>
        <v>-105382105.52600893</v>
      </c>
      <c r="S484">
        <f t="shared" si="982"/>
        <v>-1053.8210552600892</v>
      </c>
      <c r="T484">
        <f t="shared" si="983"/>
        <v>-1.0538210552600893</v>
      </c>
    </row>
    <row r="485" spans="1:20" x14ac:dyDescent="0.25">
      <c r="A485" s="5">
        <v>44108</v>
      </c>
      <c r="B485">
        <v>6.9940000000000002E-2</v>
      </c>
      <c r="C485">
        <v>7.0580000000000004E-2</v>
      </c>
      <c r="D485">
        <v>6.8040000000000003E-2</v>
      </c>
      <c r="E485">
        <v>6.9599999999999995E-2</v>
      </c>
      <c r="F485">
        <v>3806876.3</v>
      </c>
      <c r="G485">
        <v>0</v>
      </c>
      <c r="L485" t="s">
        <v>8</v>
      </c>
      <c r="M485" t="s">
        <v>7</v>
      </c>
      <c r="N485" t="s">
        <v>8</v>
      </c>
      <c r="P485">
        <f t="shared" si="979"/>
        <v>0.22834645669290676</v>
      </c>
      <c r="Q485">
        <f t="shared" si="980"/>
        <v>869286.7141732031</v>
      </c>
      <c r="R485">
        <f t="shared" si="981"/>
        <v>-100962427.67356448</v>
      </c>
      <c r="S485">
        <f t="shared" si="982"/>
        <v>-1009.6242767356448</v>
      </c>
      <c r="T485">
        <f t="shared" si="983"/>
        <v>-1.0096242767356447</v>
      </c>
    </row>
    <row r="486" spans="1:20" x14ac:dyDescent="0.25">
      <c r="A486" s="5">
        <v>44107</v>
      </c>
      <c r="B486">
        <v>7.1360000000000007E-2</v>
      </c>
      <c r="C486">
        <v>7.1470000000000006E-2</v>
      </c>
      <c r="D486">
        <v>6.9440000000000002E-2</v>
      </c>
      <c r="E486">
        <v>6.9930000000000006E-2</v>
      </c>
      <c r="F486">
        <v>4035038.1</v>
      </c>
      <c r="G486">
        <v>0</v>
      </c>
      <c r="L486" t="s">
        <v>8</v>
      </c>
      <c r="M486" t="s">
        <v>7</v>
      </c>
      <c r="N486" t="s">
        <v>8</v>
      </c>
      <c r="P486">
        <f t="shared" si="979"/>
        <v>-0.51724137931034153</v>
      </c>
      <c r="Q486">
        <f t="shared" si="980"/>
        <v>-2087088.6724137799</v>
      </c>
      <c r="R486">
        <f t="shared" si="981"/>
        <v>-101831714.38773768</v>
      </c>
      <c r="S486">
        <f t="shared" si="982"/>
        <v>-1018.3171438773768</v>
      </c>
      <c r="T486">
        <f t="shared" si="983"/>
        <v>-1.0183171438773768</v>
      </c>
    </row>
    <row r="487" spans="1:20" x14ac:dyDescent="0.25">
      <c r="A487" s="5">
        <v>44106</v>
      </c>
      <c r="B487">
        <v>7.0849999999999996E-2</v>
      </c>
      <c r="C487">
        <v>7.3459999999999998E-2</v>
      </c>
      <c r="D487">
        <v>6.4530000000000004E-2</v>
      </c>
      <c r="E487">
        <v>7.1349999999999997E-2</v>
      </c>
      <c r="F487">
        <v>6165644.5999999996</v>
      </c>
      <c r="G487">
        <v>0</v>
      </c>
      <c r="L487" t="s">
        <v>7</v>
      </c>
      <c r="M487" t="s">
        <v>7</v>
      </c>
      <c r="N487" t="s">
        <v>8</v>
      </c>
      <c r="P487">
        <f t="shared" si="979"/>
        <v>0.52743561030235109</v>
      </c>
      <c r="Q487">
        <f t="shared" si="980"/>
        <v>3251980.5225083954</v>
      </c>
      <c r="R487">
        <f t="shared" si="981"/>
        <v>-99744625.715323895</v>
      </c>
      <c r="S487">
        <f t="shared" si="982"/>
        <v>-997.446257153239</v>
      </c>
      <c r="T487">
        <f t="shared" si="983"/>
        <v>-0.99744625715323898</v>
      </c>
    </row>
    <row r="488" spans="1:20" x14ac:dyDescent="0.25">
      <c r="A488" s="5">
        <v>44105</v>
      </c>
      <c r="B488">
        <v>7.1590000000000001E-2</v>
      </c>
      <c r="C488">
        <v>7.6450000000000004E-2</v>
      </c>
      <c r="D488">
        <v>6.6000000000000003E-2</v>
      </c>
      <c r="E488">
        <v>7.0900000000000005E-2</v>
      </c>
      <c r="F488">
        <v>7310132.2999999998</v>
      </c>
      <c r="G488">
        <v>0</v>
      </c>
      <c r="L488" t="s">
        <v>8</v>
      </c>
      <c r="M488" t="s">
        <v>8</v>
      </c>
      <c r="N488" t="s">
        <v>8</v>
      </c>
      <c r="P488">
        <f t="shared" si="979"/>
        <v>-6.2200956937798826E-2</v>
      </c>
      <c r="Q488">
        <f t="shared" si="980"/>
        <v>-454697.2244019123</v>
      </c>
      <c r="R488">
        <f t="shared" si="981"/>
        <v>-102996606.23783229</v>
      </c>
      <c r="S488">
        <f t="shared" si="982"/>
        <v>-1029.9660623783229</v>
      </c>
      <c r="T488">
        <f t="shared" si="983"/>
        <v>-1.0299660623783229</v>
      </c>
    </row>
    <row r="489" spans="1:20" x14ac:dyDescent="0.25">
      <c r="A489" s="5">
        <v>44104</v>
      </c>
      <c r="B489">
        <v>6.9349999999999995E-2</v>
      </c>
      <c r="C489">
        <v>7.1609999999999993E-2</v>
      </c>
      <c r="D489">
        <v>6.6000000000000003E-2</v>
      </c>
      <c r="E489">
        <v>7.152E-2</v>
      </c>
      <c r="F489">
        <v>5821067.2999999998</v>
      </c>
      <c r="G489">
        <v>0</v>
      </c>
      <c r="L489" t="s">
        <v>7</v>
      </c>
      <c r="M489" t="s">
        <v>8</v>
      </c>
      <c r="N489" t="s">
        <v>7</v>
      </c>
      <c r="P489">
        <f t="shared" si="979"/>
        <v>0.96791443850267633</v>
      </c>
      <c r="Q489">
        <f t="shared" si="980"/>
        <v>5634295.0871657897</v>
      </c>
      <c r="R489">
        <f t="shared" si="981"/>
        <v>-102541909.01343039</v>
      </c>
      <c r="S489">
        <f t="shared" si="982"/>
        <v>-1025.4190901343038</v>
      </c>
      <c r="T489">
        <f t="shared" si="983"/>
        <v>-1.0254190901343039</v>
      </c>
    </row>
    <row r="490" spans="1:20" x14ac:dyDescent="0.25">
      <c r="A490" s="5">
        <v>44103</v>
      </c>
      <c r="B490">
        <v>6.9559999999999997E-2</v>
      </c>
      <c r="C490">
        <v>7.1330000000000005E-2</v>
      </c>
      <c r="D490">
        <v>6.6989999999999994E-2</v>
      </c>
      <c r="E490">
        <v>6.9360000000000005E-2</v>
      </c>
      <c r="F490">
        <v>5078959</v>
      </c>
      <c r="G490">
        <v>0</v>
      </c>
      <c r="L490" t="s">
        <v>7</v>
      </c>
      <c r="M490" t="s">
        <v>8</v>
      </c>
      <c r="N490" t="s">
        <v>7</v>
      </c>
      <c r="P490">
        <f t="shared" si="979"/>
        <v>9.2165898617513939E-2</v>
      </c>
      <c r="Q490">
        <f t="shared" si="980"/>
        <v>468106.82027650997</v>
      </c>
      <c r="R490">
        <f t="shared" si="981"/>
        <v>-108176204.10059617</v>
      </c>
      <c r="S490">
        <f t="shared" si="982"/>
        <v>-1081.7620410059617</v>
      </c>
      <c r="T490">
        <f t="shared" si="983"/>
        <v>-1.0817620410059616</v>
      </c>
    </row>
    <row r="491" spans="1:20" x14ac:dyDescent="0.25">
      <c r="A491" s="5">
        <v>44102</v>
      </c>
      <c r="B491">
        <v>7.3510000000000006E-2</v>
      </c>
      <c r="C491">
        <v>7.6179999999999998E-2</v>
      </c>
      <c r="D491">
        <v>6.9059999999999996E-2</v>
      </c>
      <c r="E491">
        <v>6.9639999999999994E-2</v>
      </c>
      <c r="F491">
        <v>7737711</v>
      </c>
      <c r="G491">
        <v>0</v>
      </c>
      <c r="L491" t="s">
        <v>8</v>
      </c>
      <c r="M491" t="s">
        <v>8</v>
      </c>
      <c r="N491" t="s">
        <v>7</v>
      </c>
      <c r="P491">
        <f t="shared" si="979"/>
        <v>-0.83707865168539408</v>
      </c>
      <c r="Q491">
        <f t="shared" si="980"/>
        <v>-6477072.6910112426</v>
      </c>
      <c r="R491">
        <f t="shared" si="981"/>
        <v>-108644310.92087269</v>
      </c>
      <c r="S491">
        <f t="shared" si="982"/>
        <v>-1086.4431092087268</v>
      </c>
      <c r="T491">
        <f t="shared" si="983"/>
        <v>-1.0864431092087268</v>
      </c>
    </row>
    <row r="492" spans="1:20" x14ac:dyDescent="0.25">
      <c r="A492" s="5">
        <v>44101</v>
      </c>
      <c r="B492">
        <v>6.6040000000000001E-2</v>
      </c>
      <c r="C492">
        <v>7.46E-2</v>
      </c>
      <c r="D492">
        <v>6.5540000000000001E-2</v>
      </c>
      <c r="E492">
        <v>7.3550000000000004E-2</v>
      </c>
      <c r="F492">
        <v>6617079.0999999996</v>
      </c>
      <c r="G492">
        <v>0</v>
      </c>
      <c r="L492" t="s">
        <v>8</v>
      </c>
      <c r="M492" t="s">
        <v>8</v>
      </c>
      <c r="N492" t="s">
        <v>7</v>
      </c>
      <c r="P492">
        <f t="shared" si="979"/>
        <v>0.76821192052980236</v>
      </c>
      <c r="Q492">
        <f t="shared" si="980"/>
        <v>5083319.0437086159</v>
      </c>
      <c r="R492">
        <f t="shared" si="981"/>
        <v>-102167238.22986145</v>
      </c>
      <c r="S492">
        <f t="shared" si="982"/>
        <v>-1021.6723822986145</v>
      </c>
      <c r="T492">
        <f t="shared" si="983"/>
        <v>-1.0216723822986145</v>
      </c>
    </row>
    <row r="493" spans="1:20" x14ac:dyDescent="0.25">
      <c r="A493" s="5">
        <v>44100</v>
      </c>
      <c r="B493">
        <v>6.2850000000000003E-2</v>
      </c>
      <c r="C493">
        <v>6.7400000000000002E-2</v>
      </c>
      <c r="D493">
        <v>6.2850000000000003E-2</v>
      </c>
      <c r="E493">
        <v>6.6000000000000003E-2</v>
      </c>
      <c r="F493">
        <v>4511736.2</v>
      </c>
      <c r="G493">
        <v>0</v>
      </c>
      <c r="L493" t="s">
        <v>8</v>
      </c>
      <c r="M493" t="s">
        <v>8</v>
      </c>
      <c r="N493" t="s">
        <v>7</v>
      </c>
      <c r="P493">
        <f t="shared" si="979"/>
        <v>0.38461538461538508</v>
      </c>
      <c r="Q493">
        <f t="shared" si="980"/>
        <v>1735283.1538461561</v>
      </c>
      <c r="R493">
        <f t="shared" si="981"/>
        <v>-107250557.27357008</v>
      </c>
      <c r="S493">
        <f t="shared" si="982"/>
        <v>-1072.5055727357008</v>
      </c>
      <c r="T493">
        <f t="shared" si="983"/>
        <v>-1.0725055727357007</v>
      </c>
    </row>
    <row r="494" spans="1:20" x14ac:dyDescent="0.25">
      <c r="A494" s="5">
        <v>44099</v>
      </c>
      <c r="B494">
        <v>5.833E-2</v>
      </c>
      <c r="C494">
        <v>6.5000000000000002E-2</v>
      </c>
      <c r="D494">
        <v>5.6570000000000002E-2</v>
      </c>
      <c r="E494">
        <v>6.2839999999999993E-2</v>
      </c>
      <c r="F494">
        <v>5116138.2</v>
      </c>
      <c r="G494">
        <v>0</v>
      </c>
      <c r="L494" t="s">
        <v>8</v>
      </c>
      <c r="M494" t="s">
        <v>8</v>
      </c>
      <c r="N494" t="s">
        <v>7</v>
      </c>
      <c r="P494">
        <f t="shared" si="979"/>
        <v>0.48754448398576294</v>
      </c>
      <c r="Q494">
        <f t="shared" si="980"/>
        <v>2494344.9587188503</v>
      </c>
      <c r="R494">
        <f t="shared" si="981"/>
        <v>-108985840.42741624</v>
      </c>
      <c r="S494">
        <f t="shared" si="982"/>
        <v>-1089.8584042741622</v>
      </c>
      <c r="T494">
        <f t="shared" si="983"/>
        <v>-1.0898584042741621</v>
      </c>
    </row>
    <row r="495" spans="1:20" x14ac:dyDescent="0.25">
      <c r="A495" s="5">
        <v>44098</v>
      </c>
      <c r="B495">
        <v>5.3580000000000003E-2</v>
      </c>
      <c r="C495">
        <v>5.8560000000000001E-2</v>
      </c>
      <c r="D495">
        <v>5.2830000000000002E-2</v>
      </c>
      <c r="E495">
        <v>5.833E-2</v>
      </c>
      <c r="F495">
        <v>5405681.2999999998</v>
      </c>
      <c r="G495">
        <v>0</v>
      </c>
      <c r="L495" t="s">
        <v>8</v>
      </c>
      <c r="M495" t="s">
        <v>7</v>
      </c>
      <c r="N495" t="s">
        <v>7</v>
      </c>
      <c r="P495">
        <f t="shared" si="979"/>
        <v>0.91972076788830681</v>
      </c>
      <c r="Q495">
        <f t="shared" si="980"/>
        <v>4971717.3561954601</v>
      </c>
      <c r="R495">
        <f t="shared" si="981"/>
        <v>-111480185.38613509</v>
      </c>
      <c r="S495">
        <f t="shared" si="982"/>
        <v>-1114.8018538613508</v>
      </c>
      <c r="T495">
        <f t="shared" si="983"/>
        <v>-1.1148018538613507</v>
      </c>
    </row>
    <row r="496" spans="1:20" x14ac:dyDescent="0.25">
      <c r="A496" s="5">
        <v>44097</v>
      </c>
      <c r="B496">
        <v>6.411E-2</v>
      </c>
      <c r="C496">
        <v>6.4490000000000006E-2</v>
      </c>
      <c r="D496">
        <v>5.2650000000000002E-2</v>
      </c>
      <c r="E496">
        <v>5.3600000000000002E-2</v>
      </c>
      <c r="F496">
        <v>7618235.7000000002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-0.8395270270270272</v>
      </c>
      <c r="Q496">
        <f t="shared" si="980"/>
        <v>-6395714.7684121635</v>
      </c>
      <c r="R496">
        <f t="shared" si="981"/>
        <v>-116451902.74233055</v>
      </c>
      <c r="S496">
        <f t="shared" si="982"/>
        <v>-1164.5190274233055</v>
      </c>
      <c r="T496">
        <f t="shared" si="983"/>
        <v>-1.1645190274233055</v>
      </c>
    </row>
    <row r="497" spans="1:20" x14ac:dyDescent="0.25">
      <c r="A497" s="5">
        <v>44096</v>
      </c>
      <c r="B497">
        <v>6.1990000000000003E-2</v>
      </c>
      <c r="C497">
        <v>6.5600000000000006E-2</v>
      </c>
      <c r="D497">
        <v>5.8999999999999997E-2</v>
      </c>
      <c r="E497">
        <v>6.411E-2</v>
      </c>
      <c r="F497">
        <v>5579284.4000000004</v>
      </c>
      <c r="G497">
        <v>0</v>
      </c>
      <c r="L497" t="s">
        <v>8</v>
      </c>
      <c r="M497" t="s">
        <v>7</v>
      </c>
      <c r="N497" t="s">
        <v>7</v>
      </c>
      <c r="P497">
        <f t="shared" si="979"/>
        <v>0.54848484848484746</v>
      </c>
      <c r="Q497">
        <f t="shared" si="980"/>
        <v>3060152.9587878734</v>
      </c>
      <c r="R497">
        <f t="shared" si="981"/>
        <v>-110056187.97391839</v>
      </c>
      <c r="S497">
        <f t="shared" si="982"/>
        <v>-1100.561879739184</v>
      </c>
      <c r="T497">
        <f t="shared" si="983"/>
        <v>-1.1005618797391838</v>
      </c>
    </row>
    <row r="498" spans="1:20" x14ac:dyDescent="0.25">
      <c r="A498" s="5">
        <v>44095</v>
      </c>
      <c r="B498">
        <v>7.034E-2</v>
      </c>
      <c r="C498">
        <v>7.2510000000000005E-2</v>
      </c>
      <c r="D498">
        <v>5.8569999999999997E-2</v>
      </c>
      <c r="E498">
        <v>6.2010000000000003E-2</v>
      </c>
      <c r="F498">
        <v>10497680.6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-0.50645624103299802</v>
      </c>
      <c r="Q498">
        <f t="shared" si="980"/>
        <v>-5316615.8562410269</v>
      </c>
      <c r="R498">
        <f t="shared" si="981"/>
        <v>-113116340.93270627</v>
      </c>
      <c r="S498">
        <f t="shared" si="982"/>
        <v>-1131.1634093270627</v>
      </c>
      <c r="T498">
        <f t="shared" si="983"/>
        <v>-1.1311634093270626</v>
      </c>
    </row>
    <row r="499" spans="1:20" x14ac:dyDescent="0.25">
      <c r="A499" s="5">
        <v>44094</v>
      </c>
      <c r="B499">
        <v>7.7520000000000006E-2</v>
      </c>
      <c r="C499">
        <v>7.8280000000000002E-2</v>
      </c>
      <c r="D499">
        <v>6.8690000000000001E-2</v>
      </c>
      <c r="E499">
        <v>7.0440000000000003E-2</v>
      </c>
      <c r="F499">
        <v>5443681.7999999998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-0.63503649635036474</v>
      </c>
      <c r="Q499">
        <f t="shared" si="980"/>
        <v>-3456936.6175182466</v>
      </c>
      <c r="R499">
        <f t="shared" si="981"/>
        <v>-107799725.07646523</v>
      </c>
      <c r="S499">
        <f t="shared" si="982"/>
        <v>-1077.9972507646523</v>
      </c>
      <c r="T499">
        <f t="shared" si="983"/>
        <v>-1.0779972507646522</v>
      </c>
    </row>
    <row r="500" spans="1:20" x14ac:dyDescent="0.25">
      <c r="A500" s="5">
        <v>44093</v>
      </c>
      <c r="B500">
        <v>7.5730000000000006E-2</v>
      </c>
      <c r="C500">
        <v>7.8969999999999999E-2</v>
      </c>
      <c r="D500">
        <v>7.4649999999999994E-2</v>
      </c>
      <c r="E500">
        <v>7.7619999999999995E-2</v>
      </c>
      <c r="F500">
        <v>3900536.9</v>
      </c>
      <c r="G500">
        <v>0</v>
      </c>
      <c r="L500" t="s">
        <v>8</v>
      </c>
      <c r="M500" t="s">
        <v>8</v>
      </c>
      <c r="N500" t="s">
        <v>7</v>
      </c>
      <c r="P500">
        <f t="shared" si="979"/>
        <v>0.37499999999999878</v>
      </c>
      <c r="Q500">
        <f t="shared" si="980"/>
        <v>1462701.3374999953</v>
      </c>
      <c r="R500">
        <f t="shared" si="981"/>
        <v>-104342788.45894699</v>
      </c>
      <c r="S500">
        <f t="shared" si="982"/>
        <v>-1043.4278845894698</v>
      </c>
      <c r="T500">
        <f t="shared" si="983"/>
        <v>-1.0434278845894698</v>
      </c>
    </row>
    <row r="501" spans="1:20" x14ac:dyDescent="0.25">
      <c r="A501" s="5">
        <v>44092</v>
      </c>
      <c r="B501">
        <v>7.8549999999999995E-2</v>
      </c>
      <c r="C501">
        <v>7.9990000000000006E-2</v>
      </c>
      <c r="D501">
        <v>7.1999999999999995E-2</v>
      </c>
      <c r="E501">
        <v>7.5749999999999998E-2</v>
      </c>
      <c r="F501">
        <v>7070362.9000000004</v>
      </c>
      <c r="G501">
        <v>0</v>
      </c>
      <c r="L501" t="s">
        <v>7</v>
      </c>
      <c r="M501" t="s">
        <v>8</v>
      </c>
      <c r="N501" t="s">
        <v>7</v>
      </c>
      <c r="P501">
        <f t="shared" si="979"/>
        <v>-6.1326658322904085E-2</v>
      </c>
      <c r="Q501">
        <f t="shared" si="980"/>
        <v>-433601.7297872373</v>
      </c>
      <c r="R501">
        <f t="shared" si="981"/>
        <v>-105805489.79644698</v>
      </c>
      <c r="S501">
        <f t="shared" si="982"/>
        <v>-1058.0548979644698</v>
      </c>
      <c r="T501">
        <f t="shared" si="983"/>
        <v>-1.0580548979644697</v>
      </c>
    </row>
    <row r="502" spans="1:20" x14ac:dyDescent="0.25">
      <c r="A502" s="5">
        <v>44091</v>
      </c>
      <c r="B502">
        <v>7.6119999999999993E-2</v>
      </c>
      <c r="C502">
        <v>8.4610000000000005E-2</v>
      </c>
      <c r="D502">
        <v>7.4719999999999995E-2</v>
      </c>
      <c r="E502">
        <v>7.843E-2</v>
      </c>
      <c r="F502">
        <v>7987695.7999999998</v>
      </c>
      <c r="G502">
        <v>0</v>
      </c>
      <c r="L502" t="s">
        <v>8</v>
      </c>
      <c r="M502" t="s">
        <v>8</v>
      </c>
      <c r="N502" t="s">
        <v>7</v>
      </c>
      <c r="P502">
        <f t="shared" si="979"/>
        <v>-0.2497472194135488</v>
      </c>
      <c r="Q502">
        <f t="shared" si="980"/>
        <v>-1994904.8155712821</v>
      </c>
      <c r="R502">
        <f t="shared" si="981"/>
        <v>-105371888.06665975</v>
      </c>
      <c r="S502">
        <f t="shared" si="982"/>
        <v>-1053.7188806665974</v>
      </c>
      <c r="T502">
        <f t="shared" si="983"/>
        <v>-1.0537188806665974</v>
      </c>
    </row>
    <row r="503" spans="1:20" x14ac:dyDescent="0.25">
      <c r="A503" s="5">
        <v>44090</v>
      </c>
      <c r="B503">
        <v>7.17E-2</v>
      </c>
      <c r="C503">
        <v>7.8979999999999995E-2</v>
      </c>
      <c r="D503">
        <v>6.8000000000000005E-2</v>
      </c>
      <c r="E503">
        <v>7.6050000000000006E-2</v>
      </c>
      <c r="F503">
        <v>5953064.9000000004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0.46630236794171387</v>
      </c>
      <c r="Q503">
        <f t="shared" si="980"/>
        <v>2775928.2593807024</v>
      </c>
      <c r="R503">
        <f t="shared" si="981"/>
        <v>-103376983.25108847</v>
      </c>
      <c r="S503">
        <f t="shared" si="982"/>
        <v>-1033.7698325108847</v>
      </c>
      <c r="T503">
        <f t="shared" si="983"/>
        <v>-1.0337698325108848</v>
      </c>
    </row>
    <row r="504" spans="1:20" x14ac:dyDescent="0.25">
      <c r="A504" s="5">
        <v>44089</v>
      </c>
      <c r="B504">
        <v>8.0560000000000007E-2</v>
      </c>
      <c r="C504">
        <v>8.2070000000000004E-2</v>
      </c>
      <c r="D504">
        <v>7.1599999999999997E-2</v>
      </c>
      <c r="E504">
        <v>7.1669999999999998E-2</v>
      </c>
      <c r="F504">
        <v>5989109.7000000002</v>
      </c>
      <c r="G504">
        <v>0</v>
      </c>
      <c r="L504" t="s">
        <v>7</v>
      </c>
      <c r="M504" t="s">
        <v>7</v>
      </c>
      <c r="N504" t="s">
        <v>7</v>
      </c>
      <c r="P504">
        <f t="shared" si="979"/>
        <v>-0.98662846227316126</v>
      </c>
      <c r="Q504">
        <f t="shared" si="980"/>
        <v>-5909026.0936962739</v>
      </c>
      <c r="R504">
        <f t="shared" si="981"/>
        <v>-106152911.51046917</v>
      </c>
      <c r="S504">
        <f t="shared" si="982"/>
        <v>-1061.5291151046918</v>
      </c>
      <c r="T504">
        <f t="shared" si="983"/>
        <v>-1.0615291151046917</v>
      </c>
    </row>
    <row r="505" spans="1:20" x14ac:dyDescent="0.25">
      <c r="A505" s="5">
        <v>44088</v>
      </c>
      <c r="B505">
        <v>8.2610000000000003E-2</v>
      </c>
      <c r="C505">
        <v>8.4589999999999999E-2</v>
      </c>
      <c r="D505">
        <v>7.9939999999999997E-2</v>
      </c>
      <c r="E505">
        <v>8.0560000000000007E-2</v>
      </c>
      <c r="F505">
        <v>6951282.9000000004</v>
      </c>
      <c r="G505">
        <v>0</v>
      </c>
      <c r="L505" t="s">
        <v>7</v>
      </c>
      <c r="M505" t="s">
        <v>7</v>
      </c>
      <c r="N505" t="s">
        <v>7</v>
      </c>
      <c r="P505">
        <f t="shared" si="979"/>
        <v>-0.7333333333333294</v>
      </c>
      <c r="Q505">
        <f t="shared" si="980"/>
        <v>-5097607.459999973</v>
      </c>
      <c r="R505">
        <f t="shared" si="981"/>
        <v>-100243885.4167729</v>
      </c>
      <c r="S505">
        <f t="shared" si="982"/>
        <v>-1002.438854167729</v>
      </c>
      <c r="T505">
        <f t="shared" si="983"/>
        <v>-1.0024388541677289</v>
      </c>
    </row>
    <row r="506" spans="1:20" x14ac:dyDescent="0.25">
      <c r="A506" s="5">
        <v>44087</v>
      </c>
      <c r="B506">
        <v>8.6449999999999999E-2</v>
      </c>
      <c r="C506">
        <v>8.9660000000000004E-2</v>
      </c>
      <c r="D506">
        <v>8.0049999999999996E-2</v>
      </c>
      <c r="E506">
        <v>8.2559999999999995E-2</v>
      </c>
      <c r="F506">
        <v>5271324.0999999996</v>
      </c>
      <c r="G506">
        <v>0</v>
      </c>
      <c r="L506" t="s">
        <v>8</v>
      </c>
      <c r="M506" t="s">
        <v>7</v>
      </c>
      <c r="N506" t="s">
        <v>7</v>
      </c>
      <c r="P506">
        <f t="shared" si="979"/>
        <v>-0.47762747138397577</v>
      </c>
      <c r="Q506">
        <f t="shared" si="980"/>
        <v>-2517729.2007284118</v>
      </c>
      <c r="R506">
        <f t="shared" si="981"/>
        <v>-95146277.956772923</v>
      </c>
      <c r="S506">
        <f t="shared" si="982"/>
        <v>-951.46277956772929</v>
      </c>
      <c r="T506">
        <f t="shared" si="983"/>
        <v>-0.95146277956772929</v>
      </c>
    </row>
    <row r="507" spans="1:20" x14ac:dyDescent="0.25">
      <c r="A507" s="5">
        <v>44086</v>
      </c>
      <c r="B507">
        <v>8.4150000000000003E-2</v>
      </c>
      <c r="C507">
        <v>8.795E-2</v>
      </c>
      <c r="D507">
        <v>8.319E-2</v>
      </c>
      <c r="E507">
        <v>8.6440000000000003E-2</v>
      </c>
      <c r="F507">
        <v>3383539.7</v>
      </c>
      <c r="G507">
        <v>0</v>
      </c>
      <c r="L507" t="s">
        <v>8</v>
      </c>
      <c r="M507" t="s">
        <v>7</v>
      </c>
      <c r="N507" t="s">
        <v>7</v>
      </c>
      <c r="P507">
        <f t="shared" si="979"/>
        <v>0.36554621848739605</v>
      </c>
      <c r="Q507">
        <f t="shared" si="980"/>
        <v>1236840.1424369786</v>
      </c>
      <c r="R507">
        <f t="shared" si="981"/>
        <v>-92628548.756044507</v>
      </c>
      <c r="S507">
        <f t="shared" si="982"/>
        <v>-926.28548756044506</v>
      </c>
      <c r="T507">
        <f t="shared" si="983"/>
        <v>-0.92628548756044504</v>
      </c>
    </row>
    <row r="508" spans="1:20" x14ac:dyDescent="0.25">
      <c r="A508" s="5">
        <v>44085</v>
      </c>
      <c r="B508">
        <v>8.702E-2</v>
      </c>
      <c r="C508">
        <v>8.7379999999999999E-2</v>
      </c>
      <c r="D508">
        <v>7.9049999999999995E-2</v>
      </c>
      <c r="E508">
        <v>8.4320000000000006E-2</v>
      </c>
      <c r="F508">
        <v>7410897.7999999998</v>
      </c>
      <c r="G508">
        <v>0</v>
      </c>
      <c r="L508" t="s">
        <v>7</v>
      </c>
      <c r="M508" t="s">
        <v>7</v>
      </c>
      <c r="N508" t="s">
        <v>7</v>
      </c>
      <c r="P508">
        <f t="shared" si="979"/>
        <v>0.26530612244898155</v>
      </c>
      <c r="Q508">
        <f t="shared" si="980"/>
        <v>1966156.5591836879</v>
      </c>
      <c r="R508">
        <f t="shared" si="981"/>
        <v>-93865388.898481488</v>
      </c>
      <c r="S508">
        <f t="shared" si="982"/>
        <v>-938.6538889848149</v>
      </c>
      <c r="T508">
        <f t="shared" si="983"/>
        <v>-0.93865388898481494</v>
      </c>
    </row>
    <row r="509" spans="1:20" x14ac:dyDescent="0.25">
      <c r="A509" s="5">
        <v>44084</v>
      </c>
      <c r="B509">
        <v>8.2280000000000006E-2</v>
      </c>
      <c r="C509">
        <v>9.0319999999999998E-2</v>
      </c>
      <c r="D509">
        <v>8.2280000000000006E-2</v>
      </c>
      <c r="E509">
        <v>8.6989999999999998E-2</v>
      </c>
      <c r="F509">
        <v>8398334.6999999993</v>
      </c>
      <c r="G509">
        <v>0</v>
      </c>
      <c r="L509" t="s">
        <v>8</v>
      </c>
      <c r="M509" t="s">
        <v>7</v>
      </c>
      <c r="N509" t="s">
        <v>7</v>
      </c>
      <c r="P509">
        <f t="shared" si="979"/>
        <v>0.17164179104477534</v>
      </c>
      <c r="Q509">
        <f t="shared" si="980"/>
        <v>1441505.2097014859</v>
      </c>
      <c r="R509">
        <f t="shared" si="981"/>
        <v>-95831545.457665175</v>
      </c>
      <c r="S509">
        <f t="shared" si="982"/>
        <v>-958.31545457665175</v>
      </c>
      <c r="T509">
        <f t="shared" si="983"/>
        <v>-0.95831545457665179</v>
      </c>
    </row>
    <row r="510" spans="1:20" x14ac:dyDescent="0.25">
      <c r="A510" s="5">
        <v>44083</v>
      </c>
      <c r="B510">
        <v>8.1619999999999998E-2</v>
      </c>
      <c r="C510">
        <v>8.6199999999999999E-2</v>
      </c>
      <c r="D510">
        <v>7.8950000000000006E-2</v>
      </c>
      <c r="E510">
        <v>8.2290000000000002E-2</v>
      </c>
      <c r="F510">
        <v>9542069.0999999996</v>
      </c>
      <c r="G510">
        <v>0</v>
      </c>
      <c r="L510" t="s">
        <v>8</v>
      </c>
      <c r="M510" t="s">
        <v>7</v>
      </c>
      <c r="N510" t="s">
        <v>7</v>
      </c>
      <c r="P510">
        <f t="shared" si="979"/>
        <v>-7.8620689655172646E-2</v>
      </c>
      <c r="Q510">
        <f t="shared" si="980"/>
        <v>-750204.05337931251</v>
      </c>
      <c r="R510">
        <f t="shared" si="981"/>
        <v>-97273050.667366669</v>
      </c>
      <c r="S510">
        <f t="shared" si="982"/>
        <v>-972.7305066736667</v>
      </c>
      <c r="T510">
        <f t="shared" si="983"/>
        <v>-0.97273050667366667</v>
      </c>
    </row>
    <row r="511" spans="1:20" x14ac:dyDescent="0.25">
      <c r="A511" s="5">
        <v>44082</v>
      </c>
      <c r="B511">
        <v>9.1630000000000003E-2</v>
      </c>
      <c r="C511">
        <v>9.2730000000000007E-2</v>
      </c>
      <c r="D511">
        <v>7.9000000000000001E-2</v>
      </c>
      <c r="E511">
        <v>8.1519999999999995E-2</v>
      </c>
      <c r="F511">
        <v>17208054.699999999</v>
      </c>
      <c r="G511">
        <v>0</v>
      </c>
      <c r="L511" t="s">
        <v>7</v>
      </c>
      <c r="M511" t="s">
        <v>7</v>
      </c>
      <c r="N511" t="s">
        <v>7</v>
      </c>
      <c r="P511">
        <f t="shared" si="979"/>
        <v>-0.63292061179898129</v>
      </c>
      <c r="Q511">
        <f t="shared" si="980"/>
        <v>-10891332.508594334</v>
      </c>
      <c r="R511">
        <f t="shared" si="981"/>
        <v>-96522846.613987356</v>
      </c>
      <c r="S511">
        <f t="shared" si="982"/>
        <v>-965.2284661398736</v>
      </c>
      <c r="T511">
        <f t="shared" si="983"/>
        <v>-0.96522846613987356</v>
      </c>
    </row>
    <row r="512" spans="1:20" x14ac:dyDescent="0.25">
      <c r="A512" s="5">
        <v>44081</v>
      </c>
      <c r="B512">
        <v>9.8750000000000004E-2</v>
      </c>
      <c r="C512">
        <v>0.1067</v>
      </c>
      <c r="D512">
        <v>8.3049999999999999E-2</v>
      </c>
      <c r="E512">
        <v>9.1639999999999999E-2</v>
      </c>
      <c r="F512">
        <v>9131932.1999999993</v>
      </c>
      <c r="G512">
        <v>0</v>
      </c>
      <c r="L512" t="s">
        <v>7</v>
      </c>
      <c r="M512" t="s">
        <v>7</v>
      </c>
      <c r="N512" t="s">
        <v>7</v>
      </c>
      <c r="P512">
        <f t="shared" si="979"/>
        <v>-0.27357293868921784</v>
      </c>
      <c r="Q512">
        <f t="shared" si="980"/>
        <v>-2498249.5278646941</v>
      </c>
      <c r="R512">
        <f t="shared" si="981"/>
        <v>-85631514.105393022</v>
      </c>
      <c r="S512">
        <f t="shared" si="982"/>
        <v>-856.31514105393023</v>
      </c>
      <c r="T512">
        <f t="shared" si="983"/>
        <v>-0.85631514105393025</v>
      </c>
    </row>
    <row r="513" spans="1:20" x14ac:dyDescent="0.25">
      <c r="A513" s="5">
        <v>44080</v>
      </c>
      <c r="B513">
        <v>9.4409999999999994E-2</v>
      </c>
      <c r="C513">
        <v>0.1012</v>
      </c>
      <c r="D513">
        <v>8.8499999999999995E-2</v>
      </c>
      <c r="E513">
        <v>9.8710000000000006E-2</v>
      </c>
      <c r="F513">
        <v>8522102.9000000004</v>
      </c>
      <c r="G513">
        <v>0</v>
      </c>
      <c r="L513" t="s">
        <v>7</v>
      </c>
      <c r="M513" t="s">
        <v>7</v>
      </c>
      <c r="N513" t="s">
        <v>7</v>
      </c>
      <c r="P513">
        <f t="shared" si="979"/>
        <v>0.60787401574803279</v>
      </c>
      <c r="Q513">
        <f t="shared" si="980"/>
        <v>5180364.9124409566</v>
      </c>
      <c r="R513">
        <f t="shared" si="981"/>
        <v>-83133264.577528328</v>
      </c>
      <c r="S513">
        <f t="shared" si="982"/>
        <v>-831.33264577528325</v>
      </c>
      <c r="T513">
        <f t="shared" si="983"/>
        <v>-0.83133264577528321</v>
      </c>
    </row>
    <row r="514" spans="1:20" x14ac:dyDescent="0.25">
      <c r="A514" s="5">
        <v>44079</v>
      </c>
      <c r="B514">
        <v>0.1114</v>
      </c>
      <c r="C514">
        <v>0.11892999999999999</v>
      </c>
      <c r="D514">
        <v>9.2249999999999999E-2</v>
      </c>
      <c r="E514">
        <v>9.443E-2</v>
      </c>
      <c r="F514">
        <v>12905039.9</v>
      </c>
      <c r="G514">
        <v>0</v>
      </c>
      <c r="L514" t="s">
        <v>7</v>
      </c>
      <c r="M514" t="s">
        <v>8</v>
      </c>
      <c r="N514" t="s">
        <v>7</v>
      </c>
      <c r="P514">
        <f t="shared" si="979"/>
        <v>-0.83658170914542718</v>
      </c>
      <c r="Q514">
        <f t="shared" si="980"/>
        <v>-10796120.336131932</v>
      </c>
      <c r="R514">
        <f t="shared" si="981"/>
        <v>-88313629.489969283</v>
      </c>
      <c r="S514">
        <f t="shared" si="982"/>
        <v>-883.13629489969287</v>
      </c>
      <c r="T514">
        <f t="shared" si="983"/>
        <v>-0.88313629489969292</v>
      </c>
    </row>
    <row r="515" spans="1:20" x14ac:dyDescent="0.25">
      <c r="A515" s="5">
        <v>44078</v>
      </c>
      <c r="B515">
        <v>9.8909999999999998E-2</v>
      </c>
      <c r="C515">
        <v>0.11422</v>
      </c>
      <c r="D515">
        <v>9.4060000000000005E-2</v>
      </c>
      <c r="E515">
        <v>0.11151999999999999</v>
      </c>
      <c r="F515">
        <v>10925414.800000001</v>
      </c>
      <c r="G515">
        <v>0</v>
      </c>
      <c r="L515" t="s">
        <v>7</v>
      </c>
      <c r="M515" t="s">
        <v>7</v>
      </c>
      <c r="N515" t="s">
        <v>8</v>
      </c>
      <c r="P515">
        <f t="shared" si="979"/>
        <v>0.73214285714285632</v>
      </c>
      <c r="Q515">
        <f t="shared" si="980"/>
        <v>7998964.4071428487</v>
      </c>
      <c r="R515">
        <f t="shared" si="981"/>
        <v>-77517509.153837353</v>
      </c>
      <c r="S515">
        <f t="shared" si="982"/>
        <v>-775.17509153837352</v>
      </c>
      <c r="T515">
        <f t="shared" si="983"/>
        <v>-0.7751750915383735</v>
      </c>
    </row>
    <row r="516" spans="1:20" x14ac:dyDescent="0.25">
      <c r="A516" s="5">
        <v>44077</v>
      </c>
      <c r="B516">
        <v>0.11394</v>
      </c>
      <c r="C516">
        <v>0.12995999999999999</v>
      </c>
      <c r="D516">
        <v>9.8000000000000004E-2</v>
      </c>
      <c r="E516">
        <v>9.8900000000000002E-2</v>
      </c>
      <c r="F516">
        <v>26482318.399999999</v>
      </c>
      <c r="G516">
        <v>0</v>
      </c>
      <c r="L516" t="s">
        <v>8</v>
      </c>
      <c r="M516" t="s">
        <v>8</v>
      </c>
      <c r="N516" t="s">
        <v>8</v>
      </c>
      <c r="P516">
        <f t="shared" si="979"/>
        <v>-0.9436795994993743</v>
      </c>
      <c r="Q516">
        <f t="shared" si="980"/>
        <v>-24990823.621526908</v>
      </c>
      <c r="R516">
        <f t="shared" si="981"/>
        <v>-85516473.560980201</v>
      </c>
      <c r="S516">
        <f t="shared" si="982"/>
        <v>-855.16473560980205</v>
      </c>
      <c r="T516">
        <f t="shared" si="983"/>
        <v>-0.855164735609802</v>
      </c>
    </row>
    <row r="517" spans="1:20" x14ac:dyDescent="0.25">
      <c r="A517" s="5">
        <v>44076</v>
      </c>
      <c r="B517">
        <v>0.10199999999999999</v>
      </c>
      <c r="C517">
        <v>0.11999</v>
      </c>
      <c r="D517">
        <v>9.9460000000000007E-2</v>
      </c>
      <c r="E517">
        <v>0.11397</v>
      </c>
      <c r="F517">
        <v>16602402.9</v>
      </c>
      <c r="G517">
        <v>0</v>
      </c>
      <c r="L517" t="s">
        <v>8</v>
      </c>
      <c r="M517" t="s">
        <v>8</v>
      </c>
      <c r="N517" t="s">
        <v>8</v>
      </c>
      <c r="P517">
        <f t="shared" si="979"/>
        <v>0.41354115927910379</v>
      </c>
      <c r="Q517">
        <f t="shared" si="980"/>
        <v>6865776.9420847548</v>
      </c>
      <c r="R517">
        <f t="shared" si="981"/>
        <v>-60525649.939453296</v>
      </c>
      <c r="S517">
        <f t="shared" si="982"/>
        <v>-605.25649939453297</v>
      </c>
      <c r="T517">
        <f t="shared" si="983"/>
        <v>-0.60525649939453297</v>
      </c>
    </row>
    <row r="518" spans="1:20" x14ac:dyDescent="0.25">
      <c r="A518" s="5">
        <v>44075</v>
      </c>
      <c r="B518">
        <v>0.10527</v>
      </c>
      <c r="C518">
        <v>0.1089</v>
      </c>
      <c r="D518">
        <v>0.10120999999999999</v>
      </c>
      <c r="E518">
        <v>0.10203</v>
      </c>
      <c r="F518">
        <v>5855025.9000000004</v>
      </c>
      <c r="G518">
        <v>0</v>
      </c>
      <c r="L518" t="s">
        <v>8</v>
      </c>
      <c r="M518" t="s">
        <v>7</v>
      </c>
      <c r="N518" t="s">
        <v>8</v>
      </c>
      <c r="P518">
        <f t="shared" ref="P518:P581" si="984">IF(C518=D518,0,((E518-D518)-(C518-E518))/(C518-D518))</f>
        <v>-0.78673602080624161</v>
      </c>
      <c r="Q518">
        <f t="shared" ref="Q518:Q581" si="985">F518*P518</f>
        <v>-4606359.7782834833</v>
      </c>
      <c r="R518">
        <f t="shared" ref="R518:R581" si="986">R519+Q518</f>
        <v>-67391426.881538048</v>
      </c>
      <c r="S518">
        <f t="shared" ref="S518:S581" si="987">R518/100000</f>
        <v>-673.91426881538052</v>
      </c>
      <c r="T518">
        <f t="shared" ref="T518:T581" si="988">S518/1000</f>
        <v>-0.67391426881538052</v>
      </c>
    </row>
    <row r="519" spans="1:20" x14ac:dyDescent="0.25">
      <c r="A519" s="5">
        <v>44074</v>
      </c>
      <c r="B519">
        <v>0.10366</v>
      </c>
      <c r="C519">
        <v>0.10618</v>
      </c>
      <c r="D519">
        <v>9.9400000000000002E-2</v>
      </c>
      <c r="E519">
        <v>0.10521</v>
      </c>
      <c r="F519">
        <v>5570437.7000000002</v>
      </c>
      <c r="G519">
        <v>0</v>
      </c>
      <c r="L519" t="s">
        <v>7</v>
      </c>
      <c r="M519" t="s">
        <v>7</v>
      </c>
      <c r="N519" t="s">
        <v>8</v>
      </c>
      <c r="P519">
        <f t="shared" si="984"/>
        <v>0.71386430678466095</v>
      </c>
      <c r="Q519">
        <f t="shared" si="985"/>
        <v>3976536.6471976414</v>
      </c>
      <c r="R519">
        <f t="shared" si="986"/>
        <v>-62785067.103254564</v>
      </c>
      <c r="S519">
        <f t="shared" si="987"/>
        <v>-627.85067103254562</v>
      </c>
      <c r="T519">
        <f t="shared" si="988"/>
        <v>-0.62785067103254566</v>
      </c>
    </row>
    <row r="520" spans="1:20" x14ac:dyDescent="0.25">
      <c r="A520" s="5">
        <v>44073</v>
      </c>
      <c r="B520">
        <v>0.10254000000000001</v>
      </c>
      <c r="C520">
        <v>0.10695</v>
      </c>
      <c r="D520">
        <v>0.10083</v>
      </c>
      <c r="E520">
        <v>0.10352</v>
      </c>
      <c r="F520">
        <v>5063559.5999999996</v>
      </c>
      <c r="G520">
        <v>0</v>
      </c>
      <c r="L520" t="s">
        <v>8</v>
      </c>
      <c r="M520" t="s">
        <v>7</v>
      </c>
      <c r="N520" t="s">
        <v>8</v>
      </c>
      <c r="P520">
        <f t="shared" si="984"/>
        <v>-0.1209150326797393</v>
      </c>
      <c r="Q520">
        <f t="shared" si="985"/>
        <v>-612260.47450980765</v>
      </c>
      <c r="R520">
        <f t="shared" si="986"/>
        <v>-66761603.750452206</v>
      </c>
      <c r="S520">
        <f t="shared" si="987"/>
        <v>-667.61603750452207</v>
      </c>
      <c r="T520">
        <f t="shared" si="988"/>
        <v>-0.66761603750452203</v>
      </c>
    </row>
    <row r="521" spans="1:20" x14ac:dyDescent="0.25">
      <c r="A521" s="5">
        <v>44072</v>
      </c>
      <c r="B521">
        <v>0.10901</v>
      </c>
      <c r="C521">
        <v>0.10913</v>
      </c>
      <c r="D521">
        <v>9.8000000000000004E-2</v>
      </c>
      <c r="E521">
        <v>0.10213999999999999</v>
      </c>
      <c r="F521">
        <v>5535961.7000000002</v>
      </c>
      <c r="G521">
        <v>0</v>
      </c>
      <c r="L521" t="s">
        <v>7</v>
      </c>
      <c r="M521" t="s">
        <v>7</v>
      </c>
      <c r="N521" t="s">
        <v>8</v>
      </c>
      <c r="P521">
        <f t="shared" si="984"/>
        <v>-0.25606469002695587</v>
      </c>
      <c r="Q521">
        <f t="shared" si="985"/>
        <v>-1417564.3167115997</v>
      </c>
      <c r="R521">
        <f t="shared" si="986"/>
        <v>-66149343.2759424</v>
      </c>
      <c r="S521">
        <f t="shared" si="987"/>
        <v>-661.49343275942397</v>
      </c>
      <c r="T521">
        <f t="shared" si="988"/>
        <v>-0.66149343275942396</v>
      </c>
    </row>
    <row r="522" spans="1:20" x14ac:dyDescent="0.25">
      <c r="A522" s="5">
        <v>44071</v>
      </c>
      <c r="B522">
        <v>0.10793</v>
      </c>
      <c r="C522">
        <v>0.11700000000000001</v>
      </c>
      <c r="D522">
        <v>0.10249</v>
      </c>
      <c r="E522">
        <v>0.10902000000000001</v>
      </c>
      <c r="F522">
        <v>9825130.0999999996</v>
      </c>
      <c r="G522">
        <v>0</v>
      </c>
      <c r="L522" t="s">
        <v>7</v>
      </c>
      <c r="M522" t="s">
        <v>8</v>
      </c>
      <c r="N522" t="s">
        <v>8</v>
      </c>
      <c r="P522">
        <f t="shared" si="984"/>
        <v>-9.9931082012404693E-2</v>
      </c>
      <c r="Q522">
        <f t="shared" si="985"/>
        <v>-981835.88180564588</v>
      </c>
      <c r="R522">
        <f t="shared" si="986"/>
        <v>-64731778.959230803</v>
      </c>
      <c r="S522">
        <f t="shared" si="987"/>
        <v>-647.31778959230803</v>
      </c>
      <c r="T522">
        <f t="shared" si="988"/>
        <v>-0.64731778959230801</v>
      </c>
    </row>
    <row r="523" spans="1:20" x14ac:dyDescent="0.25">
      <c r="A523" s="5">
        <v>44070</v>
      </c>
      <c r="B523">
        <v>0.10134</v>
      </c>
      <c r="C523">
        <v>0.11799999999999999</v>
      </c>
      <c r="D523">
        <v>9.2689999999999995E-2</v>
      </c>
      <c r="E523">
        <v>0.10743</v>
      </c>
      <c r="F523">
        <v>25891326.100000001</v>
      </c>
      <c r="G523">
        <v>0</v>
      </c>
      <c r="L523" t="s">
        <v>8</v>
      </c>
      <c r="M523" t="s">
        <v>8</v>
      </c>
      <c r="N523" t="s">
        <v>8</v>
      </c>
      <c r="P523">
        <f t="shared" si="984"/>
        <v>0.16475701303832505</v>
      </c>
      <c r="Q523">
        <f t="shared" si="985"/>
        <v>4265777.5518372254</v>
      </c>
      <c r="R523">
        <f t="shared" si="986"/>
        <v>-63749943.07742516</v>
      </c>
      <c r="S523">
        <f t="shared" si="987"/>
        <v>-637.49943077425155</v>
      </c>
      <c r="T523">
        <f t="shared" si="988"/>
        <v>-0.63749943077425153</v>
      </c>
    </row>
    <row r="524" spans="1:20" x14ac:dyDescent="0.25">
      <c r="A524" s="5">
        <v>44069</v>
      </c>
      <c r="B524">
        <v>8.2019999999999996E-2</v>
      </c>
      <c r="C524">
        <v>0.10205</v>
      </c>
      <c r="D524">
        <v>8.0250000000000002E-2</v>
      </c>
      <c r="E524">
        <v>0.10137</v>
      </c>
      <c r="F524">
        <v>16338384.300000001</v>
      </c>
      <c r="G524">
        <v>0</v>
      </c>
      <c r="L524" t="s">
        <v>8</v>
      </c>
      <c r="M524" t="s">
        <v>8</v>
      </c>
      <c r="N524" t="s">
        <v>8</v>
      </c>
      <c r="P524">
        <f t="shared" si="984"/>
        <v>0.93761467889908257</v>
      </c>
      <c r="Q524">
        <f t="shared" si="985"/>
        <v>15319108.949174313</v>
      </c>
      <c r="R524">
        <f t="shared" si="986"/>
        <v>-68015720.629262388</v>
      </c>
      <c r="S524">
        <f t="shared" si="987"/>
        <v>-680.15720629262387</v>
      </c>
      <c r="T524">
        <f t="shared" si="988"/>
        <v>-0.68015720629262388</v>
      </c>
    </row>
    <row r="525" spans="1:20" x14ac:dyDescent="0.25">
      <c r="A525" s="5">
        <v>44068</v>
      </c>
      <c r="B525">
        <v>9.0719999999999995E-2</v>
      </c>
      <c r="C525">
        <v>9.1759999999999994E-2</v>
      </c>
      <c r="D525">
        <v>7.8E-2</v>
      </c>
      <c r="E525">
        <v>8.201E-2</v>
      </c>
      <c r="F525">
        <v>7168594.2000000002</v>
      </c>
      <c r="G525">
        <v>0</v>
      </c>
      <c r="L525" t="s">
        <v>7</v>
      </c>
      <c r="M525" t="s">
        <v>8</v>
      </c>
      <c r="N525" t="s">
        <v>8</v>
      </c>
      <c r="P525">
        <f t="shared" si="984"/>
        <v>-0.41715116279069747</v>
      </c>
      <c r="Q525">
        <f t="shared" si="985"/>
        <v>-2990387.4061046499</v>
      </c>
      <c r="R525">
        <f t="shared" si="986"/>
        <v>-83334829.578436702</v>
      </c>
      <c r="S525">
        <f t="shared" si="987"/>
        <v>-833.348295784367</v>
      </c>
      <c r="T525">
        <f t="shared" si="988"/>
        <v>-0.83334829578436698</v>
      </c>
    </row>
    <row r="526" spans="1:20" x14ac:dyDescent="0.25">
      <c r="A526" s="5">
        <v>44067</v>
      </c>
      <c r="B526">
        <v>8.3949999999999997E-2</v>
      </c>
      <c r="C526">
        <v>9.1300000000000006E-2</v>
      </c>
      <c r="D526">
        <v>8.2500000000000004E-2</v>
      </c>
      <c r="E526">
        <v>9.0719999999999995E-2</v>
      </c>
      <c r="F526">
        <v>6887413.5999999996</v>
      </c>
      <c r="G526">
        <v>0</v>
      </c>
      <c r="L526" t="s">
        <v>8</v>
      </c>
      <c r="M526" t="s">
        <v>7</v>
      </c>
      <c r="N526" t="s">
        <v>8</v>
      </c>
      <c r="P526">
        <f t="shared" si="984"/>
        <v>0.86818181818181572</v>
      </c>
      <c r="Q526">
        <f t="shared" si="985"/>
        <v>5979527.261818165</v>
      </c>
      <c r="R526">
        <f t="shared" si="986"/>
        <v>-80344442.172332048</v>
      </c>
      <c r="S526">
        <f t="shared" si="987"/>
        <v>-803.44442172332049</v>
      </c>
      <c r="T526">
        <f t="shared" si="988"/>
        <v>-0.80344442172332053</v>
      </c>
    </row>
    <row r="527" spans="1:20" x14ac:dyDescent="0.25">
      <c r="A527" s="5">
        <v>44066</v>
      </c>
      <c r="B527">
        <v>8.7970000000000007E-2</v>
      </c>
      <c r="C527">
        <v>9.0279999999999999E-2</v>
      </c>
      <c r="D527">
        <v>8.3479999999999999E-2</v>
      </c>
      <c r="E527">
        <v>8.4409999999999999E-2</v>
      </c>
      <c r="F527">
        <v>4574718.2</v>
      </c>
      <c r="G527">
        <v>0</v>
      </c>
      <c r="L527" t="s">
        <v>8</v>
      </c>
      <c r="M527" t="s">
        <v>7</v>
      </c>
      <c r="N527" t="s">
        <v>8</v>
      </c>
      <c r="P527">
        <f t="shared" si="984"/>
        <v>-0.72647058823529409</v>
      </c>
      <c r="Q527">
        <f t="shared" si="985"/>
        <v>-3323398.2217647061</v>
      </c>
      <c r="R527">
        <f t="shared" si="986"/>
        <v>-86323969.434150219</v>
      </c>
      <c r="S527">
        <f t="shared" si="987"/>
        <v>-863.23969434150217</v>
      </c>
      <c r="T527">
        <f t="shared" si="988"/>
        <v>-0.86323969434150216</v>
      </c>
    </row>
    <row r="528" spans="1:20" x14ac:dyDescent="0.25">
      <c r="A528" s="5">
        <v>44065</v>
      </c>
      <c r="B528">
        <v>8.3000000000000004E-2</v>
      </c>
      <c r="C528">
        <v>9.0459999999999999E-2</v>
      </c>
      <c r="D528">
        <v>7.7600000000000002E-2</v>
      </c>
      <c r="E528">
        <v>8.8039999999999993E-2</v>
      </c>
      <c r="F528">
        <v>9434774.3000000007</v>
      </c>
      <c r="G528">
        <v>0</v>
      </c>
      <c r="L528" t="s">
        <v>7</v>
      </c>
      <c r="M528" t="s">
        <v>7</v>
      </c>
      <c r="N528" t="s">
        <v>8</v>
      </c>
      <c r="P528">
        <f t="shared" si="984"/>
        <v>0.62363919129082335</v>
      </c>
      <c r="Q528">
        <f t="shared" si="985"/>
        <v>5883895.0144634442</v>
      </c>
      <c r="R528">
        <f t="shared" si="986"/>
        <v>-83000571.21238552</v>
      </c>
      <c r="S528">
        <f t="shared" si="987"/>
        <v>-830.00571212385523</v>
      </c>
      <c r="T528">
        <f t="shared" si="988"/>
        <v>-0.83000571212385521</v>
      </c>
    </row>
    <row r="529" spans="1:20" x14ac:dyDescent="0.25">
      <c r="A529" s="5">
        <v>44064</v>
      </c>
      <c r="B529">
        <v>9.0630000000000002E-2</v>
      </c>
      <c r="C529">
        <v>9.1340000000000005E-2</v>
      </c>
      <c r="D529">
        <v>8.1500000000000003E-2</v>
      </c>
      <c r="E529">
        <v>8.3000000000000004E-2</v>
      </c>
      <c r="F529">
        <v>8877912.0999999996</v>
      </c>
      <c r="G529">
        <v>0</v>
      </c>
      <c r="L529" t="s">
        <v>7</v>
      </c>
      <c r="M529" t="s">
        <v>7</v>
      </c>
      <c r="N529" t="s">
        <v>8</v>
      </c>
      <c r="P529">
        <f t="shared" si="984"/>
        <v>-0.69512195121951192</v>
      </c>
      <c r="Q529">
        <f t="shared" si="985"/>
        <v>-6171231.5817073146</v>
      </c>
      <c r="R529">
        <f t="shared" si="986"/>
        <v>-88884466.22684896</v>
      </c>
      <c r="S529">
        <f t="shared" si="987"/>
        <v>-888.84466226848963</v>
      </c>
      <c r="T529">
        <f t="shared" si="988"/>
        <v>-0.88884466226848968</v>
      </c>
    </row>
    <row r="530" spans="1:20" x14ac:dyDescent="0.25">
      <c r="A530" s="5">
        <v>44063</v>
      </c>
      <c r="B530">
        <v>8.7669999999999998E-2</v>
      </c>
      <c r="C530">
        <v>9.4060000000000005E-2</v>
      </c>
      <c r="D530">
        <v>8.5540000000000005E-2</v>
      </c>
      <c r="E530">
        <v>9.0700000000000003E-2</v>
      </c>
      <c r="F530">
        <v>8387028.0999999996</v>
      </c>
      <c r="G530">
        <v>0</v>
      </c>
      <c r="L530" t="s">
        <v>8</v>
      </c>
      <c r="M530" t="s">
        <v>7</v>
      </c>
      <c r="N530" t="s">
        <v>8</v>
      </c>
      <c r="P530">
        <f t="shared" si="984"/>
        <v>0.21126760563380237</v>
      </c>
      <c r="Q530">
        <f t="shared" si="985"/>
        <v>1771907.3450704187</v>
      </c>
      <c r="R530">
        <f t="shared" si="986"/>
        <v>-82713234.645141646</v>
      </c>
      <c r="S530">
        <f t="shared" si="987"/>
        <v>-827.13234645141642</v>
      </c>
      <c r="T530">
        <f t="shared" si="988"/>
        <v>-0.82713234645141642</v>
      </c>
    </row>
    <row r="531" spans="1:20" x14ac:dyDescent="0.25">
      <c r="A531" s="5">
        <v>44062</v>
      </c>
      <c r="B531">
        <v>0.10108</v>
      </c>
      <c r="C531">
        <v>0.10209</v>
      </c>
      <c r="D531">
        <v>8.3549999999999999E-2</v>
      </c>
      <c r="E531">
        <v>8.7389999999999995E-2</v>
      </c>
      <c r="F531">
        <v>15005449.300000001</v>
      </c>
      <c r="G531">
        <v>0</v>
      </c>
      <c r="L531" t="s">
        <v>7</v>
      </c>
      <c r="M531" t="s">
        <v>7</v>
      </c>
      <c r="N531" t="s">
        <v>8</v>
      </c>
      <c r="P531">
        <f t="shared" si="984"/>
        <v>-0.58576051779935323</v>
      </c>
      <c r="Q531">
        <f t="shared" si="985"/>
        <v>-8789599.7517799437</v>
      </c>
      <c r="R531">
        <f t="shared" si="986"/>
        <v>-84485141.990212068</v>
      </c>
      <c r="S531">
        <f t="shared" si="987"/>
        <v>-844.85141990212071</v>
      </c>
      <c r="T531">
        <f t="shared" si="988"/>
        <v>-0.84485141990212076</v>
      </c>
    </row>
    <row r="532" spans="1:20" x14ac:dyDescent="0.25">
      <c r="A532" s="5">
        <v>44061</v>
      </c>
      <c r="B532">
        <v>9.6619999999999998E-2</v>
      </c>
      <c r="C532">
        <v>0.107</v>
      </c>
      <c r="D532">
        <v>9.4020000000000006E-2</v>
      </c>
      <c r="E532">
        <v>0.10063</v>
      </c>
      <c r="F532">
        <v>22934958</v>
      </c>
      <c r="G532">
        <v>0</v>
      </c>
      <c r="L532" t="s">
        <v>8</v>
      </c>
      <c r="M532" t="s">
        <v>8</v>
      </c>
      <c r="N532" t="s">
        <v>8</v>
      </c>
      <c r="P532">
        <f t="shared" si="984"/>
        <v>1.8489984591678766E-2</v>
      </c>
      <c r="Q532">
        <f t="shared" si="985"/>
        <v>424067.02003079967</v>
      </c>
      <c r="R532">
        <f t="shared" si="986"/>
        <v>-75695542.238432124</v>
      </c>
      <c r="S532">
        <f t="shared" si="987"/>
        <v>-756.9554223843212</v>
      </c>
      <c r="T532">
        <f t="shared" si="988"/>
        <v>-0.75695542238432123</v>
      </c>
    </row>
    <row r="533" spans="1:20" x14ac:dyDescent="0.25">
      <c r="A533" s="5">
        <v>44060</v>
      </c>
      <c r="B533">
        <v>8.4779999999999994E-2</v>
      </c>
      <c r="C533">
        <v>0.10576000000000001</v>
      </c>
      <c r="D533">
        <v>8.3540000000000003E-2</v>
      </c>
      <c r="E533">
        <v>9.622E-2</v>
      </c>
      <c r="F533">
        <v>27725310.399999999</v>
      </c>
      <c r="G533">
        <v>0</v>
      </c>
      <c r="L533" t="s">
        <v>8</v>
      </c>
      <c r="M533" t="s">
        <v>8</v>
      </c>
      <c r="N533" t="s">
        <v>8</v>
      </c>
      <c r="P533">
        <f t="shared" si="984"/>
        <v>0.14131413141314084</v>
      </c>
      <c r="Q533">
        <f t="shared" si="985"/>
        <v>3917978.15733572</v>
      </c>
      <c r="R533">
        <f t="shared" si="986"/>
        <v>-76119609.258462921</v>
      </c>
      <c r="S533">
        <f t="shared" si="987"/>
        <v>-761.19609258462924</v>
      </c>
      <c r="T533">
        <f t="shared" si="988"/>
        <v>-0.76119609258462928</v>
      </c>
    </row>
    <row r="534" spans="1:20" x14ac:dyDescent="0.25">
      <c r="A534" s="5">
        <v>44059</v>
      </c>
      <c r="B534">
        <v>7.9000000000000001E-2</v>
      </c>
      <c r="C534">
        <v>8.5489999999999997E-2</v>
      </c>
      <c r="D534">
        <v>7.8130000000000005E-2</v>
      </c>
      <c r="E534">
        <v>8.4779999999999994E-2</v>
      </c>
      <c r="F534">
        <v>8983027.9000000004</v>
      </c>
      <c r="G534">
        <v>0</v>
      </c>
      <c r="L534" t="s">
        <v>8</v>
      </c>
      <c r="M534" t="s">
        <v>7</v>
      </c>
      <c r="N534" t="s">
        <v>8</v>
      </c>
      <c r="P534">
        <f t="shared" si="984"/>
        <v>0.80706521739130355</v>
      </c>
      <c r="Q534">
        <f t="shared" si="985"/>
        <v>7249889.3649456454</v>
      </c>
      <c r="R534">
        <f t="shared" si="986"/>
        <v>-80037587.415798634</v>
      </c>
      <c r="S534">
        <f t="shared" si="987"/>
        <v>-800.37587415798635</v>
      </c>
      <c r="T534">
        <f t="shared" si="988"/>
        <v>-0.80037587415798639</v>
      </c>
    </row>
    <row r="535" spans="1:20" x14ac:dyDescent="0.25">
      <c r="A535" s="5">
        <v>44058</v>
      </c>
      <c r="B535">
        <v>8.1250000000000003E-2</v>
      </c>
      <c r="C535">
        <v>8.3000000000000004E-2</v>
      </c>
      <c r="D535">
        <v>7.8899999999999998E-2</v>
      </c>
      <c r="E535">
        <v>7.9170000000000004E-2</v>
      </c>
      <c r="F535">
        <v>5896557.2999999998</v>
      </c>
      <c r="G535">
        <v>0</v>
      </c>
      <c r="L535" t="s">
        <v>8</v>
      </c>
      <c r="M535" t="s">
        <v>7</v>
      </c>
      <c r="N535" t="s">
        <v>8</v>
      </c>
      <c r="P535">
        <f t="shared" si="984"/>
        <v>-0.86829268292682638</v>
      </c>
      <c r="Q535">
        <f t="shared" si="985"/>
        <v>-5119937.5580487633</v>
      </c>
      <c r="R535">
        <f t="shared" si="986"/>
        <v>-87287476.780744284</v>
      </c>
      <c r="S535">
        <f t="shared" si="987"/>
        <v>-872.87476780744282</v>
      </c>
      <c r="T535">
        <f t="shared" si="988"/>
        <v>-0.87287476780744278</v>
      </c>
    </row>
    <row r="536" spans="1:20" x14ac:dyDescent="0.25">
      <c r="A536" s="5">
        <v>44057</v>
      </c>
      <c r="B536">
        <v>7.8109999999999999E-2</v>
      </c>
      <c r="C536">
        <v>8.201E-2</v>
      </c>
      <c r="D536">
        <v>7.7009999999999995E-2</v>
      </c>
      <c r="E536">
        <v>8.1570000000000004E-2</v>
      </c>
      <c r="F536">
        <v>12015156.9</v>
      </c>
      <c r="G536">
        <v>0</v>
      </c>
      <c r="L536" t="s">
        <v>7</v>
      </c>
      <c r="M536" t="s">
        <v>7</v>
      </c>
      <c r="N536" t="s">
        <v>8</v>
      </c>
      <c r="P536">
        <f t="shared" si="984"/>
        <v>0.82400000000000173</v>
      </c>
      <c r="Q536">
        <f t="shared" si="985"/>
        <v>9900489.2856000215</v>
      </c>
      <c r="R536">
        <f t="shared" si="986"/>
        <v>-82167539.222695515</v>
      </c>
      <c r="S536">
        <f t="shared" si="987"/>
        <v>-821.67539222695518</v>
      </c>
      <c r="T536">
        <f t="shared" si="988"/>
        <v>-0.82167539222695518</v>
      </c>
    </row>
    <row r="537" spans="1:20" x14ac:dyDescent="0.25">
      <c r="A537" s="5">
        <v>44056</v>
      </c>
      <c r="B537">
        <v>7.7799999999999994E-2</v>
      </c>
      <c r="C537">
        <v>8.3809999999999996E-2</v>
      </c>
      <c r="D537">
        <v>7.5179999999999997E-2</v>
      </c>
      <c r="E537">
        <v>7.8109999999999999E-2</v>
      </c>
      <c r="F537">
        <v>15234200.1</v>
      </c>
      <c r="G537">
        <v>0</v>
      </c>
      <c r="L537" t="s">
        <v>8</v>
      </c>
      <c r="M537" t="s">
        <v>7</v>
      </c>
      <c r="N537" t="s">
        <v>8</v>
      </c>
      <c r="P537">
        <f t="shared" si="984"/>
        <v>-0.32097334878331346</v>
      </c>
      <c r="Q537">
        <f t="shared" si="985"/>
        <v>-4889772.2221320886</v>
      </c>
      <c r="R537">
        <f t="shared" si="986"/>
        <v>-92068028.508295536</v>
      </c>
      <c r="S537">
        <f t="shared" si="987"/>
        <v>-920.68028508295538</v>
      </c>
      <c r="T537">
        <f t="shared" si="988"/>
        <v>-0.92068028508295541</v>
      </c>
    </row>
    <row r="538" spans="1:20" x14ac:dyDescent="0.25">
      <c r="A538" s="5">
        <v>44055</v>
      </c>
      <c r="B538">
        <v>7.7439999999999995E-2</v>
      </c>
      <c r="C538">
        <v>8.1610000000000002E-2</v>
      </c>
      <c r="D538">
        <v>7.2690000000000005E-2</v>
      </c>
      <c r="E538">
        <v>7.7799999999999994E-2</v>
      </c>
      <c r="F538">
        <v>10240775</v>
      </c>
      <c r="G538">
        <v>0</v>
      </c>
      <c r="L538" t="s">
        <v>7</v>
      </c>
      <c r="M538" t="s">
        <v>7</v>
      </c>
      <c r="N538" t="s">
        <v>8</v>
      </c>
      <c r="P538">
        <f t="shared" si="984"/>
        <v>0.14573991031389935</v>
      </c>
      <c r="Q538">
        <f t="shared" si="985"/>
        <v>1492489.6300448226</v>
      </c>
      <c r="R538">
        <f t="shared" si="986"/>
        <v>-87178256.286163449</v>
      </c>
      <c r="S538">
        <f t="shared" si="987"/>
        <v>-871.78256286163446</v>
      </c>
      <c r="T538">
        <f t="shared" si="988"/>
        <v>-0.87178256286163447</v>
      </c>
    </row>
    <row r="539" spans="1:20" x14ac:dyDescent="0.25">
      <c r="A539" s="5">
        <v>44054</v>
      </c>
      <c r="B539">
        <v>8.4589999999999999E-2</v>
      </c>
      <c r="C539">
        <v>8.5029999999999994E-2</v>
      </c>
      <c r="D539">
        <v>7.3749999999999996E-2</v>
      </c>
      <c r="E539">
        <v>7.7759999999999996E-2</v>
      </c>
      <c r="F539">
        <v>12039701.5</v>
      </c>
      <c r="G539">
        <v>0</v>
      </c>
      <c r="L539" t="s">
        <v>7</v>
      </c>
      <c r="M539" t="s">
        <v>7</v>
      </c>
      <c r="N539" t="s">
        <v>8</v>
      </c>
      <c r="P539">
        <f t="shared" si="984"/>
        <v>-0.28900709219858151</v>
      </c>
      <c r="Q539">
        <f t="shared" si="985"/>
        <v>-3479559.1214538999</v>
      </c>
      <c r="R539">
        <f t="shared" si="986"/>
        <v>-88670745.916208267</v>
      </c>
      <c r="S539">
        <f t="shared" si="987"/>
        <v>-886.70745916208273</v>
      </c>
      <c r="T539">
        <f t="shared" si="988"/>
        <v>-0.88670745916208271</v>
      </c>
    </row>
    <row r="540" spans="1:20" x14ac:dyDescent="0.25">
      <c r="A540" s="5">
        <v>44053</v>
      </c>
      <c r="B540">
        <v>8.5339999999999999E-2</v>
      </c>
      <c r="C540">
        <v>8.566E-2</v>
      </c>
      <c r="D540">
        <v>7.5999999999999998E-2</v>
      </c>
      <c r="E540">
        <v>8.4589999999999999E-2</v>
      </c>
      <c r="F540">
        <v>15251476.6</v>
      </c>
      <c r="G540">
        <v>0</v>
      </c>
      <c r="L540" t="s">
        <v>7</v>
      </c>
      <c r="M540" t="s">
        <v>8</v>
      </c>
      <c r="N540" t="s">
        <v>8</v>
      </c>
      <c r="P540">
        <f t="shared" si="984"/>
        <v>0.77846790890269124</v>
      </c>
      <c r="Q540">
        <f t="shared" si="985"/>
        <v>11872785.096480327</v>
      </c>
      <c r="R540">
        <f t="shared" si="986"/>
        <v>-85191186.794754371</v>
      </c>
      <c r="S540">
        <f t="shared" si="987"/>
        <v>-851.91186794754367</v>
      </c>
      <c r="T540">
        <f t="shared" si="988"/>
        <v>-0.8519118679475437</v>
      </c>
    </row>
    <row r="541" spans="1:20" x14ac:dyDescent="0.25">
      <c r="A541" s="5">
        <v>44052</v>
      </c>
      <c r="B541">
        <v>8.5599999999999996E-2</v>
      </c>
      <c r="C541">
        <v>8.7470000000000006E-2</v>
      </c>
      <c r="D541">
        <v>8.1900000000000001E-2</v>
      </c>
      <c r="E541">
        <v>8.5250000000000006E-2</v>
      </c>
      <c r="F541">
        <v>11292387.9</v>
      </c>
      <c r="G541">
        <v>0</v>
      </c>
      <c r="L541" t="s">
        <v>8</v>
      </c>
      <c r="M541" t="s">
        <v>8</v>
      </c>
      <c r="N541" t="s">
        <v>8</v>
      </c>
      <c r="P541">
        <f t="shared" si="984"/>
        <v>0.20287253141831327</v>
      </c>
      <c r="Q541">
        <f t="shared" si="985"/>
        <v>2290915.3190305308</v>
      </c>
      <c r="R541">
        <f t="shared" si="986"/>
        <v>-97063971.891234696</v>
      </c>
      <c r="S541">
        <f t="shared" si="987"/>
        <v>-970.63971891234701</v>
      </c>
      <c r="T541">
        <f t="shared" si="988"/>
        <v>-0.97063971891234702</v>
      </c>
    </row>
    <row r="542" spans="1:20" x14ac:dyDescent="0.25">
      <c r="A542" s="5">
        <v>44051</v>
      </c>
      <c r="B542">
        <v>7.6899999999999996E-2</v>
      </c>
      <c r="C542">
        <v>8.6499999999999994E-2</v>
      </c>
      <c r="D542">
        <v>7.5819999999999999E-2</v>
      </c>
      <c r="E542">
        <v>8.5599999999999996E-2</v>
      </c>
      <c r="F542">
        <v>13741930.9</v>
      </c>
      <c r="G542">
        <v>0</v>
      </c>
      <c r="L542" t="s">
        <v>8</v>
      </c>
      <c r="M542" t="s">
        <v>7</v>
      </c>
      <c r="N542" t="s">
        <v>8</v>
      </c>
      <c r="P542">
        <f t="shared" si="984"/>
        <v>0.83146067415730363</v>
      </c>
      <c r="Q542">
        <f t="shared" si="985"/>
        <v>11425875.130337082</v>
      </c>
      <c r="R542">
        <f t="shared" si="986"/>
        <v>-99354887.210265219</v>
      </c>
      <c r="S542">
        <f t="shared" si="987"/>
        <v>-993.54887210265224</v>
      </c>
      <c r="T542">
        <f t="shared" si="988"/>
        <v>-0.99354887210265219</v>
      </c>
    </row>
    <row r="543" spans="1:20" x14ac:dyDescent="0.25">
      <c r="A543" s="5">
        <v>44050</v>
      </c>
      <c r="B543">
        <v>7.7869999999999995E-2</v>
      </c>
      <c r="C543">
        <v>7.9969999999999999E-2</v>
      </c>
      <c r="D543">
        <v>7.3330000000000006E-2</v>
      </c>
      <c r="E543">
        <v>7.6469999999999996E-2</v>
      </c>
      <c r="F543">
        <v>11558716.800000001</v>
      </c>
      <c r="G543">
        <v>0</v>
      </c>
      <c r="L543" t="s">
        <v>7</v>
      </c>
      <c r="M543" t="s">
        <v>7</v>
      </c>
      <c r="N543" t="s">
        <v>8</v>
      </c>
      <c r="P543">
        <f t="shared" si="984"/>
        <v>-5.4216867469881545E-2</v>
      </c>
      <c r="Q543">
        <f t="shared" si="985"/>
        <v>-626677.4168674933</v>
      </c>
      <c r="R543">
        <f t="shared" si="986"/>
        <v>-110780762.34060231</v>
      </c>
      <c r="S543">
        <f t="shared" si="987"/>
        <v>-1107.8076234060231</v>
      </c>
      <c r="T543">
        <f t="shared" si="988"/>
        <v>-1.1078076234060232</v>
      </c>
    </row>
    <row r="544" spans="1:20" x14ac:dyDescent="0.25">
      <c r="A544" s="5">
        <v>44049</v>
      </c>
      <c r="B544">
        <v>7.4800000000000005E-2</v>
      </c>
      <c r="C544">
        <v>8.7499999999999994E-2</v>
      </c>
      <c r="D544">
        <v>7.4569999999999997E-2</v>
      </c>
      <c r="E544">
        <v>7.7869999999999995E-2</v>
      </c>
      <c r="F544">
        <v>19190996.5</v>
      </c>
      <c r="G544">
        <v>0</v>
      </c>
      <c r="L544" t="s">
        <v>8</v>
      </c>
      <c r="M544" t="s">
        <v>8</v>
      </c>
      <c r="N544" t="s">
        <v>8</v>
      </c>
      <c r="P544">
        <f t="shared" si="984"/>
        <v>-0.48955916473317895</v>
      </c>
      <c r="Q544">
        <f t="shared" si="985"/>
        <v>-9395128.2169373613</v>
      </c>
      <c r="R544">
        <f t="shared" si="986"/>
        <v>-110154084.92373481</v>
      </c>
      <c r="S544">
        <f t="shared" si="987"/>
        <v>-1101.5408492373481</v>
      </c>
      <c r="T544">
        <f t="shared" si="988"/>
        <v>-1.1015408492373482</v>
      </c>
    </row>
    <row r="545" spans="1:20" x14ac:dyDescent="0.25">
      <c r="A545" s="5">
        <v>44048</v>
      </c>
      <c r="B545">
        <v>7.46E-2</v>
      </c>
      <c r="C545">
        <v>7.5829999999999995E-2</v>
      </c>
      <c r="D545">
        <v>7.1800000000000003E-2</v>
      </c>
      <c r="E545">
        <v>7.46E-2</v>
      </c>
      <c r="F545">
        <v>6964229.2000000002</v>
      </c>
      <c r="G545">
        <v>0</v>
      </c>
      <c r="L545" t="s">
        <v>7</v>
      </c>
      <c r="M545" t="s">
        <v>8</v>
      </c>
      <c r="N545" t="s">
        <v>8</v>
      </c>
      <c r="P545">
        <f t="shared" si="984"/>
        <v>0.38957816377171345</v>
      </c>
      <c r="Q545">
        <f t="shared" si="985"/>
        <v>2713111.6238213489</v>
      </c>
      <c r="R545">
        <f t="shared" si="986"/>
        <v>-100758956.70679745</v>
      </c>
      <c r="S545">
        <f t="shared" si="987"/>
        <v>-1007.5895670679745</v>
      </c>
      <c r="T545">
        <f t="shared" si="988"/>
        <v>-1.0075895670679744</v>
      </c>
    </row>
    <row r="546" spans="1:20" x14ac:dyDescent="0.25">
      <c r="A546" s="5">
        <v>44047</v>
      </c>
      <c r="B546">
        <v>7.2599999999999998E-2</v>
      </c>
      <c r="C546">
        <v>7.6999999999999999E-2</v>
      </c>
      <c r="D546">
        <v>7.0980000000000001E-2</v>
      </c>
      <c r="E546">
        <v>7.4709999999999999E-2</v>
      </c>
      <c r="F546">
        <v>12211803.9</v>
      </c>
      <c r="G546">
        <v>0</v>
      </c>
      <c r="L546" t="s">
        <v>7</v>
      </c>
      <c r="M546" t="s">
        <v>8</v>
      </c>
      <c r="N546" t="s">
        <v>8</v>
      </c>
      <c r="P546">
        <f t="shared" si="984"/>
        <v>0.23920265780730854</v>
      </c>
      <c r="Q546">
        <f t="shared" si="985"/>
        <v>2921095.949501656</v>
      </c>
      <c r="R546">
        <f t="shared" si="986"/>
        <v>-103472068.3306188</v>
      </c>
      <c r="S546">
        <f t="shared" si="987"/>
        <v>-1034.720683306188</v>
      </c>
      <c r="T546">
        <f t="shared" si="988"/>
        <v>-1.0347206833061879</v>
      </c>
    </row>
    <row r="547" spans="1:20" x14ac:dyDescent="0.25">
      <c r="A547" s="5">
        <v>44046</v>
      </c>
      <c r="B547">
        <v>6.3339999999999994E-2</v>
      </c>
      <c r="C547">
        <v>8.054E-2</v>
      </c>
      <c r="D547">
        <v>6.3100000000000003E-2</v>
      </c>
      <c r="E547">
        <v>7.2419999999999998E-2</v>
      </c>
      <c r="F547">
        <v>22151652.100000001</v>
      </c>
      <c r="G547">
        <v>0</v>
      </c>
      <c r="L547" t="s">
        <v>8</v>
      </c>
      <c r="M547" t="s">
        <v>8</v>
      </c>
      <c r="N547" t="s">
        <v>8</v>
      </c>
      <c r="P547">
        <f t="shared" si="984"/>
        <v>6.8807339449540886E-2</v>
      </c>
      <c r="Q547">
        <f t="shared" si="985"/>
        <v>1524196.2454128354</v>
      </c>
      <c r="R547">
        <f t="shared" si="986"/>
        <v>-106393164.28012046</v>
      </c>
      <c r="S547">
        <f t="shared" si="987"/>
        <v>-1063.9316428012046</v>
      </c>
      <c r="T547">
        <f t="shared" si="988"/>
        <v>-1.0639316428012047</v>
      </c>
    </row>
    <row r="548" spans="1:20" x14ac:dyDescent="0.25">
      <c r="A548" s="5">
        <v>44045</v>
      </c>
      <c r="B548">
        <v>6.5729999999999997E-2</v>
      </c>
      <c r="C548">
        <v>6.6489999999999994E-2</v>
      </c>
      <c r="D548">
        <v>6.0010000000000001E-2</v>
      </c>
      <c r="E548">
        <v>6.3519999999999993E-2</v>
      </c>
      <c r="F548">
        <v>6153509</v>
      </c>
      <c r="G548">
        <v>0</v>
      </c>
      <c r="L548" t="s">
        <v>7</v>
      </c>
      <c r="M548" t="s">
        <v>7</v>
      </c>
      <c r="N548" t="s">
        <v>7</v>
      </c>
      <c r="P548">
        <f t="shared" si="984"/>
        <v>8.3333333333332177E-2</v>
      </c>
      <c r="Q548">
        <f t="shared" si="985"/>
        <v>512792.41666665953</v>
      </c>
      <c r="R548">
        <f t="shared" si="986"/>
        <v>-107917360.5255333</v>
      </c>
      <c r="S548">
        <f t="shared" si="987"/>
        <v>-1079.1736052553331</v>
      </c>
      <c r="T548">
        <f t="shared" si="988"/>
        <v>-1.0791736052553331</v>
      </c>
    </row>
    <row r="549" spans="1:20" x14ac:dyDescent="0.25">
      <c r="A549" s="5">
        <v>44044</v>
      </c>
      <c r="B549">
        <v>6.7269999999999996E-2</v>
      </c>
      <c r="C549">
        <v>7.0459999999999995E-2</v>
      </c>
      <c r="D549">
        <v>6.5100000000000005E-2</v>
      </c>
      <c r="E549">
        <v>6.5579999999999999E-2</v>
      </c>
      <c r="F549">
        <v>7529187.5999999996</v>
      </c>
      <c r="G549">
        <v>0</v>
      </c>
      <c r="L549" t="s">
        <v>7</v>
      </c>
      <c r="M549" t="s">
        <v>8</v>
      </c>
      <c r="N549" t="s">
        <v>7</v>
      </c>
      <c r="P549">
        <f t="shared" si="984"/>
        <v>-0.82089552238806152</v>
      </c>
      <c r="Q549">
        <f t="shared" si="985"/>
        <v>-6180676.3880597148</v>
      </c>
      <c r="R549">
        <f t="shared" si="986"/>
        <v>-108430152.94219996</v>
      </c>
      <c r="S549">
        <f t="shared" si="987"/>
        <v>-1084.3015294219997</v>
      </c>
      <c r="T549">
        <f t="shared" si="988"/>
        <v>-1.0843015294219998</v>
      </c>
    </row>
    <row r="550" spans="1:20" x14ac:dyDescent="0.25">
      <c r="A550" s="5">
        <v>44043</v>
      </c>
      <c r="B550">
        <v>6.7900000000000002E-2</v>
      </c>
      <c r="C550">
        <v>7.4270000000000003E-2</v>
      </c>
      <c r="D550">
        <v>6.5839999999999996E-2</v>
      </c>
      <c r="E550">
        <v>6.7229999999999998E-2</v>
      </c>
      <c r="F550">
        <v>11269459.300000001</v>
      </c>
      <c r="G550">
        <v>0</v>
      </c>
      <c r="L550" t="s">
        <v>8</v>
      </c>
      <c r="M550" t="s">
        <v>8</v>
      </c>
      <c r="N550" t="s">
        <v>7</v>
      </c>
      <c r="P550">
        <f t="shared" si="984"/>
        <v>-0.67022538552787636</v>
      </c>
      <c r="Q550">
        <f t="shared" si="985"/>
        <v>-7553077.7040332118</v>
      </c>
      <c r="R550">
        <f t="shared" si="986"/>
        <v>-102249476.55414024</v>
      </c>
      <c r="S550">
        <f t="shared" si="987"/>
        <v>-1022.4947655414024</v>
      </c>
      <c r="T550">
        <f t="shared" si="988"/>
        <v>-1.0224947655414025</v>
      </c>
    </row>
    <row r="551" spans="1:20" x14ac:dyDescent="0.25">
      <c r="A551" s="5">
        <v>44042</v>
      </c>
      <c r="B551">
        <v>6.3229999999999995E-2</v>
      </c>
      <c r="C551">
        <v>6.9769999999999999E-2</v>
      </c>
      <c r="D551">
        <v>6.2210000000000001E-2</v>
      </c>
      <c r="E551">
        <v>6.7710000000000006E-2</v>
      </c>
      <c r="F551">
        <v>6794810.0999999996</v>
      </c>
      <c r="G551">
        <v>0</v>
      </c>
      <c r="L551" t="s">
        <v>8</v>
      </c>
      <c r="M551" t="s">
        <v>8</v>
      </c>
      <c r="N551" t="s">
        <v>7</v>
      </c>
      <c r="P551">
        <f t="shared" si="984"/>
        <v>0.45502645502645683</v>
      </c>
      <c r="Q551">
        <f t="shared" si="985"/>
        <v>3091818.3523809644</v>
      </c>
      <c r="R551">
        <f t="shared" si="986"/>
        <v>-94696398.850107029</v>
      </c>
      <c r="S551">
        <f t="shared" si="987"/>
        <v>-946.96398850107028</v>
      </c>
      <c r="T551">
        <f t="shared" si="988"/>
        <v>-0.94696398850107033</v>
      </c>
    </row>
    <row r="552" spans="1:20" x14ac:dyDescent="0.25">
      <c r="A552" s="5">
        <v>44041</v>
      </c>
      <c r="B552">
        <v>6.6909999999999997E-2</v>
      </c>
      <c r="C552">
        <v>6.7989999999999995E-2</v>
      </c>
      <c r="D552">
        <v>6.1760000000000002E-2</v>
      </c>
      <c r="E552">
        <v>6.3390000000000002E-2</v>
      </c>
      <c r="F552">
        <v>5827077.5</v>
      </c>
      <c r="G552">
        <v>0</v>
      </c>
      <c r="L552" t="s">
        <v>7</v>
      </c>
      <c r="M552" t="s">
        <v>8</v>
      </c>
      <c r="N552" t="s">
        <v>7</v>
      </c>
      <c r="P552">
        <f t="shared" si="984"/>
        <v>-0.4767255216693414</v>
      </c>
      <c r="Q552">
        <f t="shared" si="985"/>
        <v>-2777916.5609951816</v>
      </c>
      <c r="R552">
        <f t="shared" si="986"/>
        <v>-97788217.20248799</v>
      </c>
      <c r="S552">
        <f t="shared" si="987"/>
        <v>-977.88217202487988</v>
      </c>
      <c r="T552">
        <f t="shared" si="988"/>
        <v>-0.97788217202487993</v>
      </c>
    </row>
    <row r="553" spans="1:20" x14ac:dyDescent="0.25">
      <c r="A553" s="5">
        <v>44040</v>
      </c>
      <c r="B553">
        <v>6.3020000000000007E-2</v>
      </c>
      <c r="C553">
        <v>6.9409999999999999E-2</v>
      </c>
      <c r="D553">
        <v>6.2210000000000001E-2</v>
      </c>
      <c r="E553">
        <v>6.6650000000000001E-2</v>
      </c>
      <c r="F553">
        <v>7028289</v>
      </c>
      <c r="G553">
        <v>0</v>
      </c>
      <c r="L553" t="s">
        <v>8</v>
      </c>
      <c r="M553" t="s">
        <v>8</v>
      </c>
      <c r="N553" t="s">
        <v>7</v>
      </c>
      <c r="P553">
        <f t="shared" si="984"/>
        <v>0.23333333333333353</v>
      </c>
      <c r="Q553">
        <f t="shared" si="985"/>
        <v>1639934.1000000015</v>
      </c>
      <c r="R553">
        <f t="shared" si="986"/>
        <v>-95010300.641492814</v>
      </c>
      <c r="S553">
        <f t="shared" si="987"/>
        <v>-950.10300641492813</v>
      </c>
      <c r="T553">
        <f t="shared" si="988"/>
        <v>-0.95010300641492818</v>
      </c>
    </row>
    <row r="554" spans="1:20" x14ac:dyDescent="0.25">
      <c r="A554" s="5">
        <v>44039</v>
      </c>
      <c r="B554">
        <v>7.1129999999999999E-2</v>
      </c>
      <c r="C554">
        <v>7.1480000000000002E-2</v>
      </c>
      <c r="D554">
        <v>5.6469999999999999E-2</v>
      </c>
      <c r="E554">
        <v>6.2969999999999998E-2</v>
      </c>
      <c r="F554">
        <v>19548627.5</v>
      </c>
      <c r="G554">
        <v>0</v>
      </c>
      <c r="L554" t="s">
        <v>7</v>
      </c>
      <c r="M554" t="s">
        <v>7</v>
      </c>
      <c r="N554" t="s">
        <v>7</v>
      </c>
      <c r="P554">
        <f t="shared" si="984"/>
        <v>-0.13391072618254526</v>
      </c>
      <c r="Q554">
        <f t="shared" si="985"/>
        <v>-2617770.9043970746</v>
      </c>
      <c r="R554">
        <f t="shared" si="986"/>
        <v>-96650234.741492823</v>
      </c>
      <c r="S554">
        <f t="shared" si="987"/>
        <v>-966.50234741492818</v>
      </c>
      <c r="T554">
        <f t="shared" si="988"/>
        <v>-0.96650234741492813</v>
      </c>
    </row>
    <row r="555" spans="1:20" x14ac:dyDescent="0.25">
      <c r="A555" s="5">
        <v>44038</v>
      </c>
      <c r="B555">
        <v>7.5819999999999999E-2</v>
      </c>
      <c r="C555">
        <v>7.8130000000000005E-2</v>
      </c>
      <c r="D555">
        <v>6.6089999999999996E-2</v>
      </c>
      <c r="E555">
        <v>7.1120000000000003E-2</v>
      </c>
      <c r="F555">
        <v>12145434.4</v>
      </c>
      <c r="G555">
        <v>0</v>
      </c>
      <c r="L555" t="s">
        <v>7</v>
      </c>
      <c r="M555" t="s">
        <v>7</v>
      </c>
      <c r="N555" t="s">
        <v>8</v>
      </c>
      <c r="P555">
        <f t="shared" si="984"/>
        <v>-0.16445182724252444</v>
      </c>
      <c r="Q555">
        <f t="shared" si="985"/>
        <v>-1997338.8797342135</v>
      </c>
      <c r="R555">
        <f t="shared" si="986"/>
        <v>-94032463.837095752</v>
      </c>
      <c r="S555">
        <f t="shared" si="987"/>
        <v>-940.32463837095747</v>
      </c>
      <c r="T555">
        <f t="shared" si="988"/>
        <v>-0.94032463837095748</v>
      </c>
    </row>
    <row r="556" spans="1:20" x14ac:dyDescent="0.25">
      <c r="A556" s="5">
        <v>44037</v>
      </c>
      <c r="B556">
        <v>7.374E-2</v>
      </c>
      <c r="C556">
        <v>8.3489999999999995E-2</v>
      </c>
      <c r="D556">
        <v>7.3130000000000001E-2</v>
      </c>
      <c r="E556">
        <v>7.5950000000000004E-2</v>
      </c>
      <c r="F556">
        <v>10866118.1</v>
      </c>
      <c r="G556">
        <v>0</v>
      </c>
      <c r="L556" t="s">
        <v>8</v>
      </c>
      <c r="M556" t="s">
        <v>8</v>
      </c>
      <c r="N556" t="s">
        <v>8</v>
      </c>
      <c r="P556">
        <f t="shared" si="984"/>
        <v>-0.45559845559845469</v>
      </c>
      <c r="Q556">
        <f t="shared" si="985"/>
        <v>-4950586.6247104146</v>
      </c>
      <c r="R556">
        <f t="shared" si="986"/>
        <v>-92035124.957361534</v>
      </c>
      <c r="S556">
        <f t="shared" si="987"/>
        <v>-920.35124957361529</v>
      </c>
      <c r="T556">
        <f t="shared" si="988"/>
        <v>-0.92035124957361525</v>
      </c>
    </row>
    <row r="557" spans="1:20" x14ac:dyDescent="0.25">
      <c r="A557" s="5">
        <v>44036</v>
      </c>
      <c r="B557">
        <v>7.4800000000000005E-2</v>
      </c>
      <c r="C557">
        <v>7.7960000000000002E-2</v>
      </c>
      <c r="D557">
        <v>7.2300000000000003E-2</v>
      </c>
      <c r="E557">
        <v>7.374E-2</v>
      </c>
      <c r="F557">
        <v>5782737.2999999998</v>
      </c>
      <c r="G557">
        <v>0</v>
      </c>
      <c r="L557" t="s">
        <v>7</v>
      </c>
      <c r="M557" t="s">
        <v>8</v>
      </c>
      <c r="N557" t="s">
        <v>8</v>
      </c>
      <c r="P557">
        <f t="shared" si="984"/>
        <v>-0.49116607773851689</v>
      </c>
      <c r="Q557">
        <f t="shared" si="985"/>
        <v>-2840284.3982332214</v>
      </c>
      <c r="R557">
        <f t="shared" si="986"/>
        <v>-87084538.332651123</v>
      </c>
      <c r="S557">
        <f t="shared" si="987"/>
        <v>-870.84538332651118</v>
      </c>
      <c r="T557">
        <f t="shared" si="988"/>
        <v>-0.87084538332651118</v>
      </c>
    </row>
    <row r="558" spans="1:20" x14ac:dyDescent="0.25">
      <c r="A558" s="5">
        <v>44035</v>
      </c>
      <c r="B558">
        <v>7.8E-2</v>
      </c>
      <c r="C558">
        <v>7.9009999999999997E-2</v>
      </c>
      <c r="D558">
        <v>7.4099999999999999E-2</v>
      </c>
      <c r="E558">
        <v>7.492E-2</v>
      </c>
      <c r="F558">
        <v>10632441</v>
      </c>
      <c r="G558">
        <v>0</v>
      </c>
      <c r="L558" t="s">
        <v>7</v>
      </c>
      <c r="M558" t="s">
        <v>8</v>
      </c>
      <c r="N558" t="s">
        <v>8</v>
      </c>
      <c r="P558">
        <f t="shared" si="984"/>
        <v>-0.66598778004073256</v>
      </c>
      <c r="Q558">
        <f t="shared" si="985"/>
        <v>-7081075.7780040661</v>
      </c>
      <c r="R558">
        <f t="shared" si="986"/>
        <v>-84244253.934417903</v>
      </c>
      <c r="S558">
        <f t="shared" si="987"/>
        <v>-842.44253934417907</v>
      </c>
      <c r="T558">
        <f t="shared" si="988"/>
        <v>-0.84244253934417912</v>
      </c>
    </row>
    <row r="559" spans="1:20" x14ac:dyDescent="0.25">
      <c r="A559" s="5">
        <v>44034</v>
      </c>
      <c r="B559">
        <v>7.8009999999999996E-2</v>
      </c>
      <c r="C559">
        <v>8.5980000000000001E-2</v>
      </c>
      <c r="D559">
        <v>7.6939999999999995E-2</v>
      </c>
      <c r="E559">
        <v>7.8060000000000004E-2</v>
      </c>
      <c r="F559">
        <v>17917676.199999999</v>
      </c>
      <c r="G559">
        <v>0</v>
      </c>
      <c r="L559" t="s">
        <v>8</v>
      </c>
      <c r="M559" t="s">
        <v>8</v>
      </c>
      <c r="N559" t="s">
        <v>8</v>
      </c>
      <c r="P559">
        <f t="shared" si="984"/>
        <v>-0.75221238938052892</v>
      </c>
      <c r="Q559">
        <f t="shared" si="985"/>
        <v>-13477898.026548635</v>
      </c>
      <c r="R559">
        <f t="shared" si="986"/>
        <v>-77163178.156413838</v>
      </c>
      <c r="S559">
        <f t="shared" si="987"/>
        <v>-771.63178156413835</v>
      </c>
      <c r="T559">
        <f t="shared" si="988"/>
        <v>-0.77163178156413836</v>
      </c>
    </row>
    <row r="560" spans="1:20" x14ac:dyDescent="0.25">
      <c r="A560" s="5">
        <v>44033</v>
      </c>
      <c r="B560">
        <v>7.2980000000000003E-2</v>
      </c>
      <c r="C560">
        <v>7.843E-2</v>
      </c>
      <c r="D560">
        <v>6.9370000000000001E-2</v>
      </c>
      <c r="E560">
        <v>7.8039999999999998E-2</v>
      </c>
      <c r="F560">
        <v>12765763.800000001</v>
      </c>
      <c r="G560">
        <v>0</v>
      </c>
      <c r="L560" t="s">
        <v>7</v>
      </c>
      <c r="M560" t="s">
        <v>8</v>
      </c>
      <c r="N560" t="s">
        <v>8</v>
      </c>
      <c r="P560">
        <f t="shared" si="984"/>
        <v>0.91390728476821159</v>
      </c>
      <c r="Q560">
        <f t="shared" si="985"/>
        <v>11666724.532450328</v>
      </c>
      <c r="R560">
        <f t="shared" si="986"/>
        <v>-63685280.129865207</v>
      </c>
      <c r="S560">
        <f t="shared" si="987"/>
        <v>-636.85280129865203</v>
      </c>
      <c r="T560">
        <f t="shared" si="988"/>
        <v>-0.63685280129865207</v>
      </c>
    </row>
    <row r="561" spans="1:104" x14ac:dyDescent="0.25">
      <c r="A561" s="5">
        <v>44032</v>
      </c>
      <c r="B561">
        <v>6.7629999999999996E-2</v>
      </c>
      <c r="C561">
        <v>0.08</v>
      </c>
      <c r="D561">
        <v>6.7629999999999996E-2</v>
      </c>
      <c r="E561">
        <v>7.2980000000000003E-2</v>
      </c>
      <c r="F561">
        <v>19252322.600000001</v>
      </c>
      <c r="G561">
        <v>0</v>
      </c>
      <c r="L561" t="s">
        <v>8</v>
      </c>
      <c r="M561" t="s">
        <v>8</v>
      </c>
      <c r="N561" t="s">
        <v>8</v>
      </c>
      <c r="P561">
        <f t="shared" si="984"/>
        <v>-0.13500404203718594</v>
      </c>
      <c r="Q561">
        <f t="shared" si="985"/>
        <v>-2599141.3696038653</v>
      </c>
      <c r="R561">
        <f t="shared" si="986"/>
        <v>-75352004.662315533</v>
      </c>
      <c r="S561">
        <f t="shared" si="987"/>
        <v>-753.52004662315528</v>
      </c>
      <c r="T561">
        <f t="shared" si="988"/>
        <v>-0.7535200466231553</v>
      </c>
      <c r="CZ561" t="s">
        <v>7</v>
      </c>
    </row>
    <row r="562" spans="1:104" x14ac:dyDescent="0.25">
      <c r="A562" s="5">
        <v>44031</v>
      </c>
      <c r="B562">
        <v>6.7199999999999996E-2</v>
      </c>
      <c r="C562">
        <v>7.0180000000000006E-2</v>
      </c>
      <c r="D562">
        <v>6.4729999999999996E-2</v>
      </c>
      <c r="E562">
        <v>6.7629999999999996E-2</v>
      </c>
      <c r="F562">
        <v>7902240.2999999998</v>
      </c>
      <c r="G562">
        <v>0</v>
      </c>
      <c r="L562" t="s">
        <v>7</v>
      </c>
      <c r="M562" t="s">
        <v>7</v>
      </c>
      <c r="N562" t="s">
        <v>8</v>
      </c>
      <c r="P562">
        <f t="shared" si="984"/>
        <v>6.4220183486236426E-2</v>
      </c>
      <c r="Q562">
        <f t="shared" si="985"/>
        <v>507483.32201833196</v>
      </c>
      <c r="R562">
        <f t="shared" si="986"/>
        <v>-72752863.29271166</v>
      </c>
      <c r="S562">
        <f t="shared" si="987"/>
        <v>-727.52863292711663</v>
      </c>
      <c r="T562">
        <f t="shared" si="988"/>
        <v>-0.72752863292711667</v>
      </c>
      <c r="CZ562" t="s">
        <v>7</v>
      </c>
    </row>
    <row r="563" spans="1:104" x14ac:dyDescent="0.25">
      <c r="A563" s="5">
        <v>44030</v>
      </c>
      <c r="B563">
        <v>6.3799999999999996E-2</v>
      </c>
      <c r="C563">
        <v>6.9260000000000002E-2</v>
      </c>
      <c r="D563">
        <v>6.25E-2</v>
      </c>
      <c r="E563">
        <v>6.7250000000000004E-2</v>
      </c>
      <c r="F563">
        <v>8214050.2000000002</v>
      </c>
      <c r="G563">
        <v>0</v>
      </c>
      <c r="L563" t="s">
        <v>8</v>
      </c>
      <c r="M563" t="s">
        <v>7</v>
      </c>
      <c r="N563" t="s">
        <v>8</v>
      </c>
      <c r="P563">
        <f t="shared" si="984"/>
        <v>0.40532544378698304</v>
      </c>
      <c r="Q563">
        <f t="shared" si="985"/>
        <v>3329363.542603557</v>
      </c>
      <c r="R563">
        <f t="shared" si="986"/>
        <v>-73260346.614729986</v>
      </c>
      <c r="S563">
        <f t="shared" si="987"/>
        <v>-732.60346614729986</v>
      </c>
      <c r="T563">
        <f t="shared" si="988"/>
        <v>-0.73260346614729988</v>
      </c>
      <c r="CZ563" t="s">
        <v>7</v>
      </c>
    </row>
    <row r="564" spans="1:104" x14ac:dyDescent="0.25">
      <c r="A564" s="5">
        <v>44029</v>
      </c>
      <c r="B564">
        <v>6.3710000000000003E-2</v>
      </c>
      <c r="C564">
        <v>6.6280000000000006E-2</v>
      </c>
      <c r="D564">
        <v>6.1069999999999999E-2</v>
      </c>
      <c r="E564">
        <v>6.3810000000000006E-2</v>
      </c>
      <c r="F564">
        <v>7170077.9000000004</v>
      </c>
      <c r="G564">
        <v>0</v>
      </c>
      <c r="L564" t="s">
        <v>8</v>
      </c>
      <c r="M564" t="s">
        <v>7</v>
      </c>
      <c r="N564" t="s">
        <v>8</v>
      </c>
      <c r="P564">
        <f t="shared" si="984"/>
        <v>5.1823416506719004E-2</v>
      </c>
      <c r="Q564">
        <f t="shared" si="985"/>
        <v>371577.93339732115</v>
      </c>
      <c r="R564">
        <f t="shared" si="986"/>
        <v>-76589710.157333538</v>
      </c>
      <c r="S564">
        <f t="shared" si="987"/>
        <v>-765.89710157333536</v>
      </c>
      <c r="T564">
        <f t="shared" si="988"/>
        <v>-0.76589710157333535</v>
      </c>
    </row>
    <row r="565" spans="1:104" x14ac:dyDescent="0.25">
      <c r="A565" s="5">
        <v>44028</v>
      </c>
      <c r="B565">
        <v>6.6960000000000006E-2</v>
      </c>
      <c r="C565">
        <v>6.8250000000000005E-2</v>
      </c>
      <c r="D565">
        <v>0.06</v>
      </c>
      <c r="E565">
        <v>6.3710000000000003E-2</v>
      </c>
      <c r="F565">
        <v>10141216.1</v>
      </c>
      <c r="G565">
        <v>0</v>
      </c>
      <c r="L565" t="s">
        <v>7</v>
      </c>
      <c r="M565" t="s">
        <v>7</v>
      </c>
      <c r="N565" t="s">
        <v>8</v>
      </c>
      <c r="P565">
        <f t="shared" si="984"/>
        <v>-0.1006060606060602</v>
      </c>
      <c r="Q565">
        <f t="shared" si="985"/>
        <v>-1020267.8015757534</v>
      </c>
      <c r="R565">
        <f t="shared" si="986"/>
        <v>-76961288.090730861</v>
      </c>
      <c r="S565">
        <f t="shared" si="987"/>
        <v>-769.61288090730864</v>
      </c>
      <c r="T565">
        <f t="shared" si="988"/>
        <v>-0.76961288090730862</v>
      </c>
    </row>
    <row r="566" spans="1:104" x14ac:dyDescent="0.25">
      <c r="A566" s="5">
        <v>44027</v>
      </c>
      <c r="B566">
        <v>6.5629999999999994E-2</v>
      </c>
      <c r="C566">
        <v>7.1970000000000006E-2</v>
      </c>
      <c r="D566">
        <v>6.5629999999999994E-2</v>
      </c>
      <c r="E566">
        <v>6.6979999999999998E-2</v>
      </c>
      <c r="F566">
        <v>8526134.5</v>
      </c>
      <c r="G566">
        <v>0</v>
      </c>
      <c r="L566" t="s">
        <v>8</v>
      </c>
      <c r="M566" t="s">
        <v>7</v>
      </c>
      <c r="N566" t="s">
        <v>8</v>
      </c>
      <c r="P566">
        <f t="shared" si="984"/>
        <v>-0.57413249211356421</v>
      </c>
      <c r="Q566">
        <f t="shared" si="985"/>
        <v>-4895130.8485804377</v>
      </c>
      <c r="R566">
        <f t="shared" si="986"/>
        <v>-75941020.289155111</v>
      </c>
      <c r="S566">
        <f t="shared" si="987"/>
        <v>-759.41020289155108</v>
      </c>
      <c r="T566">
        <f t="shared" si="988"/>
        <v>-0.75941020289155103</v>
      </c>
    </row>
    <row r="567" spans="1:104" x14ac:dyDescent="0.25">
      <c r="A567" s="5">
        <v>44026</v>
      </c>
      <c r="B567">
        <v>7.0269999999999999E-2</v>
      </c>
      <c r="C567">
        <v>7.0980000000000001E-2</v>
      </c>
      <c r="D567">
        <v>6.3649999999999998E-2</v>
      </c>
      <c r="E567">
        <v>6.5629999999999994E-2</v>
      </c>
      <c r="F567">
        <v>9481142.5999999996</v>
      </c>
      <c r="G567">
        <v>0</v>
      </c>
      <c r="L567" t="s">
        <v>7</v>
      </c>
      <c r="M567" t="s">
        <v>7</v>
      </c>
      <c r="N567" t="s">
        <v>8</v>
      </c>
      <c r="P567">
        <f t="shared" si="984"/>
        <v>-0.45975443383356213</v>
      </c>
      <c r="Q567">
        <f t="shared" si="985"/>
        <v>-4358997.3481582673</v>
      </c>
      <c r="R567">
        <f t="shared" si="986"/>
        <v>-71045889.440574676</v>
      </c>
      <c r="S567">
        <f t="shared" si="987"/>
        <v>-710.45889440574672</v>
      </c>
      <c r="T567">
        <f t="shared" si="988"/>
        <v>-0.71045889440574672</v>
      </c>
    </row>
    <row r="568" spans="1:104" x14ac:dyDescent="0.25">
      <c r="A568" s="5">
        <v>44025</v>
      </c>
      <c r="B568">
        <v>7.0319999999999994E-2</v>
      </c>
      <c r="C568">
        <v>7.2300000000000003E-2</v>
      </c>
      <c r="D568">
        <v>6.5100000000000005E-2</v>
      </c>
      <c r="E568">
        <v>6.9900000000000004E-2</v>
      </c>
      <c r="F568">
        <v>8518620.6999999993</v>
      </c>
      <c r="G568">
        <v>0</v>
      </c>
      <c r="L568" t="s">
        <v>7</v>
      </c>
      <c r="M568" t="s">
        <v>8</v>
      </c>
      <c r="N568" t="s">
        <v>8</v>
      </c>
      <c r="P568">
        <f t="shared" si="984"/>
        <v>0.33333333333333331</v>
      </c>
      <c r="Q568">
        <f t="shared" si="985"/>
        <v>2839540.2333333329</v>
      </c>
      <c r="R568">
        <f t="shared" si="986"/>
        <v>-66686892.092416406</v>
      </c>
      <c r="S568">
        <f t="shared" si="987"/>
        <v>-666.86892092416406</v>
      </c>
      <c r="T568">
        <f t="shared" si="988"/>
        <v>-0.66686892092416405</v>
      </c>
    </row>
    <row r="569" spans="1:104" x14ac:dyDescent="0.25">
      <c r="A569" s="5">
        <v>44024</v>
      </c>
      <c r="B569">
        <v>7.1300000000000002E-2</v>
      </c>
      <c r="C569">
        <v>7.6520000000000005E-2</v>
      </c>
      <c r="D569">
        <v>6.7559999999999995E-2</v>
      </c>
      <c r="E569">
        <v>7.0660000000000001E-2</v>
      </c>
      <c r="F569">
        <v>19114256.300000001</v>
      </c>
      <c r="G569">
        <v>0</v>
      </c>
      <c r="L569" t="s">
        <v>8</v>
      </c>
      <c r="M569" t="s">
        <v>8</v>
      </c>
      <c r="N569" t="s">
        <v>8</v>
      </c>
      <c r="P569">
        <f t="shared" si="984"/>
        <v>-0.3080357142857138</v>
      </c>
      <c r="Q569">
        <f t="shared" si="985"/>
        <v>-5887873.5924107051</v>
      </c>
      <c r="R569">
        <f t="shared" si="986"/>
        <v>-69526432.32574974</v>
      </c>
      <c r="S569">
        <f t="shared" si="987"/>
        <v>-695.26432325749738</v>
      </c>
      <c r="T569">
        <f t="shared" si="988"/>
        <v>-0.69526432325749743</v>
      </c>
    </row>
    <row r="570" spans="1:104" x14ac:dyDescent="0.25">
      <c r="A570" s="5">
        <v>44023</v>
      </c>
      <c r="B570">
        <v>6.5449999999999994E-2</v>
      </c>
      <c r="C570">
        <v>7.2800000000000004E-2</v>
      </c>
      <c r="D570">
        <v>6.2E-2</v>
      </c>
      <c r="E570">
        <v>7.1360000000000007E-2</v>
      </c>
      <c r="F570">
        <v>10383372.699999999</v>
      </c>
      <c r="G570">
        <v>0</v>
      </c>
      <c r="L570" t="s">
        <v>8</v>
      </c>
      <c r="M570" t="s">
        <v>8</v>
      </c>
      <c r="N570" t="s">
        <v>8</v>
      </c>
      <c r="P570">
        <f t="shared" si="984"/>
        <v>0.73333333333333406</v>
      </c>
      <c r="Q570">
        <f t="shared" si="985"/>
        <v>7614473.31333334</v>
      </c>
      <c r="R570">
        <f t="shared" si="986"/>
        <v>-63638558.733339034</v>
      </c>
      <c r="S570">
        <f t="shared" si="987"/>
        <v>-636.38558733339039</v>
      </c>
      <c r="T570">
        <f t="shared" si="988"/>
        <v>-0.63638558733339035</v>
      </c>
    </row>
    <row r="571" spans="1:104" x14ac:dyDescent="0.25">
      <c r="A571" s="5">
        <v>44022</v>
      </c>
      <c r="B571">
        <v>6.7280000000000006E-2</v>
      </c>
      <c r="C571">
        <v>6.7280000000000006E-2</v>
      </c>
      <c r="D571">
        <v>6.0830000000000002E-2</v>
      </c>
      <c r="E571">
        <v>6.565E-2</v>
      </c>
      <c r="F571">
        <v>9489208.0999999996</v>
      </c>
      <c r="G571">
        <v>0</v>
      </c>
      <c r="L571" t="s">
        <v>7</v>
      </c>
      <c r="M571" t="s">
        <v>7</v>
      </c>
      <c r="N571" t="s">
        <v>8</v>
      </c>
      <c r="P571">
        <f t="shared" si="984"/>
        <v>0.49457364341085108</v>
      </c>
      <c r="Q571">
        <f t="shared" si="985"/>
        <v>4693112.2231007591</v>
      </c>
      <c r="R571">
        <f t="shared" si="986"/>
        <v>-71253032.046672374</v>
      </c>
      <c r="S571">
        <f t="shared" si="987"/>
        <v>-712.53032046672377</v>
      </c>
      <c r="T571">
        <f t="shared" si="988"/>
        <v>-0.71253032046672371</v>
      </c>
    </row>
    <row r="572" spans="1:104" x14ac:dyDescent="0.25">
      <c r="A572" s="5">
        <v>44021</v>
      </c>
      <c r="B572">
        <v>6.9599999999999995E-2</v>
      </c>
      <c r="C572">
        <v>7.2260000000000005E-2</v>
      </c>
      <c r="D572">
        <v>6.2880000000000005E-2</v>
      </c>
      <c r="E572">
        <v>6.7419999999999994E-2</v>
      </c>
      <c r="F572">
        <v>23456832.100000001</v>
      </c>
      <c r="G572">
        <v>0</v>
      </c>
      <c r="L572" t="s">
        <v>8</v>
      </c>
      <c r="M572" t="s">
        <v>8</v>
      </c>
      <c r="N572" t="s">
        <v>8</v>
      </c>
      <c r="P572">
        <f t="shared" si="984"/>
        <v>-3.198294243070602E-2</v>
      </c>
      <c r="Q572">
        <f t="shared" si="985"/>
        <v>-750218.51066103706</v>
      </c>
      <c r="R572">
        <f t="shared" si="986"/>
        <v>-75946144.269773141</v>
      </c>
      <c r="S572">
        <f t="shared" si="987"/>
        <v>-759.4614426977314</v>
      </c>
      <c r="T572">
        <f t="shared" si="988"/>
        <v>-0.75946144269773141</v>
      </c>
    </row>
    <row r="573" spans="1:104" x14ac:dyDescent="0.25">
      <c r="A573" s="5">
        <v>44020</v>
      </c>
      <c r="B573">
        <v>5.6320000000000002E-2</v>
      </c>
      <c r="C573">
        <v>7.1370000000000003E-2</v>
      </c>
      <c r="D573">
        <v>5.5160000000000001E-2</v>
      </c>
      <c r="E573">
        <v>6.9599999999999995E-2</v>
      </c>
      <c r="F573">
        <v>19712809.5</v>
      </c>
      <c r="G573">
        <v>0</v>
      </c>
      <c r="L573" t="s">
        <v>8</v>
      </c>
      <c r="M573" t="s">
        <v>8</v>
      </c>
      <c r="N573" t="s">
        <v>8</v>
      </c>
      <c r="P573">
        <f t="shared" si="984"/>
        <v>0.7816162862430589</v>
      </c>
      <c r="Q573">
        <f t="shared" si="985"/>
        <v>15407852.95280689</v>
      </c>
      <c r="R573">
        <f t="shared" si="986"/>
        <v>-75195925.759112105</v>
      </c>
      <c r="S573">
        <f t="shared" si="987"/>
        <v>-751.95925759112106</v>
      </c>
      <c r="T573">
        <f t="shared" si="988"/>
        <v>-0.75195925759112103</v>
      </c>
    </row>
    <row r="574" spans="1:104" x14ac:dyDescent="0.25">
      <c r="A574" s="5">
        <v>44019</v>
      </c>
      <c r="B574">
        <v>5.5230000000000001E-2</v>
      </c>
      <c r="C574">
        <v>5.765E-2</v>
      </c>
      <c r="D574">
        <v>5.45E-2</v>
      </c>
      <c r="E574">
        <v>5.6309999999999999E-2</v>
      </c>
      <c r="F574">
        <v>6058259.4000000004</v>
      </c>
      <c r="G574">
        <v>0</v>
      </c>
      <c r="L574" t="s">
        <v>8</v>
      </c>
      <c r="M574" t="s">
        <v>8</v>
      </c>
      <c r="N574" t="s">
        <v>7</v>
      </c>
      <c r="P574">
        <f t="shared" si="984"/>
        <v>0.14920634920634862</v>
      </c>
      <c r="Q574">
        <f t="shared" si="985"/>
        <v>903930.76761904417</v>
      </c>
      <c r="R574">
        <f t="shared" si="986"/>
        <v>-90603778.711918995</v>
      </c>
      <c r="S574">
        <f t="shared" si="987"/>
        <v>-906.03778711918994</v>
      </c>
      <c r="T574">
        <f t="shared" si="988"/>
        <v>-0.90603778711918992</v>
      </c>
    </row>
    <row r="575" spans="1:104" x14ac:dyDescent="0.25">
      <c r="A575" s="5">
        <v>44018</v>
      </c>
      <c r="B575">
        <v>5.4199999999999998E-2</v>
      </c>
      <c r="C575">
        <v>5.5969999999999999E-2</v>
      </c>
      <c r="D575">
        <v>5.2299999999999999E-2</v>
      </c>
      <c r="E575">
        <v>5.5239999999999997E-2</v>
      </c>
      <c r="F575">
        <v>7401768.2999999998</v>
      </c>
      <c r="G575">
        <v>0</v>
      </c>
      <c r="L575" t="s">
        <v>7</v>
      </c>
      <c r="M575" t="s">
        <v>7</v>
      </c>
      <c r="N575" t="s">
        <v>7</v>
      </c>
      <c r="P575">
        <f t="shared" si="984"/>
        <v>0.6021798365122607</v>
      </c>
      <c r="Q575">
        <f t="shared" si="985"/>
        <v>4457195.6247956334</v>
      </c>
      <c r="R575">
        <f t="shared" si="986"/>
        <v>-91507709.479538038</v>
      </c>
      <c r="S575">
        <f t="shared" si="987"/>
        <v>-915.07709479538039</v>
      </c>
      <c r="T575">
        <f t="shared" si="988"/>
        <v>-0.91507709479538035</v>
      </c>
    </row>
    <row r="576" spans="1:104" x14ac:dyDescent="0.25">
      <c r="A576" s="5">
        <v>44017</v>
      </c>
      <c r="B576">
        <v>5.1959999999999999E-2</v>
      </c>
      <c r="C576">
        <v>5.6090000000000001E-2</v>
      </c>
      <c r="D576">
        <v>4.9669999999999999E-2</v>
      </c>
      <c r="E576">
        <v>5.4190000000000002E-2</v>
      </c>
      <c r="F576">
        <v>10130349.800000001</v>
      </c>
      <c r="G576">
        <v>0</v>
      </c>
      <c r="L576" t="s">
        <v>8</v>
      </c>
      <c r="M576" t="s">
        <v>7</v>
      </c>
      <c r="N576" t="s">
        <v>7</v>
      </c>
      <c r="P576">
        <f t="shared" si="984"/>
        <v>0.40809968847352079</v>
      </c>
      <c r="Q576">
        <f t="shared" si="985"/>
        <v>4134192.5975077939</v>
      </c>
      <c r="R576">
        <f t="shared" si="986"/>
        <v>-95964905.104333669</v>
      </c>
      <c r="S576">
        <f t="shared" si="987"/>
        <v>-959.64905104333673</v>
      </c>
      <c r="T576">
        <f t="shared" si="988"/>
        <v>-0.95964905104333675</v>
      </c>
    </row>
    <row r="577" spans="1:20" x14ac:dyDescent="0.25">
      <c r="A577" s="5">
        <v>44016</v>
      </c>
      <c r="B577">
        <v>4.9680000000000002E-2</v>
      </c>
      <c r="C577">
        <v>5.2290000000000003E-2</v>
      </c>
      <c r="D577">
        <v>4.8550000000000003E-2</v>
      </c>
      <c r="E577">
        <v>5.169E-2</v>
      </c>
      <c r="F577">
        <v>4657602.3</v>
      </c>
      <c r="G577">
        <v>0</v>
      </c>
      <c r="L577" t="s">
        <v>7</v>
      </c>
      <c r="M577" t="s">
        <v>7</v>
      </c>
      <c r="N577" t="s">
        <v>7</v>
      </c>
      <c r="P577">
        <f t="shared" si="984"/>
        <v>0.67914438502673624</v>
      </c>
      <c r="Q577">
        <f t="shared" si="985"/>
        <v>3163184.4497326124</v>
      </c>
      <c r="R577">
        <f t="shared" si="986"/>
        <v>-100099097.70184146</v>
      </c>
      <c r="S577">
        <f t="shared" si="987"/>
        <v>-1000.9909770184146</v>
      </c>
      <c r="T577">
        <f t="shared" si="988"/>
        <v>-1.0009909770184147</v>
      </c>
    </row>
    <row r="578" spans="1:20" x14ac:dyDescent="0.25">
      <c r="A578" s="5">
        <v>44015</v>
      </c>
      <c r="B578">
        <v>5.1150000000000001E-2</v>
      </c>
      <c r="C578">
        <v>5.178E-2</v>
      </c>
      <c r="D578">
        <v>4.9630000000000001E-2</v>
      </c>
      <c r="E578">
        <v>4.9979999999999997E-2</v>
      </c>
      <c r="F578">
        <v>4189389.6</v>
      </c>
      <c r="G578">
        <v>0</v>
      </c>
      <c r="L578" t="s">
        <v>7</v>
      </c>
      <c r="M578" t="s">
        <v>8</v>
      </c>
      <c r="N578" t="s">
        <v>7</v>
      </c>
      <c r="P578">
        <f t="shared" si="984"/>
        <v>-0.67441860465116621</v>
      </c>
      <c r="Q578">
        <f t="shared" si="985"/>
        <v>-2825402.2883721073</v>
      </c>
      <c r="R578">
        <f t="shared" si="986"/>
        <v>-103262282.15157408</v>
      </c>
      <c r="S578">
        <f t="shared" si="987"/>
        <v>-1032.6228215157407</v>
      </c>
      <c r="T578">
        <f t="shared" si="988"/>
        <v>-1.0326228215157407</v>
      </c>
    </row>
    <row r="579" spans="1:20" x14ac:dyDescent="0.25">
      <c r="A579" s="5">
        <v>44014</v>
      </c>
      <c r="B579">
        <v>5.3830000000000003E-2</v>
      </c>
      <c r="C579">
        <v>5.4969999999999998E-2</v>
      </c>
      <c r="D579">
        <v>4.9700000000000001E-2</v>
      </c>
      <c r="E579">
        <v>5.135E-2</v>
      </c>
      <c r="F579">
        <v>7563983.7000000002</v>
      </c>
      <c r="G579">
        <v>0</v>
      </c>
      <c r="L579" t="s">
        <v>7</v>
      </c>
      <c r="M579" t="s">
        <v>8</v>
      </c>
      <c r="N579" t="s">
        <v>7</v>
      </c>
      <c r="P579">
        <f t="shared" si="984"/>
        <v>-0.37381404174573069</v>
      </c>
      <c r="Q579">
        <f t="shared" si="985"/>
        <v>-2827523.3185958266</v>
      </c>
      <c r="R579">
        <f t="shared" si="986"/>
        <v>-100436879.86320196</v>
      </c>
      <c r="S579">
        <f t="shared" si="987"/>
        <v>-1004.3687986320197</v>
      </c>
      <c r="T579">
        <f t="shared" si="988"/>
        <v>-1.0043687986320196</v>
      </c>
    </row>
    <row r="580" spans="1:20" x14ac:dyDescent="0.25">
      <c r="A580" s="5">
        <v>44013</v>
      </c>
      <c r="B580">
        <v>5.3769999999999998E-2</v>
      </c>
      <c r="C580">
        <v>5.7860000000000002E-2</v>
      </c>
      <c r="D580">
        <v>5.3240000000000003E-2</v>
      </c>
      <c r="E580">
        <v>5.3830000000000003E-2</v>
      </c>
      <c r="F580">
        <v>11831763.300000001</v>
      </c>
      <c r="G580">
        <v>0</v>
      </c>
      <c r="L580" t="s">
        <v>8</v>
      </c>
      <c r="M580" t="s">
        <v>8</v>
      </c>
      <c r="N580" t="s">
        <v>7</v>
      </c>
      <c r="P580">
        <f t="shared" si="984"/>
        <v>-0.74458874458874447</v>
      </c>
      <c r="Q580">
        <f t="shared" si="985"/>
        <v>-8809797.7818181813</v>
      </c>
      <c r="R580">
        <f t="shared" si="986"/>
        <v>-97609356.544606134</v>
      </c>
      <c r="S580">
        <f t="shared" si="987"/>
        <v>-976.09356544606135</v>
      </c>
      <c r="T580">
        <f t="shared" si="988"/>
        <v>-0.9760935654460613</v>
      </c>
    </row>
    <row r="581" spans="1:20" x14ac:dyDescent="0.25">
      <c r="A581" s="5">
        <v>44012</v>
      </c>
      <c r="B581">
        <v>5.11E-2</v>
      </c>
      <c r="C581">
        <v>5.4059999999999997E-2</v>
      </c>
      <c r="D581">
        <v>0.05</v>
      </c>
      <c r="E581">
        <v>5.3769999999999998E-2</v>
      </c>
      <c r="F581">
        <v>8299473.2000000002</v>
      </c>
      <c r="G581">
        <v>0</v>
      </c>
      <c r="L581" t="s">
        <v>8</v>
      </c>
      <c r="M581" t="s">
        <v>7</v>
      </c>
      <c r="N581" t="s">
        <v>7</v>
      </c>
      <c r="P581">
        <f t="shared" si="984"/>
        <v>0.85714285714285765</v>
      </c>
      <c r="Q581">
        <f t="shared" si="985"/>
        <v>7113834.1714285761</v>
      </c>
      <c r="R581">
        <f t="shared" si="986"/>
        <v>-88799558.762787953</v>
      </c>
      <c r="S581">
        <f t="shared" si="987"/>
        <v>-887.99558762787956</v>
      </c>
      <c r="T581">
        <f t="shared" si="988"/>
        <v>-0.88799558762787956</v>
      </c>
    </row>
    <row r="582" spans="1:20" x14ac:dyDescent="0.25">
      <c r="A582" s="5">
        <v>44011</v>
      </c>
      <c r="B582">
        <v>5.0470000000000001E-2</v>
      </c>
      <c r="C582">
        <v>5.2179999999999997E-2</v>
      </c>
      <c r="D582">
        <v>4.7320000000000001E-2</v>
      </c>
      <c r="E582">
        <v>5.11E-2</v>
      </c>
      <c r="F582">
        <v>5908304.2000000002</v>
      </c>
      <c r="G582">
        <v>0</v>
      </c>
      <c r="L582" t="s">
        <v>7</v>
      </c>
      <c r="M582" t="s">
        <v>7</v>
      </c>
      <c r="N582" t="s">
        <v>7</v>
      </c>
      <c r="P582">
        <f t="shared" ref="P582:P645" si="989">IF(C582=D582,0,((E582-D582)-(C582-E582))/(C582-D582))</f>
        <v>0.55555555555555614</v>
      </c>
      <c r="Q582">
        <f t="shared" ref="Q582:Q645" si="990">F582*P582</f>
        <v>3282391.2222222257</v>
      </c>
      <c r="R582">
        <f t="shared" ref="R582:R645" si="991">R583+Q582</f>
        <v>-95913392.934216529</v>
      </c>
      <c r="S582">
        <f t="shared" ref="S582:S645" si="992">R582/100000</f>
        <v>-959.13392934216529</v>
      </c>
      <c r="T582">
        <f t="shared" ref="T582:T645" si="993">S582/1000</f>
        <v>-0.95913392934216524</v>
      </c>
    </row>
    <row r="583" spans="1:20" x14ac:dyDescent="0.25">
      <c r="A583" s="5">
        <v>44010</v>
      </c>
      <c r="B583">
        <v>4.8590000000000001E-2</v>
      </c>
      <c r="C583">
        <v>5.2990000000000002E-2</v>
      </c>
      <c r="D583">
        <v>4.6800000000000001E-2</v>
      </c>
      <c r="E583">
        <v>5.0470000000000001E-2</v>
      </c>
      <c r="F583">
        <v>3883807.3</v>
      </c>
      <c r="G583">
        <v>0</v>
      </c>
      <c r="L583" t="s">
        <v>8</v>
      </c>
      <c r="M583" t="s">
        <v>7</v>
      </c>
      <c r="N583" t="s">
        <v>7</v>
      </c>
      <c r="P583">
        <f t="shared" si="989"/>
        <v>0.18578352180936963</v>
      </c>
      <c r="Q583">
        <f t="shared" si="990"/>
        <v>721547.39822293899</v>
      </c>
      <c r="R583">
        <f t="shared" si="991"/>
        <v>-99195784.156438753</v>
      </c>
      <c r="S583">
        <f t="shared" si="992"/>
        <v>-991.95784156438754</v>
      </c>
      <c r="T583">
        <f t="shared" si="993"/>
        <v>-0.99195784156438749</v>
      </c>
    </row>
    <row r="584" spans="1:20" x14ac:dyDescent="0.25">
      <c r="A584" s="5">
        <v>44009</v>
      </c>
      <c r="B584">
        <v>5.4519999999999999E-2</v>
      </c>
      <c r="C584">
        <v>5.4789999999999998E-2</v>
      </c>
      <c r="D584">
        <v>4.6330000000000003E-2</v>
      </c>
      <c r="E584">
        <v>4.8989999999999999E-2</v>
      </c>
      <c r="F584">
        <v>7744188.2999999998</v>
      </c>
      <c r="G584">
        <v>0</v>
      </c>
      <c r="L584" t="s">
        <v>7</v>
      </c>
      <c r="M584" t="s">
        <v>7</v>
      </c>
      <c r="N584" t="s">
        <v>7</v>
      </c>
      <c r="P584">
        <f t="shared" si="989"/>
        <v>-0.37115839243498883</v>
      </c>
      <c r="Q584">
        <f t="shared" si="990"/>
        <v>-2874320.4801418488</v>
      </c>
      <c r="R584">
        <f t="shared" si="991"/>
        <v>-99917331.554661691</v>
      </c>
      <c r="S584">
        <f t="shared" si="992"/>
        <v>-999.17331554661689</v>
      </c>
      <c r="T584">
        <f t="shared" si="993"/>
        <v>-0.99917331554661692</v>
      </c>
    </row>
    <row r="585" spans="1:20" x14ac:dyDescent="0.25">
      <c r="A585" s="5">
        <v>44008</v>
      </c>
      <c r="B585">
        <v>5.493E-2</v>
      </c>
      <c r="C585">
        <v>5.8099999999999999E-2</v>
      </c>
      <c r="D585">
        <v>5.2760000000000001E-2</v>
      </c>
      <c r="E585">
        <v>5.4530000000000002E-2</v>
      </c>
      <c r="F585">
        <v>6153509.5999999996</v>
      </c>
      <c r="G585">
        <v>0</v>
      </c>
      <c r="L585" t="s">
        <v>8</v>
      </c>
      <c r="M585" t="s">
        <v>7</v>
      </c>
      <c r="N585" t="s">
        <v>8</v>
      </c>
      <c r="P585">
        <f t="shared" si="989"/>
        <v>-0.33707865168539269</v>
      </c>
      <c r="Q585">
        <f t="shared" si="990"/>
        <v>-2074216.71910112</v>
      </c>
      <c r="R585">
        <f t="shared" si="991"/>
        <v>-97043011.074519843</v>
      </c>
      <c r="S585">
        <f t="shared" si="992"/>
        <v>-970.43011074519848</v>
      </c>
      <c r="T585">
        <f t="shared" si="993"/>
        <v>-0.97043011074519847</v>
      </c>
    </row>
    <row r="586" spans="1:20" x14ac:dyDescent="0.25">
      <c r="A586" s="5">
        <v>44007</v>
      </c>
      <c r="B586">
        <v>5.8209999999999998E-2</v>
      </c>
      <c r="C586">
        <v>5.8209999999999998E-2</v>
      </c>
      <c r="D586">
        <v>5.2299999999999999E-2</v>
      </c>
      <c r="E586">
        <v>5.5129999999999998E-2</v>
      </c>
      <c r="F586">
        <v>13244920.4</v>
      </c>
      <c r="G586">
        <v>0</v>
      </c>
      <c r="L586" t="s">
        <v>7</v>
      </c>
      <c r="M586" t="s">
        <v>7</v>
      </c>
      <c r="N586" t="s">
        <v>8</v>
      </c>
      <c r="P586">
        <f t="shared" si="989"/>
        <v>-4.2301184433164177E-2</v>
      </c>
      <c r="Q586">
        <f t="shared" si="990"/>
        <v>-560275.82064297865</v>
      </c>
      <c r="R586">
        <f t="shared" si="991"/>
        <v>-94968794.355418727</v>
      </c>
      <c r="S586">
        <f t="shared" si="992"/>
        <v>-949.68794355418731</v>
      </c>
      <c r="T586">
        <f t="shared" si="993"/>
        <v>-0.94968794355418729</v>
      </c>
    </row>
    <row r="587" spans="1:20" x14ac:dyDescent="0.25">
      <c r="A587" s="5">
        <v>44006</v>
      </c>
      <c r="B587">
        <v>5.892E-2</v>
      </c>
      <c r="C587">
        <v>6.6430000000000003E-2</v>
      </c>
      <c r="D587">
        <v>5.5599999999999997E-2</v>
      </c>
      <c r="E587">
        <v>5.8290000000000002E-2</v>
      </c>
      <c r="F587">
        <v>24233367.800000001</v>
      </c>
      <c r="G587">
        <v>0</v>
      </c>
      <c r="L587" t="s">
        <v>8</v>
      </c>
      <c r="M587" t="s">
        <v>8</v>
      </c>
      <c r="N587" t="s">
        <v>8</v>
      </c>
      <c r="P587">
        <f t="shared" si="989"/>
        <v>-0.50323176361957467</v>
      </c>
      <c r="Q587">
        <f t="shared" si="990"/>
        <v>-12195000.416435812</v>
      </c>
      <c r="R587">
        <f t="shared" si="991"/>
        <v>-94408518.534775749</v>
      </c>
      <c r="S587">
        <f t="shared" si="992"/>
        <v>-944.08518534775749</v>
      </c>
      <c r="T587">
        <f t="shared" si="993"/>
        <v>-0.94408518534775754</v>
      </c>
    </row>
    <row r="588" spans="1:20" x14ac:dyDescent="0.25">
      <c r="A588" s="5">
        <v>44005</v>
      </c>
      <c r="B588">
        <v>5.6750000000000002E-2</v>
      </c>
      <c r="C588">
        <v>6.0999999999999999E-2</v>
      </c>
      <c r="D588">
        <v>5.6059999999999999E-2</v>
      </c>
      <c r="E588">
        <v>5.8979999999999998E-2</v>
      </c>
      <c r="F588">
        <v>7832168.4000000004</v>
      </c>
      <c r="G588">
        <v>0</v>
      </c>
      <c r="L588" t="s">
        <v>8</v>
      </c>
      <c r="M588" t="s">
        <v>8</v>
      </c>
      <c r="N588" t="s">
        <v>8</v>
      </c>
      <c r="P588">
        <f t="shared" si="989"/>
        <v>0.18218623481781338</v>
      </c>
      <c r="Q588">
        <f t="shared" si="990"/>
        <v>1426913.2712550578</v>
      </c>
      <c r="R588">
        <f t="shared" si="991"/>
        <v>-82213518.118339941</v>
      </c>
      <c r="S588">
        <f t="shared" si="992"/>
        <v>-822.13518118339937</v>
      </c>
      <c r="T588">
        <f t="shared" si="993"/>
        <v>-0.82213518118339934</v>
      </c>
    </row>
    <row r="589" spans="1:20" x14ac:dyDescent="0.25">
      <c r="A589" s="5">
        <v>44004</v>
      </c>
      <c r="B589">
        <v>5.3330000000000002E-2</v>
      </c>
      <c r="C589">
        <v>5.9520000000000003E-2</v>
      </c>
      <c r="D589">
        <v>5.3060000000000003E-2</v>
      </c>
      <c r="E589">
        <v>5.6980000000000003E-2</v>
      </c>
      <c r="F589">
        <v>11960782.199999999</v>
      </c>
      <c r="G589">
        <v>0</v>
      </c>
      <c r="L589" t="s">
        <v>8</v>
      </c>
      <c r="M589" t="s">
        <v>8</v>
      </c>
      <c r="N589" t="s">
        <v>8</v>
      </c>
      <c r="P589">
        <f t="shared" si="989"/>
        <v>0.21362229102167171</v>
      </c>
      <c r="Q589">
        <f t="shared" si="990"/>
        <v>2555089.6959752305</v>
      </c>
      <c r="R589">
        <f t="shared" si="991"/>
        <v>-83640431.389595002</v>
      </c>
      <c r="S589">
        <f t="shared" si="992"/>
        <v>-836.40431389595005</v>
      </c>
      <c r="T589">
        <f t="shared" si="993"/>
        <v>-0.83640431389595005</v>
      </c>
    </row>
    <row r="590" spans="1:20" x14ac:dyDescent="0.25">
      <c r="A590" s="5">
        <v>44003</v>
      </c>
      <c r="B590">
        <v>5.33E-2</v>
      </c>
      <c r="C590">
        <v>5.527E-2</v>
      </c>
      <c r="D590">
        <v>5.1619999999999999E-2</v>
      </c>
      <c r="E590">
        <v>5.3019999999999998E-2</v>
      </c>
      <c r="F590">
        <v>5746485.7999999998</v>
      </c>
      <c r="G590">
        <v>0</v>
      </c>
      <c r="L590" t="s">
        <v>7</v>
      </c>
      <c r="M590" t="s">
        <v>8</v>
      </c>
      <c r="N590" t="s">
        <v>8</v>
      </c>
      <c r="P590">
        <f t="shared" si="989"/>
        <v>-0.23287671232876805</v>
      </c>
      <c r="Q590">
        <f t="shared" si="990"/>
        <v>-1338222.7205479506</v>
      </c>
      <c r="R590">
        <f t="shared" si="991"/>
        <v>-86195521.085570231</v>
      </c>
      <c r="S590">
        <f t="shared" si="992"/>
        <v>-861.95521085570226</v>
      </c>
      <c r="T590">
        <f t="shared" si="993"/>
        <v>-0.86195521085570226</v>
      </c>
    </row>
    <row r="591" spans="1:20" x14ac:dyDescent="0.25">
      <c r="A591" s="5">
        <v>44002</v>
      </c>
      <c r="B591">
        <v>5.1950000000000003E-2</v>
      </c>
      <c r="C591">
        <v>5.561E-2</v>
      </c>
      <c r="D591">
        <v>5.1950000000000003E-2</v>
      </c>
      <c r="E591">
        <v>5.3260000000000002E-2</v>
      </c>
      <c r="F591">
        <v>8612556.1999999993</v>
      </c>
      <c r="G591">
        <v>0</v>
      </c>
      <c r="L591" t="s">
        <v>8</v>
      </c>
      <c r="M591" t="s">
        <v>8</v>
      </c>
      <c r="N591" t="s">
        <v>8</v>
      </c>
      <c r="P591">
        <f t="shared" si="989"/>
        <v>-0.28415300546448091</v>
      </c>
      <c r="Q591">
        <f t="shared" si="990"/>
        <v>-2447283.7289617485</v>
      </c>
      <c r="R591">
        <f t="shared" si="991"/>
        <v>-84857298.365022287</v>
      </c>
      <c r="S591">
        <f t="shared" si="992"/>
        <v>-848.57298365022291</v>
      </c>
      <c r="T591">
        <f t="shared" si="993"/>
        <v>-0.84857298365022293</v>
      </c>
    </row>
    <row r="592" spans="1:20" x14ac:dyDescent="0.25">
      <c r="A592" s="5">
        <v>44001</v>
      </c>
      <c r="B592">
        <v>5.3330000000000002E-2</v>
      </c>
      <c r="C592">
        <v>5.45E-2</v>
      </c>
      <c r="D592">
        <v>5.049E-2</v>
      </c>
      <c r="E592">
        <v>5.2229999999999999E-2</v>
      </c>
      <c r="F592">
        <v>8107222.2999999998</v>
      </c>
      <c r="G592">
        <v>0</v>
      </c>
      <c r="L592" t="s">
        <v>7</v>
      </c>
      <c r="M592" t="s">
        <v>8</v>
      </c>
      <c r="N592" t="s">
        <v>8</v>
      </c>
      <c r="P592">
        <f t="shared" si="989"/>
        <v>-0.13216957605985105</v>
      </c>
      <c r="Q592">
        <f t="shared" si="990"/>
        <v>-1071528.1344139706</v>
      </c>
      <c r="R592">
        <f t="shared" si="991"/>
        <v>-82410014.636060536</v>
      </c>
      <c r="S592">
        <f t="shared" si="992"/>
        <v>-824.10014636060532</v>
      </c>
      <c r="T592">
        <f t="shared" si="993"/>
        <v>-0.82410014636060536</v>
      </c>
    </row>
    <row r="593" spans="1:20" x14ac:dyDescent="0.25">
      <c r="A593" s="5">
        <v>44000</v>
      </c>
      <c r="B593">
        <v>5.1880000000000003E-2</v>
      </c>
      <c r="C593">
        <v>5.4940000000000003E-2</v>
      </c>
      <c r="D593">
        <v>5.0470000000000001E-2</v>
      </c>
      <c r="E593">
        <v>5.3330000000000002E-2</v>
      </c>
      <c r="F593">
        <v>6889733.5</v>
      </c>
      <c r="G593">
        <v>0</v>
      </c>
      <c r="L593" t="s">
        <v>8</v>
      </c>
      <c r="M593" t="s">
        <v>8</v>
      </c>
      <c r="N593" t="s">
        <v>8</v>
      </c>
      <c r="P593">
        <f t="shared" si="989"/>
        <v>0.27964205816554821</v>
      </c>
      <c r="Q593">
        <f t="shared" si="990"/>
        <v>1926659.256152126</v>
      </c>
      <c r="R593">
        <f t="shared" si="991"/>
        <v>-81338486.501646563</v>
      </c>
      <c r="S593">
        <f t="shared" si="992"/>
        <v>-813.3848650164656</v>
      </c>
      <c r="T593">
        <f t="shared" si="993"/>
        <v>-0.81338486501646556</v>
      </c>
    </row>
    <row r="594" spans="1:20" x14ac:dyDescent="0.25">
      <c r="A594" s="5">
        <v>43999</v>
      </c>
      <c r="B594">
        <v>5.1220000000000002E-2</v>
      </c>
      <c r="C594">
        <v>5.3870000000000001E-2</v>
      </c>
      <c r="D594">
        <v>4.9500000000000002E-2</v>
      </c>
      <c r="E594">
        <v>5.1869999999999999E-2</v>
      </c>
      <c r="F594">
        <v>5087387.0999999996</v>
      </c>
      <c r="G594">
        <v>0</v>
      </c>
      <c r="L594" t="s">
        <v>8</v>
      </c>
      <c r="M594" t="s">
        <v>8</v>
      </c>
      <c r="N594" t="s">
        <v>8</v>
      </c>
      <c r="P594">
        <f t="shared" si="989"/>
        <v>8.4668192219678584E-2</v>
      </c>
      <c r="Q594">
        <f t="shared" si="990"/>
        <v>430739.86887871317</v>
      </c>
      <c r="R594">
        <f t="shared" si="991"/>
        <v>-83265145.757798687</v>
      </c>
      <c r="S594">
        <f t="shared" si="992"/>
        <v>-832.65145757798689</v>
      </c>
      <c r="T594">
        <f t="shared" si="993"/>
        <v>-0.83265145757798686</v>
      </c>
    </row>
    <row r="595" spans="1:20" x14ac:dyDescent="0.25">
      <c r="A595" s="5">
        <v>43998</v>
      </c>
      <c r="B595">
        <v>5.0380000000000001E-2</v>
      </c>
      <c r="C595">
        <v>5.2900000000000003E-2</v>
      </c>
      <c r="D595">
        <v>4.9320000000000003E-2</v>
      </c>
      <c r="E595">
        <v>5.1470000000000002E-2</v>
      </c>
      <c r="F595">
        <v>5850751.2000000002</v>
      </c>
      <c r="G595">
        <v>0</v>
      </c>
      <c r="L595" t="s">
        <v>8</v>
      </c>
      <c r="M595" t="s">
        <v>7</v>
      </c>
      <c r="N595" t="s">
        <v>8</v>
      </c>
      <c r="P595">
        <f t="shared" si="989"/>
        <v>0.20111731843575376</v>
      </c>
      <c r="Q595">
        <f t="shared" si="990"/>
        <v>1176687.3921787685</v>
      </c>
      <c r="R595">
        <f t="shared" si="991"/>
        <v>-83695885.626677394</v>
      </c>
      <c r="S595">
        <f t="shared" si="992"/>
        <v>-836.95885626677398</v>
      </c>
      <c r="T595">
        <f t="shared" si="993"/>
        <v>-0.83695885626677402</v>
      </c>
    </row>
    <row r="596" spans="1:20" x14ac:dyDescent="0.25">
      <c r="A596" s="5">
        <v>43997</v>
      </c>
      <c r="B596">
        <v>4.8430000000000001E-2</v>
      </c>
      <c r="C596">
        <v>5.2600000000000001E-2</v>
      </c>
      <c r="D596">
        <v>4.4519999999999997E-2</v>
      </c>
      <c r="E596">
        <v>5.0369999999999998E-2</v>
      </c>
      <c r="F596">
        <v>9715405</v>
      </c>
      <c r="G596">
        <v>0</v>
      </c>
      <c r="L596" t="s">
        <v>7</v>
      </c>
      <c r="M596" t="s">
        <v>7</v>
      </c>
      <c r="N596" t="s">
        <v>8</v>
      </c>
      <c r="P596">
        <f t="shared" si="989"/>
        <v>0.44801980198019759</v>
      </c>
      <c r="Q596">
        <f t="shared" si="990"/>
        <v>4352693.8242574213</v>
      </c>
      <c r="R596">
        <f t="shared" si="991"/>
        <v>-84872573.018856168</v>
      </c>
      <c r="S596">
        <f t="shared" si="992"/>
        <v>-848.72573018856167</v>
      </c>
      <c r="T596">
        <f t="shared" si="993"/>
        <v>-0.84872573018856168</v>
      </c>
    </row>
    <row r="597" spans="1:20" x14ac:dyDescent="0.25">
      <c r="A597" s="5">
        <v>43996</v>
      </c>
      <c r="B597">
        <v>5.0799999999999998E-2</v>
      </c>
      <c r="C597">
        <v>5.0869999999999999E-2</v>
      </c>
      <c r="D597">
        <v>4.7399999999999998E-2</v>
      </c>
      <c r="E597">
        <v>4.8890000000000003E-2</v>
      </c>
      <c r="F597">
        <v>5561419.2999999998</v>
      </c>
      <c r="G597">
        <v>0</v>
      </c>
      <c r="L597" t="s">
        <v>7</v>
      </c>
      <c r="M597" t="s">
        <v>8</v>
      </c>
      <c r="N597" t="s">
        <v>8</v>
      </c>
      <c r="P597">
        <f t="shared" si="989"/>
        <v>-0.14121037463976666</v>
      </c>
      <c r="Q597">
        <f t="shared" si="990"/>
        <v>-785330.10288182879</v>
      </c>
      <c r="R597">
        <f t="shared" si="991"/>
        <v>-89225266.843113586</v>
      </c>
      <c r="S597">
        <f t="shared" si="992"/>
        <v>-892.25266843113582</v>
      </c>
      <c r="T597">
        <f t="shared" si="993"/>
        <v>-0.89225266843113582</v>
      </c>
    </row>
    <row r="598" spans="1:20" x14ac:dyDescent="0.25">
      <c r="A598" s="5">
        <v>43995</v>
      </c>
      <c r="B598">
        <v>5.2690000000000001E-2</v>
      </c>
      <c r="C598">
        <v>5.3949999999999998E-2</v>
      </c>
      <c r="D598">
        <v>4.9799999999999997E-2</v>
      </c>
      <c r="E598">
        <v>5.0770000000000003E-2</v>
      </c>
      <c r="F598">
        <v>5601813</v>
      </c>
      <c r="G598">
        <v>0</v>
      </c>
      <c r="L598" t="s">
        <v>8</v>
      </c>
      <c r="M598" t="s">
        <v>8</v>
      </c>
      <c r="N598" t="s">
        <v>8</v>
      </c>
      <c r="P598">
        <f t="shared" si="989"/>
        <v>-0.53253012048192516</v>
      </c>
      <c r="Q598">
        <f t="shared" si="990"/>
        <v>-2983134.1518072146</v>
      </c>
      <c r="R598">
        <f t="shared" si="991"/>
        <v>-88439936.740231752</v>
      </c>
      <c r="S598">
        <f t="shared" si="992"/>
        <v>-884.39936740231758</v>
      </c>
      <c r="T598">
        <f t="shared" si="993"/>
        <v>-0.88439936740231762</v>
      </c>
    </row>
    <row r="599" spans="1:20" x14ac:dyDescent="0.25">
      <c r="A599" s="5">
        <v>43994</v>
      </c>
      <c r="B599">
        <v>4.8820000000000002E-2</v>
      </c>
      <c r="C599">
        <v>5.2999999999999999E-2</v>
      </c>
      <c r="D599">
        <v>4.7969999999999999E-2</v>
      </c>
      <c r="E599">
        <v>5.2150000000000002E-2</v>
      </c>
      <c r="F599">
        <v>8376321.5</v>
      </c>
      <c r="G599">
        <v>0</v>
      </c>
      <c r="L599" t="s">
        <v>8</v>
      </c>
      <c r="M599" t="s">
        <v>7</v>
      </c>
      <c r="N599" t="s">
        <v>8</v>
      </c>
      <c r="P599">
        <f t="shared" si="989"/>
        <v>0.66202783300198942</v>
      </c>
      <c r="Q599">
        <f t="shared" si="990"/>
        <v>5545357.9711729735</v>
      </c>
      <c r="R599">
        <f t="shared" si="991"/>
        <v>-85456802.588424534</v>
      </c>
      <c r="S599">
        <f t="shared" si="992"/>
        <v>-854.56802588424534</v>
      </c>
      <c r="T599">
        <f t="shared" si="993"/>
        <v>-0.8545680258842453</v>
      </c>
    </row>
    <row r="600" spans="1:20" x14ac:dyDescent="0.25">
      <c r="A600" s="5">
        <v>43993</v>
      </c>
      <c r="B600">
        <v>5.5980000000000002E-2</v>
      </c>
      <c r="C600">
        <v>5.6349999999999997E-2</v>
      </c>
      <c r="D600">
        <v>4.505E-2</v>
      </c>
      <c r="E600">
        <v>4.9160000000000002E-2</v>
      </c>
      <c r="F600">
        <v>13494217.5</v>
      </c>
      <c r="G600">
        <v>0</v>
      </c>
      <c r="L600" t="s">
        <v>7</v>
      </c>
      <c r="M600" t="s">
        <v>7</v>
      </c>
      <c r="N600" t="s">
        <v>8</v>
      </c>
      <c r="P600">
        <f t="shared" si="989"/>
        <v>-0.27256637168141534</v>
      </c>
      <c r="Q600">
        <f t="shared" si="990"/>
        <v>-3678069.9026548592</v>
      </c>
      <c r="R600">
        <f t="shared" si="991"/>
        <v>-91002160.559597507</v>
      </c>
      <c r="S600">
        <f t="shared" si="992"/>
        <v>-910.02160559597507</v>
      </c>
      <c r="T600">
        <f t="shared" si="993"/>
        <v>-0.91002160559597511</v>
      </c>
    </row>
    <row r="601" spans="1:20" x14ac:dyDescent="0.25">
      <c r="A601" s="5">
        <v>43992</v>
      </c>
      <c r="B601">
        <v>5.6279999999999997E-2</v>
      </c>
      <c r="C601">
        <v>5.9470000000000002E-2</v>
      </c>
      <c r="D601">
        <v>5.2690000000000001E-2</v>
      </c>
      <c r="E601">
        <v>5.5460000000000002E-2</v>
      </c>
      <c r="F601">
        <v>9603201.5</v>
      </c>
      <c r="G601">
        <v>0</v>
      </c>
      <c r="L601" t="s">
        <v>8</v>
      </c>
      <c r="M601" t="s">
        <v>8</v>
      </c>
      <c r="N601" t="s">
        <v>8</v>
      </c>
      <c r="P601">
        <f t="shared" si="989"/>
        <v>-0.1828908554572268</v>
      </c>
      <c r="Q601">
        <f t="shared" si="990"/>
        <v>-1756337.7374631236</v>
      </c>
      <c r="R601">
        <f t="shared" si="991"/>
        <v>-87324090.656942651</v>
      </c>
      <c r="S601">
        <f t="shared" si="992"/>
        <v>-873.24090656942656</v>
      </c>
      <c r="T601">
        <f t="shared" si="993"/>
        <v>-0.87324090656942654</v>
      </c>
    </row>
    <row r="602" spans="1:20" x14ac:dyDescent="0.25">
      <c r="A602" s="5">
        <v>43991</v>
      </c>
      <c r="B602">
        <v>5.3310000000000003E-2</v>
      </c>
      <c r="C602">
        <v>5.781E-2</v>
      </c>
      <c r="D602">
        <v>5.2010000000000001E-2</v>
      </c>
      <c r="E602">
        <v>5.6070000000000002E-2</v>
      </c>
      <c r="F602">
        <v>10634395.800000001</v>
      </c>
      <c r="G602">
        <v>0</v>
      </c>
      <c r="L602" t="s">
        <v>8</v>
      </c>
      <c r="M602" t="s">
        <v>8</v>
      </c>
      <c r="N602" t="s">
        <v>8</v>
      </c>
      <c r="P602">
        <f t="shared" si="989"/>
        <v>0.40000000000000047</v>
      </c>
      <c r="Q602">
        <f t="shared" si="990"/>
        <v>4253758.320000005</v>
      </c>
      <c r="R602">
        <f t="shared" si="991"/>
        <v>-85567752.919479534</v>
      </c>
      <c r="S602">
        <f t="shared" si="992"/>
        <v>-855.67752919479528</v>
      </c>
      <c r="T602">
        <f t="shared" si="993"/>
        <v>-0.85567752919479534</v>
      </c>
    </row>
    <row r="603" spans="1:20" x14ac:dyDescent="0.25">
      <c r="A603" s="5">
        <v>43990</v>
      </c>
      <c r="B603">
        <v>5.0410000000000003E-2</v>
      </c>
      <c r="C603">
        <v>5.6439999999999997E-2</v>
      </c>
      <c r="D603">
        <v>5.0209999999999998E-2</v>
      </c>
      <c r="E603">
        <v>5.3269999999999998E-2</v>
      </c>
      <c r="F603">
        <v>10627162.4</v>
      </c>
      <c r="G603">
        <v>0</v>
      </c>
      <c r="L603" t="s">
        <v>8</v>
      </c>
      <c r="M603" t="s">
        <v>8</v>
      </c>
      <c r="N603" t="s">
        <v>8</v>
      </c>
      <c r="P603">
        <f t="shared" si="989"/>
        <v>-1.7656500802568056E-2</v>
      </c>
      <c r="Q603">
        <f t="shared" si="990"/>
        <v>-187638.50144462107</v>
      </c>
      <c r="R603">
        <f t="shared" si="991"/>
        <v>-89821511.239479542</v>
      </c>
      <c r="S603">
        <f t="shared" si="992"/>
        <v>-898.21511239479537</v>
      </c>
      <c r="T603">
        <f t="shared" si="993"/>
        <v>-0.89821511239479535</v>
      </c>
    </row>
    <row r="604" spans="1:20" x14ac:dyDescent="0.25">
      <c r="A604" s="5">
        <v>43989</v>
      </c>
      <c r="B604">
        <v>4.9099999999999998E-2</v>
      </c>
      <c r="C604">
        <v>5.042E-2</v>
      </c>
      <c r="D604">
        <v>4.6010000000000002E-2</v>
      </c>
      <c r="E604">
        <v>5.0119999999999998E-2</v>
      </c>
      <c r="F604">
        <v>6597411.0999999996</v>
      </c>
      <c r="G604">
        <v>0</v>
      </c>
      <c r="L604" t="s">
        <v>7</v>
      </c>
      <c r="M604" t="s">
        <v>7</v>
      </c>
      <c r="N604" t="s">
        <v>8</v>
      </c>
      <c r="P604">
        <f t="shared" si="989"/>
        <v>0.8639455782312917</v>
      </c>
      <c r="Q604">
        <f t="shared" si="990"/>
        <v>5699804.1476190416</v>
      </c>
      <c r="R604">
        <f t="shared" si="991"/>
        <v>-89633872.738034919</v>
      </c>
      <c r="S604">
        <f t="shared" si="992"/>
        <v>-896.33872738034916</v>
      </c>
      <c r="T604">
        <f t="shared" si="993"/>
        <v>-0.89633872738034914</v>
      </c>
    </row>
    <row r="605" spans="1:20" x14ac:dyDescent="0.25">
      <c r="A605" s="5">
        <v>43988</v>
      </c>
      <c r="B605">
        <v>4.9270000000000001E-2</v>
      </c>
      <c r="C605">
        <v>5.1999999999999998E-2</v>
      </c>
      <c r="D605">
        <v>4.9059999999999999E-2</v>
      </c>
      <c r="E605">
        <v>4.9239999999999999E-2</v>
      </c>
      <c r="F605">
        <v>5122845.0999999996</v>
      </c>
      <c r="G605">
        <v>0</v>
      </c>
      <c r="L605" t="s">
        <v>8</v>
      </c>
      <c r="M605" t="s">
        <v>7</v>
      </c>
      <c r="N605" t="s">
        <v>8</v>
      </c>
      <c r="P605">
        <f t="shared" si="989"/>
        <v>-0.87755102040816346</v>
      </c>
      <c r="Q605">
        <f t="shared" si="990"/>
        <v>-4495557.9448979599</v>
      </c>
      <c r="R605">
        <f t="shared" si="991"/>
        <v>-95333676.885653958</v>
      </c>
      <c r="S605">
        <f t="shared" si="992"/>
        <v>-953.33676885653961</v>
      </c>
      <c r="T605">
        <f t="shared" si="993"/>
        <v>-0.95333676885653962</v>
      </c>
    </row>
    <row r="606" spans="1:20" x14ac:dyDescent="0.25">
      <c r="A606" s="5">
        <v>43987</v>
      </c>
      <c r="B606">
        <v>4.8300000000000003E-2</v>
      </c>
      <c r="C606">
        <v>5.2069999999999998E-2</v>
      </c>
      <c r="D606">
        <v>4.7919999999999997E-2</v>
      </c>
      <c r="E606">
        <v>4.9360000000000001E-2</v>
      </c>
      <c r="F606">
        <v>8066097.4000000004</v>
      </c>
      <c r="G606">
        <v>0</v>
      </c>
      <c r="L606" t="s">
        <v>8</v>
      </c>
      <c r="M606" t="s">
        <v>7</v>
      </c>
      <c r="N606" t="s">
        <v>8</v>
      </c>
      <c r="P606">
        <f t="shared" si="989"/>
        <v>-0.30602409638554051</v>
      </c>
      <c r="Q606">
        <f t="shared" si="990"/>
        <v>-2468420.1681927578</v>
      </c>
      <c r="R606">
        <f t="shared" si="991"/>
        <v>-90838118.940755993</v>
      </c>
      <c r="S606">
        <f t="shared" si="992"/>
        <v>-908.38118940755999</v>
      </c>
      <c r="T606">
        <f t="shared" si="993"/>
        <v>-0.90838118940755996</v>
      </c>
    </row>
    <row r="607" spans="1:20" x14ac:dyDescent="0.25">
      <c r="A607" s="5">
        <v>43986</v>
      </c>
      <c r="B607">
        <v>4.9759999999999999E-2</v>
      </c>
      <c r="C607">
        <v>5.2970000000000003E-2</v>
      </c>
      <c r="D607">
        <v>4.709E-2</v>
      </c>
      <c r="E607">
        <v>4.8340000000000001E-2</v>
      </c>
      <c r="F607">
        <v>16687563.9</v>
      </c>
      <c r="G607">
        <v>0</v>
      </c>
      <c r="L607" t="s">
        <v>7</v>
      </c>
      <c r="M607" t="s">
        <v>7</v>
      </c>
      <c r="N607" t="s">
        <v>8</v>
      </c>
      <c r="P607">
        <f t="shared" si="989"/>
        <v>-0.57482993197278898</v>
      </c>
      <c r="Q607">
        <f t="shared" si="990"/>
        <v>-9592511.2214285694</v>
      </c>
      <c r="R607">
        <f t="shared" si="991"/>
        <v>-88369698.772563234</v>
      </c>
      <c r="S607">
        <f t="shared" si="992"/>
        <v>-883.69698772563231</v>
      </c>
      <c r="T607">
        <f t="shared" si="993"/>
        <v>-0.88369698772563232</v>
      </c>
    </row>
    <row r="608" spans="1:20" x14ac:dyDescent="0.25">
      <c r="A608" s="5">
        <v>43985</v>
      </c>
      <c r="B608">
        <v>4.8340000000000001E-2</v>
      </c>
      <c r="C608">
        <v>5.6899999999999999E-2</v>
      </c>
      <c r="D608">
        <v>4.7E-2</v>
      </c>
      <c r="E608">
        <v>4.9709999999999997E-2</v>
      </c>
      <c r="F608">
        <v>53078331.299999997</v>
      </c>
      <c r="G608">
        <v>0</v>
      </c>
      <c r="L608" t="s">
        <v>8</v>
      </c>
      <c r="M608" t="s">
        <v>8</v>
      </c>
      <c r="N608" t="s">
        <v>8</v>
      </c>
      <c r="P608">
        <f t="shared" si="989"/>
        <v>-0.45252525252525305</v>
      </c>
      <c r="Q608">
        <f t="shared" si="990"/>
        <v>-24019285.275151543</v>
      </c>
      <c r="R608">
        <f t="shared" si="991"/>
        <v>-78777187.551134661</v>
      </c>
      <c r="S608">
        <f t="shared" si="992"/>
        <v>-787.77187551134659</v>
      </c>
      <c r="T608">
        <f t="shared" si="993"/>
        <v>-0.78777187551134664</v>
      </c>
    </row>
    <row r="609" spans="1:20" x14ac:dyDescent="0.25">
      <c r="A609" s="5">
        <v>43984</v>
      </c>
      <c r="B609">
        <v>4.3520000000000003E-2</v>
      </c>
      <c r="C609">
        <v>4.9869999999999998E-2</v>
      </c>
      <c r="D609">
        <v>4.1540000000000001E-2</v>
      </c>
      <c r="E609">
        <v>4.8349999999999997E-2</v>
      </c>
      <c r="F609">
        <v>16564879.199999999</v>
      </c>
      <c r="G609">
        <v>0</v>
      </c>
      <c r="L609" t="s">
        <v>8</v>
      </c>
      <c r="M609" t="s">
        <v>8</v>
      </c>
      <c r="N609" t="s">
        <v>8</v>
      </c>
      <c r="P609">
        <f t="shared" si="989"/>
        <v>0.63505402160864322</v>
      </c>
      <c r="Q609">
        <f t="shared" si="990"/>
        <v>10519593.153421365</v>
      </c>
      <c r="R609">
        <f t="shared" si="991"/>
        <v>-54757902.275983118</v>
      </c>
      <c r="S609">
        <f t="shared" si="992"/>
        <v>-547.57902275983122</v>
      </c>
      <c r="T609">
        <f t="shared" si="993"/>
        <v>-0.54757902275983117</v>
      </c>
    </row>
    <row r="610" spans="1:20" x14ac:dyDescent="0.25">
      <c r="A610" s="5">
        <v>43983</v>
      </c>
      <c r="B610">
        <v>3.9640000000000002E-2</v>
      </c>
      <c r="C610">
        <v>4.5370000000000001E-2</v>
      </c>
      <c r="D610">
        <v>3.95E-2</v>
      </c>
      <c r="E610">
        <v>4.3520000000000003E-2</v>
      </c>
      <c r="F610">
        <v>13997016.800000001</v>
      </c>
      <c r="G610">
        <v>0</v>
      </c>
      <c r="L610" t="s">
        <v>8</v>
      </c>
      <c r="M610" t="s">
        <v>7</v>
      </c>
      <c r="N610" t="s">
        <v>7</v>
      </c>
      <c r="P610">
        <f t="shared" si="989"/>
        <v>0.3696763202725733</v>
      </c>
      <c r="Q610">
        <f t="shared" si="990"/>
        <v>5174365.665417389</v>
      </c>
      <c r="R610">
        <f t="shared" si="991"/>
        <v>-65277495.429404482</v>
      </c>
      <c r="S610">
        <f t="shared" si="992"/>
        <v>-652.77495429404485</v>
      </c>
      <c r="T610">
        <f t="shared" si="993"/>
        <v>-0.65277495429404486</v>
      </c>
    </row>
    <row r="611" spans="1:20" x14ac:dyDescent="0.25">
      <c r="A611" s="5">
        <v>43982</v>
      </c>
      <c r="B611">
        <v>4.3950000000000003E-2</v>
      </c>
      <c r="C611">
        <v>4.4499999999999998E-2</v>
      </c>
      <c r="D611">
        <v>3.8300000000000001E-2</v>
      </c>
      <c r="E611">
        <v>3.9640000000000002E-2</v>
      </c>
      <c r="F611">
        <v>6582017.9000000004</v>
      </c>
      <c r="G611">
        <v>0</v>
      </c>
      <c r="L611" t="s">
        <v>7</v>
      </c>
      <c r="M611" t="s">
        <v>7</v>
      </c>
      <c r="N611" t="s">
        <v>7</v>
      </c>
      <c r="P611">
        <f t="shared" si="989"/>
        <v>-0.56774193548387053</v>
      </c>
      <c r="Q611">
        <f t="shared" si="990"/>
        <v>-3736887.5819354812</v>
      </c>
      <c r="R611">
        <f t="shared" si="991"/>
        <v>-70451861.09482187</v>
      </c>
      <c r="S611">
        <f t="shared" si="992"/>
        <v>-704.51861094821868</v>
      </c>
      <c r="T611">
        <f t="shared" si="993"/>
        <v>-0.70451861094821866</v>
      </c>
    </row>
    <row r="612" spans="1:20" x14ac:dyDescent="0.25">
      <c r="A612" s="5">
        <v>43981</v>
      </c>
      <c r="B612">
        <v>4.3049999999999998E-2</v>
      </c>
      <c r="C612">
        <v>4.505E-2</v>
      </c>
      <c r="D612">
        <v>4.2290000000000001E-2</v>
      </c>
      <c r="E612">
        <v>4.394E-2</v>
      </c>
      <c r="F612">
        <v>6120857.5999999996</v>
      </c>
      <c r="G612">
        <v>0</v>
      </c>
      <c r="L612" t="s">
        <v>8</v>
      </c>
      <c r="M612" t="s">
        <v>7</v>
      </c>
      <c r="N612" t="s">
        <v>7</v>
      </c>
      <c r="P612">
        <f t="shared" si="989"/>
        <v>0.19565217391304315</v>
      </c>
      <c r="Q612">
        <f t="shared" si="990"/>
        <v>1197559.0956521719</v>
      </c>
      <c r="R612">
        <f t="shared" si="991"/>
        <v>-66714973.512886383</v>
      </c>
      <c r="S612">
        <f t="shared" si="992"/>
        <v>-667.14973512886388</v>
      </c>
      <c r="T612">
        <f t="shared" si="993"/>
        <v>-0.66714973512886389</v>
      </c>
    </row>
    <row r="613" spans="1:20" x14ac:dyDescent="0.25">
      <c r="A613" s="5">
        <v>43980</v>
      </c>
      <c r="B613">
        <v>4.2000000000000003E-2</v>
      </c>
      <c r="C613">
        <v>4.3999999999999997E-2</v>
      </c>
      <c r="D613">
        <v>4.1000000000000002E-2</v>
      </c>
      <c r="E613">
        <v>4.3099999999999999E-2</v>
      </c>
      <c r="F613">
        <v>9302958.0999999996</v>
      </c>
      <c r="G613">
        <v>0</v>
      </c>
      <c r="L613" t="s">
        <v>7</v>
      </c>
      <c r="M613" t="s">
        <v>7</v>
      </c>
      <c r="N613" t="s">
        <v>7</v>
      </c>
      <c r="P613">
        <f t="shared" si="989"/>
        <v>0.40000000000000047</v>
      </c>
      <c r="Q613">
        <f t="shared" si="990"/>
        <v>3721183.2400000044</v>
      </c>
      <c r="R613">
        <f t="shared" si="991"/>
        <v>-67912532.608538553</v>
      </c>
      <c r="S613">
        <f t="shared" si="992"/>
        <v>-679.1253260853855</v>
      </c>
      <c r="T613">
        <f t="shared" si="993"/>
        <v>-0.67912532608538545</v>
      </c>
    </row>
    <row r="614" spans="1:20" x14ac:dyDescent="0.25">
      <c r="A614" s="5">
        <v>43979</v>
      </c>
      <c r="B614">
        <v>4.2250000000000003E-2</v>
      </c>
      <c r="C614">
        <v>4.5330000000000002E-2</v>
      </c>
      <c r="D614">
        <v>4.1000000000000002E-2</v>
      </c>
      <c r="E614">
        <v>4.197E-2</v>
      </c>
      <c r="F614">
        <v>9202221.1999999993</v>
      </c>
      <c r="G614">
        <v>0</v>
      </c>
      <c r="L614" t="s">
        <v>8</v>
      </c>
      <c r="M614" t="s">
        <v>7</v>
      </c>
      <c r="N614" t="s">
        <v>7</v>
      </c>
      <c r="P614">
        <f t="shared" si="989"/>
        <v>-0.55196304849884592</v>
      </c>
      <c r="Q614">
        <f t="shared" si="990"/>
        <v>-5079286.0665127076</v>
      </c>
      <c r="R614">
        <f t="shared" si="991"/>
        <v>-71633715.848538563</v>
      </c>
      <c r="S614">
        <f t="shared" si="992"/>
        <v>-716.33715848538566</v>
      </c>
      <c r="T614">
        <f t="shared" si="993"/>
        <v>-0.71633715848538571</v>
      </c>
    </row>
    <row r="615" spans="1:20" x14ac:dyDescent="0.25">
      <c r="A615" s="5">
        <v>43978</v>
      </c>
      <c r="B615">
        <v>4.3999999999999997E-2</v>
      </c>
      <c r="C615">
        <v>4.4080000000000001E-2</v>
      </c>
      <c r="D615">
        <v>3.8760000000000003E-2</v>
      </c>
      <c r="E615">
        <v>4.197E-2</v>
      </c>
      <c r="F615">
        <v>6868802.5999999996</v>
      </c>
      <c r="G615">
        <v>0</v>
      </c>
      <c r="L615" t="s">
        <v>7</v>
      </c>
      <c r="M615" t="s">
        <v>7</v>
      </c>
      <c r="N615" t="s">
        <v>7</v>
      </c>
      <c r="P615">
        <f t="shared" si="989"/>
        <v>0.20676691729323254</v>
      </c>
      <c r="Q615">
        <f t="shared" si="990"/>
        <v>1420241.1390977406</v>
      </c>
      <c r="R615">
        <f t="shared" si="991"/>
        <v>-66554429.782025851</v>
      </c>
      <c r="S615">
        <f t="shared" si="992"/>
        <v>-665.54429782025852</v>
      </c>
      <c r="T615">
        <f t="shared" si="993"/>
        <v>-0.66554429782025848</v>
      </c>
    </row>
    <row r="616" spans="1:20" x14ac:dyDescent="0.25">
      <c r="A616" s="5">
        <v>43977</v>
      </c>
      <c r="B616">
        <v>4.1880000000000001E-2</v>
      </c>
      <c r="C616">
        <v>4.7359999999999999E-2</v>
      </c>
      <c r="D616">
        <v>4.0529999999999997E-2</v>
      </c>
      <c r="E616">
        <v>4.3999999999999997E-2</v>
      </c>
      <c r="F616">
        <v>11402466.699999999</v>
      </c>
      <c r="G616">
        <v>0</v>
      </c>
      <c r="L616" t="s">
        <v>8</v>
      </c>
      <c r="M616" t="s">
        <v>8</v>
      </c>
      <c r="N616" t="s">
        <v>7</v>
      </c>
      <c r="P616">
        <f t="shared" si="989"/>
        <v>1.6105417276720196E-2</v>
      </c>
      <c r="Q616">
        <f t="shared" si="990"/>
        <v>183641.48418740669</v>
      </c>
      <c r="R616">
        <f t="shared" si="991"/>
        <v>-67974670.921123594</v>
      </c>
      <c r="S616">
        <f t="shared" si="992"/>
        <v>-679.74670921123595</v>
      </c>
      <c r="T616">
        <f t="shared" si="993"/>
        <v>-0.67974670921123592</v>
      </c>
    </row>
    <row r="617" spans="1:20" x14ac:dyDescent="0.25">
      <c r="A617" s="5">
        <v>43976</v>
      </c>
      <c r="B617">
        <v>3.8280000000000002E-2</v>
      </c>
      <c r="C617">
        <v>4.3810000000000002E-2</v>
      </c>
      <c r="D617">
        <v>3.7650000000000003E-2</v>
      </c>
      <c r="E617">
        <v>4.2070000000000003E-2</v>
      </c>
      <c r="F617">
        <v>9552254.5</v>
      </c>
      <c r="G617">
        <v>0</v>
      </c>
      <c r="L617" t="s">
        <v>8</v>
      </c>
      <c r="M617" t="s">
        <v>8</v>
      </c>
      <c r="N617" t="s">
        <v>7</v>
      </c>
      <c r="P617">
        <f t="shared" si="989"/>
        <v>0.43506493506493543</v>
      </c>
      <c r="Q617">
        <f t="shared" si="990"/>
        <v>4155850.9837662373</v>
      </c>
      <c r="R617">
        <f t="shared" si="991"/>
        <v>-68158312.405311003</v>
      </c>
      <c r="S617">
        <f t="shared" si="992"/>
        <v>-681.58312405311005</v>
      </c>
      <c r="T617">
        <f t="shared" si="993"/>
        <v>-0.68158312405311006</v>
      </c>
    </row>
    <row r="618" spans="1:20" x14ac:dyDescent="0.25">
      <c r="A618" s="5">
        <v>43975</v>
      </c>
      <c r="B618">
        <v>3.8980000000000001E-2</v>
      </c>
      <c r="C618">
        <v>4.1750000000000002E-2</v>
      </c>
      <c r="D618">
        <v>3.807E-2</v>
      </c>
      <c r="E618">
        <v>3.8280000000000002E-2</v>
      </c>
      <c r="F618">
        <v>6907599.2000000002</v>
      </c>
      <c r="G618">
        <v>0</v>
      </c>
      <c r="L618" t="s">
        <v>8</v>
      </c>
      <c r="M618" t="s">
        <v>8</v>
      </c>
      <c r="N618" t="s">
        <v>7</v>
      </c>
      <c r="P618">
        <f t="shared" si="989"/>
        <v>-0.88586956521739035</v>
      </c>
      <c r="Q618">
        <f t="shared" si="990"/>
        <v>-6119231.8999999939</v>
      </c>
      <c r="R618">
        <f t="shared" si="991"/>
        <v>-72314163.389077246</v>
      </c>
      <c r="S618">
        <f t="shared" si="992"/>
        <v>-723.14163389077248</v>
      </c>
      <c r="T618">
        <f t="shared" si="993"/>
        <v>-0.72314163389077246</v>
      </c>
    </row>
    <row r="619" spans="1:20" x14ac:dyDescent="0.25">
      <c r="A619" s="5">
        <v>43974</v>
      </c>
      <c r="B619">
        <v>3.8210000000000001E-2</v>
      </c>
      <c r="C619">
        <v>3.9899999999999998E-2</v>
      </c>
      <c r="D619">
        <v>3.7350000000000001E-2</v>
      </c>
      <c r="E619">
        <v>3.8850000000000003E-2</v>
      </c>
      <c r="F619">
        <v>2362278.7999999998</v>
      </c>
      <c r="G619">
        <v>0</v>
      </c>
      <c r="L619" t="s">
        <v>8</v>
      </c>
      <c r="M619" t="s">
        <v>8</v>
      </c>
      <c r="N619" t="s">
        <v>7</v>
      </c>
      <c r="P619">
        <f t="shared" si="989"/>
        <v>0.17647058823529668</v>
      </c>
      <c r="Q619">
        <f t="shared" si="990"/>
        <v>416872.72941177071</v>
      </c>
      <c r="R619">
        <f t="shared" si="991"/>
        <v>-66194931.489077255</v>
      </c>
      <c r="S619">
        <f t="shared" si="992"/>
        <v>-661.9493148907726</v>
      </c>
      <c r="T619">
        <f t="shared" si="993"/>
        <v>-0.66194931489077258</v>
      </c>
    </row>
    <row r="620" spans="1:20" x14ac:dyDescent="0.25">
      <c r="A620" s="5">
        <v>43973</v>
      </c>
      <c r="B620">
        <v>3.6429999999999997E-2</v>
      </c>
      <c r="C620">
        <v>3.8710000000000001E-2</v>
      </c>
      <c r="D620">
        <v>3.6080000000000001E-2</v>
      </c>
      <c r="E620">
        <v>3.8150000000000003E-2</v>
      </c>
      <c r="F620">
        <v>1990609.9</v>
      </c>
      <c r="G620">
        <v>0</v>
      </c>
      <c r="L620" t="s">
        <v>8</v>
      </c>
      <c r="M620" t="s">
        <v>8</v>
      </c>
      <c r="N620" t="s">
        <v>7</v>
      </c>
      <c r="P620">
        <f t="shared" si="989"/>
        <v>0.57414448669201679</v>
      </c>
      <c r="Q620">
        <f t="shared" si="990"/>
        <v>1142897.6992395469</v>
      </c>
      <c r="R620">
        <f t="shared" si="991"/>
        <v>-66611804.218489029</v>
      </c>
      <c r="S620">
        <f t="shared" si="992"/>
        <v>-666.11804218489033</v>
      </c>
      <c r="T620">
        <f t="shared" si="993"/>
        <v>-0.66611804218489035</v>
      </c>
    </row>
    <row r="621" spans="1:20" x14ac:dyDescent="0.25">
      <c r="A621" s="5">
        <v>43972</v>
      </c>
      <c r="B621">
        <v>3.9280000000000002E-2</v>
      </c>
      <c r="C621">
        <v>3.9629999999999999E-2</v>
      </c>
      <c r="D621">
        <v>3.5159999999999997E-2</v>
      </c>
      <c r="E621">
        <v>3.6700000000000003E-2</v>
      </c>
      <c r="F621">
        <v>2806376</v>
      </c>
      <c r="G621">
        <v>0</v>
      </c>
      <c r="L621" t="s">
        <v>7</v>
      </c>
      <c r="M621" t="s">
        <v>8</v>
      </c>
      <c r="N621" t="s">
        <v>7</v>
      </c>
      <c r="P621">
        <f t="shared" si="989"/>
        <v>-0.3109619686800868</v>
      </c>
      <c r="Q621">
        <f t="shared" si="990"/>
        <v>-872676.20581654727</v>
      </c>
      <c r="R621">
        <f t="shared" si="991"/>
        <v>-67754701.917728573</v>
      </c>
      <c r="S621">
        <f t="shared" si="992"/>
        <v>-677.54701917728573</v>
      </c>
      <c r="T621">
        <f t="shared" si="993"/>
        <v>-0.67754701917728577</v>
      </c>
    </row>
    <row r="622" spans="1:20" x14ac:dyDescent="0.25">
      <c r="A622" s="5">
        <v>43971</v>
      </c>
      <c r="B622">
        <v>3.9739999999999998E-2</v>
      </c>
      <c r="C622">
        <v>4.1000000000000002E-2</v>
      </c>
      <c r="D622">
        <v>3.7990000000000003E-2</v>
      </c>
      <c r="E622">
        <v>3.9289999999999999E-2</v>
      </c>
      <c r="F622">
        <v>4735770.5</v>
      </c>
      <c r="G622">
        <v>0</v>
      </c>
      <c r="L622" t="s">
        <v>7</v>
      </c>
      <c r="M622" t="s">
        <v>8</v>
      </c>
      <c r="N622" t="s">
        <v>7</v>
      </c>
      <c r="P622">
        <f t="shared" si="989"/>
        <v>-0.13621262458472019</v>
      </c>
      <c r="Q622">
        <f t="shared" si="990"/>
        <v>-645071.72923589265</v>
      </c>
      <c r="R622">
        <f t="shared" si="991"/>
        <v>-66882025.711912021</v>
      </c>
      <c r="S622">
        <f t="shared" si="992"/>
        <v>-668.82025711912024</v>
      </c>
      <c r="T622">
        <f t="shared" si="993"/>
        <v>-0.66882025711912019</v>
      </c>
    </row>
    <row r="623" spans="1:20" x14ac:dyDescent="0.25">
      <c r="A623" s="5">
        <v>43970</v>
      </c>
      <c r="B623">
        <v>3.8949999999999999E-2</v>
      </c>
      <c r="C623">
        <v>4.0689999999999997E-2</v>
      </c>
      <c r="D623">
        <v>3.7280000000000001E-2</v>
      </c>
      <c r="E623">
        <v>3.9410000000000001E-2</v>
      </c>
      <c r="F623">
        <v>6276422.5</v>
      </c>
      <c r="G623">
        <v>0</v>
      </c>
      <c r="L623" t="s">
        <v>8</v>
      </c>
      <c r="M623" t="s">
        <v>8</v>
      </c>
      <c r="N623" t="s">
        <v>7</v>
      </c>
      <c r="P623">
        <f t="shared" si="989"/>
        <v>0.24926686217008928</v>
      </c>
      <c r="Q623">
        <f t="shared" si="990"/>
        <v>1564504.1422287473</v>
      </c>
      <c r="R623">
        <f t="shared" si="991"/>
        <v>-66236953.982676126</v>
      </c>
      <c r="S623">
        <f t="shared" si="992"/>
        <v>-662.3695398267613</v>
      </c>
      <c r="T623">
        <f t="shared" si="993"/>
        <v>-0.66236953982676128</v>
      </c>
    </row>
    <row r="624" spans="1:20" x14ac:dyDescent="0.25">
      <c r="A624" s="5">
        <v>43969</v>
      </c>
      <c r="B624">
        <v>3.6819999999999999E-2</v>
      </c>
      <c r="C624">
        <v>3.9329999999999997E-2</v>
      </c>
      <c r="D624">
        <v>3.5549999999999998E-2</v>
      </c>
      <c r="E624">
        <v>3.916E-2</v>
      </c>
      <c r="F624">
        <v>4619119.7</v>
      </c>
      <c r="G624">
        <v>0</v>
      </c>
      <c r="L624" t="s">
        <v>7</v>
      </c>
      <c r="M624" t="s">
        <v>8</v>
      </c>
      <c r="N624" t="s">
        <v>7</v>
      </c>
      <c r="P624">
        <f t="shared" si="989"/>
        <v>0.91005291005291189</v>
      </c>
      <c r="Q624">
        <f t="shared" si="990"/>
        <v>4203643.3248677338</v>
      </c>
      <c r="R624">
        <f t="shared" si="991"/>
        <v>-67801458.124904871</v>
      </c>
      <c r="S624">
        <f t="shared" si="992"/>
        <v>-678.01458124904866</v>
      </c>
      <c r="T624">
        <f t="shared" si="993"/>
        <v>-0.67801458124904868</v>
      </c>
    </row>
    <row r="625" spans="1:20" x14ac:dyDescent="0.25">
      <c r="A625" s="5">
        <v>43968</v>
      </c>
      <c r="B625">
        <v>3.6999999999999998E-2</v>
      </c>
      <c r="C625">
        <v>3.7670000000000002E-2</v>
      </c>
      <c r="D625">
        <v>3.6510000000000001E-2</v>
      </c>
      <c r="E625">
        <v>3.6519999999999997E-2</v>
      </c>
      <c r="F625">
        <v>2262317.5</v>
      </c>
      <c r="G625">
        <v>0</v>
      </c>
      <c r="L625" t="s">
        <v>7</v>
      </c>
      <c r="M625" t="s">
        <v>8</v>
      </c>
      <c r="N625" t="s">
        <v>7</v>
      </c>
      <c r="P625">
        <f t="shared" si="989"/>
        <v>-0.98275862068966191</v>
      </c>
      <c r="Q625">
        <f t="shared" si="990"/>
        <v>-2223312.0258620842</v>
      </c>
      <c r="R625">
        <f t="shared" si="991"/>
        <v>-72005101.449772611</v>
      </c>
      <c r="S625">
        <f t="shared" si="992"/>
        <v>-720.0510144977261</v>
      </c>
      <c r="T625">
        <f t="shared" si="993"/>
        <v>-0.72005101449772613</v>
      </c>
    </row>
    <row r="626" spans="1:20" x14ac:dyDescent="0.25">
      <c r="A626" s="5">
        <v>43967</v>
      </c>
      <c r="B626">
        <v>3.7719999999999997E-2</v>
      </c>
      <c r="C626">
        <v>3.8030000000000001E-2</v>
      </c>
      <c r="D626">
        <v>3.6510000000000001E-2</v>
      </c>
      <c r="E626">
        <v>3.7060000000000003E-2</v>
      </c>
      <c r="F626">
        <v>1836022.7</v>
      </c>
      <c r="G626">
        <v>0</v>
      </c>
      <c r="L626" t="s">
        <v>7</v>
      </c>
      <c r="M626" t="s">
        <v>8</v>
      </c>
      <c r="N626" t="s">
        <v>7</v>
      </c>
      <c r="P626">
        <f t="shared" si="989"/>
        <v>-0.27631578947368196</v>
      </c>
      <c r="Q626">
        <f t="shared" si="990"/>
        <v>-507322.0618421011</v>
      </c>
      <c r="R626">
        <f t="shared" si="991"/>
        <v>-69781789.423910528</v>
      </c>
      <c r="S626">
        <f t="shared" si="992"/>
        <v>-697.81789423910527</v>
      </c>
      <c r="T626">
        <f t="shared" si="993"/>
        <v>-0.69781789423910523</v>
      </c>
    </row>
    <row r="627" spans="1:20" x14ac:dyDescent="0.25">
      <c r="A627" s="5">
        <v>43966</v>
      </c>
      <c r="B627">
        <v>4.0899999999999999E-2</v>
      </c>
      <c r="C627">
        <v>4.0899999999999999E-2</v>
      </c>
      <c r="D627">
        <v>3.6540000000000003E-2</v>
      </c>
      <c r="E627">
        <v>3.773E-2</v>
      </c>
      <c r="F627">
        <v>4686955</v>
      </c>
      <c r="G627">
        <v>0</v>
      </c>
      <c r="L627" t="s">
        <v>8</v>
      </c>
      <c r="M627" t="s">
        <v>8</v>
      </c>
      <c r="N627" t="s">
        <v>7</v>
      </c>
      <c r="P627">
        <f t="shared" si="989"/>
        <v>-0.45412844036697353</v>
      </c>
      <c r="Q627">
        <f t="shared" si="990"/>
        <v>-2128479.5642201882</v>
      </c>
      <c r="R627">
        <f t="shared" si="991"/>
        <v>-69274467.36206843</v>
      </c>
      <c r="S627">
        <f t="shared" si="992"/>
        <v>-692.74467362068435</v>
      </c>
      <c r="T627">
        <f t="shared" si="993"/>
        <v>-0.69274467362068437</v>
      </c>
    </row>
    <row r="628" spans="1:20" x14ac:dyDescent="0.25">
      <c r="A628" s="5">
        <v>43965</v>
      </c>
      <c r="B628">
        <v>3.7199999999999997E-2</v>
      </c>
      <c r="C628">
        <v>4.0899999999999999E-2</v>
      </c>
      <c r="D628">
        <v>3.5360000000000003E-2</v>
      </c>
      <c r="E628">
        <v>4.0899999999999999E-2</v>
      </c>
      <c r="F628">
        <v>11489717.6</v>
      </c>
      <c r="G628">
        <v>0</v>
      </c>
      <c r="L628" t="s">
        <v>7</v>
      </c>
      <c r="M628" t="s">
        <v>8</v>
      </c>
      <c r="N628" t="s">
        <v>7</v>
      </c>
      <c r="P628">
        <f t="shared" si="989"/>
        <v>1</v>
      </c>
      <c r="Q628">
        <f t="shared" si="990"/>
        <v>11489717.6</v>
      </c>
      <c r="R628">
        <f t="shared" si="991"/>
        <v>-67145987.79784824</v>
      </c>
      <c r="S628">
        <f t="shared" si="992"/>
        <v>-671.45987797848238</v>
      </c>
      <c r="T628">
        <f t="shared" si="993"/>
        <v>-0.67145987797848239</v>
      </c>
    </row>
    <row r="629" spans="1:20" x14ac:dyDescent="0.25">
      <c r="A629" s="5">
        <v>43964</v>
      </c>
      <c r="B629">
        <v>3.7749999999999999E-2</v>
      </c>
      <c r="C629">
        <v>3.8080000000000003E-2</v>
      </c>
      <c r="D629">
        <v>3.6200000000000003E-2</v>
      </c>
      <c r="E629">
        <v>3.696E-2</v>
      </c>
      <c r="F629">
        <v>4609486.2</v>
      </c>
      <c r="G629">
        <v>0</v>
      </c>
      <c r="L629" t="s">
        <v>7</v>
      </c>
      <c r="M629" t="s">
        <v>7</v>
      </c>
      <c r="N629" t="s">
        <v>7</v>
      </c>
      <c r="P629">
        <f t="shared" si="989"/>
        <v>-0.19148936170213096</v>
      </c>
      <c r="Q629">
        <f t="shared" si="990"/>
        <v>-882667.5702127812</v>
      </c>
      <c r="R629">
        <f t="shared" si="991"/>
        <v>-78635705.397848234</v>
      </c>
      <c r="S629">
        <f t="shared" si="992"/>
        <v>-786.35705397848233</v>
      </c>
      <c r="T629">
        <f t="shared" si="993"/>
        <v>-0.78635705397848232</v>
      </c>
    </row>
    <row r="630" spans="1:20" x14ac:dyDescent="0.25">
      <c r="A630" s="5">
        <v>43963</v>
      </c>
      <c r="B630">
        <v>3.5869999999999999E-2</v>
      </c>
      <c r="C630">
        <v>3.984E-2</v>
      </c>
      <c r="D630">
        <v>3.3390000000000003E-2</v>
      </c>
      <c r="E630">
        <v>3.7749999999999999E-2</v>
      </c>
      <c r="F630">
        <v>9544341.4000000004</v>
      </c>
      <c r="G630">
        <v>0</v>
      </c>
      <c r="L630" t="s">
        <v>8</v>
      </c>
      <c r="M630" t="s">
        <v>7</v>
      </c>
      <c r="N630" t="s">
        <v>7</v>
      </c>
      <c r="P630">
        <f t="shared" si="989"/>
        <v>0.35193798449612329</v>
      </c>
      <c r="Q630">
        <f t="shared" si="990"/>
        <v>3359016.2756589078</v>
      </c>
      <c r="R630">
        <f t="shared" si="991"/>
        <v>-77753037.827635452</v>
      </c>
      <c r="S630">
        <f t="shared" si="992"/>
        <v>-777.53037827635455</v>
      </c>
      <c r="T630">
        <f t="shared" si="993"/>
        <v>-0.77753037827635452</v>
      </c>
    </row>
    <row r="631" spans="1:20" x14ac:dyDescent="0.25">
      <c r="A631" s="5">
        <v>43962</v>
      </c>
      <c r="B631">
        <v>3.755E-2</v>
      </c>
      <c r="C631">
        <v>3.8269999999999998E-2</v>
      </c>
      <c r="D631">
        <v>3.3790000000000001E-2</v>
      </c>
      <c r="E631">
        <v>3.603E-2</v>
      </c>
      <c r="F631">
        <v>3667006.7</v>
      </c>
      <c r="G631">
        <v>0</v>
      </c>
      <c r="L631" t="s">
        <v>7</v>
      </c>
      <c r="M631" t="s">
        <v>7</v>
      </c>
      <c r="N631" t="s">
        <v>7</v>
      </c>
      <c r="P631">
        <f t="shared" si="989"/>
        <v>0</v>
      </c>
      <c r="Q631">
        <f t="shared" si="990"/>
        <v>0</v>
      </c>
      <c r="R631">
        <f t="shared" si="991"/>
        <v>-81112054.103294358</v>
      </c>
      <c r="S631">
        <f t="shared" si="992"/>
        <v>-811.12054103294361</v>
      </c>
      <c r="T631">
        <f t="shared" si="993"/>
        <v>-0.81112054103294362</v>
      </c>
    </row>
    <row r="632" spans="1:20" x14ac:dyDescent="0.25">
      <c r="A632" s="5">
        <v>43961</v>
      </c>
      <c r="B632">
        <v>4.0550000000000003E-2</v>
      </c>
      <c r="C632">
        <v>4.0550000000000003E-2</v>
      </c>
      <c r="D632">
        <v>3.4320000000000003E-2</v>
      </c>
      <c r="E632">
        <v>3.755E-2</v>
      </c>
      <c r="F632">
        <v>4789898.2</v>
      </c>
      <c r="G632">
        <v>0</v>
      </c>
      <c r="L632" t="s">
        <v>7</v>
      </c>
      <c r="M632" t="s">
        <v>7</v>
      </c>
      <c r="N632" t="s">
        <v>7</v>
      </c>
      <c r="P632">
        <f t="shared" si="989"/>
        <v>3.6918138041732607E-2</v>
      </c>
      <c r="Q632">
        <f t="shared" si="990"/>
        <v>176834.12295344655</v>
      </c>
      <c r="R632">
        <f t="shared" si="991"/>
        <v>-81112054.103294358</v>
      </c>
      <c r="S632">
        <f t="shared" si="992"/>
        <v>-811.12054103294361</v>
      </c>
      <c r="T632">
        <f t="shared" si="993"/>
        <v>-0.81112054103294362</v>
      </c>
    </row>
    <row r="633" spans="1:20" x14ac:dyDescent="0.25">
      <c r="A633" s="5">
        <v>43960</v>
      </c>
      <c r="B633">
        <v>4.011E-2</v>
      </c>
      <c r="C633">
        <v>4.2349999999999999E-2</v>
      </c>
      <c r="D633">
        <v>3.9629999999999999E-2</v>
      </c>
      <c r="E633">
        <v>4.0500000000000001E-2</v>
      </c>
      <c r="F633">
        <v>4645989.7</v>
      </c>
      <c r="G633">
        <v>0</v>
      </c>
      <c r="L633" t="s">
        <v>8</v>
      </c>
      <c r="M633" t="s">
        <v>7</v>
      </c>
      <c r="N633" t="s">
        <v>8</v>
      </c>
      <c r="P633">
        <f t="shared" si="989"/>
        <v>-0.36029411764705688</v>
      </c>
      <c r="Q633">
        <f t="shared" si="990"/>
        <v>-1673922.7595588146</v>
      </c>
      <c r="R633">
        <f t="shared" si="991"/>
        <v>-81288888.226247802</v>
      </c>
      <c r="S633">
        <f t="shared" si="992"/>
        <v>-812.88888226247798</v>
      </c>
      <c r="T633">
        <f t="shared" si="993"/>
        <v>-0.81288888226247802</v>
      </c>
    </row>
    <row r="634" spans="1:20" x14ac:dyDescent="0.25">
      <c r="A634" s="5">
        <v>43959</v>
      </c>
      <c r="B634">
        <v>3.9829999999999997E-2</v>
      </c>
      <c r="C634">
        <v>4.1950000000000001E-2</v>
      </c>
      <c r="D634">
        <v>3.9109999999999999E-2</v>
      </c>
      <c r="E634">
        <v>4.0120000000000003E-2</v>
      </c>
      <c r="F634">
        <v>3290026.7</v>
      </c>
      <c r="G634">
        <v>0</v>
      </c>
      <c r="L634" t="s">
        <v>8</v>
      </c>
      <c r="M634" t="s">
        <v>7</v>
      </c>
      <c r="N634" t="s">
        <v>8</v>
      </c>
      <c r="P634">
        <f t="shared" si="989"/>
        <v>-0.28873239436619497</v>
      </c>
      <c r="Q634">
        <f t="shared" si="990"/>
        <v>-949937.28661971109</v>
      </c>
      <c r="R634">
        <f t="shared" si="991"/>
        <v>-79614965.466688991</v>
      </c>
      <c r="S634">
        <f t="shared" si="992"/>
        <v>-796.14965466688989</v>
      </c>
      <c r="T634">
        <f t="shared" si="993"/>
        <v>-0.79614965466688992</v>
      </c>
    </row>
    <row r="635" spans="1:20" x14ac:dyDescent="0.25">
      <c r="A635" s="5">
        <v>43958</v>
      </c>
      <c r="B635">
        <v>4.0469999999999999E-2</v>
      </c>
      <c r="C635">
        <v>4.1160000000000002E-2</v>
      </c>
      <c r="D635">
        <v>3.7749999999999999E-2</v>
      </c>
      <c r="E635">
        <v>4.0329999999999998E-2</v>
      </c>
      <c r="F635">
        <v>5730631</v>
      </c>
      <c r="G635">
        <v>0</v>
      </c>
      <c r="L635" t="s">
        <v>7</v>
      </c>
      <c r="M635" t="s">
        <v>7</v>
      </c>
      <c r="N635" t="s">
        <v>8</v>
      </c>
      <c r="P635">
        <f t="shared" si="989"/>
        <v>0.5131964809384143</v>
      </c>
      <c r="Q635">
        <f t="shared" si="990"/>
        <v>2940939.662756586</v>
      </c>
      <c r="R635">
        <f t="shared" si="991"/>
        <v>-78665028.180069283</v>
      </c>
      <c r="S635">
        <f t="shared" si="992"/>
        <v>-786.65028180069282</v>
      </c>
      <c r="T635">
        <f t="shared" si="993"/>
        <v>-0.78665028180069285</v>
      </c>
    </row>
    <row r="636" spans="1:20" x14ac:dyDescent="0.25">
      <c r="A636" s="5">
        <v>43957</v>
      </c>
      <c r="B636">
        <v>4.2799999999999998E-2</v>
      </c>
      <c r="C636">
        <v>4.3979999999999998E-2</v>
      </c>
      <c r="D636">
        <v>4.0489999999999998E-2</v>
      </c>
      <c r="E636">
        <v>4.0489999999999998E-2</v>
      </c>
      <c r="F636">
        <v>3618858.9</v>
      </c>
      <c r="G636">
        <v>0</v>
      </c>
      <c r="L636" t="s">
        <v>8</v>
      </c>
      <c r="M636" t="s">
        <v>7</v>
      </c>
      <c r="N636" t="s">
        <v>8</v>
      </c>
      <c r="P636">
        <f t="shared" si="989"/>
        <v>-1</v>
      </c>
      <c r="Q636">
        <f t="shared" si="990"/>
        <v>-3618858.9</v>
      </c>
      <c r="R636">
        <f t="shared" si="991"/>
        <v>-81605967.842825875</v>
      </c>
      <c r="S636">
        <f t="shared" si="992"/>
        <v>-816.05967842825874</v>
      </c>
      <c r="T636">
        <f t="shared" si="993"/>
        <v>-0.81605967842825877</v>
      </c>
    </row>
    <row r="637" spans="1:20" x14ac:dyDescent="0.25">
      <c r="A637" s="5">
        <v>43956</v>
      </c>
      <c r="B637">
        <v>4.2000000000000003E-2</v>
      </c>
      <c r="C637">
        <v>4.3549999999999998E-2</v>
      </c>
      <c r="D637">
        <v>4.0570000000000002E-2</v>
      </c>
      <c r="E637">
        <v>4.2810000000000001E-2</v>
      </c>
      <c r="F637">
        <v>3759745</v>
      </c>
      <c r="G637">
        <v>0</v>
      </c>
      <c r="L637" t="s">
        <v>8</v>
      </c>
      <c r="M637" t="s">
        <v>7</v>
      </c>
      <c r="N637" t="s">
        <v>8</v>
      </c>
      <c r="P637">
        <f t="shared" si="989"/>
        <v>0.50335570469798763</v>
      </c>
      <c r="Q637">
        <f t="shared" si="990"/>
        <v>1892489.0939597355</v>
      </c>
      <c r="R637">
        <f t="shared" si="991"/>
        <v>-77987108.942825869</v>
      </c>
      <c r="S637">
        <f t="shared" si="992"/>
        <v>-779.87108942825864</v>
      </c>
      <c r="T637">
        <f t="shared" si="993"/>
        <v>-0.77987108942825867</v>
      </c>
    </row>
    <row r="638" spans="1:20" x14ac:dyDescent="0.25">
      <c r="A638" s="5">
        <v>43955</v>
      </c>
      <c r="B638">
        <v>4.3189999999999999E-2</v>
      </c>
      <c r="C638">
        <v>4.3200000000000002E-2</v>
      </c>
      <c r="D638">
        <v>4.0120000000000003E-2</v>
      </c>
      <c r="E638">
        <v>4.2000000000000003E-2</v>
      </c>
      <c r="F638">
        <v>3421737.6</v>
      </c>
      <c r="G638">
        <v>0</v>
      </c>
      <c r="L638" t="s">
        <v>7</v>
      </c>
      <c r="M638" t="s">
        <v>7</v>
      </c>
      <c r="N638" t="s">
        <v>8</v>
      </c>
      <c r="P638">
        <f t="shared" si="989"/>
        <v>0.22077922077922082</v>
      </c>
      <c r="Q638">
        <f t="shared" si="990"/>
        <v>755448.56103896117</v>
      </c>
      <c r="R638">
        <f t="shared" si="991"/>
        <v>-79879598.036785603</v>
      </c>
      <c r="S638">
        <f t="shared" si="992"/>
        <v>-798.79598036785603</v>
      </c>
      <c r="T638">
        <f t="shared" si="993"/>
        <v>-0.79879598036785604</v>
      </c>
    </row>
    <row r="639" spans="1:20" x14ac:dyDescent="0.25">
      <c r="A639" s="5">
        <v>43954</v>
      </c>
      <c r="B639">
        <v>4.4249999999999998E-2</v>
      </c>
      <c r="C639">
        <v>4.4540000000000003E-2</v>
      </c>
      <c r="D639">
        <v>4.1329999999999999E-2</v>
      </c>
      <c r="E639">
        <v>4.3180000000000003E-2</v>
      </c>
      <c r="F639">
        <v>4378937</v>
      </c>
      <c r="G639">
        <v>0</v>
      </c>
      <c r="L639" t="s">
        <v>7</v>
      </c>
      <c r="M639" t="s">
        <v>7</v>
      </c>
      <c r="N639" t="s">
        <v>8</v>
      </c>
      <c r="P639">
        <f t="shared" si="989"/>
        <v>0.15264797507788275</v>
      </c>
      <c r="Q639">
        <f t="shared" si="990"/>
        <v>668435.86604361865</v>
      </c>
      <c r="R639">
        <f t="shared" si="991"/>
        <v>-80635046.597824559</v>
      </c>
      <c r="S639">
        <f t="shared" si="992"/>
        <v>-806.35046597824555</v>
      </c>
      <c r="T639">
        <f t="shared" si="993"/>
        <v>-0.80635046597824556</v>
      </c>
    </row>
    <row r="640" spans="1:20" x14ac:dyDescent="0.25">
      <c r="A640" s="5">
        <v>43953</v>
      </c>
      <c r="B640">
        <v>4.4720000000000003E-2</v>
      </c>
      <c r="C640">
        <v>4.5490000000000003E-2</v>
      </c>
      <c r="D640">
        <v>4.3650000000000001E-2</v>
      </c>
      <c r="E640">
        <v>4.4249999999999998E-2</v>
      </c>
      <c r="F640">
        <v>3421674.3</v>
      </c>
      <c r="G640">
        <v>0</v>
      </c>
      <c r="L640" t="s">
        <v>8</v>
      </c>
      <c r="M640" t="s">
        <v>7</v>
      </c>
      <c r="N640" t="s">
        <v>8</v>
      </c>
      <c r="P640">
        <f t="shared" si="989"/>
        <v>-0.34782608695652617</v>
      </c>
      <c r="Q640">
        <f t="shared" si="990"/>
        <v>-1190147.5826087107</v>
      </c>
      <c r="R640">
        <f t="shared" si="991"/>
        <v>-81303482.463868171</v>
      </c>
      <c r="S640">
        <f t="shared" si="992"/>
        <v>-813.0348246386817</v>
      </c>
      <c r="T640">
        <f t="shared" si="993"/>
        <v>-0.81303482463868171</v>
      </c>
    </row>
    <row r="641" spans="1:20" x14ac:dyDescent="0.25">
      <c r="A641" s="5">
        <v>43952</v>
      </c>
      <c r="B641">
        <v>4.5379999999999997E-2</v>
      </c>
      <c r="C641">
        <v>4.5769999999999998E-2</v>
      </c>
      <c r="D641">
        <v>3.9469999999999998E-2</v>
      </c>
      <c r="E641">
        <v>4.4949999999999997E-2</v>
      </c>
      <c r="F641">
        <v>8841071.5</v>
      </c>
      <c r="G641">
        <v>0</v>
      </c>
      <c r="L641" t="s">
        <v>7</v>
      </c>
      <c r="M641" t="s">
        <v>7</v>
      </c>
      <c r="N641" t="s">
        <v>8</v>
      </c>
      <c r="P641">
        <f t="shared" si="989"/>
        <v>0.73968253968253928</v>
      </c>
      <c r="Q641">
        <f t="shared" si="990"/>
        <v>6539586.2206349168</v>
      </c>
      <c r="R641">
        <f t="shared" si="991"/>
        <v>-80113334.881259456</v>
      </c>
      <c r="S641">
        <f t="shared" si="992"/>
        <v>-801.13334881259459</v>
      </c>
      <c r="T641">
        <f t="shared" si="993"/>
        <v>-0.80113334881259457</v>
      </c>
    </row>
    <row r="642" spans="1:20" x14ac:dyDescent="0.25">
      <c r="A642" s="5">
        <v>43951</v>
      </c>
      <c r="B642">
        <v>4.3360000000000003E-2</v>
      </c>
      <c r="C642">
        <v>4.6440000000000002E-2</v>
      </c>
      <c r="D642">
        <v>4.1500000000000002E-2</v>
      </c>
      <c r="E642">
        <v>4.5249999999999999E-2</v>
      </c>
      <c r="F642">
        <v>16042512.1</v>
      </c>
      <c r="G642">
        <v>0</v>
      </c>
      <c r="L642" t="s">
        <v>8</v>
      </c>
      <c r="M642" t="s">
        <v>8</v>
      </c>
      <c r="N642" t="s">
        <v>8</v>
      </c>
      <c r="P642">
        <f t="shared" si="989"/>
        <v>0.51821862348177994</v>
      </c>
      <c r="Q642">
        <f t="shared" si="990"/>
        <v>8313528.5376517987</v>
      </c>
      <c r="R642">
        <f t="shared" si="991"/>
        <v>-86652921.101894379</v>
      </c>
      <c r="S642">
        <f t="shared" si="992"/>
        <v>-866.52921101894378</v>
      </c>
      <c r="T642">
        <f t="shared" si="993"/>
        <v>-0.86652921101894376</v>
      </c>
    </row>
    <row r="643" spans="1:20" x14ac:dyDescent="0.25">
      <c r="A643" s="5">
        <v>43950</v>
      </c>
      <c r="B643">
        <v>4.4249999999999998E-2</v>
      </c>
      <c r="C643">
        <v>4.5019999999999998E-2</v>
      </c>
      <c r="D643">
        <v>4.1680000000000002E-2</v>
      </c>
      <c r="E643">
        <v>4.3360000000000003E-2</v>
      </c>
      <c r="F643">
        <v>11525537.9</v>
      </c>
      <c r="G643">
        <v>0</v>
      </c>
      <c r="L643" t="s">
        <v>8</v>
      </c>
      <c r="M643" t="s">
        <v>8</v>
      </c>
      <c r="N643" t="s">
        <v>8</v>
      </c>
      <c r="P643">
        <f t="shared" si="989"/>
        <v>5.9880239520976493E-3</v>
      </c>
      <c r="Q643">
        <f t="shared" si="990"/>
        <v>69015.197006009243</v>
      </c>
      <c r="R643">
        <f t="shared" si="991"/>
        <v>-94966449.639546171</v>
      </c>
      <c r="S643">
        <f t="shared" si="992"/>
        <v>-949.6644963954617</v>
      </c>
      <c r="T643">
        <f t="shared" si="993"/>
        <v>-0.94966449639546169</v>
      </c>
    </row>
    <row r="644" spans="1:20" x14ac:dyDescent="0.25">
      <c r="A644" s="5">
        <v>43949</v>
      </c>
      <c r="B644">
        <v>4.3310000000000001E-2</v>
      </c>
      <c r="C644">
        <v>4.4290000000000003E-2</v>
      </c>
      <c r="D644">
        <v>4.2549999999999998E-2</v>
      </c>
      <c r="E644">
        <v>4.4220000000000002E-2</v>
      </c>
      <c r="F644">
        <v>1732395.3</v>
      </c>
      <c r="G644">
        <v>0</v>
      </c>
      <c r="L644" t="s">
        <v>8</v>
      </c>
      <c r="M644" t="s">
        <v>8</v>
      </c>
      <c r="N644" t="s">
        <v>8</v>
      </c>
      <c r="P644">
        <f t="shared" si="989"/>
        <v>0.91954022988505701</v>
      </c>
      <c r="Q644">
        <f t="shared" si="990"/>
        <v>1593007.1724137925</v>
      </c>
      <c r="R644">
        <f t="shared" si="991"/>
        <v>-95035464.836552173</v>
      </c>
      <c r="S644">
        <f t="shared" si="992"/>
        <v>-950.35464836552171</v>
      </c>
      <c r="T644">
        <f t="shared" si="993"/>
        <v>-0.95035464836552175</v>
      </c>
    </row>
    <row r="645" spans="1:20" x14ac:dyDescent="0.25">
      <c r="A645" s="5">
        <v>43948</v>
      </c>
      <c r="B645">
        <v>4.2410000000000003E-2</v>
      </c>
      <c r="C645">
        <v>4.4200000000000003E-2</v>
      </c>
      <c r="D645">
        <v>4.199E-2</v>
      </c>
      <c r="E645">
        <v>4.3310000000000001E-2</v>
      </c>
      <c r="F645">
        <v>2965037.6</v>
      </c>
      <c r="G645">
        <v>0</v>
      </c>
      <c r="L645" t="s">
        <v>8</v>
      </c>
      <c r="M645" t="s">
        <v>8</v>
      </c>
      <c r="N645" t="s">
        <v>8</v>
      </c>
      <c r="P645">
        <f t="shared" si="989"/>
        <v>0.19457013574660595</v>
      </c>
      <c r="Q645">
        <f t="shared" si="990"/>
        <v>576907.76832579076</v>
      </c>
      <c r="R645">
        <f t="shared" si="991"/>
        <v>-96628472.008965969</v>
      </c>
      <c r="S645">
        <f t="shared" si="992"/>
        <v>-966.28472008965969</v>
      </c>
      <c r="T645">
        <f t="shared" si="993"/>
        <v>-0.96628472008965971</v>
      </c>
    </row>
    <row r="646" spans="1:20" x14ac:dyDescent="0.25">
      <c r="A646" s="5">
        <v>43947</v>
      </c>
      <c r="B646">
        <v>4.2259999999999999E-2</v>
      </c>
      <c r="C646">
        <v>4.4569999999999999E-2</v>
      </c>
      <c r="D646">
        <v>4.1079999999999998E-2</v>
      </c>
      <c r="E646">
        <v>4.2099999999999999E-2</v>
      </c>
      <c r="F646">
        <v>7364194.0999999996</v>
      </c>
      <c r="G646">
        <v>0</v>
      </c>
      <c r="L646" t="s">
        <v>8</v>
      </c>
      <c r="M646" t="s">
        <v>8</v>
      </c>
      <c r="N646" t="s">
        <v>8</v>
      </c>
      <c r="P646">
        <f t="shared" ref="P646:P709" si="994">IF(C646=D646,0,((E646-D646)-(C646-E646))/(C646-D646))</f>
        <v>-0.41547277936962745</v>
      </c>
      <c r="Q646">
        <f t="shared" ref="Q646:Q709" si="995">F646*P646</f>
        <v>-3059622.190544412</v>
      </c>
      <c r="R646">
        <f t="shared" ref="R646:R709" si="996">R647+Q646</f>
        <v>-97205379.77729176</v>
      </c>
      <c r="S646">
        <f t="shared" ref="S646:S709" si="997">R646/100000</f>
        <v>-972.05379777291762</v>
      </c>
      <c r="T646">
        <f t="shared" ref="T646:T709" si="998">S646/1000</f>
        <v>-0.97205379777291767</v>
      </c>
    </row>
    <row r="647" spans="1:20" x14ac:dyDescent="0.25">
      <c r="A647" s="5">
        <v>43946</v>
      </c>
      <c r="B647">
        <v>4.1349999999999998E-2</v>
      </c>
      <c r="C647">
        <v>4.369E-2</v>
      </c>
      <c r="D647">
        <v>4.0009999999999997E-2</v>
      </c>
      <c r="E647">
        <v>4.2459999999999998E-2</v>
      </c>
      <c r="F647">
        <v>8320890.0999999996</v>
      </c>
      <c r="G647">
        <v>0</v>
      </c>
      <c r="L647" t="s">
        <v>7</v>
      </c>
      <c r="M647" t="s">
        <v>8</v>
      </c>
      <c r="N647" t="s">
        <v>8</v>
      </c>
      <c r="P647">
        <f t="shared" si="994"/>
        <v>0.33152173913043426</v>
      </c>
      <c r="Q647">
        <f t="shared" si="995"/>
        <v>2758555.957065213</v>
      </c>
      <c r="R647">
        <f t="shared" si="996"/>
        <v>-94145757.586747348</v>
      </c>
      <c r="S647">
        <f t="shared" si="997"/>
        <v>-941.45757586747345</v>
      </c>
      <c r="T647">
        <f t="shared" si="998"/>
        <v>-0.94145757586747347</v>
      </c>
    </row>
    <row r="648" spans="1:20" x14ac:dyDescent="0.25">
      <c r="A648" s="5">
        <v>43945</v>
      </c>
      <c r="B648">
        <v>4.0849999999999997E-2</v>
      </c>
      <c r="C648">
        <v>4.428E-2</v>
      </c>
      <c r="D648">
        <v>4.054E-2</v>
      </c>
      <c r="E648">
        <v>4.1500000000000002E-2</v>
      </c>
      <c r="F648">
        <v>4514173</v>
      </c>
      <c r="G648">
        <v>0</v>
      </c>
      <c r="L648" t="s">
        <v>8</v>
      </c>
      <c r="M648" t="s">
        <v>8</v>
      </c>
      <c r="N648" t="s">
        <v>8</v>
      </c>
      <c r="P648">
        <f t="shared" si="994"/>
        <v>-0.48663101604277942</v>
      </c>
      <c r="Q648">
        <f t="shared" si="995"/>
        <v>-2196736.5935828816</v>
      </c>
      <c r="R648">
        <f t="shared" si="996"/>
        <v>-96904313.543812558</v>
      </c>
      <c r="S648">
        <f t="shared" si="997"/>
        <v>-969.04313543812555</v>
      </c>
      <c r="T648">
        <f t="shared" si="998"/>
        <v>-0.96904313543812559</v>
      </c>
    </row>
    <row r="649" spans="1:20" x14ac:dyDescent="0.25">
      <c r="A649" s="5">
        <v>43944</v>
      </c>
      <c r="B649">
        <v>4.1610000000000001E-2</v>
      </c>
      <c r="C649">
        <v>4.3380000000000002E-2</v>
      </c>
      <c r="D649">
        <v>4.0149999999999998E-2</v>
      </c>
      <c r="E649">
        <v>4.1070000000000002E-2</v>
      </c>
      <c r="F649">
        <v>5871212.9000000004</v>
      </c>
      <c r="G649">
        <v>0</v>
      </c>
      <c r="L649" t="s">
        <v>8</v>
      </c>
      <c r="M649" t="s">
        <v>7</v>
      </c>
      <c r="N649" t="s">
        <v>8</v>
      </c>
      <c r="P649">
        <f t="shared" si="994"/>
        <v>-0.43034055727553988</v>
      </c>
      <c r="Q649">
        <f t="shared" si="995"/>
        <v>-2526621.0312693389</v>
      </c>
      <c r="R649">
        <f t="shared" si="996"/>
        <v>-94707576.950229675</v>
      </c>
      <c r="S649">
        <f t="shared" si="997"/>
        <v>-947.07576950229679</v>
      </c>
      <c r="T649">
        <f t="shared" si="998"/>
        <v>-0.94707576950229677</v>
      </c>
    </row>
    <row r="650" spans="1:20" x14ac:dyDescent="0.25">
      <c r="A650" s="5">
        <v>43943</v>
      </c>
      <c r="B650">
        <v>3.8980000000000001E-2</v>
      </c>
      <c r="C650">
        <v>4.2779999999999999E-2</v>
      </c>
      <c r="D650">
        <v>3.8249999999999999E-2</v>
      </c>
      <c r="E650">
        <v>4.1500000000000002E-2</v>
      </c>
      <c r="F650">
        <v>6489635</v>
      </c>
      <c r="G650">
        <v>0</v>
      </c>
      <c r="L650" t="s">
        <v>8</v>
      </c>
      <c r="M650" t="s">
        <v>7</v>
      </c>
      <c r="N650" t="s">
        <v>8</v>
      </c>
      <c r="P650">
        <f t="shared" si="994"/>
        <v>0.43487858719646949</v>
      </c>
      <c r="Q650">
        <f t="shared" si="995"/>
        <v>2822203.3002207601</v>
      </c>
      <c r="R650">
        <f t="shared" si="996"/>
        <v>-92180955.918960333</v>
      </c>
      <c r="S650">
        <f t="shared" si="997"/>
        <v>-921.80955918960331</v>
      </c>
      <c r="T650">
        <f t="shared" si="998"/>
        <v>-0.92180955918960328</v>
      </c>
    </row>
    <row r="651" spans="1:20" x14ac:dyDescent="0.25">
      <c r="A651" s="5">
        <v>43942</v>
      </c>
      <c r="B651">
        <v>3.8969999999999998E-2</v>
      </c>
      <c r="C651">
        <v>4.1700000000000001E-2</v>
      </c>
      <c r="D651">
        <v>3.8100000000000002E-2</v>
      </c>
      <c r="E651">
        <v>3.8980000000000001E-2</v>
      </c>
      <c r="F651">
        <v>7071962.2000000002</v>
      </c>
      <c r="G651">
        <v>0</v>
      </c>
      <c r="L651" t="s">
        <v>8</v>
      </c>
      <c r="M651" t="s">
        <v>7</v>
      </c>
      <c r="N651" t="s">
        <v>8</v>
      </c>
      <c r="P651">
        <f t="shared" si="994"/>
        <v>-0.51111111111111163</v>
      </c>
      <c r="Q651">
        <f t="shared" si="995"/>
        <v>-3614558.4577777814</v>
      </c>
      <c r="R651">
        <f t="shared" si="996"/>
        <v>-95003159.219181091</v>
      </c>
      <c r="S651">
        <f t="shared" si="997"/>
        <v>-950.03159219181089</v>
      </c>
      <c r="T651">
        <f t="shared" si="998"/>
        <v>-0.95003159219181088</v>
      </c>
    </row>
    <row r="652" spans="1:20" x14ac:dyDescent="0.25">
      <c r="A652" s="5">
        <v>43941</v>
      </c>
      <c r="B652">
        <v>4.3319999999999997E-2</v>
      </c>
      <c r="C652">
        <v>4.4560000000000002E-2</v>
      </c>
      <c r="D652">
        <v>3.7859999999999998E-2</v>
      </c>
      <c r="E652">
        <v>3.8969999999999998E-2</v>
      </c>
      <c r="F652">
        <v>16038815.699999999</v>
      </c>
      <c r="G652">
        <v>0</v>
      </c>
      <c r="L652" t="s">
        <v>7</v>
      </c>
      <c r="M652" t="s">
        <v>7</v>
      </c>
      <c r="N652" t="s">
        <v>8</v>
      </c>
      <c r="P652">
        <f t="shared" si="994"/>
        <v>-0.66865671641791069</v>
      </c>
      <c r="Q652">
        <f t="shared" si="995"/>
        <v>-10724461.841194034</v>
      </c>
      <c r="R652">
        <f t="shared" si="996"/>
        <v>-91388600.761403307</v>
      </c>
      <c r="S652">
        <f t="shared" si="997"/>
        <v>-913.88600761403302</v>
      </c>
      <c r="T652">
        <f t="shared" si="998"/>
        <v>-0.91388600761403305</v>
      </c>
    </row>
    <row r="653" spans="1:20" x14ac:dyDescent="0.25">
      <c r="A653" s="5">
        <v>43940</v>
      </c>
      <c r="B653">
        <v>4.53E-2</v>
      </c>
      <c r="C653">
        <v>4.7980000000000002E-2</v>
      </c>
      <c r="D653">
        <v>4.1099999999999998E-2</v>
      </c>
      <c r="E653">
        <v>4.3319999999999997E-2</v>
      </c>
      <c r="F653">
        <v>14619714.9</v>
      </c>
      <c r="G653">
        <v>0</v>
      </c>
      <c r="L653" t="s">
        <v>8</v>
      </c>
      <c r="M653" t="s">
        <v>8</v>
      </c>
      <c r="N653" t="s">
        <v>8</v>
      </c>
      <c r="P653">
        <f t="shared" si="994"/>
        <v>-0.35465116279069814</v>
      </c>
      <c r="Q653">
        <f t="shared" si="995"/>
        <v>-5184898.8889534948</v>
      </c>
      <c r="R653">
        <f t="shared" si="996"/>
        <v>-80664138.920209274</v>
      </c>
      <c r="S653">
        <f t="shared" si="997"/>
        <v>-806.64138920209268</v>
      </c>
      <c r="T653">
        <f t="shared" si="998"/>
        <v>-0.80664138920209272</v>
      </c>
    </row>
    <row r="654" spans="1:20" x14ac:dyDescent="0.25">
      <c r="A654" s="5">
        <v>43939</v>
      </c>
      <c r="B654">
        <v>4.095E-2</v>
      </c>
      <c r="C654">
        <v>4.6449999999999998E-2</v>
      </c>
      <c r="D654">
        <v>4.0469999999999999E-2</v>
      </c>
      <c r="E654">
        <v>4.5490000000000003E-2</v>
      </c>
      <c r="F654">
        <v>12719872</v>
      </c>
      <c r="G654">
        <v>0</v>
      </c>
      <c r="L654" t="s">
        <v>8</v>
      </c>
      <c r="M654" t="s">
        <v>8</v>
      </c>
      <c r="N654" t="s">
        <v>8</v>
      </c>
      <c r="P654">
        <f t="shared" si="994"/>
        <v>0.67892976588628906</v>
      </c>
      <c r="Q654">
        <f t="shared" si="995"/>
        <v>8635899.7190635633</v>
      </c>
      <c r="R654">
        <f t="shared" si="996"/>
        <v>-75479240.031255782</v>
      </c>
      <c r="S654">
        <f t="shared" si="997"/>
        <v>-754.79240031255779</v>
      </c>
      <c r="T654">
        <f t="shared" si="998"/>
        <v>-0.75479240031255779</v>
      </c>
    </row>
    <row r="655" spans="1:20" x14ac:dyDescent="0.25">
      <c r="A655" s="5">
        <v>43938</v>
      </c>
      <c r="B655">
        <v>3.9530000000000003E-2</v>
      </c>
      <c r="C655">
        <v>4.3270000000000003E-2</v>
      </c>
      <c r="D655">
        <v>3.8440000000000002E-2</v>
      </c>
      <c r="E655">
        <v>4.0500000000000001E-2</v>
      </c>
      <c r="F655">
        <v>8954751</v>
      </c>
      <c r="G655">
        <v>0</v>
      </c>
      <c r="L655" t="s">
        <v>8</v>
      </c>
      <c r="M655" t="s">
        <v>8</v>
      </c>
      <c r="N655" t="s">
        <v>8</v>
      </c>
      <c r="P655">
        <f t="shared" si="994"/>
        <v>-0.14699792960662569</v>
      </c>
      <c r="Q655">
        <f t="shared" si="995"/>
        <v>-1316329.857142861</v>
      </c>
      <c r="R655">
        <f t="shared" si="996"/>
        <v>-84115139.750319347</v>
      </c>
      <c r="S655">
        <f t="shared" si="997"/>
        <v>-841.15139750319349</v>
      </c>
      <c r="T655">
        <f t="shared" si="998"/>
        <v>-0.84115139750319345</v>
      </c>
    </row>
    <row r="656" spans="1:20" x14ac:dyDescent="0.25">
      <c r="A656" s="5">
        <v>43937</v>
      </c>
      <c r="B656">
        <v>3.6659999999999998E-2</v>
      </c>
      <c r="C656">
        <v>0.04</v>
      </c>
      <c r="D656">
        <v>3.4680000000000002E-2</v>
      </c>
      <c r="E656">
        <v>3.8920000000000003E-2</v>
      </c>
      <c r="F656">
        <v>4590956.9000000004</v>
      </c>
      <c r="G656">
        <v>0</v>
      </c>
      <c r="L656" t="s">
        <v>7</v>
      </c>
      <c r="M656" t="s">
        <v>8</v>
      </c>
      <c r="N656" t="s">
        <v>8</v>
      </c>
      <c r="P656">
        <f t="shared" si="994"/>
        <v>0.59398496240601584</v>
      </c>
      <c r="Q656">
        <f t="shared" si="995"/>
        <v>2726959.3616541391</v>
      </c>
      <c r="R656">
        <f t="shared" si="996"/>
        <v>-82798809.893176481</v>
      </c>
      <c r="S656">
        <f t="shared" si="997"/>
        <v>-827.98809893176485</v>
      </c>
      <c r="T656">
        <f t="shared" si="998"/>
        <v>-0.82798809893176484</v>
      </c>
    </row>
    <row r="657" spans="1:20" x14ac:dyDescent="0.25">
      <c r="A657" s="5">
        <v>43936</v>
      </c>
      <c r="B657">
        <v>3.9170000000000003E-2</v>
      </c>
      <c r="C657">
        <v>3.9320000000000001E-2</v>
      </c>
      <c r="D657">
        <v>3.5459999999999998E-2</v>
      </c>
      <c r="E657">
        <v>3.6659999999999998E-2</v>
      </c>
      <c r="F657">
        <v>3392209.9</v>
      </c>
      <c r="G657">
        <v>0</v>
      </c>
      <c r="L657" t="s">
        <v>7</v>
      </c>
      <c r="M657" t="s">
        <v>7</v>
      </c>
      <c r="N657" t="s">
        <v>8</v>
      </c>
      <c r="P657">
        <f t="shared" si="994"/>
        <v>-0.37823834196891248</v>
      </c>
      <c r="Q657">
        <f t="shared" si="995"/>
        <v>-1283063.8481865304</v>
      </c>
      <c r="R657">
        <f t="shared" si="996"/>
        <v>-85525769.254830614</v>
      </c>
      <c r="S657">
        <f t="shared" si="997"/>
        <v>-855.25769254830618</v>
      </c>
      <c r="T657">
        <f t="shared" si="998"/>
        <v>-0.85525769254830619</v>
      </c>
    </row>
    <row r="658" spans="1:20" x14ac:dyDescent="0.25">
      <c r="A658" s="5">
        <v>43935</v>
      </c>
      <c r="B658">
        <v>3.628E-2</v>
      </c>
      <c r="C658">
        <v>3.95E-2</v>
      </c>
      <c r="D658">
        <v>3.5830000000000001E-2</v>
      </c>
      <c r="E658">
        <v>3.9230000000000001E-2</v>
      </c>
      <c r="F658">
        <v>3647012.9</v>
      </c>
      <c r="G658">
        <v>0</v>
      </c>
      <c r="L658" t="s">
        <v>8</v>
      </c>
      <c r="M658" t="s">
        <v>7</v>
      </c>
      <c r="N658" t="s">
        <v>8</v>
      </c>
      <c r="P658">
        <f t="shared" si="994"/>
        <v>0.85286103542234359</v>
      </c>
      <c r="Q658">
        <f t="shared" si="995"/>
        <v>3110395.1980926441</v>
      </c>
      <c r="R658">
        <f t="shared" si="996"/>
        <v>-84242705.406644076</v>
      </c>
      <c r="S658">
        <f t="shared" si="997"/>
        <v>-842.42705406644075</v>
      </c>
      <c r="T658">
        <f t="shared" si="998"/>
        <v>-0.84242705406644069</v>
      </c>
    </row>
    <row r="659" spans="1:20" x14ac:dyDescent="0.25">
      <c r="A659" s="5">
        <v>43934</v>
      </c>
      <c r="B659">
        <v>3.703E-2</v>
      </c>
      <c r="C659">
        <v>3.7139999999999999E-2</v>
      </c>
      <c r="D659">
        <v>3.4840000000000003E-2</v>
      </c>
      <c r="E659">
        <v>3.6200000000000003E-2</v>
      </c>
      <c r="F659">
        <v>3661738.1</v>
      </c>
      <c r="G659">
        <v>0</v>
      </c>
      <c r="L659" t="s">
        <v>7</v>
      </c>
      <c r="M659" t="s">
        <v>7</v>
      </c>
      <c r="N659" t="s">
        <v>8</v>
      </c>
      <c r="P659">
        <f t="shared" si="994"/>
        <v>0.1826086956521758</v>
      </c>
      <c r="Q659">
        <f t="shared" si="995"/>
        <v>668665.21826087649</v>
      </c>
      <c r="R659">
        <f t="shared" si="996"/>
        <v>-87353100.604736716</v>
      </c>
      <c r="S659">
        <f t="shared" si="997"/>
        <v>-873.5310060473671</v>
      </c>
      <c r="T659">
        <f t="shared" si="998"/>
        <v>-0.87353100604736711</v>
      </c>
    </row>
    <row r="660" spans="1:20" x14ac:dyDescent="0.25">
      <c r="A660" s="5">
        <v>43933</v>
      </c>
      <c r="B660">
        <v>3.644E-2</v>
      </c>
      <c r="C660">
        <v>3.916E-2</v>
      </c>
      <c r="D660">
        <v>3.5479999999999998E-2</v>
      </c>
      <c r="E660">
        <v>3.703E-2</v>
      </c>
      <c r="F660">
        <v>4942311.5</v>
      </c>
      <c r="G660">
        <v>0</v>
      </c>
      <c r="L660" t="s">
        <v>7</v>
      </c>
      <c r="M660" t="s">
        <v>7</v>
      </c>
      <c r="N660" t="s">
        <v>8</v>
      </c>
      <c r="P660">
        <f t="shared" si="994"/>
        <v>-0.15760869565217303</v>
      </c>
      <c r="Q660">
        <f t="shared" si="995"/>
        <v>-778951.26902173483</v>
      </c>
      <c r="R660">
        <f t="shared" si="996"/>
        <v>-88021765.822997585</v>
      </c>
      <c r="S660">
        <f t="shared" si="997"/>
        <v>-880.21765822997588</v>
      </c>
      <c r="T660">
        <f t="shared" si="998"/>
        <v>-0.88021765822997589</v>
      </c>
    </row>
    <row r="661" spans="1:20" x14ac:dyDescent="0.25">
      <c r="A661" s="5">
        <v>43932</v>
      </c>
      <c r="B661">
        <v>3.6339999999999997E-2</v>
      </c>
      <c r="C661">
        <v>3.9140000000000001E-2</v>
      </c>
      <c r="D661">
        <v>3.5349999999999999E-2</v>
      </c>
      <c r="E661">
        <v>3.6670000000000001E-2</v>
      </c>
      <c r="F661">
        <v>4834331.9000000004</v>
      </c>
      <c r="G661">
        <v>0</v>
      </c>
      <c r="L661" t="s">
        <v>8</v>
      </c>
      <c r="M661" t="s">
        <v>7</v>
      </c>
      <c r="N661" t="s">
        <v>8</v>
      </c>
      <c r="P661">
        <f t="shared" si="994"/>
        <v>-0.30343007915567222</v>
      </c>
      <c r="Q661">
        <f t="shared" si="995"/>
        <v>-1466881.7110817914</v>
      </c>
      <c r="R661">
        <f t="shared" si="996"/>
        <v>-87242814.55397585</v>
      </c>
      <c r="S661">
        <f t="shared" si="997"/>
        <v>-872.42814553975848</v>
      </c>
      <c r="T661">
        <f t="shared" si="998"/>
        <v>-0.87242814553975845</v>
      </c>
    </row>
    <row r="662" spans="1:20" x14ac:dyDescent="0.25">
      <c r="A662" s="5">
        <v>43931</v>
      </c>
      <c r="B662">
        <v>4.2569999999999997E-2</v>
      </c>
      <c r="C662">
        <v>4.2569999999999997E-2</v>
      </c>
      <c r="D662">
        <v>3.4320000000000003E-2</v>
      </c>
      <c r="E662">
        <v>3.6339999999999997E-2</v>
      </c>
      <c r="F662">
        <v>9555101.5</v>
      </c>
      <c r="G662">
        <v>0</v>
      </c>
      <c r="L662" t="s">
        <v>7</v>
      </c>
      <c r="M662" t="s">
        <v>7</v>
      </c>
      <c r="N662" t="s">
        <v>8</v>
      </c>
      <c r="P662">
        <f t="shared" si="994"/>
        <v>-0.51030303030303137</v>
      </c>
      <c r="Q662">
        <f t="shared" si="995"/>
        <v>-4875997.2503030403</v>
      </c>
      <c r="R662">
        <f t="shared" si="996"/>
        <v>-85775932.842894062</v>
      </c>
      <c r="S662">
        <f t="shared" si="997"/>
        <v>-857.75932842894065</v>
      </c>
      <c r="T662">
        <f t="shared" si="998"/>
        <v>-0.85775932842894065</v>
      </c>
    </row>
    <row r="663" spans="1:20" x14ac:dyDescent="0.25">
      <c r="A663" s="5">
        <v>43930</v>
      </c>
      <c r="B663">
        <v>4.317E-2</v>
      </c>
      <c r="C663">
        <v>4.3459999999999999E-2</v>
      </c>
      <c r="D663">
        <v>3.85E-2</v>
      </c>
      <c r="E663">
        <v>4.2189999999999998E-2</v>
      </c>
      <c r="F663">
        <v>10380942.9</v>
      </c>
      <c r="G663">
        <v>0</v>
      </c>
      <c r="L663" t="s">
        <v>7</v>
      </c>
      <c r="M663" t="s">
        <v>8</v>
      </c>
      <c r="N663" t="s">
        <v>8</v>
      </c>
      <c r="P663">
        <f t="shared" si="994"/>
        <v>0.4879032258064514</v>
      </c>
      <c r="Q663">
        <f t="shared" si="995"/>
        <v>5064895.5278225783</v>
      </c>
      <c r="R663">
        <f t="shared" si="996"/>
        <v>-80899935.592591017</v>
      </c>
      <c r="S663">
        <f t="shared" si="997"/>
        <v>-808.99935592591021</v>
      </c>
      <c r="T663">
        <f t="shared" si="998"/>
        <v>-0.80899935592591021</v>
      </c>
    </row>
    <row r="664" spans="1:20" x14ac:dyDescent="0.25">
      <c r="A664" s="5">
        <v>43929</v>
      </c>
      <c r="B664">
        <v>3.7379999999999997E-2</v>
      </c>
      <c r="C664">
        <v>4.3200000000000002E-2</v>
      </c>
      <c r="D664">
        <v>3.6929999999999998E-2</v>
      </c>
      <c r="E664">
        <v>4.3200000000000002E-2</v>
      </c>
      <c r="F664">
        <v>9140304.4000000004</v>
      </c>
      <c r="G664">
        <v>0</v>
      </c>
      <c r="L664" t="s">
        <v>8</v>
      </c>
      <c r="M664" t="s">
        <v>8</v>
      </c>
      <c r="N664" t="s">
        <v>8</v>
      </c>
      <c r="P664">
        <f t="shared" si="994"/>
        <v>1</v>
      </c>
      <c r="Q664">
        <f t="shared" si="995"/>
        <v>9140304.4000000004</v>
      </c>
      <c r="R664">
        <f t="shared" si="996"/>
        <v>-85964831.120413601</v>
      </c>
      <c r="S664">
        <f t="shared" si="997"/>
        <v>-859.64831120413601</v>
      </c>
      <c r="T664">
        <f t="shared" si="998"/>
        <v>-0.85964831120413598</v>
      </c>
    </row>
    <row r="665" spans="1:20" x14ac:dyDescent="0.25">
      <c r="A665" s="5">
        <v>43928</v>
      </c>
      <c r="B665">
        <v>4.0090000000000001E-2</v>
      </c>
      <c r="C665">
        <v>4.0869999999999997E-2</v>
      </c>
      <c r="D665">
        <v>3.6360000000000003E-2</v>
      </c>
      <c r="E665">
        <v>3.7199999999999997E-2</v>
      </c>
      <c r="F665">
        <v>10284708.5</v>
      </c>
      <c r="G665">
        <v>0</v>
      </c>
      <c r="L665" t="s">
        <v>8</v>
      </c>
      <c r="M665" t="s">
        <v>8</v>
      </c>
      <c r="N665" t="s">
        <v>8</v>
      </c>
      <c r="P665">
        <f t="shared" si="994"/>
        <v>-0.62749445676275173</v>
      </c>
      <c r="Q665">
        <f t="shared" si="995"/>
        <v>-6453597.5731707551</v>
      </c>
      <c r="R665">
        <f t="shared" si="996"/>
        <v>-95105135.520413607</v>
      </c>
      <c r="S665">
        <f t="shared" si="997"/>
        <v>-951.05135520413603</v>
      </c>
      <c r="T665">
        <f t="shared" si="998"/>
        <v>-0.95105135520413608</v>
      </c>
    </row>
    <row r="666" spans="1:20" x14ac:dyDescent="0.25">
      <c r="A666" s="5">
        <v>43927</v>
      </c>
      <c r="B666">
        <v>3.5569999999999997E-2</v>
      </c>
      <c r="C666">
        <v>4.0169999999999997E-2</v>
      </c>
      <c r="D666">
        <v>3.5549999999999998E-2</v>
      </c>
      <c r="E666">
        <v>3.9829999999999997E-2</v>
      </c>
      <c r="F666">
        <v>9008268.9000000004</v>
      </c>
      <c r="G666">
        <v>0</v>
      </c>
      <c r="L666" t="s">
        <v>8</v>
      </c>
      <c r="M666" t="s">
        <v>8</v>
      </c>
      <c r="N666" t="s">
        <v>8</v>
      </c>
      <c r="P666">
        <f t="shared" si="994"/>
        <v>0.8528138528138528</v>
      </c>
      <c r="Q666">
        <f t="shared" si="995"/>
        <v>7682376.5077922083</v>
      </c>
      <c r="R666">
        <f t="shared" si="996"/>
        <v>-88651537.947242856</v>
      </c>
      <c r="S666">
        <f t="shared" si="997"/>
        <v>-886.51537947242855</v>
      </c>
      <c r="T666">
        <f t="shared" si="998"/>
        <v>-0.88651537947242853</v>
      </c>
    </row>
    <row r="667" spans="1:20" x14ac:dyDescent="0.25">
      <c r="A667" s="5">
        <v>43926</v>
      </c>
      <c r="B667">
        <v>3.6940000000000001E-2</v>
      </c>
      <c r="C667">
        <v>3.6949999999999997E-2</v>
      </c>
      <c r="D667">
        <v>3.449E-2</v>
      </c>
      <c r="E667">
        <v>3.56E-2</v>
      </c>
      <c r="F667">
        <v>5441234.0999999996</v>
      </c>
      <c r="G667">
        <v>0</v>
      </c>
      <c r="L667" t="s">
        <v>7</v>
      </c>
      <c r="M667" t="s">
        <v>7</v>
      </c>
      <c r="N667" t="s">
        <v>8</v>
      </c>
      <c r="P667">
        <f t="shared" si="994"/>
        <v>-9.756097560975506E-2</v>
      </c>
      <c r="Q667">
        <f t="shared" si="995"/>
        <v>-530852.10731706745</v>
      </c>
      <c r="R667">
        <f t="shared" si="996"/>
        <v>-96333914.455035061</v>
      </c>
      <c r="S667">
        <f t="shared" si="997"/>
        <v>-963.33914455035062</v>
      </c>
      <c r="T667">
        <f t="shared" si="998"/>
        <v>-0.96333914455035063</v>
      </c>
    </row>
    <row r="668" spans="1:20" x14ac:dyDescent="0.25">
      <c r="A668" s="5">
        <v>43925</v>
      </c>
      <c r="B668">
        <v>3.6150000000000002E-2</v>
      </c>
      <c r="C668">
        <v>3.9219999999999998E-2</v>
      </c>
      <c r="D668">
        <v>3.5589999999999997E-2</v>
      </c>
      <c r="E668">
        <v>3.6949999999999997E-2</v>
      </c>
      <c r="F668">
        <v>6968286.9000000004</v>
      </c>
      <c r="G668">
        <v>0</v>
      </c>
      <c r="L668" t="s">
        <v>7</v>
      </c>
      <c r="M668" t="s">
        <v>8</v>
      </c>
      <c r="N668" t="s">
        <v>8</v>
      </c>
      <c r="P668">
        <f t="shared" si="994"/>
        <v>-0.25068870523415998</v>
      </c>
      <c r="Q668">
        <f t="shared" si="995"/>
        <v>-1746870.8206611585</v>
      </c>
      <c r="R668">
        <f t="shared" si="996"/>
        <v>-95803062.347718</v>
      </c>
      <c r="S668">
        <f t="shared" si="997"/>
        <v>-958.03062347718003</v>
      </c>
      <c r="T668">
        <f t="shared" si="998"/>
        <v>-0.95803062347718004</v>
      </c>
    </row>
    <row r="669" spans="1:20" x14ac:dyDescent="0.25">
      <c r="A669" s="5">
        <v>43924</v>
      </c>
      <c r="B669">
        <v>3.6200000000000003E-2</v>
      </c>
      <c r="C669">
        <v>4.1250000000000002E-2</v>
      </c>
      <c r="D669">
        <v>3.5000000000000003E-2</v>
      </c>
      <c r="E669">
        <v>3.6150000000000002E-2</v>
      </c>
      <c r="F669">
        <v>13892355.6</v>
      </c>
      <c r="G669">
        <v>0</v>
      </c>
      <c r="L669" t="s">
        <v>8</v>
      </c>
      <c r="M669" t="s">
        <v>8</v>
      </c>
      <c r="N669" t="s">
        <v>8</v>
      </c>
      <c r="P669">
        <f t="shared" si="994"/>
        <v>-0.63200000000000045</v>
      </c>
      <c r="Q669">
        <f t="shared" si="995"/>
        <v>-8779968.7392000053</v>
      </c>
      <c r="R669">
        <f t="shared" si="996"/>
        <v>-94056191.527056843</v>
      </c>
      <c r="S669">
        <f t="shared" si="997"/>
        <v>-940.56191527056842</v>
      </c>
      <c r="T669">
        <f t="shared" si="998"/>
        <v>-0.94056191527056843</v>
      </c>
    </row>
    <row r="670" spans="1:20" x14ac:dyDescent="0.25">
      <c r="A670" s="5">
        <v>43923</v>
      </c>
      <c r="B670">
        <v>3.2669999999999998E-2</v>
      </c>
      <c r="C670">
        <v>3.8980000000000001E-2</v>
      </c>
      <c r="D670">
        <v>3.2169999999999997E-2</v>
      </c>
      <c r="E670">
        <v>3.6450000000000003E-2</v>
      </c>
      <c r="F670">
        <v>15735344.300000001</v>
      </c>
      <c r="G670">
        <v>0</v>
      </c>
      <c r="L670" t="s">
        <v>8</v>
      </c>
      <c r="M670" t="s">
        <v>8</v>
      </c>
      <c r="N670" t="s">
        <v>8</v>
      </c>
      <c r="P670">
        <f t="shared" si="994"/>
        <v>0.25697503671072064</v>
      </c>
      <c r="Q670">
        <f t="shared" si="995"/>
        <v>4043590.679148329</v>
      </c>
      <c r="R670">
        <f t="shared" si="996"/>
        <v>-85276222.787856832</v>
      </c>
      <c r="S670">
        <f t="shared" si="997"/>
        <v>-852.7622278785683</v>
      </c>
      <c r="T670">
        <f t="shared" si="998"/>
        <v>-0.85276222787856826</v>
      </c>
    </row>
    <row r="671" spans="1:20" x14ac:dyDescent="0.25">
      <c r="A671" s="5">
        <v>43922</v>
      </c>
      <c r="B671">
        <v>3.1539999999999999E-2</v>
      </c>
      <c r="C671">
        <v>3.2730000000000002E-2</v>
      </c>
      <c r="D671">
        <v>2.971E-2</v>
      </c>
      <c r="E671">
        <v>3.2500000000000001E-2</v>
      </c>
      <c r="F671">
        <v>3725612.9</v>
      </c>
      <c r="G671">
        <v>0</v>
      </c>
      <c r="L671" t="s">
        <v>7</v>
      </c>
      <c r="M671" t="s">
        <v>8</v>
      </c>
      <c r="N671" t="s">
        <v>8</v>
      </c>
      <c r="P671">
        <f t="shared" si="994"/>
        <v>0.84768211920529746</v>
      </c>
      <c r="Q671">
        <f t="shared" si="995"/>
        <v>3158135.4384105937</v>
      </c>
      <c r="R671">
        <f t="shared" si="996"/>
        <v>-89319813.467005163</v>
      </c>
      <c r="S671">
        <f t="shared" si="997"/>
        <v>-893.19813467005167</v>
      </c>
      <c r="T671">
        <f t="shared" si="998"/>
        <v>-0.89319813467005171</v>
      </c>
    </row>
    <row r="672" spans="1:20" x14ac:dyDescent="0.25">
      <c r="A672" s="5">
        <v>43921</v>
      </c>
      <c r="B672">
        <v>3.1969999999999998E-2</v>
      </c>
      <c r="C672">
        <v>3.3119999999999997E-2</v>
      </c>
      <c r="D672">
        <v>3.141E-2</v>
      </c>
      <c r="E672">
        <v>3.1910000000000001E-2</v>
      </c>
      <c r="F672">
        <v>1861189.2</v>
      </c>
      <c r="G672">
        <v>0</v>
      </c>
      <c r="L672" t="s">
        <v>7</v>
      </c>
      <c r="M672" t="s">
        <v>8</v>
      </c>
      <c r="N672" t="s">
        <v>8</v>
      </c>
      <c r="P672">
        <f t="shared" si="994"/>
        <v>-0.4152046783625713</v>
      </c>
      <c r="Q672">
        <f t="shared" si="995"/>
        <v>-772774.46315789141</v>
      </c>
      <c r="R672">
        <f t="shared" si="996"/>
        <v>-92477948.905415758</v>
      </c>
      <c r="S672">
        <f t="shared" si="997"/>
        <v>-924.77948905415758</v>
      </c>
      <c r="T672">
        <f t="shared" si="998"/>
        <v>-0.92477948905415763</v>
      </c>
    </row>
    <row r="673" spans="1:20" x14ac:dyDescent="0.25">
      <c r="A673" s="5">
        <v>43920</v>
      </c>
      <c r="B673">
        <v>2.8250000000000001E-2</v>
      </c>
      <c r="C673">
        <v>3.3980000000000003E-2</v>
      </c>
      <c r="D673">
        <v>2.8039999999999999E-2</v>
      </c>
      <c r="E673">
        <v>3.1989999999999998E-2</v>
      </c>
      <c r="F673">
        <v>6912013.9000000004</v>
      </c>
      <c r="G673">
        <v>0</v>
      </c>
      <c r="L673" t="s">
        <v>8</v>
      </c>
      <c r="M673" t="s">
        <v>8</v>
      </c>
      <c r="N673" t="s">
        <v>8</v>
      </c>
      <c r="P673">
        <f t="shared" si="994"/>
        <v>0.32996632996632858</v>
      </c>
      <c r="Q673">
        <f t="shared" si="995"/>
        <v>2280731.8592592496</v>
      </c>
      <c r="R673">
        <f t="shared" si="996"/>
        <v>-91705174.442257866</v>
      </c>
      <c r="S673">
        <f t="shared" si="997"/>
        <v>-917.05174442257862</v>
      </c>
      <c r="T673">
        <f t="shared" si="998"/>
        <v>-0.91705174442257864</v>
      </c>
    </row>
    <row r="674" spans="1:20" x14ac:dyDescent="0.25">
      <c r="A674" s="5">
        <v>43919</v>
      </c>
      <c r="B674">
        <v>3.0200000000000001E-2</v>
      </c>
      <c r="C674">
        <v>3.279E-2</v>
      </c>
      <c r="D674">
        <v>2.8080000000000001E-2</v>
      </c>
      <c r="E674">
        <v>2.8080000000000001E-2</v>
      </c>
      <c r="F674">
        <v>5576534.5999999996</v>
      </c>
      <c r="G674">
        <v>0</v>
      </c>
      <c r="L674" t="s">
        <v>8</v>
      </c>
      <c r="M674" t="s">
        <v>7</v>
      </c>
      <c r="N674" t="s">
        <v>8</v>
      </c>
      <c r="P674">
        <f t="shared" si="994"/>
        <v>-1</v>
      </c>
      <c r="Q674">
        <f t="shared" si="995"/>
        <v>-5576534.5999999996</v>
      </c>
      <c r="R674">
        <f t="shared" si="996"/>
        <v>-93985906.301517114</v>
      </c>
      <c r="S674">
        <f t="shared" si="997"/>
        <v>-939.85906301517116</v>
      </c>
      <c r="T674">
        <f t="shared" si="998"/>
        <v>-0.93985906301517119</v>
      </c>
    </row>
    <row r="675" spans="1:20" x14ac:dyDescent="0.25">
      <c r="A675" s="5">
        <v>43918</v>
      </c>
      <c r="B675">
        <v>2.9899999999999999E-2</v>
      </c>
      <c r="C675">
        <v>3.039E-2</v>
      </c>
      <c r="D675">
        <v>2.8080000000000001E-2</v>
      </c>
      <c r="E675">
        <v>3.0210000000000001E-2</v>
      </c>
      <c r="F675">
        <v>5274693.0999999996</v>
      </c>
      <c r="G675">
        <v>0</v>
      </c>
      <c r="L675" t="s">
        <v>7</v>
      </c>
      <c r="M675" t="s">
        <v>7</v>
      </c>
      <c r="N675" t="s">
        <v>8</v>
      </c>
      <c r="P675">
        <f t="shared" si="994"/>
        <v>0.84415584415584444</v>
      </c>
      <c r="Q675">
        <f t="shared" si="995"/>
        <v>4452663.0064935079</v>
      </c>
      <c r="R675">
        <f t="shared" si="996"/>
        <v>-88409371.70151712</v>
      </c>
      <c r="S675">
        <f t="shared" si="997"/>
        <v>-884.09371701517125</v>
      </c>
      <c r="T675">
        <f t="shared" si="998"/>
        <v>-0.88409371701517125</v>
      </c>
    </row>
    <row r="676" spans="1:20" x14ac:dyDescent="0.25">
      <c r="A676" s="5">
        <v>43917</v>
      </c>
      <c r="B676">
        <v>3.4049999999999997E-2</v>
      </c>
      <c r="C676">
        <v>3.422E-2</v>
      </c>
      <c r="D676">
        <v>2.9860000000000001E-2</v>
      </c>
      <c r="E676">
        <v>2.9899999999999999E-2</v>
      </c>
      <c r="F676">
        <v>5130172</v>
      </c>
      <c r="G676">
        <v>0</v>
      </c>
      <c r="L676" t="s">
        <v>7</v>
      </c>
      <c r="M676" t="s">
        <v>7</v>
      </c>
      <c r="N676" t="s">
        <v>8</v>
      </c>
      <c r="P676">
        <f t="shared" si="994"/>
        <v>-0.98165137614678977</v>
      </c>
      <c r="Q676">
        <f t="shared" si="995"/>
        <v>-5036040.4036697289</v>
      </c>
      <c r="R676">
        <f t="shared" si="996"/>
        <v>-92862034.708010629</v>
      </c>
      <c r="S676">
        <f t="shared" si="997"/>
        <v>-928.62034708010628</v>
      </c>
      <c r="T676">
        <f t="shared" si="998"/>
        <v>-0.92862034708010632</v>
      </c>
    </row>
    <row r="677" spans="1:20" x14ac:dyDescent="0.25">
      <c r="A677" s="5">
        <v>43916</v>
      </c>
      <c r="B677">
        <v>3.4660000000000003E-2</v>
      </c>
      <c r="C677">
        <v>3.8300000000000001E-2</v>
      </c>
      <c r="D677">
        <v>3.2500000000000001E-2</v>
      </c>
      <c r="E677">
        <v>3.397E-2</v>
      </c>
      <c r="F677">
        <v>14081096.6</v>
      </c>
      <c r="G677">
        <v>0</v>
      </c>
      <c r="L677" t="s">
        <v>8</v>
      </c>
      <c r="M677" t="s">
        <v>8</v>
      </c>
      <c r="N677" t="s">
        <v>8</v>
      </c>
      <c r="P677">
        <f t="shared" si="994"/>
        <v>-0.49310344827586233</v>
      </c>
      <c r="Q677">
        <f t="shared" si="995"/>
        <v>-6943437.2889655204</v>
      </c>
      <c r="R677">
        <f t="shared" si="996"/>
        <v>-87825994.304340899</v>
      </c>
      <c r="S677">
        <f t="shared" si="997"/>
        <v>-878.25994304340895</v>
      </c>
      <c r="T677">
        <f t="shared" si="998"/>
        <v>-0.87825994304340893</v>
      </c>
    </row>
    <row r="678" spans="1:20" x14ac:dyDescent="0.25">
      <c r="A678" s="5">
        <v>43915</v>
      </c>
      <c r="B678">
        <v>3.0669999999999999E-2</v>
      </c>
      <c r="C678">
        <v>3.6119999999999999E-2</v>
      </c>
      <c r="D678">
        <v>2.9729999999999999E-2</v>
      </c>
      <c r="E678">
        <v>3.456E-2</v>
      </c>
      <c r="F678">
        <v>9633369.8000000007</v>
      </c>
      <c r="G678">
        <v>0</v>
      </c>
      <c r="L678" t="s">
        <v>8</v>
      </c>
      <c r="M678" t="s">
        <v>8</v>
      </c>
      <c r="N678" t="s">
        <v>8</v>
      </c>
      <c r="P678">
        <f t="shared" si="994"/>
        <v>0.51173708920187833</v>
      </c>
      <c r="Q678">
        <f t="shared" si="995"/>
        <v>4929752.620657281</v>
      </c>
      <c r="R678">
        <f t="shared" si="996"/>
        <v>-80882557.015375376</v>
      </c>
      <c r="S678">
        <f t="shared" si="997"/>
        <v>-808.8255701537538</v>
      </c>
      <c r="T678">
        <f t="shared" si="998"/>
        <v>-0.80882557015375378</v>
      </c>
    </row>
    <row r="679" spans="1:20" x14ac:dyDescent="0.25">
      <c r="A679" s="5">
        <v>43914</v>
      </c>
      <c r="B679">
        <v>3.0710000000000001E-2</v>
      </c>
      <c r="C679">
        <v>3.175E-2</v>
      </c>
      <c r="D679">
        <v>2.9729999999999999E-2</v>
      </c>
      <c r="E679">
        <v>3.091E-2</v>
      </c>
      <c r="F679">
        <v>4690989.5999999996</v>
      </c>
      <c r="G679">
        <v>0</v>
      </c>
      <c r="L679" t="s">
        <v>8</v>
      </c>
      <c r="M679" t="s">
        <v>8</v>
      </c>
      <c r="N679" t="s">
        <v>8</v>
      </c>
      <c r="P679">
        <f t="shared" si="994"/>
        <v>0.16831683168316824</v>
      </c>
      <c r="Q679">
        <f t="shared" si="995"/>
        <v>789572.5069306927</v>
      </c>
      <c r="R679">
        <f t="shared" si="996"/>
        <v>-85812309.636032656</v>
      </c>
      <c r="S679">
        <f t="shared" si="997"/>
        <v>-858.1230963603266</v>
      </c>
      <c r="T679">
        <f t="shared" si="998"/>
        <v>-0.85812309636032658</v>
      </c>
    </row>
    <row r="680" spans="1:20" x14ac:dyDescent="0.25">
      <c r="A680" s="5">
        <v>43913</v>
      </c>
      <c r="B680">
        <v>2.5499999999999998E-2</v>
      </c>
      <c r="C680">
        <v>3.2000000000000001E-2</v>
      </c>
      <c r="D680">
        <v>2.487E-2</v>
      </c>
      <c r="E680">
        <v>3.0710000000000001E-2</v>
      </c>
      <c r="F680">
        <v>7631436.7999999998</v>
      </c>
      <c r="G680">
        <v>0</v>
      </c>
      <c r="L680" t="s">
        <v>7</v>
      </c>
      <c r="M680" t="s">
        <v>8</v>
      </c>
      <c r="N680" t="s">
        <v>8</v>
      </c>
      <c r="P680">
        <f t="shared" si="994"/>
        <v>0.63814866760168321</v>
      </c>
      <c r="Q680">
        <f t="shared" si="995"/>
        <v>4869991.2258064533</v>
      </c>
      <c r="R680">
        <f t="shared" si="996"/>
        <v>-86601882.14296335</v>
      </c>
      <c r="S680">
        <f t="shared" si="997"/>
        <v>-866.01882142963348</v>
      </c>
      <c r="T680">
        <f t="shared" si="998"/>
        <v>-0.86601882142963349</v>
      </c>
    </row>
    <row r="681" spans="1:20" x14ac:dyDescent="0.25">
      <c r="A681" s="5">
        <v>43912</v>
      </c>
      <c r="B681">
        <v>2.9000000000000001E-2</v>
      </c>
      <c r="C681">
        <v>3.0130000000000001E-2</v>
      </c>
      <c r="D681">
        <v>2.5499999999999998E-2</v>
      </c>
      <c r="E681">
        <v>2.5909999999999999E-2</v>
      </c>
      <c r="F681">
        <v>6460872.2000000002</v>
      </c>
      <c r="G681">
        <v>0</v>
      </c>
      <c r="L681" t="s">
        <v>7</v>
      </c>
      <c r="M681" t="s">
        <v>7</v>
      </c>
      <c r="N681" t="s">
        <v>8</v>
      </c>
      <c r="P681">
        <f t="shared" si="994"/>
        <v>-0.82289416846652252</v>
      </c>
      <c r="Q681">
        <f t="shared" si="995"/>
        <v>-5316614.0565874726</v>
      </c>
      <c r="R681">
        <f t="shared" si="996"/>
        <v>-91471873.36876981</v>
      </c>
      <c r="S681">
        <f t="shared" si="997"/>
        <v>-914.71873368769809</v>
      </c>
      <c r="T681">
        <f t="shared" si="998"/>
        <v>-0.91471873368769807</v>
      </c>
    </row>
    <row r="682" spans="1:20" x14ac:dyDescent="0.25">
      <c r="A682" s="5">
        <v>43911</v>
      </c>
      <c r="B682">
        <v>2.8899999999999999E-2</v>
      </c>
      <c r="C682">
        <v>3.1E-2</v>
      </c>
      <c r="D682">
        <v>2.717E-2</v>
      </c>
      <c r="E682">
        <v>2.9219999999999999E-2</v>
      </c>
      <c r="F682">
        <v>9850293.1999999993</v>
      </c>
      <c r="G682">
        <v>0</v>
      </c>
      <c r="L682" t="s">
        <v>7</v>
      </c>
      <c r="M682" t="s">
        <v>7</v>
      </c>
      <c r="N682" t="s">
        <v>8</v>
      </c>
      <c r="P682">
        <f t="shared" si="994"/>
        <v>7.0496083550913677E-2</v>
      </c>
      <c r="Q682">
        <f t="shared" si="995"/>
        <v>694407.0924281968</v>
      </c>
      <c r="R682">
        <f t="shared" si="996"/>
        <v>-86155259.312182337</v>
      </c>
      <c r="S682">
        <f t="shared" si="997"/>
        <v>-861.55259312182341</v>
      </c>
      <c r="T682">
        <f t="shared" si="998"/>
        <v>-0.86155259312182342</v>
      </c>
    </row>
    <row r="683" spans="1:20" x14ac:dyDescent="0.25">
      <c r="A683" s="5">
        <v>43910</v>
      </c>
      <c r="B683">
        <v>3.1119999999999998E-2</v>
      </c>
      <c r="C683">
        <v>3.5560000000000001E-2</v>
      </c>
      <c r="D683">
        <v>2.5659999999999999E-2</v>
      </c>
      <c r="E683">
        <v>2.929E-2</v>
      </c>
      <c r="F683">
        <v>12387046.1</v>
      </c>
      <c r="G683">
        <v>0</v>
      </c>
      <c r="L683" t="s">
        <v>8</v>
      </c>
      <c r="M683" t="s">
        <v>8</v>
      </c>
      <c r="N683" t="s">
        <v>8</v>
      </c>
      <c r="P683">
        <f t="shared" si="994"/>
        <v>-0.26666666666666661</v>
      </c>
      <c r="Q683">
        <f t="shared" si="995"/>
        <v>-3303212.2933333325</v>
      </c>
      <c r="R683">
        <f t="shared" si="996"/>
        <v>-86849666.40461053</v>
      </c>
      <c r="S683">
        <f t="shared" si="997"/>
        <v>-868.49666404610525</v>
      </c>
      <c r="T683">
        <f t="shared" si="998"/>
        <v>-0.86849666404610526</v>
      </c>
    </row>
    <row r="684" spans="1:20" x14ac:dyDescent="0.25">
      <c r="A684" s="5">
        <v>43909</v>
      </c>
      <c r="B684">
        <v>2.664E-2</v>
      </c>
      <c r="C684">
        <v>3.2239999999999998E-2</v>
      </c>
      <c r="D684">
        <v>2.6339999999999999E-2</v>
      </c>
      <c r="E684">
        <v>3.1119999999999998E-2</v>
      </c>
      <c r="F684">
        <v>11315745.699999999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0.62033898305084756</v>
      </c>
      <c r="Q684">
        <f t="shared" si="995"/>
        <v>7019598.1800000006</v>
      </c>
      <c r="R684">
        <f t="shared" si="996"/>
        <v>-83546454.111277193</v>
      </c>
      <c r="S684">
        <f t="shared" si="997"/>
        <v>-835.46454111277194</v>
      </c>
      <c r="T684">
        <f t="shared" si="998"/>
        <v>-0.83546454111277191</v>
      </c>
    </row>
    <row r="685" spans="1:20" x14ac:dyDescent="0.25">
      <c r="A685" s="5">
        <v>43908</v>
      </c>
      <c r="B685">
        <v>2.7459999999999998E-2</v>
      </c>
      <c r="C685">
        <v>2.9360000000000001E-2</v>
      </c>
      <c r="D685">
        <v>2.4150000000000001E-2</v>
      </c>
      <c r="E685">
        <v>2.664E-2</v>
      </c>
      <c r="F685">
        <v>5177023.8</v>
      </c>
      <c r="G685">
        <v>0</v>
      </c>
      <c r="L685" t="s">
        <v>7</v>
      </c>
      <c r="M685" t="s">
        <v>7</v>
      </c>
      <c r="N685" t="s">
        <v>8</v>
      </c>
      <c r="P685">
        <f t="shared" si="994"/>
        <v>-4.4145873320537633E-2</v>
      </c>
      <c r="Q685">
        <f t="shared" si="995"/>
        <v>-228544.23685220836</v>
      </c>
      <c r="R685">
        <f t="shared" si="996"/>
        <v>-90566052.2912772</v>
      </c>
      <c r="S685">
        <f t="shared" si="997"/>
        <v>-905.66052291277197</v>
      </c>
      <c r="T685">
        <f t="shared" si="998"/>
        <v>-0.90566052291277199</v>
      </c>
    </row>
    <row r="686" spans="1:20" x14ac:dyDescent="0.25">
      <c r="A686" s="5">
        <v>43907</v>
      </c>
      <c r="B686">
        <v>2.5090000000000001E-2</v>
      </c>
      <c r="C686">
        <v>2.963E-2</v>
      </c>
      <c r="D686">
        <v>2.3230000000000001E-2</v>
      </c>
      <c r="E686">
        <v>2.75E-2</v>
      </c>
      <c r="F686">
        <v>12747008.300000001</v>
      </c>
      <c r="G686">
        <v>0</v>
      </c>
      <c r="L686" t="s">
        <v>8</v>
      </c>
      <c r="M686" t="s">
        <v>8</v>
      </c>
      <c r="N686" t="s">
        <v>8</v>
      </c>
      <c r="P686">
        <f t="shared" si="994"/>
        <v>0.33437499999999998</v>
      </c>
      <c r="Q686">
        <f t="shared" si="995"/>
        <v>4262280.9003125001</v>
      </c>
      <c r="R686">
        <f t="shared" si="996"/>
        <v>-90337508.054424986</v>
      </c>
      <c r="S686">
        <f t="shared" si="997"/>
        <v>-903.37508054424984</v>
      </c>
      <c r="T686">
        <f t="shared" si="998"/>
        <v>-0.90337508054424986</v>
      </c>
    </row>
    <row r="687" spans="1:20" x14ac:dyDescent="0.25">
      <c r="A687" s="5">
        <v>43906</v>
      </c>
      <c r="B687">
        <v>2.9749999999999999E-2</v>
      </c>
      <c r="C687">
        <v>2.9899999999999999E-2</v>
      </c>
      <c r="D687">
        <v>2.1049999999999999E-2</v>
      </c>
      <c r="E687">
        <v>2.5090000000000001E-2</v>
      </c>
      <c r="F687">
        <v>10457655.300000001</v>
      </c>
      <c r="G687">
        <v>0</v>
      </c>
      <c r="L687" t="s">
        <v>7</v>
      </c>
      <c r="M687" t="s">
        <v>7</v>
      </c>
      <c r="N687" t="s">
        <v>7</v>
      </c>
      <c r="P687">
        <f t="shared" si="994"/>
        <v>-8.7005649717513719E-2</v>
      </c>
      <c r="Q687">
        <f t="shared" si="995"/>
        <v>-909875.0938983009</v>
      </c>
      <c r="R687">
        <f t="shared" si="996"/>
        <v>-94599788.954737484</v>
      </c>
      <c r="S687">
        <f t="shared" si="997"/>
        <v>-945.99788954737483</v>
      </c>
      <c r="T687">
        <f t="shared" si="998"/>
        <v>-0.94599788954737485</v>
      </c>
    </row>
    <row r="688" spans="1:20" x14ac:dyDescent="0.25">
      <c r="A688" s="5">
        <v>43905</v>
      </c>
      <c r="B688">
        <v>3.04E-2</v>
      </c>
      <c r="C688">
        <v>3.363E-2</v>
      </c>
      <c r="D688">
        <v>2.8590000000000001E-2</v>
      </c>
      <c r="E688">
        <v>3.0300000000000001E-2</v>
      </c>
      <c r="F688">
        <v>7542905.2000000002</v>
      </c>
      <c r="G688">
        <v>0</v>
      </c>
      <c r="L688" t="s">
        <v>7</v>
      </c>
      <c r="M688" t="s">
        <v>7</v>
      </c>
      <c r="N688" t="s">
        <v>8</v>
      </c>
      <c r="P688">
        <f t="shared" si="994"/>
        <v>-0.32142857142857145</v>
      </c>
      <c r="Q688">
        <f t="shared" si="995"/>
        <v>-2424505.2428571433</v>
      </c>
      <c r="R688">
        <f t="shared" si="996"/>
        <v>-93689913.860839188</v>
      </c>
      <c r="S688">
        <f t="shared" si="997"/>
        <v>-936.89913860839192</v>
      </c>
      <c r="T688">
        <f t="shared" si="998"/>
        <v>-0.93689913860839191</v>
      </c>
    </row>
    <row r="689" spans="1:20" x14ac:dyDescent="0.25">
      <c r="A689" s="5">
        <v>43904</v>
      </c>
      <c r="B689">
        <v>3.3489999999999999E-2</v>
      </c>
      <c r="C689">
        <v>3.7260000000000001E-2</v>
      </c>
      <c r="D689">
        <v>2.9059999999999999E-2</v>
      </c>
      <c r="E689">
        <v>3.041E-2</v>
      </c>
      <c r="F689">
        <v>10178229.300000001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-0.6707317073170731</v>
      </c>
      <c r="Q689">
        <f t="shared" si="995"/>
        <v>-6826861.1158536579</v>
      </c>
      <c r="R689">
        <f t="shared" si="996"/>
        <v>-91265408.617982045</v>
      </c>
      <c r="S689">
        <f t="shared" si="997"/>
        <v>-912.65408617982041</v>
      </c>
      <c r="T689">
        <f t="shared" si="998"/>
        <v>-0.91265408617982036</v>
      </c>
    </row>
    <row r="690" spans="1:20" x14ac:dyDescent="0.25">
      <c r="A690" s="5">
        <v>43903</v>
      </c>
      <c r="B690">
        <v>2.6589999999999999E-2</v>
      </c>
      <c r="C690">
        <v>3.9070000000000001E-2</v>
      </c>
      <c r="D690">
        <v>2.001E-2</v>
      </c>
      <c r="E690">
        <v>3.3550000000000003E-2</v>
      </c>
      <c r="F690">
        <v>18012031.300000001</v>
      </c>
      <c r="G690">
        <v>0</v>
      </c>
      <c r="L690" t="s">
        <v>7</v>
      </c>
      <c r="M690" t="s">
        <v>7</v>
      </c>
      <c r="N690" t="s">
        <v>7</v>
      </c>
      <c r="P690">
        <f t="shared" si="994"/>
        <v>0.4207764952780696</v>
      </c>
      <c r="Q690">
        <f t="shared" si="995"/>
        <v>7579039.4032528922</v>
      </c>
      <c r="R690">
        <f t="shared" si="996"/>
        <v>-84438547.502128392</v>
      </c>
      <c r="S690">
        <f t="shared" si="997"/>
        <v>-844.38547502128392</v>
      </c>
      <c r="T690">
        <f t="shared" si="998"/>
        <v>-0.84438547502128392</v>
      </c>
    </row>
    <row r="691" spans="1:20" x14ac:dyDescent="0.25">
      <c r="A691" s="5">
        <v>43902</v>
      </c>
      <c r="B691">
        <v>6.6919999999999993E-2</v>
      </c>
      <c r="C691">
        <v>6.8510000000000001E-2</v>
      </c>
      <c r="D691">
        <v>2.4070000000000001E-2</v>
      </c>
      <c r="E691">
        <v>2.6499999999999999E-2</v>
      </c>
      <c r="F691">
        <v>28970141.5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-0.89063906390639069</v>
      </c>
      <c r="Q691">
        <f t="shared" si="995"/>
        <v>-25801939.706795681</v>
      </c>
      <c r="R691">
        <f t="shared" si="996"/>
        <v>-92017586.905381292</v>
      </c>
      <c r="S691">
        <f t="shared" si="997"/>
        <v>-920.1758690538129</v>
      </c>
      <c r="T691">
        <f t="shared" si="998"/>
        <v>-0.92017586905381288</v>
      </c>
    </row>
    <row r="692" spans="1:20" x14ac:dyDescent="0.25">
      <c r="A692" s="5">
        <v>43901</v>
      </c>
      <c r="B692">
        <v>7.5749999999999998E-2</v>
      </c>
      <c r="C692">
        <v>7.6109999999999997E-2</v>
      </c>
      <c r="D692">
        <v>5.7500000000000002E-2</v>
      </c>
      <c r="E692">
        <v>6.7519999999999997E-2</v>
      </c>
      <c r="F692">
        <v>22992514.5</v>
      </c>
      <c r="G692">
        <v>0</v>
      </c>
      <c r="L692" t="s">
        <v>7</v>
      </c>
      <c r="M692" t="s">
        <v>7</v>
      </c>
      <c r="N692" t="s">
        <v>8</v>
      </c>
      <c r="P692">
        <f t="shared" si="994"/>
        <v>7.6840408382589695E-2</v>
      </c>
      <c r="Q692">
        <f t="shared" si="995"/>
        <v>1766754.2039226152</v>
      </c>
      <c r="R692">
        <f t="shared" si="996"/>
        <v>-66215647.198585615</v>
      </c>
      <c r="S692">
        <f t="shared" si="997"/>
        <v>-662.15647198585611</v>
      </c>
      <c r="T692">
        <f t="shared" si="998"/>
        <v>-0.66215647198585614</v>
      </c>
    </row>
    <row r="693" spans="1:20" x14ac:dyDescent="0.25">
      <c r="A693" s="5">
        <v>43900</v>
      </c>
      <c r="B693">
        <v>6.2659999999999993E-2</v>
      </c>
      <c r="C693">
        <v>7.7990000000000004E-2</v>
      </c>
      <c r="D693">
        <v>6.2350000000000003E-2</v>
      </c>
      <c r="E693">
        <v>7.5749999999999998E-2</v>
      </c>
      <c r="F693">
        <v>37502262.700000003</v>
      </c>
      <c r="G693">
        <v>0</v>
      </c>
      <c r="L693" t="s">
        <v>8</v>
      </c>
      <c r="M693" t="s">
        <v>8</v>
      </c>
      <c r="N693" t="s">
        <v>8</v>
      </c>
      <c r="P693">
        <f t="shared" si="994"/>
        <v>0.7135549872122755</v>
      </c>
      <c r="Q693">
        <f t="shared" si="995"/>
        <v>26759926.581329897</v>
      </c>
      <c r="R693">
        <f t="shared" si="996"/>
        <v>-67982401.402508229</v>
      </c>
      <c r="S693">
        <f t="shared" si="997"/>
        <v>-679.82401402508231</v>
      </c>
      <c r="T693">
        <f t="shared" si="998"/>
        <v>-0.6798240140250823</v>
      </c>
    </row>
    <row r="694" spans="1:20" x14ac:dyDescent="0.25">
      <c r="A694" s="5">
        <v>43899</v>
      </c>
      <c r="B694">
        <v>6.2649999999999997E-2</v>
      </c>
      <c r="C694">
        <v>6.8000000000000005E-2</v>
      </c>
      <c r="D694">
        <v>5.237E-2</v>
      </c>
      <c r="E694">
        <v>6.2350000000000003E-2</v>
      </c>
      <c r="F694">
        <v>23583174.399999999</v>
      </c>
      <c r="G694">
        <v>0</v>
      </c>
      <c r="L694" t="s">
        <v>7</v>
      </c>
      <c r="M694" t="s">
        <v>7</v>
      </c>
      <c r="N694" t="s">
        <v>7</v>
      </c>
      <c r="P694">
        <f t="shared" si="994"/>
        <v>0.27703134996801015</v>
      </c>
      <c r="Q694">
        <f t="shared" si="995"/>
        <v>6533278.6405630177</v>
      </c>
      <c r="R694">
        <f t="shared" si="996"/>
        <v>-94742327.983838126</v>
      </c>
      <c r="S694">
        <f t="shared" si="997"/>
        <v>-947.42327983838129</v>
      </c>
      <c r="T694">
        <f t="shared" si="998"/>
        <v>-0.94742327983838126</v>
      </c>
    </row>
    <row r="695" spans="1:20" x14ac:dyDescent="0.25">
      <c r="A695" s="5">
        <v>43898</v>
      </c>
      <c r="B695">
        <v>7.3870000000000005E-2</v>
      </c>
      <c r="C695">
        <v>7.8E-2</v>
      </c>
      <c r="D695">
        <v>6.1109999999999998E-2</v>
      </c>
      <c r="E695">
        <v>6.2649999999999997E-2</v>
      </c>
      <c r="F695">
        <v>28014353.5</v>
      </c>
      <c r="G695">
        <v>0</v>
      </c>
      <c r="L695" t="s">
        <v>7</v>
      </c>
      <c r="M695" t="s">
        <v>7</v>
      </c>
      <c r="N695" t="s">
        <v>7</v>
      </c>
      <c r="P695">
        <f t="shared" si="994"/>
        <v>-0.81764357608052107</v>
      </c>
      <c r="Q695">
        <f t="shared" si="995"/>
        <v>-22905756.177323863</v>
      </c>
      <c r="R695">
        <f t="shared" si="996"/>
        <v>-101275606.62440114</v>
      </c>
      <c r="S695">
        <f t="shared" si="997"/>
        <v>-1012.7560662440113</v>
      </c>
      <c r="T695">
        <f t="shared" si="998"/>
        <v>-1.0127560662440114</v>
      </c>
    </row>
    <row r="696" spans="1:20" x14ac:dyDescent="0.25">
      <c r="A696" s="5">
        <v>43897</v>
      </c>
      <c r="B696">
        <v>7.1400000000000005E-2</v>
      </c>
      <c r="C696">
        <v>8.4739999999999996E-2</v>
      </c>
      <c r="D696">
        <v>6.9059999999999996E-2</v>
      </c>
      <c r="E696">
        <v>7.3859999999999995E-2</v>
      </c>
      <c r="F696">
        <v>43835255.200000003</v>
      </c>
      <c r="G696">
        <v>0</v>
      </c>
      <c r="L696" t="s">
        <v>8</v>
      </c>
      <c r="M696" t="s">
        <v>8</v>
      </c>
      <c r="N696" t="s">
        <v>8</v>
      </c>
      <c r="P696">
        <f t="shared" si="994"/>
        <v>-0.38775510204081648</v>
      </c>
      <c r="Q696">
        <f t="shared" si="995"/>
        <v>-16997343.853061233</v>
      </c>
      <c r="R696">
        <f t="shared" si="996"/>
        <v>-78369850.447077274</v>
      </c>
      <c r="S696">
        <f t="shared" si="997"/>
        <v>-783.69850447077272</v>
      </c>
      <c r="T696">
        <f t="shared" si="998"/>
        <v>-0.78369850447077272</v>
      </c>
    </row>
    <row r="697" spans="1:20" x14ac:dyDescent="0.25">
      <c r="A697" s="5">
        <v>43896</v>
      </c>
      <c r="B697">
        <v>6.8540000000000004E-2</v>
      </c>
      <c r="C697">
        <v>7.3649999999999993E-2</v>
      </c>
      <c r="D697">
        <v>6.0130000000000003E-2</v>
      </c>
      <c r="E697">
        <v>7.1919999999999998E-2</v>
      </c>
      <c r="F697">
        <v>31092882.600000001</v>
      </c>
      <c r="G697">
        <v>0</v>
      </c>
      <c r="L697" t="s">
        <v>8</v>
      </c>
      <c r="M697" t="s">
        <v>8</v>
      </c>
      <c r="N697" t="s">
        <v>8</v>
      </c>
      <c r="P697">
        <f t="shared" si="994"/>
        <v>0.74408284023668692</v>
      </c>
      <c r="Q697">
        <f t="shared" si="995"/>
        <v>23135680.396153864</v>
      </c>
      <c r="R697">
        <f t="shared" si="996"/>
        <v>-61372506.594016045</v>
      </c>
      <c r="S697">
        <f t="shared" si="997"/>
        <v>-613.72506594016045</v>
      </c>
      <c r="T697">
        <f t="shared" si="998"/>
        <v>-0.61372506594016041</v>
      </c>
    </row>
    <row r="698" spans="1:20" x14ac:dyDescent="0.25">
      <c r="A698" s="5">
        <v>43895</v>
      </c>
      <c r="B698">
        <v>5.9049999999999998E-2</v>
      </c>
      <c r="C698">
        <v>7.0000000000000007E-2</v>
      </c>
      <c r="D698">
        <v>5.6219999999999999E-2</v>
      </c>
      <c r="E698">
        <v>6.8860000000000005E-2</v>
      </c>
      <c r="F698">
        <v>32775280.800000001</v>
      </c>
      <c r="G698">
        <v>0</v>
      </c>
      <c r="L698" t="s">
        <v>8</v>
      </c>
      <c r="M698" t="s">
        <v>8</v>
      </c>
      <c r="N698" t="s">
        <v>8</v>
      </c>
      <c r="P698">
        <f t="shared" si="994"/>
        <v>0.83454281567489097</v>
      </c>
      <c r="Q698">
        <f t="shared" si="995"/>
        <v>27352375.123367194</v>
      </c>
      <c r="R698">
        <f t="shared" si="996"/>
        <v>-84508186.990169913</v>
      </c>
      <c r="S698">
        <f t="shared" si="997"/>
        <v>-845.08186990169918</v>
      </c>
      <c r="T698">
        <f t="shared" si="998"/>
        <v>-0.8450818699016992</v>
      </c>
    </row>
    <row r="699" spans="1:20" x14ac:dyDescent="0.25">
      <c r="A699" s="5">
        <v>43894</v>
      </c>
      <c r="B699">
        <v>4.6059999999999997E-2</v>
      </c>
      <c r="C699">
        <v>6.3210000000000002E-2</v>
      </c>
      <c r="D699">
        <v>4.5999999999999999E-2</v>
      </c>
      <c r="E699">
        <v>5.91E-2</v>
      </c>
      <c r="F699">
        <v>26735034.800000001</v>
      </c>
      <c r="G699">
        <v>0</v>
      </c>
      <c r="L699" t="s">
        <v>8</v>
      </c>
      <c r="M699" t="s">
        <v>8</v>
      </c>
      <c r="N699" t="s">
        <v>8</v>
      </c>
      <c r="P699">
        <f t="shared" si="994"/>
        <v>0.52237071470075513</v>
      </c>
      <c r="Q699">
        <f t="shared" si="995"/>
        <v>13965599.236025561</v>
      </c>
      <c r="R699">
        <f t="shared" si="996"/>
        <v>-111860562.1135371</v>
      </c>
      <c r="S699">
        <f t="shared" si="997"/>
        <v>-1118.6056211353709</v>
      </c>
      <c r="T699">
        <f t="shared" si="998"/>
        <v>-1.118605621135371</v>
      </c>
    </row>
    <row r="700" spans="1:20" x14ac:dyDescent="0.25">
      <c r="A700" s="5">
        <v>43893</v>
      </c>
      <c r="B700">
        <v>4.7759999999999997E-2</v>
      </c>
      <c r="C700">
        <v>4.9110000000000001E-2</v>
      </c>
      <c r="D700">
        <v>4.4179999999999997E-2</v>
      </c>
      <c r="E700">
        <v>4.6010000000000002E-2</v>
      </c>
      <c r="F700">
        <v>4921611.7</v>
      </c>
      <c r="G700">
        <v>0</v>
      </c>
      <c r="L700" t="s">
        <v>7</v>
      </c>
      <c r="M700" t="s">
        <v>8</v>
      </c>
      <c r="N700" t="s">
        <v>8</v>
      </c>
      <c r="P700">
        <f t="shared" si="994"/>
        <v>-0.25760649087220938</v>
      </c>
      <c r="Q700">
        <f t="shared" si="995"/>
        <v>-1267839.1194726089</v>
      </c>
      <c r="R700">
        <f t="shared" si="996"/>
        <v>-125826161.34956266</v>
      </c>
      <c r="S700">
        <f t="shared" si="997"/>
        <v>-1258.2616134956265</v>
      </c>
      <c r="T700">
        <f t="shared" si="998"/>
        <v>-1.2582616134956266</v>
      </c>
    </row>
    <row r="701" spans="1:20" x14ac:dyDescent="0.25">
      <c r="A701" s="5">
        <v>43892</v>
      </c>
      <c r="B701">
        <v>4.2270000000000002E-2</v>
      </c>
      <c r="C701">
        <v>4.9439999999999998E-2</v>
      </c>
      <c r="D701">
        <v>4.1779999999999998E-2</v>
      </c>
      <c r="E701">
        <v>4.7759999999999997E-2</v>
      </c>
      <c r="F701">
        <v>3897021.6</v>
      </c>
      <c r="G701">
        <v>0</v>
      </c>
      <c r="L701" t="s">
        <v>8</v>
      </c>
      <c r="M701" t="s">
        <v>8</v>
      </c>
      <c r="N701" t="s">
        <v>8</v>
      </c>
      <c r="P701">
        <f t="shared" si="994"/>
        <v>0.56135770234986926</v>
      </c>
      <c r="Q701">
        <f t="shared" si="995"/>
        <v>2187623.0913838111</v>
      </c>
      <c r="R701">
        <f t="shared" si="996"/>
        <v>-124558322.23009005</v>
      </c>
      <c r="S701">
        <f t="shared" si="997"/>
        <v>-1245.5832223009006</v>
      </c>
      <c r="T701">
        <f t="shared" si="998"/>
        <v>-1.2455832223009007</v>
      </c>
    </row>
    <row r="702" spans="1:20" x14ac:dyDescent="0.25">
      <c r="A702" s="5">
        <v>43891</v>
      </c>
      <c r="B702">
        <v>4.2299999999999997E-2</v>
      </c>
      <c r="C702">
        <v>4.5990000000000003E-2</v>
      </c>
      <c r="D702">
        <v>4.1160000000000002E-2</v>
      </c>
      <c r="E702">
        <v>4.2479999999999997E-2</v>
      </c>
      <c r="F702">
        <v>2666120.1</v>
      </c>
      <c r="G702">
        <v>0</v>
      </c>
      <c r="L702" t="s">
        <v>7</v>
      </c>
      <c r="M702" t="s">
        <v>7</v>
      </c>
      <c r="N702" t="s">
        <v>8</v>
      </c>
      <c r="P702">
        <f t="shared" si="994"/>
        <v>-0.45341614906832522</v>
      </c>
      <c r="Q702">
        <f t="shared" si="995"/>
        <v>-1208861.9086956582</v>
      </c>
      <c r="R702">
        <f t="shared" si="996"/>
        <v>-126745945.32147387</v>
      </c>
      <c r="S702">
        <f t="shared" si="997"/>
        <v>-1267.4594532147387</v>
      </c>
      <c r="T702">
        <f t="shared" si="998"/>
        <v>-1.2674594532147387</v>
      </c>
    </row>
    <row r="703" spans="1:20" x14ac:dyDescent="0.25">
      <c r="A703" s="5">
        <v>43890</v>
      </c>
      <c r="B703">
        <v>4.5960000000000001E-2</v>
      </c>
      <c r="C703">
        <v>4.6980000000000001E-2</v>
      </c>
      <c r="D703">
        <v>4.2130000000000001E-2</v>
      </c>
      <c r="E703">
        <v>4.2130000000000001E-2</v>
      </c>
      <c r="F703">
        <v>1723620</v>
      </c>
      <c r="G703">
        <v>0</v>
      </c>
      <c r="L703" t="s">
        <v>8</v>
      </c>
      <c r="M703" t="s">
        <v>7</v>
      </c>
      <c r="N703" t="s">
        <v>8</v>
      </c>
      <c r="P703">
        <f t="shared" si="994"/>
        <v>-1</v>
      </c>
      <c r="Q703">
        <f t="shared" si="995"/>
        <v>-1723620</v>
      </c>
      <c r="R703">
        <f t="shared" si="996"/>
        <v>-125537083.41277821</v>
      </c>
      <c r="S703">
        <f t="shared" si="997"/>
        <v>-1255.3708341277822</v>
      </c>
      <c r="T703">
        <f t="shared" si="998"/>
        <v>-1.2553708341277823</v>
      </c>
    </row>
    <row r="704" spans="1:20" x14ac:dyDescent="0.25">
      <c r="A704" s="5">
        <v>43889</v>
      </c>
      <c r="B704">
        <v>4.8750000000000002E-2</v>
      </c>
      <c r="C704">
        <v>4.9489999999999999E-2</v>
      </c>
      <c r="D704">
        <v>4.0739999999999998E-2</v>
      </c>
      <c r="E704">
        <v>4.5960000000000001E-2</v>
      </c>
      <c r="F704">
        <v>4653631.3</v>
      </c>
      <c r="G704">
        <v>0</v>
      </c>
      <c r="L704" t="s">
        <v>7</v>
      </c>
      <c r="M704" t="s">
        <v>7</v>
      </c>
      <c r="N704" t="s">
        <v>8</v>
      </c>
      <c r="P704">
        <f t="shared" si="994"/>
        <v>0.19314285714285759</v>
      </c>
      <c r="Q704">
        <f t="shared" si="995"/>
        <v>898815.64537143055</v>
      </c>
      <c r="R704">
        <f t="shared" si="996"/>
        <v>-123813463.41277821</v>
      </c>
      <c r="S704">
        <f t="shared" si="997"/>
        <v>-1238.1346341277822</v>
      </c>
      <c r="T704">
        <f t="shared" si="998"/>
        <v>-1.2381346341277821</v>
      </c>
    </row>
    <row r="705" spans="1:20" x14ac:dyDescent="0.25">
      <c r="A705" s="5">
        <v>43888</v>
      </c>
      <c r="B705">
        <v>4.36E-2</v>
      </c>
      <c r="C705">
        <v>5.2499999999999998E-2</v>
      </c>
      <c r="D705">
        <v>4.1169999999999998E-2</v>
      </c>
      <c r="E705">
        <v>4.879E-2</v>
      </c>
      <c r="F705">
        <v>9000164.5999999996</v>
      </c>
      <c r="G705">
        <v>0</v>
      </c>
      <c r="L705" t="s">
        <v>8</v>
      </c>
      <c r="M705" t="s">
        <v>8</v>
      </c>
      <c r="N705" t="s">
        <v>8</v>
      </c>
      <c r="P705">
        <f t="shared" si="994"/>
        <v>0.34510150044130661</v>
      </c>
      <c r="Q705">
        <f t="shared" si="995"/>
        <v>3105970.3076787321</v>
      </c>
      <c r="R705">
        <f t="shared" si="996"/>
        <v>-124712279.05814965</v>
      </c>
      <c r="S705">
        <f t="shared" si="997"/>
        <v>-1247.1227905814965</v>
      </c>
      <c r="T705">
        <f t="shared" si="998"/>
        <v>-1.2471227905814966</v>
      </c>
    </row>
    <row r="706" spans="1:20" x14ac:dyDescent="0.25">
      <c r="A706" s="5">
        <v>43887</v>
      </c>
      <c r="B706">
        <v>4.8919999999999998E-2</v>
      </c>
      <c r="C706">
        <v>4.913E-2</v>
      </c>
      <c r="D706">
        <v>3.6319999999999998E-2</v>
      </c>
      <c r="E706">
        <v>4.36E-2</v>
      </c>
      <c r="F706">
        <v>8090498.5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0.13661202185792359</v>
      </c>
      <c r="Q706">
        <f t="shared" si="995"/>
        <v>1105259.3579234981</v>
      </c>
      <c r="R706">
        <f t="shared" si="996"/>
        <v>-127818249.36582838</v>
      </c>
      <c r="S706">
        <f t="shared" si="997"/>
        <v>-1278.1824936582839</v>
      </c>
      <c r="T706">
        <f t="shared" si="998"/>
        <v>-1.278182493658284</v>
      </c>
    </row>
    <row r="707" spans="1:20" x14ac:dyDescent="0.25">
      <c r="A707" s="5">
        <v>43886</v>
      </c>
      <c r="B707">
        <v>5.4679999999999999E-2</v>
      </c>
      <c r="C707">
        <v>5.6950000000000001E-2</v>
      </c>
      <c r="D707">
        <v>4.8370000000000003E-2</v>
      </c>
      <c r="E707">
        <v>4.9160000000000002E-2</v>
      </c>
      <c r="F707">
        <v>7231734.7000000002</v>
      </c>
      <c r="G707">
        <v>0</v>
      </c>
      <c r="L707" t="s">
        <v>7</v>
      </c>
      <c r="M707" t="s">
        <v>7</v>
      </c>
      <c r="N707" t="s">
        <v>7</v>
      </c>
      <c r="P707">
        <f t="shared" si="994"/>
        <v>-0.81585081585081598</v>
      </c>
      <c r="Q707">
        <f t="shared" si="995"/>
        <v>-5900016.6550116558</v>
      </c>
      <c r="R707">
        <f t="shared" si="996"/>
        <v>-128923508.72375187</v>
      </c>
      <c r="S707">
        <f t="shared" si="997"/>
        <v>-1289.2350872375187</v>
      </c>
      <c r="T707">
        <f t="shared" si="998"/>
        <v>-1.2892350872375187</v>
      </c>
    </row>
    <row r="708" spans="1:20" x14ac:dyDescent="0.25">
      <c r="A708" s="5">
        <v>43885</v>
      </c>
      <c r="B708">
        <v>6.3659999999999994E-2</v>
      </c>
      <c r="C708">
        <v>6.3829999999999998E-2</v>
      </c>
      <c r="D708">
        <v>5.3929999999999999E-2</v>
      </c>
      <c r="E708">
        <v>5.5039999999999999E-2</v>
      </c>
      <c r="F708">
        <v>8316003.7000000002</v>
      </c>
      <c r="G708">
        <v>0</v>
      </c>
      <c r="L708" t="s">
        <v>7</v>
      </c>
      <c r="M708" t="s">
        <v>7</v>
      </c>
      <c r="N708" t="s">
        <v>7</v>
      </c>
      <c r="P708">
        <f t="shared" si="994"/>
        <v>-0.77575757575757576</v>
      </c>
      <c r="Q708">
        <f t="shared" si="995"/>
        <v>-6451202.8703030301</v>
      </c>
      <c r="R708">
        <f t="shared" si="996"/>
        <v>-123023492.06874022</v>
      </c>
      <c r="S708">
        <f t="shared" si="997"/>
        <v>-1230.2349206874021</v>
      </c>
      <c r="T708">
        <f t="shared" si="998"/>
        <v>-1.2302349206874021</v>
      </c>
    </row>
    <row r="709" spans="1:20" x14ac:dyDescent="0.25">
      <c r="A709" s="5">
        <v>43884</v>
      </c>
      <c r="B709">
        <v>6.2859999999999999E-2</v>
      </c>
      <c r="C709">
        <v>6.5640000000000004E-2</v>
      </c>
      <c r="D709">
        <v>6.2170000000000003E-2</v>
      </c>
      <c r="E709">
        <v>6.3659999999999994E-2</v>
      </c>
      <c r="F709">
        <v>2256973.7999999998</v>
      </c>
      <c r="G709">
        <v>0</v>
      </c>
      <c r="L709" t="s">
        <v>7</v>
      </c>
      <c r="M709" t="s">
        <v>7</v>
      </c>
      <c r="N709" t="s">
        <v>7</v>
      </c>
      <c r="P709">
        <f t="shared" si="994"/>
        <v>-0.14121037463977465</v>
      </c>
      <c r="Q709">
        <f t="shared" si="995"/>
        <v>-318708.11585015582</v>
      </c>
      <c r="R709">
        <f t="shared" si="996"/>
        <v>-116572289.19843718</v>
      </c>
      <c r="S709">
        <f t="shared" si="997"/>
        <v>-1165.7228919843719</v>
      </c>
      <c r="T709">
        <f t="shared" si="998"/>
        <v>-1.1657228919843718</v>
      </c>
    </row>
    <row r="710" spans="1:20" x14ac:dyDescent="0.25">
      <c r="A710" s="5">
        <v>43883</v>
      </c>
      <c r="B710">
        <v>6.4199999999999993E-2</v>
      </c>
      <c r="C710">
        <v>6.6570000000000004E-2</v>
      </c>
      <c r="D710">
        <v>6.1530000000000001E-2</v>
      </c>
      <c r="E710">
        <v>6.2890000000000001E-2</v>
      </c>
      <c r="F710">
        <v>3288151.8</v>
      </c>
      <c r="G710">
        <v>0</v>
      </c>
      <c r="L710" t="s">
        <v>7</v>
      </c>
      <c r="M710" t="s">
        <v>7</v>
      </c>
      <c r="N710" t="s">
        <v>7</v>
      </c>
      <c r="P710">
        <f t="shared" ref="P710:P766" si="999">IF(C710=D710,0,((E710-D710)-(C710-E710))/(C710-D710))</f>
        <v>-0.46031746031746057</v>
      </c>
      <c r="Q710">
        <f t="shared" ref="Q710:Q766" si="1000">F710*P710</f>
        <v>-1513593.6857142865</v>
      </c>
      <c r="R710">
        <f t="shared" ref="R710:R766" si="1001">R711+Q710</f>
        <v>-116253581.08258703</v>
      </c>
      <c r="S710">
        <f t="shared" ref="S710:S766" si="1002">R710/100000</f>
        <v>-1162.5358108258704</v>
      </c>
      <c r="T710">
        <f t="shared" ref="T710:T766" si="1003">S710/1000</f>
        <v>-1.1625358108258703</v>
      </c>
    </row>
    <row r="711" spans="1:20" x14ac:dyDescent="0.25">
      <c r="A711" s="5">
        <v>43882</v>
      </c>
      <c r="B711">
        <v>6.1289999999999997E-2</v>
      </c>
      <c r="C711">
        <v>6.8000000000000005E-2</v>
      </c>
      <c r="D711">
        <v>6.0850000000000001E-2</v>
      </c>
      <c r="E711">
        <v>6.4589999999999995E-2</v>
      </c>
      <c r="F711">
        <v>5472531.2000000002</v>
      </c>
      <c r="G711">
        <v>0</v>
      </c>
      <c r="L711" t="s">
        <v>8</v>
      </c>
      <c r="M711" t="s">
        <v>7</v>
      </c>
      <c r="N711" t="s">
        <v>7</v>
      </c>
      <c r="P711">
        <f t="shared" si="999"/>
        <v>4.6153846153843762E-2</v>
      </c>
      <c r="Q711">
        <f t="shared" si="1000"/>
        <v>252578.36307691</v>
      </c>
      <c r="R711">
        <f t="shared" si="1001"/>
        <v>-114739987.39687274</v>
      </c>
      <c r="S711">
        <f t="shared" si="1002"/>
        <v>-1147.3998739687274</v>
      </c>
      <c r="T711">
        <f t="shared" si="1003"/>
        <v>-1.1473998739687274</v>
      </c>
    </row>
    <row r="712" spans="1:20" x14ac:dyDescent="0.25">
      <c r="A712" s="5">
        <v>43881</v>
      </c>
      <c r="B712">
        <v>5.8740000000000001E-2</v>
      </c>
      <c r="C712">
        <v>6.8199999999999997E-2</v>
      </c>
      <c r="D712">
        <v>5.8299999999999998E-2</v>
      </c>
      <c r="E712">
        <v>6.1350000000000002E-2</v>
      </c>
      <c r="F712">
        <v>7816391.0999999996</v>
      </c>
      <c r="G712">
        <v>0</v>
      </c>
      <c r="L712" t="s">
        <v>7</v>
      </c>
      <c r="M712" t="s">
        <v>7</v>
      </c>
      <c r="N712" t="s">
        <v>7</v>
      </c>
      <c r="P712">
        <f t="shared" si="999"/>
        <v>-0.38383838383838298</v>
      </c>
      <c r="Q712">
        <f t="shared" si="1000"/>
        <v>-3000230.9272727203</v>
      </c>
      <c r="R712">
        <f t="shared" si="1001"/>
        <v>-114992565.75994965</v>
      </c>
      <c r="S712">
        <f t="shared" si="1002"/>
        <v>-1149.9256575994966</v>
      </c>
      <c r="T712">
        <f t="shared" si="1003"/>
        <v>-1.1499256575994967</v>
      </c>
    </row>
    <row r="713" spans="1:20" x14ac:dyDescent="0.25">
      <c r="A713" s="5">
        <v>43880</v>
      </c>
      <c r="B713">
        <v>6.3950000000000007E-2</v>
      </c>
      <c r="C713">
        <v>7.2349999999999998E-2</v>
      </c>
      <c r="D713">
        <v>5.8729999999999997E-2</v>
      </c>
      <c r="E713">
        <v>5.8729999999999997E-2</v>
      </c>
      <c r="F713">
        <v>10292540.1</v>
      </c>
      <c r="G713">
        <v>0</v>
      </c>
      <c r="L713" t="s">
        <v>8</v>
      </c>
      <c r="M713" t="s">
        <v>8</v>
      </c>
      <c r="N713" t="s">
        <v>7</v>
      </c>
      <c r="P713">
        <f t="shared" si="999"/>
        <v>-1</v>
      </c>
      <c r="Q713">
        <f t="shared" si="1000"/>
        <v>-10292540.1</v>
      </c>
      <c r="R713">
        <f t="shared" si="1001"/>
        <v>-111992334.83267693</v>
      </c>
      <c r="S713">
        <f t="shared" si="1002"/>
        <v>-1119.9233483267694</v>
      </c>
      <c r="T713">
        <f t="shared" si="1003"/>
        <v>-1.1199233483267694</v>
      </c>
    </row>
    <row r="714" spans="1:20" x14ac:dyDescent="0.25">
      <c r="A714" s="5">
        <v>43879</v>
      </c>
      <c r="B714">
        <v>6.2239999999999997E-2</v>
      </c>
      <c r="C714">
        <v>6.5460000000000004E-2</v>
      </c>
      <c r="D714">
        <v>5.9799999999999999E-2</v>
      </c>
      <c r="E714">
        <v>6.4380000000000007E-2</v>
      </c>
      <c r="F714">
        <v>4556142</v>
      </c>
      <c r="G714">
        <v>0</v>
      </c>
      <c r="L714" t="s">
        <v>8</v>
      </c>
      <c r="M714" t="s">
        <v>7</v>
      </c>
      <c r="N714" t="s">
        <v>7</v>
      </c>
      <c r="P714">
        <f t="shared" si="999"/>
        <v>0.6183745583038881</v>
      </c>
      <c r="Q714">
        <f t="shared" si="1000"/>
        <v>2817402.2968197935</v>
      </c>
      <c r="R714">
        <f t="shared" si="1001"/>
        <v>-101699794.73267694</v>
      </c>
      <c r="S714">
        <f t="shared" si="1002"/>
        <v>-1016.9979473267693</v>
      </c>
      <c r="T714">
        <f t="shared" si="1003"/>
        <v>-1.0169979473267694</v>
      </c>
    </row>
    <row r="715" spans="1:20" x14ac:dyDescent="0.25">
      <c r="A715" s="5">
        <v>43878</v>
      </c>
      <c r="B715">
        <v>6.411E-2</v>
      </c>
      <c r="C715">
        <v>6.5949999999999995E-2</v>
      </c>
      <c r="D715">
        <v>5.7369999999999997E-2</v>
      </c>
      <c r="E715">
        <v>6.1550000000000001E-2</v>
      </c>
      <c r="F715">
        <v>11337957.4</v>
      </c>
      <c r="G715">
        <v>0</v>
      </c>
      <c r="L715" t="s">
        <v>7</v>
      </c>
      <c r="M715" t="s">
        <v>7</v>
      </c>
      <c r="N715" t="s">
        <v>7</v>
      </c>
      <c r="P715">
        <f t="shared" si="999"/>
        <v>-2.5641025641024603E-2</v>
      </c>
      <c r="Q715">
        <f t="shared" si="1000"/>
        <v>-290716.85641024465</v>
      </c>
      <c r="R715">
        <f t="shared" si="1001"/>
        <v>-104517197.02949673</v>
      </c>
      <c r="S715">
        <f t="shared" si="1002"/>
        <v>-1045.1719702949672</v>
      </c>
      <c r="T715">
        <f t="shared" si="1003"/>
        <v>-1.0451719702949671</v>
      </c>
    </row>
    <row r="716" spans="1:20" x14ac:dyDescent="0.25">
      <c r="A716" s="5">
        <v>43877</v>
      </c>
      <c r="B716">
        <v>7.2770000000000001E-2</v>
      </c>
      <c r="C716">
        <v>7.4870000000000006E-2</v>
      </c>
      <c r="D716">
        <v>6.003E-2</v>
      </c>
      <c r="E716">
        <v>6.4210000000000003E-2</v>
      </c>
      <c r="F716">
        <v>12829322.9</v>
      </c>
      <c r="G716">
        <v>0</v>
      </c>
      <c r="L716" t="s">
        <v>7</v>
      </c>
      <c r="M716" t="s">
        <v>7</v>
      </c>
      <c r="N716" t="s">
        <v>7</v>
      </c>
      <c r="P716">
        <f t="shared" si="999"/>
        <v>-0.43665768194070059</v>
      </c>
      <c r="Q716">
        <f t="shared" si="1000"/>
        <v>-5602022.3983827466</v>
      </c>
      <c r="R716">
        <f t="shared" si="1001"/>
        <v>-104226480.17308648</v>
      </c>
      <c r="S716">
        <f t="shared" si="1002"/>
        <v>-1042.2648017308647</v>
      </c>
      <c r="T716">
        <f t="shared" si="1003"/>
        <v>-1.0422648017308647</v>
      </c>
    </row>
    <row r="717" spans="1:20" x14ac:dyDescent="0.25">
      <c r="A717" s="5">
        <v>43876</v>
      </c>
      <c r="B717">
        <v>7.739E-2</v>
      </c>
      <c r="C717">
        <v>8.3890000000000006E-2</v>
      </c>
      <c r="D717">
        <v>7.1999999999999995E-2</v>
      </c>
      <c r="E717">
        <v>7.2770000000000001E-2</v>
      </c>
      <c r="F717">
        <v>18988866.699999999</v>
      </c>
      <c r="G717">
        <v>0</v>
      </c>
      <c r="L717" t="s">
        <v>8</v>
      </c>
      <c r="M717" t="s">
        <v>7</v>
      </c>
      <c r="N717" t="s">
        <v>7</v>
      </c>
      <c r="P717">
        <f t="shared" si="999"/>
        <v>-0.87047939444911593</v>
      </c>
      <c r="Q717">
        <f t="shared" si="1000"/>
        <v>-16529417.186290981</v>
      </c>
      <c r="R717">
        <f t="shared" si="1001"/>
        <v>-98624457.774703726</v>
      </c>
      <c r="S717">
        <f t="shared" si="1002"/>
        <v>-986.24457774703728</v>
      </c>
      <c r="T717">
        <f t="shared" si="1003"/>
        <v>-0.98624457774703733</v>
      </c>
    </row>
    <row r="718" spans="1:20" x14ac:dyDescent="0.25">
      <c r="A718" s="5">
        <v>43875</v>
      </c>
      <c r="B718">
        <v>7.4730000000000005E-2</v>
      </c>
      <c r="C718">
        <v>8.1490000000000007E-2</v>
      </c>
      <c r="D718">
        <v>7.4349999999999999E-2</v>
      </c>
      <c r="E718">
        <v>7.6999999999999999E-2</v>
      </c>
      <c r="F718">
        <v>10605188.300000001</v>
      </c>
      <c r="G718">
        <v>0</v>
      </c>
      <c r="L718" t="s">
        <v>8</v>
      </c>
      <c r="M718" t="s">
        <v>7</v>
      </c>
      <c r="N718" t="s">
        <v>7</v>
      </c>
      <c r="P718">
        <f t="shared" si="999"/>
        <v>-0.25770308123249391</v>
      </c>
      <c r="Q718">
        <f t="shared" si="1000"/>
        <v>-2732989.7019607942</v>
      </c>
      <c r="R718">
        <f t="shared" si="1001"/>
        <v>-82095040.588412747</v>
      </c>
      <c r="S718">
        <f t="shared" si="1002"/>
        <v>-820.95040588412746</v>
      </c>
      <c r="T718">
        <f t="shared" si="1003"/>
        <v>-0.82095040588412749</v>
      </c>
    </row>
    <row r="719" spans="1:20" x14ac:dyDescent="0.25">
      <c r="A719" s="5">
        <v>43874</v>
      </c>
      <c r="B719">
        <v>8.1559999999999994E-2</v>
      </c>
      <c r="C719">
        <v>8.591E-2</v>
      </c>
      <c r="D719">
        <v>7.3499999999999996E-2</v>
      </c>
      <c r="E719">
        <v>7.4859999999999996E-2</v>
      </c>
      <c r="F719">
        <v>20521740.699999999</v>
      </c>
      <c r="G719">
        <v>0</v>
      </c>
      <c r="L719" t="s">
        <v>7</v>
      </c>
      <c r="M719" t="s">
        <v>7</v>
      </c>
      <c r="N719" t="s">
        <v>7</v>
      </c>
      <c r="P719">
        <f t="shared" si="999"/>
        <v>-0.78082191780821919</v>
      </c>
      <c r="Q719">
        <f t="shared" si="1000"/>
        <v>-16023824.930136986</v>
      </c>
      <c r="R719">
        <f t="shared" si="1001"/>
        <v>-79362050.88645196</v>
      </c>
      <c r="S719">
        <f t="shared" si="1002"/>
        <v>-793.62050886451959</v>
      </c>
      <c r="T719">
        <f t="shared" si="1003"/>
        <v>-0.79362050886451962</v>
      </c>
    </row>
    <row r="720" spans="1:20" x14ac:dyDescent="0.25">
      <c r="A720" s="5">
        <v>43873</v>
      </c>
      <c r="B720">
        <v>7.3410000000000003E-2</v>
      </c>
      <c r="C720">
        <v>8.9929999999999996E-2</v>
      </c>
      <c r="D720">
        <v>7.2499999999999995E-2</v>
      </c>
      <c r="E720">
        <v>8.1000000000000003E-2</v>
      </c>
      <c r="F720">
        <v>49099695.100000001</v>
      </c>
      <c r="G720">
        <v>0</v>
      </c>
      <c r="L720" t="s">
        <v>8</v>
      </c>
      <c r="M720" t="s">
        <v>8</v>
      </c>
      <c r="N720" t="s">
        <v>7</v>
      </c>
      <c r="P720">
        <f t="shared" si="999"/>
        <v>-2.4670109007457596E-2</v>
      </c>
      <c r="Q720">
        <f t="shared" si="1000"/>
        <v>-1211294.8303499317</v>
      </c>
      <c r="R720">
        <f t="shared" si="1001"/>
        <v>-63338225.956314966</v>
      </c>
      <c r="S720">
        <f t="shared" si="1002"/>
        <v>-633.38225956314966</v>
      </c>
      <c r="T720">
        <f t="shared" si="1003"/>
        <v>-0.63338225956314964</v>
      </c>
    </row>
    <row r="721" spans="1:20" x14ac:dyDescent="0.25">
      <c r="A721" s="5">
        <v>43872</v>
      </c>
      <c r="B721">
        <v>7.3599999999999999E-2</v>
      </c>
      <c r="C721">
        <v>7.9799999999999996E-2</v>
      </c>
      <c r="D721">
        <v>7.1999999999999995E-2</v>
      </c>
      <c r="E721">
        <v>7.3080000000000006E-2</v>
      </c>
      <c r="F721">
        <v>18511275.199999999</v>
      </c>
      <c r="G721">
        <v>0</v>
      </c>
      <c r="L721" t="s">
        <v>8</v>
      </c>
      <c r="M721" t="s">
        <v>7</v>
      </c>
      <c r="N721" t="s">
        <v>7</v>
      </c>
      <c r="P721">
        <f t="shared" si="999"/>
        <v>-0.72307692307692017</v>
      </c>
      <c r="Q721">
        <f t="shared" si="1000"/>
        <v>-13385075.9138461</v>
      </c>
      <c r="R721">
        <f t="shared" si="1001"/>
        <v>-62126931.125965036</v>
      </c>
      <c r="S721">
        <f t="shared" si="1002"/>
        <v>-621.26931125965041</v>
      </c>
      <c r="T721">
        <f t="shared" si="1003"/>
        <v>-0.62126931125965046</v>
      </c>
    </row>
    <row r="722" spans="1:20" x14ac:dyDescent="0.25">
      <c r="A722" s="5">
        <v>43871</v>
      </c>
      <c r="B722">
        <v>8.0149999999999999E-2</v>
      </c>
      <c r="C722">
        <v>8.5000000000000006E-2</v>
      </c>
      <c r="D722">
        <v>7.1529999999999996E-2</v>
      </c>
      <c r="E722">
        <v>7.3480000000000004E-2</v>
      </c>
      <c r="F722">
        <v>42712686.5</v>
      </c>
      <c r="G722">
        <v>0</v>
      </c>
      <c r="L722" t="s">
        <v>7</v>
      </c>
      <c r="M722" t="s">
        <v>7</v>
      </c>
      <c r="N722" t="s">
        <v>7</v>
      </c>
      <c r="P722">
        <f t="shared" si="999"/>
        <v>-0.71046770601336218</v>
      </c>
      <c r="Q722">
        <f t="shared" si="1000"/>
        <v>-30345984.395322904</v>
      </c>
      <c r="R722">
        <f t="shared" si="1001"/>
        <v>-48741855.212118939</v>
      </c>
      <c r="S722">
        <f t="shared" si="1002"/>
        <v>-487.41855212118941</v>
      </c>
      <c r="T722">
        <f t="shared" si="1003"/>
        <v>-0.4874185521211894</v>
      </c>
    </row>
    <row r="723" spans="1:20" x14ac:dyDescent="0.25">
      <c r="A723" s="5">
        <v>43870</v>
      </c>
      <c r="B723">
        <v>9.7110000000000002E-2</v>
      </c>
      <c r="C723">
        <v>9.7860000000000003E-2</v>
      </c>
      <c r="D723">
        <v>7.8E-2</v>
      </c>
      <c r="E723">
        <v>8.0149999999999999E-2</v>
      </c>
      <c r="F723">
        <v>44646902.299999997</v>
      </c>
      <c r="G723">
        <v>0</v>
      </c>
      <c r="L723" t="s">
        <v>7</v>
      </c>
      <c r="M723" t="s">
        <v>7</v>
      </c>
      <c r="N723" t="s">
        <v>7</v>
      </c>
      <c r="P723">
        <f t="shared" si="999"/>
        <v>-0.78348439073514609</v>
      </c>
      <c r="Q723">
        <f t="shared" si="1000"/>
        <v>-34980151.046727091</v>
      </c>
      <c r="R723">
        <f t="shared" si="1001"/>
        <v>-18395870.816796035</v>
      </c>
      <c r="S723">
        <f t="shared" si="1002"/>
        <v>-183.95870816796034</v>
      </c>
      <c r="T723">
        <f t="shared" si="1003"/>
        <v>-0.18395870816796034</v>
      </c>
    </row>
    <row r="724" spans="1:20" x14ac:dyDescent="0.25">
      <c r="A724" s="5">
        <v>43869</v>
      </c>
      <c r="B724">
        <v>0.12567</v>
      </c>
      <c r="C724">
        <v>0.12883</v>
      </c>
      <c r="D724">
        <v>9.5009999999999997E-2</v>
      </c>
      <c r="E724">
        <v>9.7110000000000002E-2</v>
      </c>
      <c r="F724">
        <v>78378848.400000006</v>
      </c>
      <c r="G724">
        <v>0</v>
      </c>
      <c r="L724" t="s">
        <v>7</v>
      </c>
      <c r="M724" t="s">
        <v>7</v>
      </c>
      <c r="N724" t="s">
        <v>7</v>
      </c>
      <c r="P724">
        <f t="shared" si="999"/>
        <v>-0.87581312832643377</v>
      </c>
      <c r="Q724">
        <f t="shared" si="1000"/>
        <v>-68645224.411827296</v>
      </c>
      <c r="R724">
        <f t="shared" si="1001"/>
        <v>16584280.229931056</v>
      </c>
      <c r="S724">
        <f t="shared" si="1002"/>
        <v>165.84280229931056</v>
      </c>
      <c r="T724">
        <f t="shared" si="1003"/>
        <v>0.16584280229931056</v>
      </c>
    </row>
    <row r="725" spans="1:20" x14ac:dyDescent="0.25">
      <c r="A725" s="5">
        <v>43868</v>
      </c>
      <c r="B725">
        <v>5.6439999999999997E-2</v>
      </c>
      <c r="C725">
        <v>0.15198999999999999</v>
      </c>
      <c r="D725">
        <v>5.6439999999999997E-2</v>
      </c>
      <c r="E725">
        <v>0.12679000000000001</v>
      </c>
      <c r="F725">
        <v>180369416.80000001</v>
      </c>
      <c r="G725">
        <v>0</v>
      </c>
      <c r="P725">
        <f t="shared" si="999"/>
        <v>0.47252747252747307</v>
      </c>
      <c r="Q725">
        <f t="shared" si="1000"/>
        <v>85229504.641758353</v>
      </c>
      <c r="R725">
        <f t="shared" si="1001"/>
        <v>85229504.641758353</v>
      </c>
      <c r="S725">
        <f t="shared" si="1002"/>
        <v>852.29504641758354</v>
      </c>
      <c r="T725">
        <f t="shared" si="1003"/>
        <v>0.85229504641758358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OF669" sqref="OF669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$A$668</v>
      </c>
      <c r="D111" s="1" t="str">
        <f>ADDRESS(C121-1,D121,1,1)</f>
        <v>$OF$668</v>
      </c>
      <c r="E111"/>
    </row>
    <row r="112" spans="1:5" x14ac:dyDescent="0.25">
      <c r="A112" s="7">
        <v>12164.144957890772</v>
      </c>
      <c r="C112" s="1" t="str">
        <f>ADDRESS(C121,1,1,1)</f>
        <v>$A$669</v>
      </c>
      <c r="D112" s="1" t="str">
        <f>ADDRESS(C121,D121-1,1,1)</f>
        <v>$OE$669</v>
      </c>
      <c r="E112"/>
    </row>
    <row r="113" spans="1:5" x14ac:dyDescent="0.25">
      <c r="A113" s="7">
        <v>11925.63231165762</v>
      </c>
      <c r="C113" s="1" t="str">
        <f>ADDRESS(C121+1,1,1,1)</f>
        <v>$A$670</v>
      </c>
      <c r="D113" s="1" t="str">
        <f>ADDRESS(C121-1,D121+1,1,1)</f>
        <v>$OG$668</v>
      </c>
    </row>
    <row r="114" spans="1:5" x14ac:dyDescent="0.25">
      <c r="A114" s="7">
        <v>11691.796383978059</v>
      </c>
      <c r="C114" s="1" t="str">
        <f>ADDRESS(C121,D121,1,1)</f>
        <v>$OF$669</v>
      </c>
      <c r="D114" s="1" t="str">
        <f>ADDRESS(C121+1,D121+1,1,1)</f>
        <v>$OG$670</v>
      </c>
    </row>
    <row r="115" spans="1:5" x14ac:dyDescent="0.25">
      <c r="A115" s="7">
        <v>11462.545474488292</v>
      </c>
      <c r="C115" s="1" t="str">
        <f>ADDRESS(C121+1,D121,1,1)</f>
        <v>$OF$670</v>
      </c>
    </row>
    <row r="116" spans="1:5" x14ac:dyDescent="0.25">
      <c r="A116" s="7">
        <v>11237.789680870874</v>
      </c>
      <c r="C116" s="1">
        <f>C117-1</f>
        <v>668</v>
      </c>
    </row>
    <row r="117" spans="1:5" x14ac:dyDescent="0.25">
      <c r="A117" s="7">
        <v>11017.440863598895</v>
      </c>
      <c r="C117" s="1">
        <f>C121</f>
        <v>669</v>
      </c>
      <c r="D117" s="1">
        <f>D121</f>
        <v>396</v>
      </c>
    </row>
    <row r="118" spans="1:5" x14ac:dyDescent="0.25">
      <c r="A118" s="7">
        <v>10801.412611371465</v>
      </c>
      <c r="C118" s="1">
        <f>C117+1</f>
        <v>670</v>
      </c>
      <c r="D118" s="1">
        <f>D117+1</f>
        <v>397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669</v>
      </c>
      <c r="D121" s="19">
        <v>396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R669</v>
      </c>
      <c r="D123" s="1" t="str">
        <f>"C"&amp;D121</f>
        <v>C396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0.19714506744199917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239" x14ac:dyDescent="0.25">
      <c r="A577" s="7">
        <v>1.2189944199947573</v>
      </c>
      <c r="B577"/>
      <c r="C577"/>
      <c r="D577"/>
      <c r="E577"/>
    </row>
    <row r="578" spans="1:239" x14ac:dyDescent="0.25">
      <c r="A578" s="7">
        <v>1.1950925686223111</v>
      </c>
      <c r="B578"/>
      <c r="C578"/>
      <c r="D578"/>
      <c r="E578"/>
    </row>
    <row r="579" spans="1:239" x14ac:dyDescent="0.25">
      <c r="A579" s="7">
        <v>1.1716593810022657</v>
      </c>
      <c r="B579"/>
      <c r="C579"/>
      <c r="D579"/>
      <c r="E579"/>
    </row>
    <row r="580" spans="1:239" x14ac:dyDescent="0.25">
      <c r="A580" s="7">
        <v>1.14868566764928</v>
      </c>
      <c r="B580"/>
      <c r="C580"/>
      <c r="D580"/>
      <c r="E580"/>
    </row>
    <row r="581" spans="1:239" x14ac:dyDescent="0.25">
      <c r="A581" s="7">
        <v>1.1261624192640001</v>
      </c>
      <c r="B581"/>
      <c r="C581"/>
      <c r="D581"/>
      <c r="E581"/>
    </row>
    <row r="582" spans="1:239" x14ac:dyDescent="0.25">
      <c r="A582" s="7">
        <v>1.1040808032</v>
      </c>
      <c r="B582"/>
      <c r="C582"/>
      <c r="D582"/>
      <c r="E582"/>
    </row>
    <row r="583" spans="1:239" x14ac:dyDescent="0.25">
      <c r="A583" s="7">
        <v>1.08243216</v>
      </c>
      <c r="B583"/>
      <c r="C583"/>
      <c r="D583"/>
      <c r="E583"/>
    </row>
    <row r="584" spans="1:239" x14ac:dyDescent="0.25">
      <c r="A584" s="7">
        <v>1.0612079999999999</v>
      </c>
      <c r="B584"/>
      <c r="C584"/>
      <c r="D584"/>
      <c r="E584"/>
    </row>
    <row r="585" spans="1:239" x14ac:dyDescent="0.25">
      <c r="A585" s="7">
        <v>1.0404</v>
      </c>
      <c r="B585"/>
      <c r="C585"/>
      <c r="D585"/>
      <c r="E585"/>
    </row>
    <row r="586" spans="1:239" x14ac:dyDescent="0.25">
      <c r="A586" s="7">
        <v>1.02</v>
      </c>
      <c r="B586"/>
      <c r="C586"/>
      <c r="D586"/>
      <c r="E586"/>
    </row>
    <row r="587" spans="1:239" x14ac:dyDescent="0.25">
      <c r="A587" s="7">
        <v>1</v>
      </c>
      <c r="B587"/>
      <c r="C587"/>
      <c r="D587"/>
      <c r="E587" s="29" t="s">
        <v>8</v>
      </c>
    </row>
    <row r="588" spans="1:239" x14ac:dyDescent="0.25">
      <c r="A588" s="7">
        <v>0.98039215686274506</v>
      </c>
      <c r="B588"/>
      <c r="C588"/>
      <c r="D588"/>
      <c r="E588"/>
      <c r="F588" s="27" t="s">
        <v>7</v>
      </c>
    </row>
    <row r="589" spans="1:239" x14ac:dyDescent="0.25">
      <c r="A589" s="7">
        <v>0.96116878123798544</v>
      </c>
      <c r="B589"/>
      <c r="C589"/>
      <c r="D589"/>
      <c r="E589"/>
      <c r="F589" s="27" t="s">
        <v>7</v>
      </c>
    </row>
    <row r="590" spans="1:239" x14ac:dyDescent="0.25">
      <c r="A590" s="7">
        <v>0.94232233454704462</v>
      </c>
      <c r="B590"/>
      <c r="C590"/>
      <c r="D590"/>
      <c r="E590"/>
      <c r="F590" s="27" t="s">
        <v>7</v>
      </c>
    </row>
    <row r="591" spans="1:239" x14ac:dyDescent="0.25">
      <c r="A591" s="7">
        <v>0.92384542602651432</v>
      </c>
      <c r="B591"/>
      <c r="C591"/>
      <c r="D591"/>
      <c r="E591"/>
      <c r="F591" s="27" t="s">
        <v>7</v>
      </c>
    </row>
    <row r="592" spans="1:239" x14ac:dyDescent="0.25">
      <c r="A592" s="7">
        <v>0.90573080982991594</v>
      </c>
      <c r="B592"/>
      <c r="C592"/>
      <c r="D592"/>
      <c r="E592"/>
      <c r="F592" s="27" t="s">
        <v>7</v>
      </c>
      <c r="IE592" s="27" t="s">
        <v>8</v>
      </c>
    </row>
    <row r="593" spans="1:362" x14ac:dyDescent="0.25">
      <c r="A593" s="7">
        <v>0.8879713821861922</v>
      </c>
      <c r="B593"/>
      <c r="C593"/>
      <c r="D593"/>
      <c r="E593"/>
      <c r="F593" s="27" t="s">
        <v>7</v>
      </c>
      <c r="IC593" s="27" t="s">
        <v>8</v>
      </c>
      <c r="IE593" s="27" t="s">
        <v>8</v>
      </c>
      <c r="IF593" s="27" t="s">
        <v>7</v>
      </c>
    </row>
    <row r="594" spans="1:362" x14ac:dyDescent="0.25">
      <c r="A594" s="7">
        <v>0.87056017861391399</v>
      </c>
      <c r="B594"/>
      <c r="C594"/>
      <c r="D594"/>
      <c r="E594"/>
      <c r="F594" s="27" t="s">
        <v>7</v>
      </c>
      <c r="IA594" s="27" t="s">
        <v>8</v>
      </c>
      <c r="IC594" s="27" t="s">
        <v>8</v>
      </c>
      <c r="ID594" s="27" t="s">
        <v>7</v>
      </c>
      <c r="IE594" s="27" t="s">
        <v>8</v>
      </c>
      <c r="IF594" s="27" t="s">
        <v>7</v>
      </c>
    </row>
    <row r="595" spans="1:362" x14ac:dyDescent="0.25">
      <c r="A595" s="7">
        <v>0.85349037119011173</v>
      </c>
      <c r="B595"/>
      <c r="C595"/>
      <c r="D595"/>
      <c r="E595"/>
      <c r="F595" s="27" t="s">
        <v>7</v>
      </c>
      <c r="IA595" s="27" t="s">
        <v>8</v>
      </c>
      <c r="IB595" s="27" t="s">
        <v>7</v>
      </c>
      <c r="IC595" s="27" t="s">
        <v>8</v>
      </c>
      <c r="ID595" s="27" t="s">
        <v>7</v>
      </c>
      <c r="IE595" s="27" t="s">
        <v>8</v>
      </c>
      <c r="IF595" s="27" t="s">
        <v>7</v>
      </c>
    </row>
    <row r="596" spans="1:362" x14ac:dyDescent="0.25">
      <c r="A596" s="7">
        <v>0.83675526587265858</v>
      </c>
      <c r="B596"/>
      <c r="C596"/>
      <c r="D596"/>
      <c r="E596"/>
      <c r="F596" s="27" t="s">
        <v>7</v>
      </c>
      <c r="HW596" s="27" t="s">
        <v>8</v>
      </c>
      <c r="IA596" s="27" t="s">
        <v>8</v>
      </c>
      <c r="IB596" s="27" t="s">
        <v>7</v>
      </c>
      <c r="IC596" s="27" t="s">
        <v>8</v>
      </c>
      <c r="ID596" s="27" t="s">
        <v>7</v>
      </c>
      <c r="IE596" s="27" t="s">
        <v>8</v>
      </c>
      <c r="IF596" s="27" t="s">
        <v>7</v>
      </c>
      <c r="IG596" s="27" t="s">
        <v>8</v>
      </c>
    </row>
    <row r="597" spans="1:362" x14ac:dyDescent="0.25">
      <c r="A597" s="7">
        <v>0.82034829987515545</v>
      </c>
      <c r="B597"/>
      <c r="C597"/>
      <c r="D597"/>
      <c r="E597"/>
      <c r="F597" s="27" t="s">
        <v>7</v>
      </c>
      <c r="HW597" s="27" t="s">
        <v>8</v>
      </c>
      <c r="HX597" s="27" t="s">
        <v>7</v>
      </c>
      <c r="IA597" s="27" t="s">
        <v>8</v>
      </c>
      <c r="IB597" s="27" t="s">
        <v>7</v>
      </c>
      <c r="IC597" s="27" t="s">
        <v>8</v>
      </c>
      <c r="ID597" s="27" t="s">
        <v>7</v>
      </c>
      <c r="IE597" s="27" t="s">
        <v>8</v>
      </c>
      <c r="IF597" s="27" t="s">
        <v>7</v>
      </c>
      <c r="IG597" s="27" t="s">
        <v>8</v>
      </c>
      <c r="IH597" s="27" t="s">
        <v>7</v>
      </c>
    </row>
    <row r="598" spans="1:362" x14ac:dyDescent="0.25">
      <c r="A598" s="7">
        <v>0.80426303909328967</v>
      </c>
      <c r="B598"/>
      <c r="C598"/>
      <c r="D598"/>
      <c r="E598"/>
      <c r="F598" s="27" t="s">
        <v>7</v>
      </c>
      <c r="HW598" s="27" t="s">
        <v>8</v>
      </c>
      <c r="HX598" s="27" t="s">
        <v>7</v>
      </c>
      <c r="IA598" s="27" t="s">
        <v>8</v>
      </c>
      <c r="IB598" s="27" t="s">
        <v>7</v>
      </c>
      <c r="IC598" s="27" t="s">
        <v>8</v>
      </c>
      <c r="ID598" s="27" t="s">
        <v>7</v>
      </c>
      <c r="IE598" s="27" t="s">
        <v>8</v>
      </c>
      <c r="IF598" s="27" t="s">
        <v>7</v>
      </c>
      <c r="IG598" s="27" t="s">
        <v>8</v>
      </c>
      <c r="IH598" s="27" t="s">
        <v>7</v>
      </c>
      <c r="MW598" s="27" t="s">
        <v>8</v>
      </c>
    </row>
    <row r="599" spans="1:362" x14ac:dyDescent="0.25">
      <c r="A599" s="7">
        <v>0.78849317558165644</v>
      </c>
      <c r="B599"/>
      <c r="C599"/>
      <c r="D599"/>
      <c r="E599"/>
      <c r="F599" s="27" t="s">
        <v>7</v>
      </c>
      <c r="HW599" s="27" t="s">
        <v>8</v>
      </c>
      <c r="HX599" s="27" t="s">
        <v>7</v>
      </c>
      <c r="IA599" s="27" t="s">
        <v>8</v>
      </c>
      <c r="IB599" s="27" t="s">
        <v>7</v>
      </c>
      <c r="IC599" s="27" t="s">
        <v>8</v>
      </c>
      <c r="ID599" s="27" t="s">
        <v>7</v>
      </c>
      <c r="IE599" s="27" t="s">
        <v>8</v>
      </c>
      <c r="IF599" s="27" t="s">
        <v>7</v>
      </c>
      <c r="IH599" s="27" t="s">
        <v>7</v>
      </c>
      <c r="MS599" s="27" t="s">
        <v>8</v>
      </c>
      <c r="MW599" s="27" t="s">
        <v>8</v>
      </c>
      <c r="MX599" s="27" t="s">
        <v>7</v>
      </c>
    </row>
    <row r="600" spans="1:362" x14ac:dyDescent="0.25">
      <c r="A600" s="7">
        <v>0.77303252508005538</v>
      </c>
      <c r="B600"/>
      <c r="C600"/>
      <c r="D600"/>
      <c r="E600"/>
      <c r="F600" s="27" t="s">
        <v>7</v>
      </c>
      <c r="HW600" s="27" t="s">
        <v>8</v>
      </c>
      <c r="HX600" s="27" t="s">
        <v>7</v>
      </c>
      <c r="IA600" s="27" t="s">
        <v>8</v>
      </c>
      <c r="IB600" s="27" t="s">
        <v>7</v>
      </c>
      <c r="IC600" s="27" t="s">
        <v>8</v>
      </c>
      <c r="ID600" s="27" t="s">
        <v>7</v>
      </c>
      <c r="IE600" s="27" t="s">
        <v>8</v>
      </c>
      <c r="IH600" s="27" t="s">
        <v>7</v>
      </c>
      <c r="IS600" s="27" t="s">
        <v>8</v>
      </c>
      <c r="MS600" s="27" t="s">
        <v>8</v>
      </c>
      <c r="MT600" s="27" t="s">
        <v>7</v>
      </c>
      <c r="MW600" s="27" t="s">
        <v>8</v>
      </c>
      <c r="MX600" s="27" t="s">
        <v>7</v>
      </c>
    </row>
    <row r="601" spans="1:362" x14ac:dyDescent="0.25">
      <c r="A601" s="7">
        <v>0.75787502458828959</v>
      </c>
      <c r="B601"/>
      <c r="C601"/>
      <c r="D601"/>
      <c r="E601"/>
      <c r="F601" s="27" t="s">
        <v>7</v>
      </c>
      <c r="HW601" s="27" t="s">
        <v>8</v>
      </c>
      <c r="HX601" s="27" t="s">
        <v>7</v>
      </c>
      <c r="IA601" s="27" t="s">
        <v>8</v>
      </c>
      <c r="IB601" s="27" t="s">
        <v>7</v>
      </c>
      <c r="ID601" s="27" t="s">
        <v>7</v>
      </c>
      <c r="IE601" s="27" t="s">
        <v>8</v>
      </c>
      <c r="IH601" s="27" t="s">
        <v>7</v>
      </c>
      <c r="IS601" s="27" t="s">
        <v>8</v>
      </c>
      <c r="IT601" s="27" t="s">
        <v>7</v>
      </c>
      <c r="MS601" s="27" t="s">
        <v>8</v>
      </c>
      <c r="MT601" s="27" t="s">
        <v>7</v>
      </c>
      <c r="MW601" s="27" t="s">
        <v>8</v>
      </c>
      <c r="MX601" s="27" t="s">
        <v>7</v>
      </c>
    </row>
    <row r="602" spans="1:362" x14ac:dyDescent="0.25">
      <c r="A602" s="7">
        <v>0.74301472998851925</v>
      </c>
      <c r="B602"/>
      <c r="C602"/>
      <c r="D602"/>
      <c r="E602"/>
      <c r="F602" s="27" t="s">
        <v>7</v>
      </c>
      <c r="HW602" s="27" t="s">
        <v>8</v>
      </c>
      <c r="HX602" s="27" t="s">
        <v>7</v>
      </c>
      <c r="HY602" s="27" t="s">
        <v>8</v>
      </c>
      <c r="IA602" s="27" t="s">
        <v>8</v>
      </c>
      <c r="ID602" s="27" t="s">
        <v>7</v>
      </c>
      <c r="IH602" s="27" t="s">
        <v>7</v>
      </c>
      <c r="II602" s="27" t="s">
        <v>8</v>
      </c>
      <c r="IK602" s="27" t="s">
        <v>8</v>
      </c>
      <c r="IS602" s="27" t="s">
        <v>8</v>
      </c>
      <c r="IT602" s="27" t="s">
        <v>7</v>
      </c>
      <c r="MS602" s="27" t="s">
        <v>8</v>
      </c>
      <c r="MT602" s="27" t="s">
        <v>7</v>
      </c>
      <c r="MW602" s="27" t="s">
        <v>8</v>
      </c>
      <c r="MX602" s="27" t="s">
        <v>7</v>
      </c>
    </row>
    <row r="603" spans="1:362" x14ac:dyDescent="0.25">
      <c r="A603" s="7">
        <v>0.72844581371423456</v>
      </c>
      <c r="B603"/>
      <c r="C603"/>
      <c r="D603"/>
      <c r="E603"/>
      <c r="F603" s="27" t="s">
        <v>7</v>
      </c>
      <c r="HW603" s="27" t="s">
        <v>8</v>
      </c>
      <c r="HX603" s="27" t="s">
        <v>7</v>
      </c>
      <c r="HY603" s="27" t="s">
        <v>8</v>
      </c>
      <c r="HZ603" s="27" t="s">
        <v>7</v>
      </c>
      <c r="IA603" s="27" t="s">
        <v>8</v>
      </c>
      <c r="IH603" s="27" t="s">
        <v>7</v>
      </c>
      <c r="II603" s="27" t="s">
        <v>8</v>
      </c>
      <c r="IJ603" s="27" t="s">
        <v>7</v>
      </c>
      <c r="IK603" s="27" t="s">
        <v>8</v>
      </c>
      <c r="IL603" s="27" t="s">
        <v>7</v>
      </c>
      <c r="IS603" s="27" t="s">
        <v>8</v>
      </c>
      <c r="IT603" s="27" t="s">
        <v>7</v>
      </c>
      <c r="MS603" s="27" t="s">
        <v>8</v>
      </c>
      <c r="MT603" s="27" t="s">
        <v>7</v>
      </c>
      <c r="MW603" s="27" t="s">
        <v>8</v>
      </c>
      <c r="MX603" s="27" t="s">
        <v>7</v>
      </c>
    </row>
    <row r="604" spans="1:362" x14ac:dyDescent="0.25">
      <c r="A604" s="7">
        <v>0.71416256246493581</v>
      </c>
      <c r="B604"/>
      <c r="C604"/>
      <c r="D604"/>
      <c r="E604"/>
      <c r="F604" s="27" t="s">
        <v>7</v>
      </c>
      <c r="HW604" s="27" t="s">
        <v>8</v>
      </c>
      <c r="HX604" s="27" t="s">
        <v>7</v>
      </c>
      <c r="HY604" s="27" t="s">
        <v>8</v>
      </c>
      <c r="HZ604" s="27" t="s">
        <v>7</v>
      </c>
      <c r="IA604" s="27" t="s">
        <v>8</v>
      </c>
      <c r="IH604" s="27" t="s">
        <v>7</v>
      </c>
      <c r="II604" s="27" t="s">
        <v>8</v>
      </c>
      <c r="IJ604" s="27" t="s">
        <v>7</v>
      </c>
      <c r="IK604" s="27" t="s">
        <v>8</v>
      </c>
      <c r="IL604" s="27" t="s">
        <v>7</v>
      </c>
      <c r="IS604" s="27" t="s">
        <v>8</v>
      </c>
      <c r="IT604" s="27" t="s">
        <v>7</v>
      </c>
      <c r="MS604" s="27" t="s">
        <v>8</v>
      </c>
      <c r="MT604" s="27" t="s">
        <v>7</v>
      </c>
      <c r="MW604" s="27" t="s">
        <v>8</v>
      </c>
      <c r="MX604" s="27" t="s">
        <v>7</v>
      </c>
    </row>
    <row r="605" spans="1:362" x14ac:dyDescent="0.25">
      <c r="A605" s="7">
        <v>0.7001593749656233</v>
      </c>
      <c r="B605"/>
      <c r="C605"/>
      <c r="D605"/>
      <c r="E605"/>
      <c r="F605" s="27" t="s">
        <v>7</v>
      </c>
      <c r="HW605" s="27" t="s">
        <v>8</v>
      </c>
      <c r="HX605" s="27" t="s">
        <v>7</v>
      </c>
      <c r="HY605" s="27" t="s">
        <v>8</v>
      </c>
      <c r="HZ605" s="27" t="s">
        <v>7</v>
      </c>
      <c r="IA605" s="27" t="s">
        <v>8</v>
      </c>
      <c r="IH605" s="27" t="s">
        <v>7</v>
      </c>
      <c r="II605" s="27" t="s">
        <v>8</v>
      </c>
      <c r="IJ605" s="27" t="s">
        <v>7</v>
      </c>
      <c r="IK605" s="27" t="s">
        <v>8</v>
      </c>
      <c r="IL605" s="27" t="s">
        <v>7</v>
      </c>
      <c r="IS605" s="27" t="s">
        <v>8</v>
      </c>
      <c r="IT605" s="27" t="s">
        <v>7</v>
      </c>
      <c r="MS605" s="27" t="s">
        <v>8</v>
      </c>
      <c r="MT605" s="27" t="s">
        <v>7</v>
      </c>
      <c r="MW605" s="27" t="s">
        <v>8</v>
      </c>
      <c r="MX605" s="27" t="s">
        <v>7</v>
      </c>
    </row>
    <row r="606" spans="1:362" x14ac:dyDescent="0.25">
      <c r="A606" s="7">
        <v>0.68643075977021883</v>
      </c>
      <c r="B606"/>
      <c r="C606"/>
      <c r="D606"/>
      <c r="E606"/>
      <c r="F606" s="27" t="s">
        <v>7</v>
      </c>
      <c r="HW606" s="27" t="s">
        <v>8</v>
      </c>
      <c r="HX606" s="27" t="s">
        <v>7</v>
      </c>
      <c r="HY606" s="27" t="s">
        <v>8</v>
      </c>
      <c r="HZ606" s="27" t="s">
        <v>7</v>
      </c>
      <c r="IA606" s="27" t="s">
        <v>8</v>
      </c>
      <c r="IH606" s="27" t="s">
        <v>7</v>
      </c>
      <c r="II606" s="27" t="s">
        <v>8</v>
      </c>
      <c r="IJ606" s="27" t="s">
        <v>7</v>
      </c>
      <c r="IK606" s="27" t="s">
        <v>8</v>
      </c>
      <c r="IL606" s="27" t="s">
        <v>7</v>
      </c>
      <c r="IS606" s="27" t="s">
        <v>8</v>
      </c>
      <c r="IT606" s="27" t="s">
        <v>7</v>
      </c>
      <c r="MS606" s="27" t="s">
        <v>8</v>
      </c>
      <c r="MT606" s="27" t="s">
        <v>7</v>
      </c>
      <c r="MW606" s="27" t="s">
        <v>8</v>
      </c>
      <c r="MX606" s="27" t="s">
        <v>7</v>
      </c>
    </row>
    <row r="607" spans="1:362" x14ac:dyDescent="0.25">
      <c r="A607" s="7">
        <v>0.67297133310805768</v>
      </c>
      <c r="B607"/>
      <c r="C607"/>
      <c r="D607"/>
      <c r="E607"/>
      <c r="F607" s="27" t="s">
        <v>7</v>
      </c>
      <c r="HW607" s="27" t="s">
        <v>8</v>
      </c>
      <c r="HX607" s="27" t="s">
        <v>7</v>
      </c>
      <c r="HY607" s="27" t="s">
        <v>8</v>
      </c>
      <c r="HZ607" s="27" t="s">
        <v>7</v>
      </c>
      <c r="IH607" s="27" t="s">
        <v>7</v>
      </c>
      <c r="II607" s="27" t="s">
        <v>8</v>
      </c>
      <c r="IJ607" s="27" t="s">
        <v>7</v>
      </c>
      <c r="IK607" s="27" t="s">
        <v>8</v>
      </c>
      <c r="IL607" s="27" t="s">
        <v>7</v>
      </c>
      <c r="IS607" s="27" t="s">
        <v>8</v>
      </c>
      <c r="IT607" s="27" t="s">
        <v>7</v>
      </c>
      <c r="MS607" s="27" t="s">
        <v>8</v>
      </c>
      <c r="MT607" s="27" t="s">
        <v>7</v>
      </c>
      <c r="MW607" s="27" t="s">
        <v>8</v>
      </c>
      <c r="MX607" s="27" t="s">
        <v>7</v>
      </c>
    </row>
    <row r="608" spans="1:362" x14ac:dyDescent="0.25">
      <c r="A608" s="7">
        <v>0.65977581677260566</v>
      </c>
      <c r="B608"/>
      <c r="C608"/>
      <c r="D608"/>
      <c r="E608"/>
      <c r="F608" s="27" t="s">
        <v>7</v>
      </c>
      <c r="HW608" s="27" t="s">
        <v>8</v>
      </c>
      <c r="HX608" s="27" t="s">
        <v>7</v>
      </c>
      <c r="HY608" s="27" t="s">
        <v>8</v>
      </c>
      <c r="IH608" s="27" t="s">
        <v>7</v>
      </c>
      <c r="IJ608" s="27" t="s">
        <v>7</v>
      </c>
      <c r="IL608" s="27" t="s">
        <v>7</v>
      </c>
      <c r="IS608" s="27" t="s">
        <v>8</v>
      </c>
      <c r="IT608" s="27" t="s">
        <v>7</v>
      </c>
      <c r="MS608" s="27" t="s">
        <v>8</v>
      </c>
      <c r="MT608" s="27" t="s">
        <v>7</v>
      </c>
      <c r="MU608" s="27" t="s">
        <v>8</v>
      </c>
      <c r="MW608" s="27" t="s">
        <v>8</v>
      </c>
      <c r="MX608" s="27" t="s">
        <v>7</v>
      </c>
    </row>
    <row r="609" spans="1:370" x14ac:dyDescent="0.25">
      <c r="A609" s="7">
        <v>0.64683903605157422</v>
      </c>
      <c r="B609"/>
      <c r="C609"/>
      <c r="D609"/>
      <c r="E609"/>
      <c r="F609" s="27" t="s">
        <v>7</v>
      </c>
      <c r="HW609" s="27" t="s">
        <v>8</v>
      </c>
      <c r="HX609" s="27" t="s">
        <v>7</v>
      </c>
      <c r="HY609" s="27" t="s">
        <v>8</v>
      </c>
      <c r="IL609" s="27" t="s">
        <v>7</v>
      </c>
      <c r="IM609" s="27" t="s">
        <v>8</v>
      </c>
      <c r="IS609" s="27" t="s">
        <v>8</v>
      </c>
      <c r="IT609" s="27" t="s">
        <v>7</v>
      </c>
      <c r="MS609" s="27" t="s">
        <v>8</v>
      </c>
      <c r="MT609" s="27" t="s">
        <v>7</v>
      </c>
      <c r="MU609" s="27" t="s">
        <v>8</v>
      </c>
      <c r="MV609" s="27" t="s">
        <v>7</v>
      </c>
      <c r="MW609" s="27" t="s">
        <v>8</v>
      </c>
      <c r="MX609" s="27" t="s">
        <v>7</v>
      </c>
    </row>
    <row r="610" spans="1:370" x14ac:dyDescent="0.25">
      <c r="A610" s="7">
        <v>0.63415591769762181</v>
      </c>
      <c r="B610"/>
      <c r="C610"/>
      <c r="D610"/>
      <c r="E610"/>
      <c r="F610" s="27" t="s">
        <v>7</v>
      </c>
      <c r="HM610" s="27" t="s">
        <v>8</v>
      </c>
      <c r="HU610" s="27" t="s">
        <v>8</v>
      </c>
      <c r="HW610" s="27" t="s">
        <v>8</v>
      </c>
      <c r="HX610" s="27" t="s">
        <v>7</v>
      </c>
      <c r="HY610" s="27" t="s">
        <v>8</v>
      </c>
      <c r="IL610" s="27" t="s">
        <v>7</v>
      </c>
      <c r="IM610" s="27" t="s">
        <v>8</v>
      </c>
      <c r="IN610" s="27" t="s">
        <v>7</v>
      </c>
      <c r="IS610" s="27" t="s">
        <v>8</v>
      </c>
      <c r="IT610" s="27" t="s">
        <v>7</v>
      </c>
      <c r="IU610" s="27" t="s">
        <v>8</v>
      </c>
      <c r="MS610" s="27" t="s">
        <v>8</v>
      </c>
      <c r="MT610" s="27" t="s">
        <v>7</v>
      </c>
      <c r="MU610" s="27" t="s">
        <v>8</v>
      </c>
      <c r="MV610" s="27" t="s">
        <v>7</v>
      </c>
      <c r="MW610" s="27" t="s">
        <v>8</v>
      </c>
      <c r="MX610" s="27" t="s">
        <v>7</v>
      </c>
    </row>
    <row r="611" spans="1:370" x14ac:dyDescent="0.25">
      <c r="A611" s="7">
        <v>0.62172148793884496</v>
      </c>
      <c r="B611"/>
      <c r="C611"/>
      <c r="D611"/>
      <c r="E611"/>
      <c r="F611" s="27" t="s">
        <v>7</v>
      </c>
      <c r="HM611" s="27" t="s">
        <v>8</v>
      </c>
      <c r="HN611" s="27" t="s">
        <v>7</v>
      </c>
      <c r="HU611" s="27" t="s">
        <v>8</v>
      </c>
      <c r="HV611" s="27" t="s">
        <v>7</v>
      </c>
      <c r="HW611" s="27" t="s">
        <v>8</v>
      </c>
      <c r="HX611" s="27" t="s">
        <v>7</v>
      </c>
      <c r="HY611" s="27" t="s">
        <v>8</v>
      </c>
      <c r="IL611" s="27" t="s">
        <v>7</v>
      </c>
      <c r="IM611" s="27" t="s">
        <v>8</v>
      </c>
      <c r="IN611" s="27" t="s">
        <v>7</v>
      </c>
      <c r="IS611" s="27" t="s">
        <v>8</v>
      </c>
      <c r="IT611" s="27" t="s">
        <v>7</v>
      </c>
      <c r="IU611" s="27" t="s">
        <v>8</v>
      </c>
      <c r="IV611" s="27" t="s">
        <v>7</v>
      </c>
      <c r="MS611" s="27" t="s">
        <v>8</v>
      </c>
      <c r="MT611" s="27" t="s">
        <v>7</v>
      </c>
      <c r="MU611" s="27" t="s">
        <v>8</v>
      </c>
      <c r="MV611" s="27" t="s">
        <v>7</v>
      </c>
      <c r="MW611" s="27" t="s">
        <v>8</v>
      </c>
      <c r="MX611" s="27" t="s">
        <v>7</v>
      </c>
      <c r="MY611" s="27" t="s">
        <v>8</v>
      </c>
    </row>
    <row r="612" spans="1:370" x14ac:dyDescent="0.25">
      <c r="A612" s="7">
        <v>0.60953087052827937</v>
      </c>
      <c r="B612"/>
      <c r="C612"/>
      <c r="D612"/>
      <c r="E612"/>
      <c r="F612" s="27" t="s">
        <v>7</v>
      </c>
      <c r="HM612" s="27" t="s">
        <v>8</v>
      </c>
      <c r="HN612" s="27" t="s">
        <v>7</v>
      </c>
      <c r="HO612" s="27" t="s">
        <v>8</v>
      </c>
      <c r="HU612" s="27" t="s">
        <v>8</v>
      </c>
      <c r="HV612" s="27" t="s">
        <v>7</v>
      </c>
      <c r="HW612" s="27" t="s">
        <v>8</v>
      </c>
      <c r="HX612" s="27" t="s">
        <v>7</v>
      </c>
      <c r="HY612" s="27" t="s">
        <v>8</v>
      </c>
      <c r="IL612" s="27" t="s">
        <v>7</v>
      </c>
      <c r="IM612" s="27" t="s">
        <v>8</v>
      </c>
      <c r="IN612" s="27" t="s">
        <v>7</v>
      </c>
      <c r="IS612" s="27" t="s">
        <v>8</v>
      </c>
      <c r="IT612" s="27" t="s">
        <v>7</v>
      </c>
      <c r="IU612" s="27" t="s">
        <v>8</v>
      </c>
      <c r="IV612" s="27" t="s">
        <v>7</v>
      </c>
      <c r="MS612" s="27" t="s">
        <v>8</v>
      </c>
      <c r="MT612" s="27" t="s">
        <v>7</v>
      </c>
      <c r="MU612" s="27" t="s">
        <v>8</v>
      </c>
      <c r="MV612" s="27" t="s">
        <v>7</v>
      </c>
      <c r="MW612" s="27" t="s">
        <v>8</v>
      </c>
      <c r="MX612" s="27" t="s">
        <v>7</v>
      </c>
      <c r="MY612" s="27" t="s">
        <v>8</v>
      </c>
      <c r="MZ612" s="27" t="s">
        <v>7</v>
      </c>
    </row>
    <row r="613" spans="1:370" x14ac:dyDescent="0.25">
      <c r="A613" s="7">
        <v>0.59757928483164646</v>
      </c>
      <c r="B613"/>
      <c r="C613"/>
      <c r="D613"/>
      <c r="E613"/>
      <c r="F613" s="27" t="s">
        <v>7</v>
      </c>
      <c r="HM613" s="27" t="s">
        <v>8</v>
      </c>
      <c r="HN613" s="27" t="s">
        <v>7</v>
      </c>
      <c r="HO613" s="27" t="s">
        <v>8</v>
      </c>
      <c r="HP613" s="27" t="s">
        <v>7</v>
      </c>
      <c r="HS613" s="27" t="s">
        <v>8</v>
      </c>
      <c r="HU613" s="27" t="s">
        <v>8</v>
      </c>
      <c r="HV613" s="27" t="s">
        <v>7</v>
      </c>
      <c r="HW613" s="27" t="s">
        <v>8</v>
      </c>
      <c r="HX613" s="27" t="s">
        <v>7</v>
      </c>
      <c r="IL613" s="27" t="s">
        <v>7</v>
      </c>
      <c r="IM613" s="27" t="s">
        <v>8</v>
      </c>
      <c r="IN613" s="27" t="s">
        <v>7</v>
      </c>
      <c r="IS613" s="27" t="s">
        <v>8</v>
      </c>
      <c r="IT613" s="27" t="s">
        <v>7</v>
      </c>
      <c r="IU613" s="27" t="s">
        <v>8</v>
      </c>
      <c r="IV613" s="27" t="s">
        <v>7</v>
      </c>
      <c r="MQ613" s="27" t="s">
        <v>8</v>
      </c>
      <c r="MS613" s="27" t="s">
        <v>8</v>
      </c>
      <c r="MT613" s="27" t="s">
        <v>7</v>
      </c>
      <c r="MU613" s="27" t="s">
        <v>8</v>
      </c>
      <c r="MV613" s="27" t="s">
        <v>7</v>
      </c>
      <c r="MW613" s="27" t="s">
        <v>8</v>
      </c>
      <c r="MX613" s="27" t="s">
        <v>7</v>
      </c>
      <c r="MY613" s="27" t="s">
        <v>8</v>
      </c>
      <c r="MZ613" s="27" t="s">
        <v>7</v>
      </c>
    </row>
    <row r="614" spans="1:370" x14ac:dyDescent="0.25">
      <c r="A614" s="7">
        <v>0.58586204395259456</v>
      </c>
      <c r="B614"/>
      <c r="C614"/>
      <c r="D614"/>
      <c r="E614"/>
      <c r="F614" s="27" t="s">
        <v>7</v>
      </c>
      <c r="HM614" s="27" t="s">
        <v>8</v>
      </c>
      <c r="HN614" s="27" t="s">
        <v>7</v>
      </c>
      <c r="HO614" s="27" t="s">
        <v>8</v>
      </c>
      <c r="HP614" s="27" t="s">
        <v>7</v>
      </c>
      <c r="HS614" s="27" t="s">
        <v>8</v>
      </c>
      <c r="HT614" s="27" t="s">
        <v>7</v>
      </c>
      <c r="HU614" s="27" t="s">
        <v>8</v>
      </c>
      <c r="HV614" s="27" t="s">
        <v>7</v>
      </c>
      <c r="HW614" s="27" t="s">
        <v>8</v>
      </c>
      <c r="IL614" s="27" t="s">
        <v>7</v>
      </c>
      <c r="IM614" s="27" t="s">
        <v>8</v>
      </c>
      <c r="IN614" s="27" t="s">
        <v>7</v>
      </c>
      <c r="IS614" s="27" t="s">
        <v>8</v>
      </c>
      <c r="IT614" s="27" t="s">
        <v>7</v>
      </c>
      <c r="IU614" s="27" t="s">
        <v>8</v>
      </c>
      <c r="IV614" s="27" t="s">
        <v>7</v>
      </c>
      <c r="MQ614" s="27" t="s">
        <v>8</v>
      </c>
      <c r="MR614" s="27" t="s">
        <v>7</v>
      </c>
      <c r="MS614" s="27" t="s">
        <v>8</v>
      </c>
      <c r="MT614" s="27" t="s">
        <v>7</v>
      </c>
      <c r="MU614" s="27" t="s">
        <v>8</v>
      </c>
      <c r="MV614" s="27" t="s">
        <v>7</v>
      </c>
      <c r="MW614" s="27" t="s">
        <v>8</v>
      </c>
      <c r="MX614" s="27" t="s">
        <v>7</v>
      </c>
      <c r="MY614" s="27" t="s">
        <v>8</v>
      </c>
      <c r="MZ614" s="27" t="s">
        <v>7</v>
      </c>
    </row>
    <row r="615" spans="1:370" x14ac:dyDescent="0.25">
      <c r="A615" s="7">
        <v>0.57437455289470052</v>
      </c>
      <c r="B615"/>
      <c r="C615"/>
      <c r="D615"/>
      <c r="E615"/>
      <c r="F615" s="27" t="s">
        <v>7</v>
      </c>
      <c r="HM615" s="27" t="s">
        <v>8</v>
      </c>
      <c r="HN615" s="27" t="s">
        <v>7</v>
      </c>
      <c r="HO615" s="27" t="s">
        <v>8</v>
      </c>
      <c r="HP615" s="27" t="s">
        <v>7</v>
      </c>
      <c r="HS615" s="27" t="s">
        <v>8</v>
      </c>
      <c r="HT615" s="27" t="s">
        <v>7</v>
      </c>
      <c r="HU615" s="27" t="s">
        <v>8</v>
      </c>
      <c r="HV615" s="27" t="s">
        <v>7</v>
      </c>
      <c r="HW615" s="27" t="s">
        <v>8</v>
      </c>
      <c r="IL615" s="27" t="s">
        <v>7</v>
      </c>
      <c r="IM615" s="27" t="s">
        <v>8</v>
      </c>
      <c r="IN615" s="27" t="s">
        <v>7</v>
      </c>
      <c r="IO615" s="27" t="s">
        <v>8</v>
      </c>
      <c r="IS615" s="27" t="s">
        <v>8</v>
      </c>
      <c r="IT615" s="27" t="s">
        <v>7</v>
      </c>
      <c r="IU615" s="27" t="s">
        <v>8</v>
      </c>
      <c r="IV615" s="27" t="s">
        <v>7</v>
      </c>
      <c r="IW615" s="27" t="s">
        <v>8</v>
      </c>
      <c r="MQ615" s="27" t="s">
        <v>8</v>
      </c>
      <c r="MR615" s="27" t="s">
        <v>7</v>
      </c>
      <c r="MS615" s="27" t="s">
        <v>8</v>
      </c>
      <c r="MT615" s="27" t="s">
        <v>7</v>
      </c>
      <c r="MU615" s="27" t="s">
        <v>8</v>
      </c>
      <c r="MV615" s="27" t="s">
        <v>7</v>
      </c>
      <c r="MW615" s="27" t="s">
        <v>8</v>
      </c>
      <c r="MX615" s="27" t="s">
        <v>7</v>
      </c>
      <c r="MY615" s="27" t="s">
        <v>8</v>
      </c>
      <c r="MZ615" s="27" t="s">
        <v>7</v>
      </c>
    </row>
    <row r="616" spans="1:370" x14ac:dyDescent="0.25">
      <c r="A616" s="7">
        <v>0.56311230675951029</v>
      </c>
      <c r="B616"/>
      <c r="C616"/>
      <c r="D616"/>
      <c r="E616"/>
      <c r="F616" s="27" t="s">
        <v>7</v>
      </c>
      <c r="HM616" s="27" t="s">
        <v>8</v>
      </c>
      <c r="HN616" s="27" t="s">
        <v>7</v>
      </c>
      <c r="HO616" s="27" t="s">
        <v>8</v>
      </c>
      <c r="HP616" s="27" t="s">
        <v>7</v>
      </c>
      <c r="HQ616" s="27" t="s">
        <v>8</v>
      </c>
      <c r="HS616" s="27" t="s">
        <v>8</v>
      </c>
      <c r="HT616" s="27" t="s">
        <v>7</v>
      </c>
      <c r="HU616" s="27" t="s">
        <v>8</v>
      </c>
      <c r="HV616" s="27" t="s">
        <v>7</v>
      </c>
      <c r="HW616" s="27" t="s">
        <v>8</v>
      </c>
      <c r="IL616" s="27" t="s">
        <v>7</v>
      </c>
      <c r="IM616" s="27" t="s">
        <v>8</v>
      </c>
      <c r="IN616" s="27" t="s">
        <v>7</v>
      </c>
      <c r="IO616" s="27" t="s">
        <v>8</v>
      </c>
      <c r="IP616" s="27" t="s">
        <v>7</v>
      </c>
      <c r="IS616" s="27" t="s">
        <v>8</v>
      </c>
      <c r="IT616" s="27" t="s">
        <v>7</v>
      </c>
      <c r="IU616" s="27" t="s">
        <v>8</v>
      </c>
      <c r="IV616" s="27" t="s">
        <v>7</v>
      </c>
      <c r="IW616" s="27" t="s">
        <v>8</v>
      </c>
      <c r="IX616" s="27" t="s">
        <v>7</v>
      </c>
      <c r="MQ616" s="27" t="s">
        <v>8</v>
      </c>
      <c r="MR616" s="27" t="s">
        <v>7</v>
      </c>
      <c r="MS616" s="27" t="s">
        <v>8</v>
      </c>
      <c r="MT616" s="27" t="s">
        <v>7</v>
      </c>
      <c r="MU616" s="27" t="s">
        <v>8</v>
      </c>
      <c r="MV616" s="27" t="s">
        <v>7</v>
      </c>
      <c r="MW616" s="27" t="s">
        <v>8</v>
      </c>
      <c r="MX616" s="27" t="s">
        <v>7</v>
      </c>
      <c r="MY616" s="27" t="s">
        <v>8</v>
      </c>
      <c r="MZ616" s="27" t="s">
        <v>7</v>
      </c>
    </row>
    <row r="617" spans="1:370" x14ac:dyDescent="0.25">
      <c r="A617" s="7">
        <v>0.55207088897991208</v>
      </c>
      <c r="B617"/>
      <c r="C617"/>
      <c r="D617"/>
      <c r="E617"/>
      <c r="F617" s="27" t="s">
        <v>7</v>
      </c>
      <c r="HM617" s="27" t="s">
        <v>8</v>
      </c>
      <c r="HN617" s="27" t="s">
        <v>7</v>
      </c>
      <c r="HO617" s="27" t="s">
        <v>8</v>
      </c>
      <c r="HP617" s="27" t="s">
        <v>7</v>
      </c>
      <c r="HQ617" s="27" t="s">
        <v>8</v>
      </c>
      <c r="HR617" s="27" t="s">
        <v>7</v>
      </c>
      <c r="HS617" s="27" t="s">
        <v>8</v>
      </c>
      <c r="HT617" s="27" t="s">
        <v>7</v>
      </c>
      <c r="HU617" s="27" t="s">
        <v>8</v>
      </c>
      <c r="HV617" s="27" t="s">
        <v>7</v>
      </c>
      <c r="HW617" s="27" t="s">
        <v>8</v>
      </c>
      <c r="IL617" s="27" t="s">
        <v>7</v>
      </c>
      <c r="IN617" s="27" t="s">
        <v>7</v>
      </c>
      <c r="IO617" s="27" t="s">
        <v>8</v>
      </c>
      <c r="IP617" s="27" t="s">
        <v>7</v>
      </c>
      <c r="IS617" s="27" t="s">
        <v>8</v>
      </c>
      <c r="IT617" s="27" t="s">
        <v>7</v>
      </c>
      <c r="IV617" s="27" t="s">
        <v>7</v>
      </c>
      <c r="IW617" s="27" t="s">
        <v>8</v>
      </c>
      <c r="IX617" s="27" t="s">
        <v>7</v>
      </c>
      <c r="MQ617" s="27" t="s">
        <v>8</v>
      </c>
      <c r="MR617" s="27" t="s">
        <v>7</v>
      </c>
      <c r="MS617" s="27" t="s">
        <v>8</v>
      </c>
      <c r="MT617" s="27" t="s">
        <v>7</v>
      </c>
      <c r="MV617" s="27" t="s">
        <v>7</v>
      </c>
      <c r="MW617" s="27" t="s">
        <v>8</v>
      </c>
      <c r="MX617" s="27" t="s">
        <v>7</v>
      </c>
      <c r="MY617" s="27" t="s">
        <v>8</v>
      </c>
      <c r="MZ617" s="27" t="s">
        <v>7</v>
      </c>
    </row>
    <row r="618" spans="1:370" x14ac:dyDescent="0.25">
      <c r="A618" s="7">
        <v>0.54124596958814908</v>
      </c>
      <c r="B618"/>
      <c r="C618"/>
      <c r="D618"/>
      <c r="E618"/>
      <c r="F618" s="27" t="s">
        <v>7</v>
      </c>
      <c r="HM618" s="27" t="s">
        <v>8</v>
      </c>
      <c r="HN618" s="27" t="s">
        <v>7</v>
      </c>
      <c r="HO618" s="27" t="s">
        <v>8</v>
      </c>
      <c r="HP618" s="27" t="s">
        <v>7</v>
      </c>
      <c r="HQ618" s="27" t="s">
        <v>8</v>
      </c>
      <c r="HR618" s="27" t="s">
        <v>7</v>
      </c>
      <c r="HS618" s="27" t="s">
        <v>8</v>
      </c>
      <c r="HT618" s="27" t="s">
        <v>7</v>
      </c>
      <c r="HU618" s="27" t="s">
        <v>8</v>
      </c>
      <c r="HV618" s="27" t="s">
        <v>7</v>
      </c>
      <c r="HW618" s="27" t="s">
        <v>8</v>
      </c>
      <c r="IN618" s="27" t="s">
        <v>7</v>
      </c>
      <c r="IO618" s="27" t="s">
        <v>8</v>
      </c>
      <c r="IP618" s="27" t="s">
        <v>7</v>
      </c>
      <c r="IQ618" s="27" t="s">
        <v>8</v>
      </c>
      <c r="IS618" s="27" t="s">
        <v>8</v>
      </c>
      <c r="IV618" s="27" t="s">
        <v>7</v>
      </c>
      <c r="IX618" s="27" t="s">
        <v>7</v>
      </c>
      <c r="MQ618" s="27" t="s">
        <v>8</v>
      </c>
      <c r="MR618" s="27" t="s">
        <v>7</v>
      </c>
      <c r="MS618" s="27" t="s">
        <v>8</v>
      </c>
      <c r="MV618" s="27" t="s">
        <v>7</v>
      </c>
      <c r="MW618" s="27" t="s">
        <v>8</v>
      </c>
      <c r="MX618" s="27" t="s">
        <v>7</v>
      </c>
      <c r="MY618" s="27" t="s">
        <v>8</v>
      </c>
      <c r="MZ618" s="27" t="s">
        <v>7</v>
      </c>
      <c r="NA618" s="27" t="s">
        <v>8</v>
      </c>
    </row>
    <row r="619" spans="1:370" x14ac:dyDescent="0.25">
      <c r="A619" s="7">
        <v>0.53063330351779314</v>
      </c>
      <c r="B619"/>
      <c r="C619"/>
      <c r="D619"/>
      <c r="E619"/>
      <c r="F619" s="27" t="s">
        <v>7</v>
      </c>
      <c r="HM619" s="27" t="s">
        <v>8</v>
      </c>
      <c r="HN619" s="27" t="s">
        <v>7</v>
      </c>
      <c r="HP619" s="27" t="s">
        <v>7</v>
      </c>
      <c r="HQ619" s="27" t="s">
        <v>8</v>
      </c>
      <c r="HR619" s="27" t="s">
        <v>7</v>
      </c>
      <c r="HS619" s="27" t="s">
        <v>8</v>
      </c>
      <c r="HT619" s="27" t="s">
        <v>7</v>
      </c>
      <c r="HU619" s="27" t="s">
        <v>8</v>
      </c>
      <c r="HV619" s="27" t="s">
        <v>7</v>
      </c>
      <c r="HW619" s="27" t="s">
        <v>8</v>
      </c>
      <c r="IN619" s="27" t="s">
        <v>7</v>
      </c>
      <c r="IO619" s="27" t="s">
        <v>8</v>
      </c>
      <c r="IP619" s="27" t="s">
        <v>7</v>
      </c>
      <c r="IQ619" s="27" t="s">
        <v>8</v>
      </c>
      <c r="IR619" s="27" t="s">
        <v>7</v>
      </c>
      <c r="IS619" s="27" t="s">
        <v>8</v>
      </c>
      <c r="IX619" s="27" t="s">
        <v>7</v>
      </c>
      <c r="IY619" s="27" t="s">
        <v>8</v>
      </c>
      <c r="MQ619" s="27" t="s">
        <v>8</v>
      </c>
      <c r="MR619" s="27" t="s">
        <v>7</v>
      </c>
      <c r="MS619" s="27" t="s">
        <v>8</v>
      </c>
      <c r="MV619" s="27" t="s">
        <v>7</v>
      </c>
      <c r="MW619" s="27" t="s">
        <v>8</v>
      </c>
      <c r="MX619" s="27" t="s">
        <v>7</v>
      </c>
      <c r="MY619" s="27" t="s">
        <v>8</v>
      </c>
      <c r="MZ619" s="27" t="s">
        <v>7</v>
      </c>
      <c r="NA619" s="27" t="s">
        <v>8</v>
      </c>
      <c r="NB619" s="27" t="s">
        <v>7</v>
      </c>
    </row>
    <row r="620" spans="1:370" x14ac:dyDescent="0.25">
      <c r="A620" s="7">
        <v>0.52022872893901284</v>
      </c>
      <c r="B620"/>
      <c r="C620"/>
      <c r="D620"/>
      <c r="E620"/>
      <c r="F620" s="27" t="s">
        <v>7</v>
      </c>
      <c r="HM620" s="27" t="s">
        <v>8</v>
      </c>
      <c r="HP620" s="27" t="s">
        <v>7</v>
      </c>
      <c r="HQ620" s="27" t="s">
        <v>8</v>
      </c>
      <c r="HR620" s="27" t="s">
        <v>7</v>
      </c>
      <c r="HS620" s="27" t="s">
        <v>8</v>
      </c>
      <c r="HT620" s="27" t="s">
        <v>7</v>
      </c>
      <c r="HU620" s="27" t="s">
        <v>8</v>
      </c>
      <c r="HV620" s="27" t="s">
        <v>7</v>
      </c>
      <c r="HW620" s="27" t="s">
        <v>8</v>
      </c>
      <c r="IN620" s="27" t="s">
        <v>7</v>
      </c>
      <c r="IO620" s="27" t="s">
        <v>8</v>
      </c>
      <c r="IP620" s="27" t="s">
        <v>7</v>
      </c>
      <c r="IQ620" s="27" t="s">
        <v>8</v>
      </c>
      <c r="IR620" s="27" t="s">
        <v>7</v>
      </c>
      <c r="IS620" s="27" t="s">
        <v>8</v>
      </c>
      <c r="IX620" s="27" t="s">
        <v>7</v>
      </c>
      <c r="IY620" s="27" t="s">
        <v>8</v>
      </c>
      <c r="IZ620" s="27" t="s">
        <v>7</v>
      </c>
      <c r="MQ620" s="27" t="s">
        <v>8</v>
      </c>
      <c r="MR620" s="27" t="s">
        <v>7</v>
      </c>
      <c r="MS620" s="27" t="s">
        <v>8</v>
      </c>
      <c r="MV620" s="27" t="s">
        <v>7</v>
      </c>
      <c r="MW620" s="27" t="s">
        <v>8</v>
      </c>
      <c r="MX620" s="27" t="s">
        <v>7</v>
      </c>
      <c r="MZ620" s="27" t="s">
        <v>7</v>
      </c>
      <c r="NA620" s="27" t="s">
        <v>8</v>
      </c>
      <c r="NB620" s="27" t="s">
        <v>7</v>
      </c>
    </row>
    <row r="621" spans="1:370" x14ac:dyDescent="0.25">
      <c r="A621" s="7">
        <v>0.51002816562648323</v>
      </c>
      <c r="B621"/>
      <c r="C621"/>
      <c r="D621"/>
      <c r="E621"/>
      <c r="F621" s="27" t="s">
        <v>7</v>
      </c>
      <c r="HM621" s="27" t="s">
        <v>8</v>
      </c>
      <c r="HP621" s="27" t="s">
        <v>7</v>
      </c>
      <c r="HQ621" s="27" t="s">
        <v>8</v>
      </c>
      <c r="HR621" s="27" t="s">
        <v>7</v>
      </c>
      <c r="HS621" s="27" t="s">
        <v>8</v>
      </c>
      <c r="HT621" s="27" t="s">
        <v>7</v>
      </c>
      <c r="HV621" s="27" t="s">
        <v>7</v>
      </c>
      <c r="IN621" s="27" t="s">
        <v>7</v>
      </c>
      <c r="IO621" s="27" t="s">
        <v>8</v>
      </c>
      <c r="IP621" s="27" t="s">
        <v>7</v>
      </c>
      <c r="IQ621" s="27" t="s">
        <v>8</v>
      </c>
      <c r="IR621" s="27" t="s">
        <v>7</v>
      </c>
      <c r="IS621" s="27" t="s">
        <v>8</v>
      </c>
      <c r="IX621" s="27" t="s">
        <v>7</v>
      </c>
      <c r="IY621" s="27" t="s">
        <v>8</v>
      </c>
      <c r="IZ621" s="27" t="s">
        <v>7</v>
      </c>
      <c r="MQ621" s="27" t="s">
        <v>8</v>
      </c>
      <c r="MR621" s="27" t="s">
        <v>7</v>
      </c>
      <c r="MS621" s="27" t="s">
        <v>8</v>
      </c>
      <c r="MV621" s="27" t="s">
        <v>7</v>
      </c>
      <c r="MW621" s="27" t="s">
        <v>8</v>
      </c>
      <c r="MZ621" s="27" t="s">
        <v>7</v>
      </c>
      <c r="NA621" s="27" t="s">
        <v>8</v>
      </c>
      <c r="NB621" s="27" t="s">
        <v>7</v>
      </c>
    </row>
    <row r="622" spans="1:370" x14ac:dyDescent="0.25">
      <c r="A622" s="7">
        <v>0.50002761335929735</v>
      </c>
      <c r="B622"/>
      <c r="C622"/>
      <c r="D622"/>
      <c r="E622"/>
      <c r="F622" s="27" t="s">
        <v>7</v>
      </c>
      <c r="HM622" s="27" t="s">
        <v>8</v>
      </c>
      <c r="HP622" s="27" t="s">
        <v>7</v>
      </c>
      <c r="HQ622" s="27" t="s">
        <v>8</v>
      </c>
      <c r="HR622" s="27" t="s">
        <v>7</v>
      </c>
      <c r="HS622" s="27" t="s">
        <v>8</v>
      </c>
      <c r="IN622" s="27" t="s">
        <v>7</v>
      </c>
      <c r="IO622" s="27" t="s">
        <v>8</v>
      </c>
      <c r="IP622" s="27" t="s">
        <v>7</v>
      </c>
      <c r="IQ622" s="27" t="s">
        <v>8</v>
      </c>
      <c r="IR622" s="27" t="s">
        <v>7</v>
      </c>
      <c r="IS622" s="27" t="s">
        <v>8</v>
      </c>
      <c r="IX622" s="27" t="s">
        <v>7</v>
      </c>
      <c r="IY622" s="27" t="s">
        <v>8</v>
      </c>
      <c r="IZ622" s="27" t="s">
        <v>7</v>
      </c>
      <c r="MQ622" s="27" t="s">
        <v>8</v>
      </c>
      <c r="MR622" s="27" t="s">
        <v>7</v>
      </c>
      <c r="MS622" s="27" t="s">
        <v>8</v>
      </c>
      <c r="MV622" s="27" t="s">
        <v>7</v>
      </c>
      <c r="MW622" s="27" t="s">
        <v>8</v>
      </c>
      <c r="MZ622" s="27" t="s">
        <v>7</v>
      </c>
      <c r="NA622" s="27" t="s">
        <v>8</v>
      </c>
      <c r="NB622" s="27" t="s">
        <v>7</v>
      </c>
    </row>
    <row r="623" spans="1:370" x14ac:dyDescent="0.25">
      <c r="A623" s="7">
        <v>0.49022315035225228</v>
      </c>
      <c r="B623"/>
      <c r="C623"/>
      <c r="D623"/>
      <c r="E623"/>
      <c r="F623" s="27" t="s">
        <v>7</v>
      </c>
      <c r="HM623" s="27" t="s">
        <v>8</v>
      </c>
      <c r="HP623" s="27" t="s">
        <v>7</v>
      </c>
      <c r="HR623" s="27" t="s">
        <v>7</v>
      </c>
      <c r="HS623" s="27" t="s">
        <v>8</v>
      </c>
      <c r="IN623" s="27" t="s">
        <v>7</v>
      </c>
      <c r="IO623" s="27" t="s">
        <v>8</v>
      </c>
      <c r="IP623" s="27" t="s">
        <v>7</v>
      </c>
      <c r="IQ623" s="27" t="s">
        <v>8</v>
      </c>
      <c r="IR623" s="27" t="s">
        <v>7</v>
      </c>
      <c r="IS623" s="27" t="s">
        <v>8</v>
      </c>
      <c r="IX623" s="27" t="s">
        <v>7</v>
      </c>
      <c r="IY623" s="27" t="s">
        <v>8</v>
      </c>
      <c r="IZ623" s="27" t="s">
        <v>7</v>
      </c>
      <c r="MQ623" s="27" t="s">
        <v>8</v>
      </c>
      <c r="MR623" s="27" t="s">
        <v>7</v>
      </c>
      <c r="MS623" s="27" t="s">
        <v>8</v>
      </c>
      <c r="MV623" s="27" t="s">
        <v>7</v>
      </c>
      <c r="MW623" s="27" t="s">
        <v>8</v>
      </c>
      <c r="MZ623" s="27" t="s">
        <v>7</v>
      </c>
      <c r="NA623" s="27" t="s">
        <v>8</v>
      </c>
      <c r="NB623" s="27" t="s">
        <v>7</v>
      </c>
      <c r="NE623" s="27" t="s">
        <v>8</v>
      </c>
    </row>
    <row r="624" spans="1:370" x14ac:dyDescent="0.25">
      <c r="A624" s="7">
        <v>0.48061093171789437</v>
      </c>
      <c r="B624"/>
      <c r="C624"/>
      <c r="D624"/>
      <c r="E624"/>
      <c r="F624" s="27" t="s">
        <v>7</v>
      </c>
      <c r="HM624" s="27" t="s">
        <v>8</v>
      </c>
      <c r="HR624" s="27" t="s">
        <v>7</v>
      </c>
      <c r="HS624" s="27" t="s">
        <v>8</v>
      </c>
      <c r="IN624" s="27" t="s">
        <v>7</v>
      </c>
      <c r="IO624" s="27" t="s">
        <v>8</v>
      </c>
      <c r="IP624" s="27" t="s">
        <v>7</v>
      </c>
      <c r="IQ624" s="27" t="s">
        <v>8</v>
      </c>
      <c r="IR624" s="27" t="s">
        <v>7</v>
      </c>
      <c r="IX624" s="27" t="s">
        <v>7</v>
      </c>
      <c r="IZ624" s="27" t="s">
        <v>7</v>
      </c>
      <c r="JA624" s="27" t="s">
        <v>8</v>
      </c>
      <c r="MQ624" s="27" t="s">
        <v>8</v>
      </c>
      <c r="MR624" s="27" t="s">
        <v>7</v>
      </c>
      <c r="MS624" s="27" t="s">
        <v>8</v>
      </c>
      <c r="MV624" s="27" t="s">
        <v>7</v>
      </c>
      <c r="MW624" s="27" t="s">
        <v>8</v>
      </c>
      <c r="MZ624" s="27" t="s">
        <v>7</v>
      </c>
      <c r="NA624" s="27" t="s">
        <v>8</v>
      </c>
      <c r="NB624" s="27" t="s">
        <v>7</v>
      </c>
      <c r="NE624" s="27" t="s">
        <v>8</v>
      </c>
      <c r="NF624" s="27" t="s">
        <v>7</v>
      </c>
    </row>
    <row r="625" spans="1:388" x14ac:dyDescent="0.25">
      <c r="A625" s="7">
        <v>0.47118718795871994</v>
      </c>
      <c r="B625"/>
      <c r="C625"/>
      <c r="D625"/>
      <c r="E625"/>
      <c r="F625" s="27" t="s">
        <v>7</v>
      </c>
      <c r="HM625" s="27" t="s">
        <v>8</v>
      </c>
      <c r="HR625" s="27" t="s">
        <v>7</v>
      </c>
      <c r="HS625" s="27" t="s">
        <v>8</v>
      </c>
      <c r="IN625" s="27" t="s">
        <v>7</v>
      </c>
      <c r="IO625" s="27" t="s">
        <v>8</v>
      </c>
      <c r="IP625" s="27" t="s">
        <v>7</v>
      </c>
      <c r="IQ625" s="27" t="s">
        <v>8</v>
      </c>
      <c r="IZ625" s="27" t="s">
        <v>7</v>
      </c>
      <c r="JA625" s="27" t="s">
        <v>8</v>
      </c>
      <c r="JB625" s="27" t="s">
        <v>7</v>
      </c>
      <c r="MQ625" s="27" t="s">
        <v>8</v>
      </c>
      <c r="MR625" s="27" t="s">
        <v>7</v>
      </c>
      <c r="MS625" s="27" t="s">
        <v>8</v>
      </c>
      <c r="MV625" s="27" t="s">
        <v>7</v>
      </c>
      <c r="MW625" s="27" t="s">
        <v>8</v>
      </c>
      <c r="MZ625" s="27" t="s">
        <v>7</v>
      </c>
      <c r="NA625" s="27" t="s">
        <v>8</v>
      </c>
      <c r="NB625" s="27" t="s">
        <v>7</v>
      </c>
      <c r="NE625" s="27" t="s">
        <v>8</v>
      </c>
      <c r="NF625" s="27" t="s">
        <v>7</v>
      </c>
    </row>
    <row r="626" spans="1:388" x14ac:dyDescent="0.25">
      <c r="A626" s="7">
        <v>0.46194822348894116</v>
      </c>
      <c r="B626"/>
      <c r="C626"/>
      <c r="D626"/>
      <c r="E626"/>
      <c r="F626" s="27" t="s">
        <v>7</v>
      </c>
      <c r="HM626" s="27" t="s">
        <v>8</v>
      </c>
      <c r="HR626" s="27" t="s">
        <v>7</v>
      </c>
      <c r="HS626" s="27" t="s">
        <v>8</v>
      </c>
      <c r="IN626" s="27" t="s">
        <v>7</v>
      </c>
      <c r="IP626" s="27" t="s">
        <v>7</v>
      </c>
      <c r="IQ626" s="27" t="s">
        <v>8</v>
      </c>
      <c r="IZ626" s="27" t="s">
        <v>7</v>
      </c>
      <c r="JA626" s="27" t="s">
        <v>8</v>
      </c>
      <c r="JB626" s="27" t="s">
        <v>7</v>
      </c>
      <c r="MQ626" s="27" t="s">
        <v>8</v>
      </c>
      <c r="MR626" s="27" t="s">
        <v>7</v>
      </c>
      <c r="MS626" s="27" t="s">
        <v>8</v>
      </c>
      <c r="MV626" s="27" t="s">
        <v>7</v>
      </c>
      <c r="MW626" s="27" t="s">
        <v>8</v>
      </c>
      <c r="MZ626" s="27" t="s">
        <v>7</v>
      </c>
      <c r="NA626" s="27" t="s">
        <v>8</v>
      </c>
      <c r="NB626" s="27" t="s">
        <v>7</v>
      </c>
      <c r="NE626" s="27" t="s">
        <v>8</v>
      </c>
      <c r="NF626" s="27" t="s">
        <v>7</v>
      </c>
    </row>
    <row r="627" spans="1:388" x14ac:dyDescent="0.25">
      <c r="A627" s="7">
        <v>0.45289041518523643</v>
      </c>
      <c r="B627"/>
      <c r="C627"/>
      <c r="D627"/>
      <c r="E627"/>
      <c r="F627" s="27" t="s">
        <v>7</v>
      </c>
      <c r="HM627" s="27" t="s">
        <v>8</v>
      </c>
      <c r="HR627" s="27" t="s">
        <v>7</v>
      </c>
      <c r="IP627" s="27" t="s">
        <v>7</v>
      </c>
      <c r="IQ627" s="27" t="s">
        <v>8</v>
      </c>
      <c r="IZ627" s="27" t="s">
        <v>7</v>
      </c>
      <c r="JA627" s="27" t="s">
        <v>8</v>
      </c>
      <c r="JB627" s="27" t="s">
        <v>7</v>
      </c>
      <c r="MO627" s="27" t="s">
        <v>8</v>
      </c>
      <c r="MQ627" s="27" t="s">
        <v>8</v>
      </c>
      <c r="MR627" s="27" t="s">
        <v>7</v>
      </c>
      <c r="MS627" s="27" t="s">
        <v>8</v>
      </c>
      <c r="MV627" s="27" t="s">
        <v>7</v>
      </c>
      <c r="MZ627" s="27" t="s">
        <v>7</v>
      </c>
      <c r="NA627" s="27" t="s">
        <v>8</v>
      </c>
      <c r="NB627" s="27" t="s">
        <v>7</v>
      </c>
      <c r="NE627" s="27" t="s">
        <v>8</v>
      </c>
      <c r="NF627" s="27" t="s">
        <v>7</v>
      </c>
    </row>
    <row r="628" spans="1:388" x14ac:dyDescent="0.25">
      <c r="A628" s="7">
        <v>0.44401021096591808</v>
      </c>
      <c r="B628"/>
      <c r="C628"/>
      <c r="D628"/>
      <c r="E628"/>
      <c r="F628" s="27" t="s">
        <v>7</v>
      </c>
      <c r="GW628" s="27" t="s">
        <v>8</v>
      </c>
      <c r="HM628" s="27" t="s">
        <v>8</v>
      </c>
      <c r="IP628" s="27" t="s">
        <v>7</v>
      </c>
      <c r="IQ628" s="27" t="s">
        <v>8</v>
      </c>
      <c r="IZ628" s="27" t="s">
        <v>7</v>
      </c>
      <c r="JA628" s="27" t="s">
        <v>8</v>
      </c>
      <c r="JB628" s="27" t="s">
        <v>7</v>
      </c>
      <c r="MO628" s="27" t="s">
        <v>8</v>
      </c>
      <c r="MP628" s="27" t="s">
        <v>7</v>
      </c>
      <c r="MQ628" s="27" t="s">
        <v>8</v>
      </c>
      <c r="MR628" s="27" t="s">
        <v>7</v>
      </c>
      <c r="MS628" s="27" t="s">
        <v>8</v>
      </c>
      <c r="MZ628" s="27" t="s">
        <v>7</v>
      </c>
      <c r="NB628" s="27" t="s">
        <v>7</v>
      </c>
      <c r="NE628" s="27" t="s">
        <v>8</v>
      </c>
      <c r="NF628" s="27" t="s">
        <v>7</v>
      </c>
    </row>
    <row r="629" spans="1:388" x14ac:dyDescent="0.25">
      <c r="A629" s="7">
        <v>0.4353041283979589</v>
      </c>
      <c r="B629"/>
      <c r="C629"/>
      <c r="D629"/>
      <c r="E629"/>
      <c r="F629" s="27" t="s">
        <v>7</v>
      </c>
      <c r="GW629" s="27" t="s">
        <v>8</v>
      </c>
      <c r="GX629" s="27" t="s">
        <v>7</v>
      </c>
      <c r="HM629" s="27" t="s">
        <v>8</v>
      </c>
      <c r="IP629" s="27" t="s">
        <v>7</v>
      </c>
      <c r="IQ629" s="27" t="s">
        <v>8</v>
      </c>
      <c r="IZ629" s="27" t="s">
        <v>7</v>
      </c>
      <c r="JA629" s="27" t="s">
        <v>8</v>
      </c>
      <c r="JB629" s="27" t="s">
        <v>7</v>
      </c>
      <c r="MO629" s="27" t="s">
        <v>8</v>
      </c>
      <c r="MP629" s="27" t="s">
        <v>7</v>
      </c>
      <c r="MQ629" s="27" t="s">
        <v>8</v>
      </c>
      <c r="MR629" s="27" t="s">
        <v>7</v>
      </c>
      <c r="NB629" s="27" t="s">
        <v>7</v>
      </c>
      <c r="NE629" s="27" t="s">
        <v>8</v>
      </c>
      <c r="NF629" s="27" t="s">
        <v>7</v>
      </c>
      <c r="NM629" s="27" t="s">
        <v>8</v>
      </c>
      <c r="NO629" s="27" t="s">
        <v>8</v>
      </c>
    </row>
    <row r="630" spans="1:388" x14ac:dyDescent="0.25">
      <c r="A630" s="7">
        <v>0.4267687533313323</v>
      </c>
      <c r="B630"/>
      <c r="C630"/>
      <c r="D630"/>
      <c r="E630"/>
      <c r="F630" s="27" t="s">
        <v>7</v>
      </c>
      <c r="GW630" s="27" t="s">
        <v>8</v>
      </c>
      <c r="GX630" s="27" t="s">
        <v>7</v>
      </c>
      <c r="HM630" s="27" t="s">
        <v>8</v>
      </c>
      <c r="IP630" s="27" t="s">
        <v>7</v>
      </c>
      <c r="IQ630" s="27" t="s">
        <v>8</v>
      </c>
      <c r="IZ630" s="27" t="s">
        <v>7</v>
      </c>
      <c r="JA630" s="27" t="s">
        <v>8</v>
      </c>
      <c r="JB630" s="27" t="s">
        <v>7</v>
      </c>
      <c r="JC630" s="27" t="s">
        <v>8</v>
      </c>
      <c r="MO630" s="27" t="s">
        <v>8</v>
      </c>
      <c r="MP630" s="27" t="s">
        <v>7</v>
      </c>
      <c r="MQ630" s="27" t="s">
        <v>8</v>
      </c>
      <c r="NB630" s="27" t="s">
        <v>7</v>
      </c>
      <c r="NE630" s="27" t="s">
        <v>8</v>
      </c>
      <c r="NF630" s="27" t="s">
        <v>7</v>
      </c>
      <c r="NM630" s="27" t="s">
        <v>8</v>
      </c>
      <c r="NN630" s="27" t="s">
        <v>7</v>
      </c>
      <c r="NO630" s="27" t="s">
        <v>8</v>
      </c>
      <c r="NP630" s="27" t="s">
        <v>7</v>
      </c>
    </row>
    <row r="631" spans="1:388" x14ac:dyDescent="0.25">
      <c r="A631" s="7">
        <v>0.41840073856012971</v>
      </c>
      <c r="B631"/>
      <c r="C631"/>
      <c r="D631"/>
      <c r="E631"/>
      <c r="F631" s="27" t="s">
        <v>7</v>
      </c>
      <c r="GW631" s="27" t="s">
        <v>8</v>
      </c>
      <c r="GX631" s="27" t="s">
        <v>7</v>
      </c>
      <c r="HM631" s="27" t="s">
        <v>8</v>
      </c>
      <c r="IP631" s="27" t="s">
        <v>7</v>
      </c>
      <c r="IQ631" s="27" t="s">
        <v>8</v>
      </c>
      <c r="IZ631" s="27" t="s">
        <v>7</v>
      </c>
      <c r="JA631" s="27" t="s">
        <v>8</v>
      </c>
      <c r="JB631" s="27" t="s">
        <v>7</v>
      </c>
      <c r="JC631" s="27" t="s">
        <v>8</v>
      </c>
      <c r="JD631" s="27" t="s">
        <v>7</v>
      </c>
      <c r="MO631" s="27" t="s">
        <v>8</v>
      </c>
      <c r="MP631" s="27" t="s">
        <v>7</v>
      </c>
      <c r="MQ631" s="27" t="s">
        <v>8</v>
      </c>
      <c r="NB631" s="27" t="s">
        <v>7</v>
      </c>
      <c r="NE631" s="27" t="s">
        <v>8</v>
      </c>
      <c r="NF631" s="27" t="s">
        <v>7</v>
      </c>
      <c r="NM631" s="27" t="s">
        <v>8</v>
      </c>
      <c r="NN631" s="27" t="s">
        <v>7</v>
      </c>
      <c r="NO631" s="27" t="s">
        <v>8</v>
      </c>
      <c r="NP631" s="27" t="s">
        <v>7</v>
      </c>
    </row>
    <row r="632" spans="1:388" x14ac:dyDescent="0.25">
      <c r="A632" s="7">
        <v>0.41019680250993112</v>
      </c>
      <c r="B632"/>
      <c r="C632"/>
      <c r="D632"/>
      <c r="E632"/>
      <c r="F632" s="27" t="s">
        <v>7</v>
      </c>
      <c r="GW632" s="27" t="s">
        <v>8</v>
      </c>
      <c r="GX632" s="27" t="s">
        <v>7</v>
      </c>
      <c r="HM632" s="27" t="s">
        <v>8</v>
      </c>
      <c r="IP632" s="27" t="s">
        <v>7</v>
      </c>
      <c r="IQ632" s="27" t="s">
        <v>8</v>
      </c>
      <c r="IZ632" s="27" t="s">
        <v>7</v>
      </c>
      <c r="JB632" s="27" t="s">
        <v>7</v>
      </c>
      <c r="JC632" s="27" t="s">
        <v>8</v>
      </c>
      <c r="JD632" s="27" t="s">
        <v>7</v>
      </c>
      <c r="MO632" s="27" t="s">
        <v>8</v>
      </c>
      <c r="MP632" s="27" t="s">
        <v>7</v>
      </c>
      <c r="MQ632" s="27" t="s">
        <v>8</v>
      </c>
      <c r="NB632" s="27" t="s">
        <v>7</v>
      </c>
      <c r="NE632" s="27" t="s">
        <v>8</v>
      </c>
      <c r="NF632" s="27" t="s">
        <v>7</v>
      </c>
      <c r="NM632" s="27" t="s">
        <v>8</v>
      </c>
      <c r="NN632" s="27" t="s">
        <v>7</v>
      </c>
      <c r="NO632" s="27" t="s">
        <v>8</v>
      </c>
      <c r="NP632" s="27" t="s">
        <v>7</v>
      </c>
      <c r="NQ632" s="27" t="s">
        <v>8</v>
      </c>
    </row>
    <row r="633" spans="1:388" x14ac:dyDescent="0.25">
      <c r="A633" s="7">
        <v>0.40215372795091286</v>
      </c>
      <c r="B633"/>
      <c r="C633"/>
      <c r="D633"/>
      <c r="E633"/>
      <c r="F633" s="27" t="s">
        <v>7</v>
      </c>
      <c r="GW633" s="27" t="s">
        <v>8</v>
      </c>
      <c r="GX633" s="27" t="s">
        <v>7</v>
      </c>
      <c r="HA633" s="27" t="s">
        <v>8</v>
      </c>
      <c r="HK633" s="27" t="s">
        <v>8</v>
      </c>
      <c r="HM633" s="27" t="s">
        <v>8</v>
      </c>
      <c r="IP633" s="27" t="s">
        <v>7</v>
      </c>
      <c r="IQ633" s="27" t="s">
        <v>8</v>
      </c>
      <c r="JB633" s="27" t="s">
        <v>7</v>
      </c>
      <c r="JC633" s="27" t="s">
        <v>8</v>
      </c>
      <c r="JD633" s="27" t="s">
        <v>7</v>
      </c>
      <c r="MO633" s="27" t="s">
        <v>8</v>
      </c>
      <c r="MP633" s="27" t="s">
        <v>7</v>
      </c>
      <c r="MQ633" s="27" t="s">
        <v>8</v>
      </c>
      <c r="NB633" s="27" t="s">
        <v>7</v>
      </c>
      <c r="NE633" s="27" t="s">
        <v>8</v>
      </c>
      <c r="NF633" s="27" t="s">
        <v>7</v>
      </c>
      <c r="NM633" s="27" t="s">
        <v>8</v>
      </c>
      <c r="NN633" s="27" t="s">
        <v>7</v>
      </c>
      <c r="NO633" s="27" t="s">
        <v>8</v>
      </c>
      <c r="NP633" s="27" t="s">
        <v>7</v>
      </c>
      <c r="NQ633" s="27" t="s">
        <v>8</v>
      </c>
      <c r="NR633" s="27" t="s">
        <v>7</v>
      </c>
    </row>
    <row r="634" spans="1:388" x14ac:dyDescent="0.25">
      <c r="A634" s="7">
        <v>0.39426836073618904</v>
      </c>
      <c r="B634"/>
      <c r="C634"/>
      <c r="D634"/>
      <c r="E634"/>
      <c r="F634" s="27" t="s">
        <v>7</v>
      </c>
      <c r="GW634" s="27" t="s">
        <v>8</v>
      </c>
      <c r="GX634" s="27" t="s">
        <v>7</v>
      </c>
      <c r="GY634" s="27" t="s">
        <v>8</v>
      </c>
      <c r="HA634" s="27" t="s">
        <v>8</v>
      </c>
      <c r="HB634" s="27" t="s">
        <v>7</v>
      </c>
      <c r="HK634" s="27" t="s">
        <v>8</v>
      </c>
      <c r="HL634" s="27" t="s">
        <v>7</v>
      </c>
      <c r="HM634" s="27" t="s">
        <v>8</v>
      </c>
      <c r="IP634" s="27" t="s">
        <v>7</v>
      </c>
      <c r="IQ634" s="27" t="s">
        <v>8</v>
      </c>
      <c r="JB634" s="27" t="s">
        <v>7</v>
      </c>
      <c r="JC634" s="27" t="s">
        <v>8</v>
      </c>
      <c r="JD634" s="27" t="s">
        <v>7</v>
      </c>
      <c r="MO634" s="27" t="s">
        <v>8</v>
      </c>
      <c r="MP634" s="27" t="s">
        <v>7</v>
      </c>
      <c r="MQ634" s="27" t="s">
        <v>8</v>
      </c>
      <c r="NB634" s="27" t="s">
        <v>7</v>
      </c>
      <c r="NE634" s="27" t="s">
        <v>8</v>
      </c>
      <c r="NF634" s="27" t="s">
        <v>7</v>
      </c>
      <c r="NM634" s="27" t="s">
        <v>8</v>
      </c>
      <c r="NN634" s="27" t="s">
        <v>7</v>
      </c>
      <c r="NO634" s="27" t="s">
        <v>8</v>
      </c>
      <c r="NP634" s="27" t="s">
        <v>7</v>
      </c>
      <c r="NQ634" s="27" t="s">
        <v>8</v>
      </c>
      <c r="NR634" s="27" t="s">
        <v>7</v>
      </c>
      <c r="NS634" s="27" t="s">
        <v>8</v>
      </c>
    </row>
    <row r="635" spans="1:388" x14ac:dyDescent="0.25">
      <c r="A635" s="7">
        <v>0.38653760856489122</v>
      </c>
      <c r="B635"/>
      <c r="C635"/>
      <c r="D635"/>
      <c r="E635"/>
      <c r="F635" s="27" t="s">
        <v>7</v>
      </c>
      <c r="GW635" s="27" t="s">
        <v>8</v>
      </c>
      <c r="GX635" s="27" t="s">
        <v>7</v>
      </c>
      <c r="GY635" s="27" t="s">
        <v>8</v>
      </c>
      <c r="GZ635" s="27" t="s">
        <v>7</v>
      </c>
      <c r="HA635" s="27" t="s">
        <v>8</v>
      </c>
      <c r="HB635" s="27" t="s">
        <v>7</v>
      </c>
      <c r="HC635" s="27" t="s">
        <v>8</v>
      </c>
      <c r="HI635" s="27" t="s">
        <v>8</v>
      </c>
      <c r="HK635" s="27" t="s">
        <v>8</v>
      </c>
      <c r="HL635" s="27" t="s">
        <v>7</v>
      </c>
      <c r="HM635" s="27" t="s">
        <v>8</v>
      </c>
      <c r="IP635" s="27" t="s">
        <v>7</v>
      </c>
      <c r="IQ635" s="27" t="s">
        <v>8</v>
      </c>
      <c r="JB635" s="27" t="s">
        <v>7</v>
      </c>
      <c r="JD635" s="27" t="s">
        <v>7</v>
      </c>
      <c r="MO635" s="27" t="s">
        <v>8</v>
      </c>
      <c r="MP635" s="27" t="s">
        <v>7</v>
      </c>
      <c r="MQ635" s="27" t="s">
        <v>8</v>
      </c>
      <c r="NB635" s="27" t="s">
        <v>7</v>
      </c>
      <c r="NE635" s="27" t="s">
        <v>8</v>
      </c>
      <c r="NF635" s="27" t="s">
        <v>7</v>
      </c>
      <c r="NI635" s="27" t="s">
        <v>8</v>
      </c>
      <c r="NK635" s="27" t="s">
        <v>8</v>
      </c>
      <c r="NM635" s="27" t="s">
        <v>8</v>
      </c>
      <c r="NN635" s="27" t="s">
        <v>7</v>
      </c>
      <c r="NO635" s="27" t="s">
        <v>8</v>
      </c>
      <c r="NP635" s="27" t="s">
        <v>7</v>
      </c>
      <c r="NQ635" s="27" t="s">
        <v>8</v>
      </c>
      <c r="NR635" s="27" t="s">
        <v>7</v>
      </c>
      <c r="NS635" s="27" t="s">
        <v>8</v>
      </c>
      <c r="NT635" s="27" t="s">
        <v>7</v>
      </c>
    </row>
    <row r="636" spans="1:388" x14ac:dyDescent="0.25">
      <c r="A636" s="7">
        <v>0.37895843976950117</v>
      </c>
      <c r="B636"/>
      <c r="C636"/>
      <c r="D636"/>
      <c r="E636"/>
      <c r="F636" s="27" t="s">
        <v>7</v>
      </c>
      <c r="GW636" s="27" t="s">
        <v>8</v>
      </c>
      <c r="GX636" s="27" t="s">
        <v>7</v>
      </c>
      <c r="GY636" s="27" t="s">
        <v>8</v>
      </c>
      <c r="GZ636" s="27" t="s">
        <v>7</v>
      </c>
      <c r="HA636" s="27" t="s">
        <v>8</v>
      </c>
      <c r="HB636" s="27" t="s">
        <v>7</v>
      </c>
      <c r="HC636" s="27" t="s">
        <v>8</v>
      </c>
      <c r="HD636" s="27" t="s">
        <v>7</v>
      </c>
      <c r="HI636" s="27" t="s">
        <v>8</v>
      </c>
      <c r="HJ636" s="27" t="s">
        <v>7</v>
      </c>
      <c r="HK636" s="27" t="s">
        <v>8</v>
      </c>
      <c r="HL636" s="27" t="s">
        <v>7</v>
      </c>
      <c r="HM636" s="27" t="s">
        <v>8</v>
      </c>
      <c r="IP636" s="27" t="s">
        <v>7</v>
      </c>
      <c r="IQ636" s="27" t="s">
        <v>8</v>
      </c>
      <c r="JD636" s="27" t="s">
        <v>7</v>
      </c>
      <c r="MO636" s="27" t="s">
        <v>8</v>
      </c>
      <c r="MP636" s="27" t="s">
        <v>7</v>
      </c>
      <c r="MQ636" s="27" t="s">
        <v>8</v>
      </c>
      <c r="NB636" s="27" t="s">
        <v>7</v>
      </c>
      <c r="NE636" s="27" t="s">
        <v>8</v>
      </c>
      <c r="NF636" s="27" t="s">
        <v>7</v>
      </c>
      <c r="NI636" s="27" t="s">
        <v>8</v>
      </c>
      <c r="NJ636" s="27" t="s">
        <v>7</v>
      </c>
      <c r="NK636" s="27" t="s">
        <v>8</v>
      </c>
      <c r="NL636" s="27" t="s">
        <v>7</v>
      </c>
      <c r="NM636" s="27" t="s">
        <v>8</v>
      </c>
      <c r="NN636" s="27" t="s">
        <v>7</v>
      </c>
      <c r="NO636" s="27" t="s">
        <v>8</v>
      </c>
      <c r="NP636" s="27" t="s">
        <v>7</v>
      </c>
      <c r="NQ636" s="27" t="s">
        <v>8</v>
      </c>
      <c r="NR636" s="27" t="s">
        <v>7</v>
      </c>
      <c r="NS636" s="27" t="s">
        <v>8</v>
      </c>
      <c r="NT636" s="27" t="s">
        <v>7</v>
      </c>
    </row>
    <row r="637" spans="1:388" x14ac:dyDescent="0.25">
      <c r="A637" s="7">
        <v>0.37152788212696197</v>
      </c>
      <c r="B637"/>
      <c r="C637"/>
      <c r="D637"/>
      <c r="E637"/>
      <c r="F637" s="27" t="s">
        <v>7</v>
      </c>
      <c r="GW637" s="27" t="s">
        <v>8</v>
      </c>
      <c r="GX637" s="27" t="s">
        <v>7</v>
      </c>
      <c r="GZ637" s="27" t="s">
        <v>7</v>
      </c>
      <c r="HA637" s="27" t="s">
        <v>8</v>
      </c>
      <c r="HB637" s="27" t="s">
        <v>7</v>
      </c>
      <c r="HC637" s="27" t="s">
        <v>8</v>
      </c>
      <c r="HD637" s="27" t="s">
        <v>7</v>
      </c>
      <c r="HI637" s="27" t="s">
        <v>8</v>
      </c>
      <c r="HJ637" s="27" t="s">
        <v>7</v>
      </c>
      <c r="HK637" s="27" t="s">
        <v>8</v>
      </c>
      <c r="HL637" s="27" t="s">
        <v>7</v>
      </c>
      <c r="HM637" s="27" t="s">
        <v>8</v>
      </c>
      <c r="IP637" s="27" t="s">
        <v>7</v>
      </c>
      <c r="IQ637" s="27" t="s">
        <v>8</v>
      </c>
      <c r="JD637" s="27" t="s">
        <v>7</v>
      </c>
      <c r="MO637" s="27" t="s">
        <v>8</v>
      </c>
      <c r="MP637" s="27" t="s">
        <v>7</v>
      </c>
      <c r="MQ637" s="27" t="s">
        <v>8</v>
      </c>
      <c r="NB637" s="27" t="s">
        <v>7</v>
      </c>
      <c r="NC637" s="27" t="s">
        <v>8</v>
      </c>
      <c r="NE637" s="27" t="s">
        <v>8</v>
      </c>
      <c r="NF637" s="27" t="s">
        <v>7</v>
      </c>
      <c r="NI637" s="27" t="s">
        <v>8</v>
      </c>
      <c r="NJ637" s="27" t="s">
        <v>7</v>
      </c>
      <c r="NK637" s="27" t="s">
        <v>8</v>
      </c>
      <c r="NL637" s="27" t="s">
        <v>7</v>
      </c>
      <c r="NM637" s="27" t="s">
        <v>8</v>
      </c>
      <c r="NN637" s="27" t="s">
        <v>7</v>
      </c>
      <c r="NP637" s="27" t="s">
        <v>7</v>
      </c>
      <c r="NQ637" s="27" t="s">
        <v>8</v>
      </c>
      <c r="NR637" s="27" t="s">
        <v>7</v>
      </c>
      <c r="NT637" s="27" t="s">
        <v>7</v>
      </c>
    </row>
    <row r="638" spans="1:388" x14ac:dyDescent="0.25">
      <c r="A638" s="7">
        <v>0.36424302169310002</v>
      </c>
      <c r="B638"/>
      <c r="C638"/>
      <c r="D638"/>
      <c r="E638"/>
      <c r="F638" s="27" t="s">
        <v>7</v>
      </c>
      <c r="GW638" s="27" t="s">
        <v>8</v>
      </c>
      <c r="GZ638" s="27" t="s">
        <v>7</v>
      </c>
      <c r="HA638" s="27" t="s">
        <v>8</v>
      </c>
      <c r="HB638" s="27" t="s">
        <v>7</v>
      </c>
      <c r="HD638" s="27" t="s">
        <v>7</v>
      </c>
      <c r="HI638" s="27" t="s">
        <v>8</v>
      </c>
      <c r="HJ638" s="27" t="s">
        <v>7</v>
      </c>
      <c r="HK638" s="27" t="s">
        <v>8</v>
      </c>
      <c r="HL638" s="27" t="s">
        <v>7</v>
      </c>
      <c r="HM638" s="27" t="s">
        <v>8</v>
      </c>
      <c r="IP638" s="27" t="s">
        <v>7</v>
      </c>
      <c r="JD638" s="27" t="s">
        <v>7</v>
      </c>
      <c r="LQ638" s="27" t="s">
        <v>8</v>
      </c>
      <c r="MO638" s="27" t="s">
        <v>8</v>
      </c>
      <c r="MP638" s="27" t="s">
        <v>7</v>
      </c>
      <c r="MQ638" s="27" t="s">
        <v>8</v>
      </c>
      <c r="NB638" s="27" t="s">
        <v>7</v>
      </c>
      <c r="NC638" s="27" t="s">
        <v>8</v>
      </c>
      <c r="ND638" s="27" t="s">
        <v>7</v>
      </c>
      <c r="NE638" s="27" t="s">
        <v>8</v>
      </c>
      <c r="NF638" s="27" t="s">
        <v>7</v>
      </c>
      <c r="NG638" s="27" t="s">
        <v>8</v>
      </c>
      <c r="NI638" s="27" t="s">
        <v>8</v>
      </c>
      <c r="NJ638" s="27" t="s">
        <v>7</v>
      </c>
      <c r="NK638" s="27" t="s">
        <v>8</v>
      </c>
      <c r="NL638" s="27" t="s">
        <v>7</v>
      </c>
      <c r="NM638" s="27" t="s">
        <v>8</v>
      </c>
      <c r="NP638" s="27" t="s">
        <v>7</v>
      </c>
      <c r="NT638" s="27" t="s">
        <v>7</v>
      </c>
    </row>
    <row r="639" spans="1:388" x14ac:dyDescent="0.25">
      <c r="A639" s="7">
        <v>0.35710100165990194</v>
      </c>
      <c r="B639"/>
      <c r="C639"/>
      <c r="D639"/>
      <c r="E639"/>
      <c r="F639" s="27" t="s">
        <v>7</v>
      </c>
      <c r="GW639" s="27" t="s">
        <v>8</v>
      </c>
      <c r="GZ639" s="27" t="s">
        <v>7</v>
      </c>
      <c r="HA639" s="27" t="s">
        <v>8</v>
      </c>
      <c r="HD639" s="27" t="s">
        <v>7</v>
      </c>
      <c r="HI639" s="27" t="s">
        <v>8</v>
      </c>
      <c r="HJ639" s="27" t="s">
        <v>7</v>
      </c>
      <c r="HL639" s="27" t="s">
        <v>7</v>
      </c>
      <c r="HM639" s="27" t="s">
        <v>8</v>
      </c>
      <c r="JD639" s="27" t="s">
        <v>7</v>
      </c>
      <c r="LQ639" s="27" t="s">
        <v>8</v>
      </c>
      <c r="LR639" s="27" t="s">
        <v>7</v>
      </c>
      <c r="MO639" s="27" t="s">
        <v>8</v>
      </c>
      <c r="MP639" s="27" t="s">
        <v>7</v>
      </c>
      <c r="MQ639" s="27" t="s">
        <v>8</v>
      </c>
      <c r="NB639" s="27" t="s">
        <v>7</v>
      </c>
      <c r="NC639" s="27" t="s">
        <v>8</v>
      </c>
      <c r="ND639" s="27" t="s">
        <v>7</v>
      </c>
      <c r="NE639" s="27" t="s">
        <v>8</v>
      </c>
      <c r="NF639" s="27" t="s">
        <v>7</v>
      </c>
      <c r="NG639" s="27" t="s">
        <v>8</v>
      </c>
      <c r="NH639" s="27" t="s">
        <v>7</v>
      </c>
      <c r="NI639" s="27" t="s">
        <v>8</v>
      </c>
      <c r="NJ639" s="27" t="s">
        <v>7</v>
      </c>
      <c r="NK639" s="27" t="s">
        <v>8</v>
      </c>
      <c r="NL639" s="27" t="s">
        <v>7</v>
      </c>
      <c r="NM639" s="27" t="s">
        <v>8</v>
      </c>
      <c r="NT639" s="27" t="s">
        <v>7</v>
      </c>
      <c r="NW639" s="27" t="s">
        <v>8</v>
      </c>
    </row>
    <row r="640" spans="1:388" x14ac:dyDescent="0.25">
      <c r="A640" s="7">
        <v>0.35009902123519804</v>
      </c>
      <c r="B640"/>
      <c r="C640"/>
      <c r="D640"/>
      <c r="E640"/>
      <c r="F640" s="27" t="s">
        <v>7</v>
      </c>
      <c r="GW640" s="27" t="s">
        <v>8</v>
      </c>
      <c r="GZ640" s="27" t="s">
        <v>7</v>
      </c>
      <c r="HA640" s="27" t="s">
        <v>8</v>
      </c>
      <c r="HD640" s="27" t="s">
        <v>7</v>
      </c>
      <c r="HI640" s="27" t="s">
        <v>8</v>
      </c>
      <c r="HL640" s="27" t="s">
        <v>7</v>
      </c>
      <c r="HM640" s="27" t="s">
        <v>8</v>
      </c>
      <c r="JD640" s="27" t="s">
        <v>7</v>
      </c>
      <c r="LQ640" s="27" t="s">
        <v>8</v>
      </c>
      <c r="LR640" s="27" t="s">
        <v>7</v>
      </c>
      <c r="MO640" s="27" t="s">
        <v>8</v>
      </c>
      <c r="MP640" s="27" t="s">
        <v>7</v>
      </c>
      <c r="MQ640" s="27" t="s">
        <v>8</v>
      </c>
      <c r="NB640" s="27" t="s">
        <v>7</v>
      </c>
      <c r="NC640" s="27" t="s">
        <v>8</v>
      </c>
      <c r="ND640" s="27" t="s">
        <v>7</v>
      </c>
      <c r="NE640" s="27" t="s">
        <v>8</v>
      </c>
      <c r="NF640" s="27" t="s">
        <v>7</v>
      </c>
      <c r="NG640" s="27" t="s">
        <v>8</v>
      </c>
      <c r="NH640" s="27" t="s">
        <v>7</v>
      </c>
      <c r="NI640" s="27" t="s">
        <v>8</v>
      </c>
      <c r="NJ640" s="27" t="s">
        <v>7</v>
      </c>
      <c r="NK640" s="27" t="s">
        <v>8</v>
      </c>
      <c r="NL640" s="27" t="s">
        <v>7</v>
      </c>
      <c r="NM640" s="27" t="s">
        <v>8</v>
      </c>
      <c r="NT640" s="27" t="s">
        <v>7</v>
      </c>
      <c r="NW640" s="27" t="s">
        <v>8</v>
      </c>
      <c r="NX640" s="27" t="s">
        <v>7</v>
      </c>
    </row>
    <row r="641" spans="1:392" x14ac:dyDescent="0.25">
      <c r="A641" s="7">
        <v>0.34323433454431179</v>
      </c>
      <c r="B641"/>
      <c r="C641"/>
      <c r="D641"/>
      <c r="E641"/>
      <c r="F641" s="27" t="s">
        <v>7</v>
      </c>
      <c r="GU641" s="27" t="s">
        <v>8</v>
      </c>
      <c r="GW641" s="27" t="s">
        <v>8</v>
      </c>
      <c r="GZ641" s="27" t="s">
        <v>7</v>
      </c>
      <c r="HA641" s="27" t="s">
        <v>8</v>
      </c>
      <c r="HD641" s="27" t="s">
        <v>7</v>
      </c>
      <c r="HI641" s="27" t="s">
        <v>8</v>
      </c>
      <c r="HL641" s="27" t="s">
        <v>7</v>
      </c>
      <c r="HM641" s="27" t="s">
        <v>8</v>
      </c>
      <c r="JD641" s="27" t="s">
        <v>7</v>
      </c>
      <c r="KS641" s="27" t="s">
        <v>8</v>
      </c>
      <c r="KW641" s="27" t="s">
        <v>8</v>
      </c>
      <c r="LC641" s="27" t="s">
        <v>8</v>
      </c>
      <c r="LE641" s="27" t="s">
        <v>8</v>
      </c>
      <c r="LM641" s="27" t="s">
        <v>8</v>
      </c>
      <c r="LQ641" s="27" t="s">
        <v>8</v>
      </c>
      <c r="LR641" s="27" t="s">
        <v>7</v>
      </c>
      <c r="MO641" s="27" t="s">
        <v>8</v>
      </c>
      <c r="MP641" s="27" t="s">
        <v>7</v>
      </c>
      <c r="MQ641" s="27" t="s">
        <v>8</v>
      </c>
      <c r="NB641" s="27" t="s">
        <v>7</v>
      </c>
      <c r="NC641" s="27" t="s">
        <v>8</v>
      </c>
      <c r="ND641" s="27" t="s">
        <v>7</v>
      </c>
      <c r="NE641" s="27" t="s">
        <v>8</v>
      </c>
      <c r="NF641" s="27" t="s">
        <v>7</v>
      </c>
      <c r="NG641" s="27" t="s">
        <v>8</v>
      </c>
      <c r="NH641" s="27" t="s">
        <v>7</v>
      </c>
      <c r="NI641" s="27" t="s">
        <v>8</v>
      </c>
      <c r="NJ641" s="27" t="s">
        <v>7</v>
      </c>
      <c r="NK641" s="27" t="s">
        <v>8</v>
      </c>
      <c r="NL641" s="27" t="s">
        <v>7</v>
      </c>
      <c r="NM641" s="27" t="s">
        <v>8</v>
      </c>
      <c r="NT641" s="27" t="s">
        <v>7</v>
      </c>
      <c r="NW641" s="27" t="s">
        <v>8</v>
      </c>
      <c r="NX641" s="27" t="s">
        <v>7</v>
      </c>
    </row>
    <row r="642" spans="1:392" x14ac:dyDescent="0.25">
      <c r="A642" s="7">
        <v>0.33650424955324681</v>
      </c>
      <c r="B642"/>
      <c r="C642"/>
      <c r="D642"/>
      <c r="E642"/>
      <c r="F642" s="27" t="s">
        <v>7</v>
      </c>
      <c r="GU642" s="27" t="s">
        <v>8</v>
      </c>
      <c r="GV642" s="27" t="s">
        <v>7</v>
      </c>
      <c r="GW642" s="27" t="s">
        <v>8</v>
      </c>
      <c r="GZ642" s="27" t="s">
        <v>7</v>
      </c>
      <c r="HA642" s="27" t="s">
        <v>8</v>
      </c>
      <c r="HD642" s="27" t="s">
        <v>7</v>
      </c>
      <c r="HI642" s="27" t="s">
        <v>8</v>
      </c>
      <c r="HL642" s="27" t="s">
        <v>7</v>
      </c>
      <c r="JD642" s="27" t="s">
        <v>7</v>
      </c>
      <c r="KS642" s="27" t="s">
        <v>8</v>
      </c>
      <c r="KT642" s="27" t="s">
        <v>7</v>
      </c>
      <c r="KU642" s="27" t="s">
        <v>8</v>
      </c>
      <c r="KW642" s="27" t="s">
        <v>8</v>
      </c>
      <c r="KX642" s="27" t="s">
        <v>7</v>
      </c>
      <c r="LC642" s="27" t="s">
        <v>8</v>
      </c>
      <c r="LD642" s="27" t="s">
        <v>7</v>
      </c>
      <c r="LE642" s="27" t="s">
        <v>8</v>
      </c>
      <c r="LF642" s="27" t="s">
        <v>7</v>
      </c>
      <c r="LM642" s="27" t="s">
        <v>8</v>
      </c>
      <c r="LN642" s="27" t="s">
        <v>7</v>
      </c>
      <c r="LQ642" s="27" t="s">
        <v>8</v>
      </c>
      <c r="LR642" s="27" t="s">
        <v>7</v>
      </c>
      <c r="MA642" s="27" t="s">
        <v>8</v>
      </c>
      <c r="MO642" s="27" t="s">
        <v>8</v>
      </c>
      <c r="MP642" s="27" t="s">
        <v>7</v>
      </c>
      <c r="MQ642" s="27" t="s">
        <v>8</v>
      </c>
      <c r="NB642" s="27" t="s">
        <v>7</v>
      </c>
      <c r="NC642" s="27" t="s">
        <v>8</v>
      </c>
      <c r="ND642" s="27" t="s">
        <v>7</v>
      </c>
      <c r="NE642" s="27" t="s">
        <v>8</v>
      </c>
      <c r="NF642" s="27" t="s">
        <v>7</v>
      </c>
      <c r="NG642" s="27" t="s">
        <v>8</v>
      </c>
      <c r="NH642" s="27" t="s">
        <v>7</v>
      </c>
      <c r="NI642" s="27" t="s">
        <v>8</v>
      </c>
      <c r="NJ642" s="27" t="s">
        <v>7</v>
      </c>
      <c r="NK642" s="27" t="s">
        <v>8</v>
      </c>
      <c r="NL642" s="27" t="s">
        <v>7</v>
      </c>
      <c r="NM642" s="27" t="s">
        <v>8</v>
      </c>
      <c r="NT642" s="27" t="s">
        <v>7</v>
      </c>
      <c r="NU642" s="27" t="s">
        <v>8</v>
      </c>
      <c r="NW642" s="27" t="s">
        <v>8</v>
      </c>
      <c r="NX642" s="27" t="s">
        <v>7</v>
      </c>
      <c r="NY642" s="27" t="s">
        <v>8</v>
      </c>
    </row>
    <row r="643" spans="1:392" x14ac:dyDescent="0.25">
      <c r="A643" s="7">
        <v>0.3299061270129871</v>
      </c>
      <c r="B643"/>
      <c r="C643"/>
      <c r="D643"/>
      <c r="E643"/>
      <c r="F643" s="27" t="s">
        <v>7</v>
      </c>
      <c r="GU643" s="27" t="s">
        <v>8</v>
      </c>
      <c r="GV643" s="27" t="s">
        <v>7</v>
      </c>
      <c r="GW643" s="27" t="s">
        <v>8</v>
      </c>
      <c r="GZ643" s="27" t="s">
        <v>7</v>
      </c>
      <c r="HA643" s="27" t="s">
        <v>8</v>
      </c>
      <c r="HD643" s="27" t="s">
        <v>7</v>
      </c>
      <c r="HI643" s="27" t="s">
        <v>8</v>
      </c>
      <c r="JD643" s="27" t="s">
        <v>7</v>
      </c>
      <c r="KS643" s="27" t="s">
        <v>8</v>
      </c>
      <c r="KT643" s="27" t="s">
        <v>7</v>
      </c>
      <c r="KU643" s="27" t="s">
        <v>8</v>
      </c>
      <c r="KV643" s="27" t="s">
        <v>7</v>
      </c>
      <c r="KW643" s="27" t="s">
        <v>8</v>
      </c>
      <c r="KX643" s="27" t="s">
        <v>7</v>
      </c>
      <c r="LC643" s="27" t="s">
        <v>8</v>
      </c>
      <c r="LD643" s="27" t="s">
        <v>7</v>
      </c>
      <c r="LE643" s="27" t="s">
        <v>8</v>
      </c>
      <c r="LF643" s="27" t="s">
        <v>7</v>
      </c>
      <c r="LG643" s="27" t="s">
        <v>8</v>
      </c>
      <c r="LM643" s="27" t="s">
        <v>8</v>
      </c>
      <c r="LN643" s="27" t="s">
        <v>7</v>
      </c>
      <c r="LQ643" s="27" t="s">
        <v>8</v>
      </c>
      <c r="LR643" s="27" t="s">
        <v>7</v>
      </c>
      <c r="MA643" s="27" t="s">
        <v>8</v>
      </c>
      <c r="MB643" s="27" t="s">
        <v>7</v>
      </c>
      <c r="MO643" s="27" t="s">
        <v>8</v>
      </c>
      <c r="MP643" s="27" t="s">
        <v>7</v>
      </c>
      <c r="NB643" s="27" t="s">
        <v>7</v>
      </c>
      <c r="NC643" s="27" t="s">
        <v>8</v>
      </c>
      <c r="ND643" s="27" t="s">
        <v>7</v>
      </c>
      <c r="NE643" s="27" t="s">
        <v>8</v>
      </c>
      <c r="NF643" s="27" t="s">
        <v>7</v>
      </c>
      <c r="NG643" s="27" t="s">
        <v>8</v>
      </c>
      <c r="NH643" s="27" t="s">
        <v>7</v>
      </c>
      <c r="NI643" s="27" t="s">
        <v>8</v>
      </c>
      <c r="NJ643" s="27" t="s">
        <v>7</v>
      </c>
      <c r="NL643" s="27" t="s">
        <v>7</v>
      </c>
      <c r="NM643" s="27" t="s">
        <v>8</v>
      </c>
      <c r="NT643" s="27" t="s">
        <v>7</v>
      </c>
      <c r="NU643" s="27" t="s">
        <v>8</v>
      </c>
      <c r="NV643" s="27" t="s">
        <v>7</v>
      </c>
      <c r="NW643" s="27" t="s">
        <v>8</v>
      </c>
      <c r="NX643" s="27" t="s">
        <v>7</v>
      </c>
      <c r="NY643" s="27" t="s">
        <v>8</v>
      </c>
      <c r="NZ643" s="27" t="s">
        <v>7</v>
      </c>
    </row>
    <row r="644" spans="1:392" x14ac:dyDescent="0.25">
      <c r="A644" s="7">
        <v>0.32343737942449713</v>
      </c>
      <c r="B644"/>
      <c r="C644"/>
      <c r="D644"/>
      <c r="E644"/>
      <c r="F644" s="27" t="s">
        <v>7</v>
      </c>
      <c r="GU644" s="27" t="s">
        <v>8</v>
      </c>
      <c r="GV644" s="27" t="s">
        <v>7</v>
      </c>
      <c r="GW644" s="27" t="s">
        <v>8</v>
      </c>
      <c r="GZ644" s="27" t="s">
        <v>7</v>
      </c>
      <c r="HA644" s="27" t="s">
        <v>8</v>
      </c>
      <c r="HD644" s="27" t="s">
        <v>7</v>
      </c>
      <c r="HE644" s="27" t="s">
        <v>8</v>
      </c>
      <c r="HI644" s="27" t="s">
        <v>8</v>
      </c>
      <c r="JD644" s="27" t="s">
        <v>7</v>
      </c>
      <c r="JE644" s="27" t="s">
        <v>8</v>
      </c>
      <c r="KS644" s="27" t="s">
        <v>8</v>
      </c>
      <c r="KT644" s="27" t="s">
        <v>7</v>
      </c>
      <c r="KU644" s="27" t="s">
        <v>8</v>
      </c>
      <c r="KV644" s="27" t="s">
        <v>7</v>
      </c>
      <c r="KW644" s="27" t="s">
        <v>8</v>
      </c>
      <c r="KX644" s="27" t="s">
        <v>7</v>
      </c>
      <c r="KY644" s="27" t="s">
        <v>8</v>
      </c>
      <c r="LC644" s="27" t="s">
        <v>8</v>
      </c>
      <c r="LD644" s="27" t="s">
        <v>7</v>
      </c>
      <c r="LE644" s="27" t="s">
        <v>8</v>
      </c>
      <c r="LF644" s="27" t="s">
        <v>7</v>
      </c>
      <c r="LG644" s="27" t="s">
        <v>8</v>
      </c>
      <c r="LH644" s="27" t="s">
        <v>7</v>
      </c>
      <c r="LI644" s="27" t="s">
        <v>8</v>
      </c>
      <c r="LM644" s="27" t="s">
        <v>8</v>
      </c>
      <c r="LN644" s="27" t="s">
        <v>7</v>
      </c>
      <c r="LQ644" s="27" t="s">
        <v>8</v>
      </c>
      <c r="LR644" s="27" t="s">
        <v>7</v>
      </c>
      <c r="MA644" s="27" t="s">
        <v>8</v>
      </c>
      <c r="MB644" s="27" t="s">
        <v>7</v>
      </c>
      <c r="MO644" s="27" t="s">
        <v>8</v>
      </c>
      <c r="NB644" s="27" t="s">
        <v>7</v>
      </c>
      <c r="NC644" s="27" t="s">
        <v>8</v>
      </c>
      <c r="ND644" s="27" t="s">
        <v>7</v>
      </c>
      <c r="NE644" s="27" t="s">
        <v>8</v>
      </c>
      <c r="NF644" s="27" t="s">
        <v>7</v>
      </c>
      <c r="NG644" s="27" t="s">
        <v>8</v>
      </c>
      <c r="NH644" s="27" t="s">
        <v>7</v>
      </c>
      <c r="NI644" s="27" t="s">
        <v>8</v>
      </c>
      <c r="NL644" s="27" t="s">
        <v>7</v>
      </c>
      <c r="NM644" s="27" t="s">
        <v>8</v>
      </c>
      <c r="NT644" s="27" t="s">
        <v>7</v>
      </c>
      <c r="NU644" s="27" t="s">
        <v>8</v>
      </c>
      <c r="NV644" s="27" t="s">
        <v>7</v>
      </c>
      <c r="NW644" s="27" t="s">
        <v>8</v>
      </c>
      <c r="NX644" s="27" t="s">
        <v>7</v>
      </c>
      <c r="NY644" s="27" t="s">
        <v>8</v>
      </c>
      <c r="NZ644" s="27" t="s">
        <v>7</v>
      </c>
    </row>
    <row r="645" spans="1:392" x14ac:dyDescent="0.25">
      <c r="A645" s="7">
        <v>0.31709547002401678</v>
      </c>
      <c r="B645"/>
      <c r="C645"/>
      <c r="D645"/>
      <c r="E645"/>
      <c r="F645" s="27" t="s">
        <v>7</v>
      </c>
      <c r="GU645" s="27" t="s">
        <v>8</v>
      </c>
      <c r="GV645" s="27" t="s">
        <v>7</v>
      </c>
      <c r="GW645" s="27" t="s">
        <v>8</v>
      </c>
      <c r="GZ645" s="27" t="s">
        <v>7</v>
      </c>
      <c r="HD645" s="27" t="s">
        <v>7</v>
      </c>
      <c r="HE645" s="27" t="s">
        <v>8</v>
      </c>
      <c r="HF645" s="27" t="s">
        <v>7</v>
      </c>
      <c r="HG645" s="27" t="s">
        <v>8</v>
      </c>
      <c r="HI645" s="27" t="s">
        <v>8</v>
      </c>
      <c r="JD645" s="27" t="s">
        <v>7</v>
      </c>
      <c r="JE645" s="27" t="s">
        <v>8</v>
      </c>
      <c r="JF645" s="27" t="s">
        <v>7</v>
      </c>
      <c r="KS645" s="27" t="s">
        <v>8</v>
      </c>
      <c r="KT645" s="27" t="s">
        <v>7</v>
      </c>
      <c r="KU645" s="27" t="s">
        <v>8</v>
      </c>
      <c r="KV645" s="27" t="s">
        <v>7</v>
      </c>
      <c r="KW645" s="27" t="s">
        <v>8</v>
      </c>
      <c r="KX645" s="27" t="s">
        <v>7</v>
      </c>
      <c r="KY645" s="27" t="s">
        <v>8</v>
      </c>
      <c r="KZ645" s="27" t="s">
        <v>7</v>
      </c>
      <c r="LC645" s="27" t="s">
        <v>8</v>
      </c>
      <c r="LD645" s="27" t="s">
        <v>7</v>
      </c>
      <c r="LE645" s="27" t="s">
        <v>8</v>
      </c>
      <c r="LF645" s="27" t="s">
        <v>7</v>
      </c>
      <c r="LG645" s="27" t="s">
        <v>8</v>
      </c>
      <c r="LH645" s="27" t="s">
        <v>7</v>
      </c>
      <c r="LI645" s="27" t="s">
        <v>8</v>
      </c>
      <c r="LJ645" s="27" t="s">
        <v>7</v>
      </c>
      <c r="LK645" s="27" t="s">
        <v>8</v>
      </c>
      <c r="LM645" s="27" t="s">
        <v>8</v>
      </c>
      <c r="LN645" s="27" t="s">
        <v>7</v>
      </c>
      <c r="LQ645" s="27" t="s">
        <v>8</v>
      </c>
      <c r="LR645" s="27" t="s">
        <v>7</v>
      </c>
      <c r="MA645" s="27" t="s">
        <v>8</v>
      </c>
      <c r="MB645" s="27" t="s">
        <v>7</v>
      </c>
      <c r="MK645" s="27" t="s">
        <v>8</v>
      </c>
      <c r="MO645" s="27" t="s">
        <v>8</v>
      </c>
      <c r="NB645" s="27" t="s">
        <v>7</v>
      </c>
      <c r="NC645" s="27" t="s">
        <v>8</v>
      </c>
      <c r="ND645" s="27" t="s">
        <v>7</v>
      </c>
      <c r="NE645" s="27" t="s">
        <v>8</v>
      </c>
      <c r="NF645" s="27" t="s">
        <v>7</v>
      </c>
      <c r="NH645" s="27" t="s">
        <v>7</v>
      </c>
      <c r="NI645" s="27" t="s">
        <v>8</v>
      </c>
      <c r="NL645" s="27" t="s">
        <v>7</v>
      </c>
      <c r="NT645" s="27" t="s">
        <v>7</v>
      </c>
      <c r="NU645" s="27" t="s">
        <v>8</v>
      </c>
      <c r="NV645" s="27" t="s">
        <v>7</v>
      </c>
      <c r="NW645" s="27" t="s">
        <v>8</v>
      </c>
      <c r="NX645" s="27" t="s">
        <v>7</v>
      </c>
      <c r="NZ645" s="27" t="s">
        <v>7</v>
      </c>
    </row>
    <row r="646" spans="1:392" x14ac:dyDescent="0.25">
      <c r="A646" s="7">
        <v>0.31087791178825175</v>
      </c>
      <c r="B646"/>
      <c r="C646"/>
      <c r="D646"/>
      <c r="E646"/>
      <c r="F646" s="27" t="s">
        <v>7</v>
      </c>
      <c r="GU646" s="27" t="s">
        <v>8</v>
      </c>
      <c r="GV646" s="27" t="s">
        <v>7</v>
      </c>
      <c r="GW646" s="27" t="s">
        <v>8</v>
      </c>
      <c r="HD646" s="27" t="s">
        <v>7</v>
      </c>
      <c r="HE646" s="27" t="s">
        <v>8</v>
      </c>
      <c r="HF646" s="27" t="s">
        <v>7</v>
      </c>
      <c r="HG646" s="27" t="s">
        <v>8</v>
      </c>
      <c r="HH646" s="27" t="s">
        <v>7</v>
      </c>
      <c r="HI646" s="27" t="s">
        <v>8</v>
      </c>
      <c r="JD646" s="27" t="s">
        <v>7</v>
      </c>
      <c r="JE646" s="27" t="s">
        <v>8</v>
      </c>
      <c r="JF646" s="27" t="s">
        <v>7</v>
      </c>
      <c r="JM646" s="27" t="s">
        <v>8</v>
      </c>
      <c r="KM646" s="27" t="s">
        <v>8</v>
      </c>
      <c r="KS646" s="27" t="s">
        <v>8</v>
      </c>
      <c r="KT646" s="27" t="s">
        <v>7</v>
      </c>
      <c r="KU646" s="27" t="s">
        <v>8</v>
      </c>
      <c r="KV646" s="27" t="s">
        <v>7</v>
      </c>
      <c r="KW646" s="27" t="s">
        <v>8</v>
      </c>
      <c r="KX646" s="27" t="s">
        <v>7</v>
      </c>
      <c r="KY646" s="27" t="s">
        <v>8</v>
      </c>
      <c r="KZ646" s="27" t="s">
        <v>7</v>
      </c>
      <c r="LA646" s="27" t="s">
        <v>8</v>
      </c>
      <c r="LC646" s="27" t="s">
        <v>8</v>
      </c>
      <c r="LD646" s="27" t="s">
        <v>7</v>
      </c>
      <c r="LE646" s="27" t="s">
        <v>8</v>
      </c>
      <c r="LF646" s="27" t="s">
        <v>7</v>
      </c>
      <c r="LG646" s="27" t="s">
        <v>8</v>
      </c>
      <c r="LH646" s="27" t="s">
        <v>7</v>
      </c>
      <c r="LI646" s="27" t="s">
        <v>8</v>
      </c>
      <c r="LJ646" s="27" t="s">
        <v>7</v>
      </c>
      <c r="LK646" s="27" t="s">
        <v>8</v>
      </c>
      <c r="LL646" s="27" t="s">
        <v>7</v>
      </c>
      <c r="LM646" s="27" t="s">
        <v>8</v>
      </c>
      <c r="LN646" s="27" t="s">
        <v>7</v>
      </c>
      <c r="LQ646" s="27" t="s">
        <v>8</v>
      </c>
      <c r="LR646" s="27" t="s">
        <v>7</v>
      </c>
      <c r="LY646" s="27" t="s">
        <v>8</v>
      </c>
      <c r="MA646" s="27" t="s">
        <v>8</v>
      </c>
      <c r="MB646" s="27" t="s">
        <v>7</v>
      </c>
      <c r="MK646" s="27" t="s">
        <v>8</v>
      </c>
      <c r="ML646" s="27" t="s">
        <v>7</v>
      </c>
      <c r="MO646" s="27" t="s">
        <v>8</v>
      </c>
      <c r="NB646" s="27" t="s">
        <v>7</v>
      </c>
      <c r="NC646" s="27" t="s">
        <v>8</v>
      </c>
      <c r="ND646" s="27" t="s">
        <v>7</v>
      </c>
      <c r="NE646" s="27" t="s">
        <v>8</v>
      </c>
      <c r="NH646" s="27" t="s">
        <v>7</v>
      </c>
      <c r="NI646" s="27" t="s">
        <v>8</v>
      </c>
      <c r="NT646" s="27" t="s">
        <v>7</v>
      </c>
      <c r="NU646" s="27" t="s">
        <v>8</v>
      </c>
      <c r="NV646" s="27" t="s">
        <v>7</v>
      </c>
      <c r="NW646" s="27" t="s">
        <v>8</v>
      </c>
      <c r="NZ646" s="27" t="s">
        <v>7</v>
      </c>
      <c r="OA646" s="27" t="s">
        <v>8</v>
      </c>
    </row>
    <row r="647" spans="1:392" x14ac:dyDescent="0.25">
      <c r="A647" s="7">
        <v>0.30478226645907036</v>
      </c>
      <c r="B647"/>
      <c r="C647"/>
      <c r="D647"/>
      <c r="E647"/>
      <c r="F647" s="27" t="s">
        <v>7</v>
      </c>
      <c r="GU647" s="27" t="s">
        <v>8</v>
      </c>
      <c r="GV647" s="27" t="s">
        <v>7</v>
      </c>
      <c r="GW647" s="27" t="s">
        <v>8</v>
      </c>
      <c r="HD647" s="27" t="s">
        <v>7</v>
      </c>
      <c r="HE647" s="27" t="s">
        <v>8</v>
      </c>
      <c r="HF647" s="27" t="s">
        <v>7</v>
      </c>
      <c r="HG647" s="27" t="s">
        <v>8</v>
      </c>
      <c r="HH647" s="27" t="s">
        <v>7</v>
      </c>
      <c r="HI647" s="27" t="s">
        <v>8</v>
      </c>
      <c r="JD647" s="27" t="s">
        <v>7</v>
      </c>
      <c r="JE647" s="27" t="s">
        <v>8</v>
      </c>
      <c r="JF647" s="27" t="s">
        <v>7</v>
      </c>
      <c r="JM647" s="27" t="s">
        <v>8</v>
      </c>
      <c r="JN647" s="27" t="s">
        <v>7</v>
      </c>
      <c r="KM647" s="27" t="s">
        <v>8</v>
      </c>
      <c r="KN647" s="27" t="s">
        <v>7</v>
      </c>
      <c r="KS647" s="27" t="s">
        <v>8</v>
      </c>
      <c r="KT647" s="27" t="s">
        <v>7</v>
      </c>
      <c r="KU647" s="27" t="s">
        <v>8</v>
      </c>
      <c r="KV647" s="27" t="s">
        <v>7</v>
      </c>
      <c r="KW647" s="27" t="s">
        <v>8</v>
      </c>
      <c r="KX647" s="27" t="s">
        <v>7</v>
      </c>
      <c r="KY647" s="27" t="s">
        <v>8</v>
      </c>
      <c r="KZ647" s="27" t="s">
        <v>7</v>
      </c>
      <c r="LA647" s="27" t="s">
        <v>8</v>
      </c>
      <c r="LB647" s="27" t="s">
        <v>7</v>
      </c>
      <c r="LC647" s="27" t="s">
        <v>8</v>
      </c>
      <c r="LD647" s="27" t="s">
        <v>7</v>
      </c>
      <c r="LE647" s="27" t="s">
        <v>8</v>
      </c>
      <c r="LF647" s="27" t="s">
        <v>7</v>
      </c>
      <c r="LG647" s="27" t="s">
        <v>8</v>
      </c>
      <c r="LH647" s="27" t="s">
        <v>7</v>
      </c>
      <c r="LI647" s="27" t="s">
        <v>8</v>
      </c>
      <c r="LJ647" s="27" t="s">
        <v>7</v>
      </c>
      <c r="LK647" s="27" t="s">
        <v>8</v>
      </c>
      <c r="LL647" s="27" t="s">
        <v>7</v>
      </c>
      <c r="LM647" s="27" t="s">
        <v>8</v>
      </c>
      <c r="LN647" s="27" t="s">
        <v>7</v>
      </c>
      <c r="LQ647" s="27" t="s">
        <v>8</v>
      </c>
      <c r="LR647" s="27" t="s">
        <v>7</v>
      </c>
      <c r="LY647" s="27" t="s">
        <v>8</v>
      </c>
      <c r="LZ647" s="27" t="s">
        <v>7</v>
      </c>
      <c r="MA647" s="27" t="s">
        <v>8</v>
      </c>
      <c r="MB647" s="27" t="s">
        <v>7</v>
      </c>
      <c r="MC647" s="27" t="s">
        <v>8</v>
      </c>
      <c r="MI647" s="27" t="s">
        <v>8</v>
      </c>
      <c r="MK647" s="27" t="s">
        <v>8</v>
      </c>
      <c r="ML647" s="27" t="s">
        <v>7</v>
      </c>
      <c r="MO647" s="27" t="s">
        <v>8</v>
      </c>
      <c r="NB647" s="27" t="s">
        <v>7</v>
      </c>
      <c r="NC647" s="27" t="s">
        <v>8</v>
      </c>
      <c r="ND647" s="27" t="s">
        <v>7</v>
      </c>
      <c r="NE647" s="27" t="s">
        <v>8</v>
      </c>
      <c r="NH647" s="27" t="s">
        <v>7</v>
      </c>
      <c r="NI647" s="27" t="s">
        <v>8</v>
      </c>
      <c r="NT647" s="27" t="s">
        <v>7</v>
      </c>
      <c r="NU647" s="27" t="s">
        <v>8</v>
      </c>
      <c r="NV647" s="27" t="s">
        <v>7</v>
      </c>
      <c r="NW647" s="27" t="s">
        <v>8</v>
      </c>
      <c r="NZ647" s="27" t="s">
        <v>7</v>
      </c>
      <c r="OA647" s="27" t="s">
        <v>8</v>
      </c>
      <c r="OB647" s="27" t="s">
        <v>7</v>
      </c>
    </row>
    <row r="648" spans="1:392" x14ac:dyDescent="0.25">
      <c r="A648" s="7">
        <v>0.29880614358732388</v>
      </c>
      <c r="B648"/>
      <c r="C648"/>
      <c r="D648"/>
      <c r="E648"/>
      <c r="F648" s="27" t="s">
        <v>7</v>
      </c>
      <c r="GU648" s="27" t="s">
        <v>8</v>
      </c>
      <c r="GV648" s="27" t="s">
        <v>7</v>
      </c>
      <c r="GW648" s="27" t="s">
        <v>8</v>
      </c>
      <c r="HD648" s="27" t="s">
        <v>7</v>
      </c>
      <c r="HE648" s="27" t="s">
        <v>8</v>
      </c>
      <c r="HF648" s="27" t="s">
        <v>7</v>
      </c>
      <c r="HG648" s="27" t="s">
        <v>8</v>
      </c>
      <c r="HH648" s="27" t="s">
        <v>7</v>
      </c>
      <c r="HI648" s="27" t="s">
        <v>8</v>
      </c>
      <c r="JD648" s="27" t="s">
        <v>7</v>
      </c>
      <c r="JE648" s="27" t="s">
        <v>8</v>
      </c>
      <c r="JF648" s="27" t="s">
        <v>7</v>
      </c>
      <c r="JM648" s="27" t="s">
        <v>8</v>
      </c>
      <c r="JN648" s="27" t="s">
        <v>7</v>
      </c>
      <c r="KM648" s="27" t="s">
        <v>8</v>
      </c>
      <c r="KN648" s="27" t="s">
        <v>7</v>
      </c>
      <c r="KS648" s="27" t="s">
        <v>8</v>
      </c>
      <c r="KT648" s="27" t="s">
        <v>7</v>
      </c>
      <c r="KU648" s="27" t="s">
        <v>8</v>
      </c>
      <c r="KV648" s="27" t="s">
        <v>7</v>
      </c>
      <c r="KX648" s="27" t="s">
        <v>7</v>
      </c>
      <c r="KY648" s="27" t="s">
        <v>8</v>
      </c>
      <c r="KZ648" s="27" t="s">
        <v>7</v>
      </c>
      <c r="LA648" s="27" t="s">
        <v>8</v>
      </c>
      <c r="LB648" s="27" t="s">
        <v>7</v>
      </c>
      <c r="LC648" s="27" t="s">
        <v>8</v>
      </c>
      <c r="LD648" s="27" t="s">
        <v>7</v>
      </c>
      <c r="LF648" s="27" t="s">
        <v>7</v>
      </c>
      <c r="LG648" s="27" t="s">
        <v>8</v>
      </c>
      <c r="LH648" s="27" t="s">
        <v>7</v>
      </c>
      <c r="LI648" s="27" t="s">
        <v>8</v>
      </c>
      <c r="LJ648" s="27" t="s">
        <v>7</v>
      </c>
      <c r="LK648" s="27" t="s">
        <v>8</v>
      </c>
      <c r="LL648" s="27" t="s">
        <v>7</v>
      </c>
      <c r="LM648" s="27" t="s">
        <v>8</v>
      </c>
      <c r="LN648" s="27" t="s">
        <v>7</v>
      </c>
      <c r="LQ648" s="27" t="s">
        <v>8</v>
      </c>
      <c r="LR648" s="27" t="s">
        <v>7</v>
      </c>
      <c r="LY648" s="27" t="s">
        <v>8</v>
      </c>
      <c r="LZ648" s="27" t="s">
        <v>7</v>
      </c>
      <c r="MA648" s="27" t="s">
        <v>8</v>
      </c>
      <c r="MB648" s="27" t="s">
        <v>7</v>
      </c>
      <c r="MC648" s="27" t="s">
        <v>8</v>
      </c>
      <c r="MD648" s="27" t="s">
        <v>7</v>
      </c>
      <c r="MI648" s="27" t="s">
        <v>8</v>
      </c>
      <c r="MJ648" s="27" t="s">
        <v>7</v>
      </c>
      <c r="MK648" s="27" t="s">
        <v>8</v>
      </c>
      <c r="ML648" s="27" t="s">
        <v>7</v>
      </c>
      <c r="MM648" s="27" t="s">
        <v>8</v>
      </c>
      <c r="MO648" s="27" t="s">
        <v>8</v>
      </c>
      <c r="NB648" s="27" t="s">
        <v>7</v>
      </c>
      <c r="NC648" s="27" t="s">
        <v>8</v>
      </c>
      <c r="ND648" s="27" t="s">
        <v>7</v>
      </c>
      <c r="NE648" s="27" t="s">
        <v>8</v>
      </c>
      <c r="NH648" s="27" t="s">
        <v>7</v>
      </c>
      <c r="NI648" s="27" t="s">
        <v>8</v>
      </c>
      <c r="NT648" s="27" t="s">
        <v>7</v>
      </c>
      <c r="NU648" s="27" t="s">
        <v>8</v>
      </c>
      <c r="NV648" s="27" t="s">
        <v>7</v>
      </c>
      <c r="NW648" s="27" t="s">
        <v>8</v>
      </c>
      <c r="NZ648" s="27" t="s">
        <v>7</v>
      </c>
      <c r="OA648" s="27" t="s">
        <v>8</v>
      </c>
      <c r="OB648" s="27" t="s">
        <v>7</v>
      </c>
    </row>
    <row r="649" spans="1:392" x14ac:dyDescent="0.25">
      <c r="A649" s="7">
        <v>0.2929471995954156</v>
      </c>
      <c r="B649"/>
      <c r="C649"/>
      <c r="D649"/>
      <c r="E649"/>
      <c r="F649" s="27" t="s">
        <v>7</v>
      </c>
      <c r="GU649" s="27" t="s">
        <v>8</v>
      </c>
      <c r="GV649" s="27" t="s">
        <v>7</v>
      </c>
      <c r="GW649" s="27" t="s">
        <v>8</v>
      </c>
      <c r="HD649" s="27" t="s">
        <v>7</v>
      </c>
      <c r="HE649" s="27" t="s">
        <v>8</v>
      </c>
      <c r="HF649" s="27" t="s">
        <v>7</v>
      </c>
      <c r="HG649" s="27" t="s">
        <v>8</v>
      </c>
      <c r="HH649" s="27" t="s">
        <v>7</v>
      </c>
      <c r="HI649" s="27" t="s">
        <v>8</v>
      </c>
      <c r="JD649" s="27" t="s">
        <v>7</v>
      </c>
      <c r="JE649" s="27" t="s">
        <v>8</v>
      </c>
      <c r="JF649" s="27" t="s">
        <v>7</v>
      </c>
      <c r="JM649" s="27" t="s">
        <v>8</v>
      </c>
      <c r="JN649" s="27" t="s">
        <v>7</v>
      </c>
      <c r="KM649" s="27" t="s">
        <v>8</v>
      </c>
      <c r="KN649" s="27" t="s">
        <v>7</v>
      </c>
      <c r="KO649" s="27" t="s">
        <v>8</v>
      </c>
      <c r="KS649" s="27" t="s">
        <v>8</v>
      </c>
      <c r="KT649" s="27" t="s">
        <v>7</v>
      </c>
      <c r="KU649" s="27" t="s">
        <v>8</v>
      </c>
      <c r="KX649" s="27" t="s">
        <v>7</v>
      </c>
      <c r="KY649" s="27" t="s">
        <v>8</v>
      </c>
      <c r="KZ649" s="27" t="s">
        <v>7</v>
      </c>
      <c r="LA649" s="27" t="s">
        <v>8</v>
      </c>
      <c r="LB649" s="27" t="s">
        <v>7</v>
      </c>
      <c r="LC649" s="27" t="s">
        <v>8</v>
      </c>
      <c r="LF649" s="27" t="s">
        <v>7</v>
      </c>
      <c r="LG649" s="27" t="s">
        <v>8</v>
      </c>
      <c r="LH649" s="27" t="s">
        <v>7</v>
      </c>
      <c r="LI649" s="27" t="s">
        <v>8</v>
      </c>
      <c r="LJ649" s="27" t="s">
        <v>7</v>
      </c>
      <c r="LK649" s="27" t="s">
        <v>8</v>
      </c>
      <c r="LL649" s="27" t="s">
        <v>7</v>
      </c>
      <c r="LM649" s="27" t="s">
        <v>8</v>
      </c>
      <c r="LN649" s="27" t="s">
        <v>7</v>
      </c>
      <c r="LQ649" s="27" t="s">
        <v>8</v>
      </c>
      <c r="LR649" s="27" t="s">
        <v>7</v>
      </c>
      <c r="LY649" s="27" t="s">
        <v>8</v>
      </c>
      <c r="LZ649" s="27" t="s">
        <v>7</v>
      </c>
      <c r="MA649" s="27" t="s">
        <v>8</v>
      </c>
      <c r="MB649" s="27" t="s">
        <v>7</v>
      </c>
      <c r="MC649" s="27" t="s">
        <v>8</v>
      </c>
      <c r="MD649" s="27" t="s">
        <v>7</v>
      </c>
      <c r="MI649" s="27" t="s">
        <v>8</v>
      </c>
      <c r="MJ649" s="27" t="s">
        <v>7</v>
      </c>
      <c r="MK649" s="27" t="s">
        <v>8</v>
      </c>
      <c r="ML649" s="27" t="s">
        <v>7</v>
      </c>
      <c r="MM649" s="27" t="s">
        <v>8</v>
      </c>
      <c r="MN649" s="27" t="s">
        <v>7</v>
      </c>
      <c r="MO649" s="27" t="s">
        <v>8</v>
      </c>
      <c r="NB649" s="27" t="s">
        <v>7</v>
      </c>
      <c r="NC649" s="27" t="s">
        <v>8</v>
      </c>
      <c r="ND649" s="27" t="s">
        <v>7</v>
      </c>
      <c r="NE649" s="27" t="s">
        <v>8</v>
      </c>
      <c r="NH649" s="27" t="s">
        <v>7</v>
      </c>
      <c r="NT649" s="27" t="s">
        <v>7</v>
      </c>
      <c r="NV649" s="27" t="s">
        <v>7</v>
      </c>
      <c r="NZ649" s="27" t="s">
        <v>7</v>
      </c>
      <c r="OB649" s="27" t="s">
        <v>7</v>
      </c>
    </row>
    <row r="650" spans="1:392" x14ac:dyDescent="0.25">
      <c r="A650" s="7">
        <v>0.28720313685825055</v>
      </c>
      <c r="B650"/>
      <c r="C650"/>
      <c r="D650"/>
      <c r="E650"/>
      <c r="F650" s="27" t="s">
        <v>7</v>
      </c>
      <c r="GU650" s="27" t="s">
        <v>8</v>
      </c>
      <c r="GV650" s="27" t="s">
        <v>7</v>
      </c>
      <c r="HD650" s="27" t="s">
        <v>7</v>
      </c>
      <c r="HE650" s="27" t="s">
        <v>8</v>
      </c>
      <c r="HF650" s="27" t="s">
        <v>7</v>
      </c>
      <c r="HG650" s="27" t="s">
        <v>8</v>
      </c>
      <c r="HH650" s="27" t="s">
        <v>7</v>
      </c>
      <c r="HI650" s="27" t="s">
        <v>8</v>
      </c>
      <c r="JD650" s="27" t="s">
        <v>7</v>
      </c>
      <c r="JE650" s="27" t="s">
        <v>8</v>
      </c>
      <c r="JF650" s="27" t="s">
        <v>7</v>
      </c>
      <c r="JK650" s="27" t="s">
        <v>8</v>
      </c>
      <c r="JM650" s="27" t="s">
        <v>8</v>
      </c>
      <c r="JN650" s="27" t="s">
        <v>7</v>
      </c>
      <c r="KM650" s="27" t="s">
        <v>8</v>
      </c>
      <c r="KN650" s="27" t="s">
        <v>7</v>
      </c>
      <c r="KO650" s="27" t="s">
        <v>8</v>
      </c>
      <c r="KP650" s="27" t="s">
        <v>7</v>
      </c>
      <c r="KQ650" s="27" t="s">
        <v>8</v>
      </c>
      <c r="KS650" s="27" t="s">
        <v>8</v>
      </c>
      <c r="KT650" s="27" t="s">
        <v>7</v>
      </c>
      <c r="KU650" s="27" t="s">
        <v>8</v>
      </c>
      <c r="KX650" s="27" t="s">
        <v>7</v>
      </c>
      <c r="KY650" s="27" t="s">
        <v>8</v>
      </c>
      <c r="KZ650" s="27" t="s">
        <v>7</v>
      </c>
      <c r="LA650" s="27" t="s">
        <v>8</v>
      </c>
      <c r="LB650" s="27" t="s">
        <v>7</v>
      </c>
      <c r="LC650" s="27" t="s">
        <v>8</v>
      </c>
      <c r="LF650" s="27" t="s">
        <v>7</v>
      </c>
      <c r="LG650" s="27" t="s">
        <v>8</v>
      </c>
      <c r="LH650" s="27" t="s">
        <v>7</v>
      </c>
      <c r="LJ650" s="27" t="s">
        <v>7</v>
      </c>
      <c r="LK650" s="27" t="s">
        <v>8</v>
      </c>
      <c r="LL650" s="27" t="s">
        <v>7</v>
      </c>
      <c r="LM650" s="27" t="s">
        <v>8</v>
      </c>
      <c r="LN650" s="27" t="s">
        <v>7</v>
      </c>
      <c r="LO650" s="27" t="s">
        <v>8</v>
      </c>
      <c r="LQ650" s="27" t="s">
        <v>8</v>
      </c>
      <c r="LR650" s="27" t="s">
        <v>7</v>
      </c>
      <c r="LY650" s="27" t="s">
        <v>8</v>
      </c>
      <c r="LZ650" s="27" t="s">
        <v>7</v>
      </c>
      <c r="MA650" s="27" t="s">
        <v>8</v>
      </c>
      <c r="MB650" s="27" t="s">
        <v>7</v>
      </c>
      <c r="MC650" s="27" t="s">
        <v>8</v>
      </c>
      <c r="MD650" s="27" t="s">
        <v>7</v>
      </c>
      <c r="ME650" s="27" t="s">
        <v>8</v>
      </c>
      <c r="MI650" s="27" t="s">
        <v>8</v>
      </c>
      <c r="MJ650" s="27" t="s">
        <v>7</v>
      </c>
      <c r="MK650" s="27" t="s">
        <v>8</v>
      </c>
      <c r="ML650" s="27" t="s">
        <v>7</v>
      </c>
      <c r="MM650" s="27" t="s">
        <v>8</v>
      </c>
      <c r="MN650" s="27" t="s">
        <v>7</v>
      </c>
      <c r="MO650" s="27" t="s">
        <v>8</v>
      </c>
      <c r="NB650" s="27" t="s">
        <v>7</v>
      </c>
      <c r="ND650" s="27" t="s">
        <v>7</v>
      </c>
      <c r="NE650" s="27" t="s">
        <v>8</v>
      </c>
      <c r="OB650" s="27" t="s">
        <v>7</v>
      </c>
    </row>
    <row r="651" spans="1:392" x14ac:dyDescent="0.25">
      <c r="A651" s="7">
        <v>0.28157170280220645</v>
      </c>
      <c r="B651"/>
      <c r="C651"/>
      <c r="D651"/>
      <c r="E651"/>
      <c r="F651" s="27" t="s">
        <v>7</v>
      </c>
      <c r="GU651" s="27" t="s">
        <v>8</v>
      </c>
      <c r="HD651" s="27" t="s">
        <v>7</v>
      </c>
      <c r="HE651" s="27" t="s">
        <v>8</v>
      </c>
      <c r="HF651" s="27" t="s">
        <v>7</v>
      </c>
      <c r="HG651" s="27" t="s">
        <v>8</v>
      </c>
      <c r="HH651" s="27" t="s">
        <v>7</v>
      </c>
      <c r="JD651" s="27" t="s">
        <v>7</v>
      </c>
      <c r="JE651" s="27" t="s">
        <v>8</v>
      </c>
      <c r="JF651" s="27" t="s">
        <v>7</v>
      </c>
      <c r="JK651" s="27" t="s">
        <v>8</v>
      </c>
      <c r="JL651" s="27" t="s">
        <v>7</v>
      </c>
      <c r="JM651" s="27" t="s">
        <v>8</v>
      </c>
      <c r="JN651" s="27" t="s">
        <v>7</v>
      </c>
      <c r="KM651" s="27" t="s">
        <v>8</v>
      </c>
      <c r="KN651" s="27" t="s">
        <v>7</v>
      </c>
      <c r="KO651" s="27" t="s">
        <v>8</v>
      </c>
      <c r="KP651" s="27" t="s">
        <v>7</v>
      </c>
      <c r="KQ651" s="27" t="s">
        <v>8</v>
      </c>
      <c r="KR651" s="27" t="s">
        <v>7</v>
      </c>
      <c r="KS651" s="27" t="s">
        <v>8</v>
      </c>
      <c r="KT651" s="27" t="s">
        <v>7</v>
      </c>
      <c r="KX651" s="27" t="s">
        <v>7</v>
      </c>
      <c r="KY651" s="27" t="s">
        <v>8</v>
      </c>
      <c r="KZ651" s="27" t="s">
        <v>7</v>
      </c>
      <c r="LA651" s="27" t="s">
        <v>8</v>
      </c>
      <c r="LB651" s="27" t="s">
        <v>7</v>
      </c>
      <c r="LC651" s="27" t="s">
        <v>8</v>
      </c>
      <c r="LF651" s="27" t="s">
        <v>7</v>
      </c>
      <c r="LG651" s="27" t="s">
        <v>8</v>
      </c>
      <c r="LJ651" s="27" t="s">
        <v>7</v>
      </c>
      <c r="LK651" s="27" t="s">
        <v>8</v>
      </c>
      <c r="LL651" s="27" t="s">
        <v>7</v>
      </c>
      <c r="LN651" s="27" t="s">
        <v>7</v>
      </c>
      <c r="LO651" s="27" t="s">
        <v>8</v>
      </c>
      <c r="LP651" s="27" t="s">
        <v>7</v>
      </c>
      <c r="LQ651" s="27" t="s">
        <v>8</v>
      </c>
      <c r="LR651" s="27" t="s">
        <v>7</v>
      </c>
      <c r="LU651" s="27" t="s">
        <v>8</v>
      </c>
      <c r="LW651" s="27" t="s">
        <v>8</v>
      </c>
      <c r="LY651" s="27" t="s">
        <v>8</v>
      </c>
      <c r="LZ651" s="27" t="s">
        <v>7</v>
      </c>
      <c r="MA651" s="27" t="s">
        <v>8</v>
      </c>
      <c r="MB651" s="27" t="s">
        <v>7</v>
      </c>
      <c r="MD651" s="27" t="s">
        <v>7</v>
      </c>
      <c r="ME651" s="27" t="s">
        <v>8</v>
      </c>
      <c r="MF651" s="27" t="s">
        <v>7</v>
      </c>
      <c r="MG651" s="27" t="s">
        <v>8</v>
      </c>
      <c r="MI651" s="27" t="s">
        <v>8</v>
      </c>
      <c r="MJ651" s="27" t="s">
        <v>7</v>
      </c>
      <c r="MK651" s="27" t="s">
        <v>8</v>
      </c>
      <c r="ML651" s="27" t="s">
        <v>7</v>
      </c>
      <c r="MM651" s="27" t="s">
        <v>8</v>
      </c>
      <c r="MN651" s="27" t="s">
        <v>7</v>
      </c>
      <c r="MO651" s="27" t="s">
        <v>8</v>
      </c>
      <c r="ND651" s="27" t="s">
        <v>7</v>
      </c>
      <c r="OB651" s="27" t="s">
        <v>7</v>
      </c>
    </row>
    <row r="652" spans="1:392" x14ac:dyDescent="0.25">
      <c r="A652" s="7">
        <v>0.27605068902177105</v>
      </c>
      <c r="B652"/>
      <c r="C652"/>
      <c r="D652"/>
      <c r="E652"/>
      <c r="F652" s="27" t="s">
        <v>7</v>
      </c>
      <c r="GK652" s="27" t="s">
        <v>8</v>
      </c>
      <c r="GS652" s="27" t="s">
        <v>8</v>
      </c>
      <c r="GU652" s="27" t="s">
        <v>8</v>
      </c>
      <c r="HD652" s="27" t="s">
        <v>7</v>
      </c>
      <c r="HE652" s="27" t="s">
        <v>8</v>
      </c>
      <c r="HF652" s="27" t="s">
        <v>7</v>
      </c>
      <c r="HG652" s="27" t="s">
        <v>8</v>
      </c>
      <c r="JD652" s="27" t="s">
        <v>7</v>
      </c>
      <c r="JE652" s="27" t="s">
        <v>8</v>
      </c>
      <c r="JF652" s="27" t="s">
        <v>7</v>
      </c>
      <c r="JK652" s="27" t="s">
        <v>8</v>
      </c>
      <c r="JL652" s="27" t="s">
        <v>7</v>
      </c>
      <c r="JM652" s="27" t="s">
        <v>8</v>
      </c>
      <c r="JN652" s="27" t="s">
        <v>7</v>
      </c>
      <c r="KM652" s="27" t="s">
        <v>8</v>
      </c>
      <c r="KN652" s="27" t="s">
        <v>7</v>
      </c>
      <c r="KO652" s="27" t="s">
        <v>8</v>
      </c>
      <c r="KP652" s="27" t="s">
        <v>7</v>
      </c>
      <c r="KQ652" s="27" t="s">
        <v>8</v>
      </c>
      <c r="KR652" s="27" t="s">
        <v>7</v>
      </c>
      <c r="KS652" s="27" t="s">
        <v>8</v>
      </c>
      <c r="KX652" s="27" t="s">
        <v>7</v>
      </c>
      <c r="KY652" s="27" t="s">
        <v>8</v>
      </c>
      <c r="KZ652" s="27" t="s">
        <v>7</v>
      </c>
      <c r="LA652" s="27" t="s">
        <v>8</v>
      </c>
      <c r="LB652" s="27" t="s">
        <v>7</v>
      </c>
      <c r="LC652" s="27" t="s">
        <v>8</v>
      </c>
      <c r="LF652" s="27" t="s">
        <v>7</v>
      </c>
      <c r="LG652" s="27" t="s">
        <v>8</v>
      </c>
      <c r="LJ652" s="27" t="s">
        <v>7</v>
      </c>
      <c r="LK652" s="27" t="s">
        <v>8</v>
      </c>
      <c r="LN652" s="27" t="s">
        <v>7</v>
      </c>
      <c r="LO652" s="27" t="s">
        <v>8</v>
      </c>
      <c r="LP652" s="27" t="s">
        <v>7</v>
      </c>
      <c r="LQ652" s="27" t="s">
        <v>8</v>
      </c>
      <c r="LR652" s="27" t="s">
        <v>7</v>
      </c>
      <c r="LU652" s="27" t="s">
        <v>8</v>
      </c>
      <c r="LV652" s="27" t="s">
        <v>7</v>
      </c>
      <c r="LW652" s="27" t="s">
        <v>8</v>
      </c>
      <c r="LX652" s="27" t="s">
        <v>7</v>
      </c>
      <c r="LY652" s="27" t="s">
        <v>8</v>
      </c>
      <c r="LZ652" s="27" t="s">
        <v>7</v>
      </c>
      <c r="MA652" s="27" t="s">
        <v>8</v>
      </c>
      <c r="MD652" s="27" t="s">
        <v>7</v>
      </c>
      <c r="ME652" s="27" t="s">
        <v>8</v>
      </c>
      <c r="MF652" s="27" t="s">
        <v>7</v>
      </c>
      <c r="MG652" s="27" t="s">
        <v>8</v>
      </c>
      <c r="MH652" s="27" t="s">
        <v>7</v>
      </c>
      <c r="MI652" s="27" t="s">
        <v>8</v>
      </c>
      <c r="MJ652" s="27" t="s">
        <v>7</v>
      </c>
      <c r="ML652" s="27" t="s">
        <v>7</v>
      </c>
      <c r="MN652" s="27" t="s">
        <v>7</v>
      </c>
      <c r="MO652" s="27" t="s">
        <v>8</v>
      </c>
      <c r="OB652" s="27" t="s">
        <v>7</v>
      </c>
    </row>
    <row r="653" spans="1:392" x14ac:dyDescent="0.25">
      <c r="A653" s="7">
        <v>0.27063793041350104</v>
      </c>
      <c r="B653"/>
      <c r="C653"/>
      <c r="D653"/>
      <c r="E653"/>
      <c r="F653" s="27" t="s">
        <v>7</v>
      </c>
      <c r="GK653" s="27" t="s">
        <v>8</v>
      </c>
      <c r="GL653" s="27" t="s">
        <v>7</v>
      </c>
      <c r="GS653" s="27" t="s">
        <v>8</v>
      </c>
      <c r="GT653" s="27" t="s">
        <v>7</v>
      </c>
      <c r="GU653" s="27" t="s">
        <v>8</v>
      </c>
      <c r="HD653" s="27" t="s">
        <v>7</v>
      </c>
      <c r="HE653" s="27" t="s">
        <v>8</v>
      </c>
      <c r="HF653" s="27" t="s">
        <v>7</v>
      </c>
      <c r="HG653" s="27" t="s">
        <v>8</v>
      </c>
      <c r="JD653" s="27" t="s">
        <v>7</v>
      </c>
      <c r="JE653" s="27" t="s">
        <v>8</v>
      </c>
      <c r="JF653" s="27" t="s">
        <v>7</v>
      </c>
      <c r="JK653" s="27" t="s">
        <v>8</v>
      </c>
      <c r="JL653" s="27" t="s">
        <v>7</v>
      </c>
      <c r="JM653" s="27" t="s">
        <v>8</v>
      </c>
      <c r="JN653" s="27" t="s">
        <v>7</v>
      </c>
      <c r="JO653" s="27" t="s">
        <v>8</v>
      </c>
      <c r="KM653" s="27" t="s">
        <v>8</v>
      </c>
      <c r="KN653" s="27" t="s">
        <v>7</v>
      </c>
      <c r="KO653" s="27" t="s">
        <v>8</v>
      </c>
      <c r="KP653" s="27" t="s">
        <v>7</v>
      </c>
      <c r="KQ653" s="27" t="s">
        <v>8</v>
      </c>
      <c r="KR653" s="27" t="s">
        <v>7</v>
      </c>
      <c r="KS653" s="27" t="s">
        <v>8</v>
      </c>
      <c r="KX653" s="27" t="s">
        <v>7</v>
      </c>
      <c r="KZ653" s="27" t="s">
        <v>7</v>
      </c>
      <c r="LA653" s="27" t="s">
        <v>8</v>
      </c>
      <c r="LB653" s="27" t="s">
        <v>7</v>
      </c>
      <c r="LF653" s="27" t="s">
        <v>7</v>
      </c>
      <c r="LG653" s="27" t="s">
        <v>8</v>
      </c>
      <c r="LJ653" s="27" t="s">
        <v>7</v>
      </c>
      <c r="LN653" s="27" t="s">
        <v>7</v>
      </c>
      <c r="LO653" s="27" t="s">
        <v>8</v>
      </c>
      <c r="LP653" s="27" t="s">
        <v>7</v>
      </c>
      <c r="LQ653" s="27" t="s">
        <v>8</v>
      </c>
      <c r="LR653" s="27" t="s">
        <v>7</v>
      </c>
      <c r="LU653" s="27" t="s">
        <v>8</v>
      </c>
      <c r="LV653" s="27" t="s">
        <v>7</v>
      </c>
      <c r="LW653" s="27" t="s">
        <v>8</v>
      </c>
      <c r="LX653" s="27" t="s">
        <v>7</v>
      </c>
      <c r="LY653" s="27" t="s">
        <v>8</v>
      </c>
      <c r="LZ653" s="27" t="s">
        <v>7</v>
      </c>
      <c r="MA653" s="27" t="s">
        <v>8</v>
      </c>
      <c r="MD653" s="27" t="s">
        <v>7</v>
      </c>
      <c r="MF653" s="27" t="s">
        <v>7</v>
      </c>
      <c r="MG653" s="27" t="s">
        <v>8</v>
      </c>
      <c r="MH653" s="27" t="s">
        <v>7</v>
      </c>
      <c r="MI653" s="27" t="s">
        <v>8</v>
      </c>
      <c r="MN653" s="27" t="s">
        <v>7</v>
      </c>
      <c r="OB653" s="27" t="s">
        <v>7</v>
      </c>
    </row>
    <row r="654" spans="1:392" x14ac:dyDescent="0.25">
      <c r="A654" s="7">
        <v>0.26533130432696184</v>
      </c>
      <c r="B654"/>
      <c r="C654"/>
      <c r="D654"/>
      <c r="E654"/>
      <c r="F654" s="27" t="s">
        <v>7</v>
      </c>
      <c r="GK654" s="27" t="s">
        <v>8</v>
      </c>
      <c r="GL654" s="27" t="s">
        <v>7</v>
      </c>
      <c r="GS654" s="27" t="s">
        <v>8</v>
      </c>
      <c r="GT654" s="27" t="s">
        <v>7</v>
      </c>
      <c r="GU654" s="27" t="s">
        <v>8</v>
      </c>
      <c r="HD654" s="27" t="s">
        <v>7</v>
      </c>
      <c r="HE654" s="27" t="s">
        <v>8</v>
      </c>
      <c r="HF654" s="27" t="s">
        <v>7</v>
      </c>
      <c r="HG654" s="27" t="s">
        <v>8</v>
      </c>
      <c r="JD654" s="27" t="s">
        <v>7</v>
      </c>
      <c r="JE654" s="27" t="s">
        <v>8</v>
      </c>
      <c r="JF654" s="27" t="s">
        <v>7</v>
      </c>
      <c r="JG654" s="27" t="s">
        <v>8</v>
      </c>
      <c r="JK654" s="27" t="s">
        <v>8</v>
      </c>
      <c r="JL654" s="27" t="s">
        <v>7</v>
      </c>
      <c r="JM654" s="27" t="s">
        <v>8</v>
      </c>
      <c r="JN654" s="27" t="s">
        <v>7</v>
      </c>
      <c r="JO654" s="27" t="s">
        <v>8</v>
      </c>
      <c r="JP654" s="27" t="s">
        <v>7</v>
      </c>
      <c r="KM654" s="27" t="s">
        <v>8</v>
      </c>
      <c r="KN654" s="27" t="s">
        <v>7</v>
      </c>
      <c r="KO654" s="27" t="s">
        <v>8</v>
      </c>
      <c r="KP654" s="27" t="s">
        <v>7</v>
      </c>
      <c r="KQ654" s="27" t="s">
        <v>8</v>
      </c>
      <c r="KR654" s="27" t="s">
        <v>7</v>
      </c>
      <c r="KS654" s="27" t="s">
        <v>8</v>
      </c>
      <c r="KZ654" s="27" t="s">
        <v>7</v>
      </c>
      <c r="LA654" s="27" t="s">
        <v>8</v>
      </c>
      <c r="LF654" s="27" t="s">
        <v>7</v>
      </c>
      <c r="LN654" s="27" t="s">
        <v>7</v>
      </c>
      <c r="LO654" s="27" t="s">
        <v>8</v>
      </c>
      <c r="LP654" s="27" t="s">
        <v>7</v>
      </c>
      <c r="LQ654" s="27" t="s">
        <v>8</v>
      </c>
      <c r="LR654" s="27" t="s">
        <v>7</v>
      </c>
      <c r="LU654" s="27" t="s">
        <v>8</v>
      </c>
      <c r="LV654" s="27" t="s">
        <v>7</v>
      </c>
      <c r="LX654" s="27" t="s">
        <v>7</v>
      </c>
      <c r="LY654" s="27" t="s">
        <v>8</v>
      </c>
      <c r="LZ654" s="27" t="s">
        <v>7</v>
      </c>
      <c r="MF654" s="27" t="s">
        <v>7</v>
      </c>
      <c r="MH654" s="27" t="s">
        <v>7</v>
      </c>
      <c r="MI654" s="27" t="s">
        <v>8</v>
      </c>
      <c r="OB654" s="27" t="s">
        <v>7</v>
      </c>
    </row>
    <row r="655" spans="1:392" x14ac:dyDescent="0.25">
      <c r="A655" s="7">
        <v>0.26012872973231554</v>
      </c>
      <c r="B655"/>
      <c r="C655"/>
      <c r="D655"/>
      <c r="E655"/>
      <c r="F655" s="27" t="s">
        <v>7</v>
      </c>
      <c r="GK655" s="27" t="s">
        <v>8</v>
      </c>
      <c r="GL655" s="27" t="s">
        <v>7</v>
      </c>
      <c r="GS655" s="27" t="s">
        <v>8</v>
      </c>
      <c r="GT655" s="27" t="s">
        <v>7</v>
      </c>
      <c r="GU655" s="27" t="s">
        <v>8</v>
      </c>
      <c r="HD655" s="27" t="s">
        <v>7</v>
      </c>
      <c r="HE655" s="27" t="s">
        <v>8</v>
      </c>
      <c r="HF655" s="27" t="s">
        <v>7</v>
      </c>
      <c r="JD655" s="27" t="s">
        <v>7</v>
      </c>
      <c r="JE655" s="27" t="s">
        <v>8</v>
      </c>
      <c r="JF655" s="27" t="s">
        <v>7</v>
      </c>
      <c r="JG655" s="27" t="s">
        <v>8</v>
      </c>
      <c r="JH655" s="27" t="s">
        <v>7</v>
      </c>
      <c r="JK655" s="27" t="s">
        <v>8</v>
      </c>
      <c r="JL655" s="27" t="s">
        <v>7</v>
      </c>
      <c r="JM655" s="27" t="s">
        <v>8</v>
      </c>
      <c r="JN655" s="27" t="s">
        <v>7</v>
      </c>
      <c r="JO655" s="27" t="s">
        <v>8</v>
      </c>
      <c r="JP655" s="27" t="s">
        <v>7</v>
      </c>
      <c r="KK655" s="27" t="s">
        <v>8</v>
      </c>
      <c r="KM655" s="27" t="s">
        <v>8</v>
      </c>
      <c r="KN655" s="27" t="s">
        <v>7</v>
      </c>
      <c r="KO655" s="27" t="s">
        <v>8</v>
      </c>
      <c r="KP655" s="27" t="s">
        <v>7</v>
      </c>
      <c r="KR655" s="27" t="s">
        <v>7</v>
      </c>
      <c r="KS655" s="27" t="s">
        <v>8</v>
      </c>
      <c r="KZ655" s="27" t="s">
        <v>7</v>
      </c>
      <c r="LA655" s="27" t="s">
        <v>8</v>
      </c>
      <c r="LN655" s="27" t="s">
        <v>7</v>
      </c>
      <c r="LO655" s="27" t="s">
        <v>8</v>
      </c>
      <c r="LP655" s="27" t="s">
        <v>7</v>
      </c>
      <c r="LQ655" s="27" t="s">
        <v>8</v>
      </c>
      <c r="LR655" s="27" t="s">
        <v>7</v>
      </c>
      <c r="LU655" s="27" t="s">
        <v>8</v>
      </c>
      <c r="LX655" s="27" t="s">
        <v>7</v>
      </c>
      <c r="LY655" s="27" t="s">
        <v>8</v>
      </c>
      <c r="MH655" s="27" t="s">
        <v>7</v>
      </c>
      <c r="MI655" s="27" t="s">
        <v>8</v>
      </c>
      <c r="OB655" s="27" t="s">
        <v>7</v>
      </c>
    </row>
    <row r="656" spans="1:392" x14ac:dyDescent="0.25">
      <c r="A656" s="7">
        <v>0.25502816640423093</v>
      </c>
      <c r="B656"/>
      <c r="C656"/>
      <c r="D656"/>
      <c r="E656"/>
      <c r="F656" s="27" t="s">
        <v>7</v>
      </c>
      <c r="GK656" s="27" t="s">
        <v>8</v>
      </c>
      <c r="GL656" s="27" t="s">
        <v>7</v>
      </c>
      <c r="GS656" s="27" t="s">
        <v>8</v>
      </c>
      <c r="GT656" s="27" t="s">
        <v>7</v>
      </c>
      <c r="GU656" s="27" t="s">
        <v>8</v>
      </c>
      <c r="HD656" s="27" t="s">
        <v>7</v>
      </c>
      <c r="HE656" s="27" t="s">
        <v>8</v>
      </c>
      <c r="JD656" s="27" t="s">
        <v>7</v>
      </c>
      <c r="JE656" s="27" t="s">
        <v>8</v>
      </c>
      <c r="JF656" s="27" t="s">
        <v>7</v>
      </c>
      <c r="JG656" s="27" t="s">
        <v>8</v>
      </c>
      <c r="JH656" s="27" t="s">
        <v>7</v>
      </c>
      <c r="JI656" s="27" t="s">
        <v>8</v>
      </c>
      <c r="JK656" s="27" t="s">
        <v>8</v>
      </c>
      <c r="JL656" s="27" t="s">
        <v>7</v>
      </c>
      <c r="JM656" s="27" t="s">
        <v>8</v>
      </c>
      <c r="JN656" s="27" t="s">
        <v>7</v>
      </c>
      <c r="JO656" s="27" t="s">
        <v>8</v>
      </c>
      <c r="JP656" s="27" t="s">
        <v>7</v>
      </c>
      <c r="KK656" s="27" t="s">
        <v>8</v>
      </c>
      <c r="KL656" s="27" t="s">
        <v>7</v>
      </c>
      <c r="KM656" s="27" t="s">
        <v>8</v>
      </c>
      <c r="KN656" s="27" t="s">
        <v>7</v>
      </c>
      <c r="KO656" s="27" t="s">
        <v>8</v>
      </c>
      <c r="KR656" s="27" t="s">
        <v>7</v>
      </c>
      <c r="KS656" s="27" t="s">
        <v>8</v>
      </c>
      <c r="KZ656" s="27" t="s">
        <v>7</v>
      </c>
      <c r="LA656" s="27" t="s">
        <v>8</v>
      </c>
      <c r="LN656" s="27" t="s">
        <v>7</v>
      </c>
      <c r="LO656" s="27" t="s">
        <v>8</v>
      </c>
      <c r="LP656" s="27" t="s">
        <v>7</v>
      </c>
      <c r="LQ656" s="27" t="s">
        <v>8</v>
      </c>
      <c r="LR656" s="27" t="s">
        <v>7</v>
      </c>
      <c r="LS656" s="27" t="s">
        <v>8</v>
      </c>
      <c r="LU656" s="27" t="s">
        <v>8</v>
      </c>
      <c r="LX656" s="27" t="s">
        <v>7</v>
      </c>
      <c r="MH656" s="27" t="s">
        <v>7</v>
      </c>
      <c r="MI656" s="27" t="s">
        <v>8</v>
      </c>
      <c r="OB656" s="27" t="s">
        <v>7</v>
      </c>
    </row>
    <row r="657" spans="1:396" x14ac:dyDescent="0.25">
      <c r="A657" s="7">
        <v>0.25002761412179503</v>
      </c>
      <c r="B657"/>
      <c r="C657"/>
      <c r="D657"/>
      <c r="E657"/>
      <c r="F657" s="27" t="s">
        <v>7</v>
      </c>
      <c r="GK657" s="27" t="s">
        <v>8</v>
      </c>
      <c r="GL657" s="27" t="s">
        <v>7</v>
      </c>
      <c r="GS657" s="27" t="s">
        <v>8</v>
      </c>
      <c r="GT657" s="27" t="s">
        <v>7</v>
      </c>
      <c r="GU657" s="27" t="s">
        <v>8</v>
      </c>
      <c r="HD657" s="27" t="s">
        <v>7</v>
      </c>
      <c r="HE657" s="27" t="s">
        <v>8</v>
      </c>
      <c r="JD657" s="27" t="s">
        <v>7</v>
      </c>
      <c r="JE657" s="27" t="s">
        <v>8</v>
      </c>
      <c r="JF657" s="27" t="s">
        <v>7</v>
      </c>
      <c r="JG657" s="27" t="s">
        <v>8</v>
      </c>
      <c r="JH657" s="27" t="s">
        <v>7</v>
      </c>
      <c r="JI657" s="27" t="s">
        <v>8</v>
      </c>
      <c r="JJ657" s="27" t="s">
        <v>7</v>
      </c>
      <c r="JK657" s="27" t="s">
        <v>8</v>
      </c>
      <c r="JL657" s="27" t="s">
        <v>7</v>
      </c>
      <c r="JM657" s="27" t="s">
        <v>8</v>
      </c>
      <c r="JN657" s="27" t="s">
        <v>7</v>
      </c>
      <c r="JO657" s="27" t="s">
        <v>8</v>
      </c>
      <c r="JP657" s="27" t="s">
        <v>7</v>
      </c>
      <c r="KK657" s="27" t="s">
        <v>8</v>
      </c>
      <c r="KL657" s="27" t="s">
        <v>7</v>
      </c>
      <c r="KM657" s="27" t="s">
        <v>8</v>
      </c>
      <c r="KN657" s="27" t="s">
        <v>7</v>
      </c>
      <c r="KO657" s="27" t="s">
        <v>8</v>
      </c>
      <c r="KR657" s="27" t="s">
        <v>7</v>
      </c>
      <c r="KS657" s="27" t="s">
        <v>8</v>
      </c>
      <c r="KZ657" s="27" t="s">
        <v>7</v>
      </c>
      <c r="LN657" s="27" t="s">
        <v>7</v>
      </c>
      <c r="LO657" s="27" t="s">
        <v>8</v>
      </c>
      <c r="LP657" s="27" t="s">
        <v>7</v>
      </c>
      <c r="LQ657" s="27" t="s">
        <v>8</v>
      </c>
      <c r="LR657" s="27" t="s">
        <v>7</v>
      </c>
      <c r="LS657" s="27" t="s">
        <v>8</v>
      </c>
      <c r="LT657" s="27" t="s">
        <v>7</v>
      </c>
      <c r="LU657" s="27" t="s">
        <v>8</v>
      </c>
      <c r="MH657" s="27" t="s">
        <v>7</v>
      </c>
      <c r="MI657" s="27" t="s">
        <v>8</v>
      </c>
      <c r="OB657" s="27" t="s">
        <v>7</v>
      </c>
    </row>
    <row r="658" spans="1:396" x14ac:dyDescent="0.25">
      <c r="A658" s="7">
        <v>0.24512511188411276</v>
      </c>
      <c r="B658"/>
      <c r="C658"/>
      <c r="D658"/>
      <c r="E658"/>
      <c r="F658" s="27" t="s">
        <v>7</v>
      </c>
      <c r="GG658" s="27" t="s">
        <v>8</v>
      </c>
      <c r="GK658" s="27" t="s">
        <v>8</v>
      </c>
      <c r="GL658" s="27" t="s">
        <v>7</v>
      </c>
      <c r="GM658" s="27" t="s">
        <v>8</v>
      </c>
      <c r="GS658" s="27" t="s">
        <v>8</v>
      </c>
      <c r="GT658" s="27" t="s">
        <v>7</v>
      </c>
      <c r="GU658" s="27" t="s">
        <v>8</v>
      </c>
      <c r="HD658" s="27" t="s">
        <v>7</v>
      </c>
      <c r="HE658" s="27" t="s">
        <v>8</v>
      </c>
      <c r="JD658" s="27" t="s">
        <v>7</v>
      </c>
      <c r="JE658" s="27" t="s">
        <v>8</v>
      </c>
      <c r="JF658" s="27" t="s">
        <v>7</v>
      </c>
      <c r="JG658" s="27" t="s">
        <v>8</v>
      </c>
      <c r="JH658" s="27" t="s">
        <v>7</v>
      </c>
      <c r="JI658" s="27" t="s">
        <v>8</v>
      </c>
      <c r="JJ658" s="27" t="s">
        <v>7</v>
      </c>
      <c r="JK658" s="27" t="s">
        <v>8</v>
      </c>
      <c r="JL658" s="27" t="s">
        <v>7</v>
      </c>
      <c r="JM658" s="27" t="s">
        <v>8</v>
      </c>
      <c r="JN658" s="27" t="s">
        <v>7</v>
      </c>
      <c r="JO658" s="27" t="s">
        <v>8</v>
      </c>
      <c r="JP658" s="27" t="s">
        <v>7</v>
      </c>
      <c r="KK658" s="27" t="s">
        <v>8</v>
      </c>
      <c r="KL658" s="27" t="s">
        <v>7</v>
      </c>
      <c r="KM658" s="27" t="s">
        <v>8</v>
      </c>
      <c r="KN658" s="27" t="s">
        <v>7</v>
      </c>
      <c r="KO658" s="27" t="s">
        <v>8</v>
      </c>
      <c r="KR658" s="27" t="s">
        <v>7</v>
      </c>
      <c r="LN658" s="27" t="s">
        <v>7</v>
      </c>
      <c r="LO658" s="27" t="s">
        <v>8</v>
      </c>
      <c r="LP658" s="27" t="s">
        <v>7</v>
      </c>
      <c r="LQ658" s="27" t="s">
        <v>8</v>
      </c>
      <c r="LR658" s="27" t="s">
        <v>7</v>
      </c>
      <c r="LS658" s="27" t="s">
        <v>8</v>
      </c>
      <c r="LT658" s="27" t="s">
        <v>7</v>
      </c>
      <c r="LU658" s="27" t="s">
        <v>8</v>
      </c>
      <c r="MH658" s="27" t="s">
        <v>7</v>
      </c>
      <c r="OB658" s="27" t="s">
        <v>7</v>
      </c>
    </row>
    <row r="659" spans="1:396" x14ac:dyDescent="0.25">
      <c r="A659" s="7">
        <v>0.24031873714128701</v>
      </c>
      <c r="B659"/>
      <c r="C659"/>
      <c r="D659"/>
      <c r="E659"/>
      <c r="F659" s="27" t="s">
        <v>7</v>
      </c>
      <c r="GG659" s="27" t="s">
        <v>8</v>
      </c>
      <c r="GH659" s="27" t="s">
        <v>7</v>
      </c>
      <c r="GK659" s="27" t="s">
        <v>8</v>
      </c>
      <c r="GL659" s="27" t="s">
        <v>7</v>
      </c>
      <c r="GM659" s="27" t="s">
        <v>8</v>
      </c>
      <c r="GN659" s="27" t="s">
        <v>7</v>
      </c>
      <c r="GS659" s="27" t="s">
        <v>8</v>
      </c>
      <c r="GT659" s="27" t="s">
        <v>7</v>
      </c>
      <c r="GU659" s="27" t="s">
        <v>8</v>
      </c>
      <c r="HD659" s="27" t="s">
        <v>7</v>
      </c>
      <c r="HE659" s="27" t="s">
        <v>8</v>
      </c>
      <c r="JD659" s="27" t="s">
        <v>7</v>
      </c>
      <c r="JE659" s="27" t="s">
        <v>8</v>
      </c>
      <c r="JF659" s="27" t="s">
        <v>7</v>
      </c>
      <c r="JG659" s="27" t="s">
        <v>8</v>
      </c>
      <c r="JH659" s="27" t="s">
        <v>7</v>
      </c>
      <c r="JI659" s="27" t="s">
        <v>8</v>
      </c>
      <c r="JJ659" s="27" t="s">
        <v>7</v>
      </c>
      <c r="JK659" s="27" t="s">
        <v>8</v>
      </c>
      <c r="JL659" s="27" t="s">
        <v>7</v>
      </c>
      <c r="JM659" s="27" t="s">
        <v>8</v>
      </c>
      <c r="JN659" s="27" t="s">
        <v>7</v>
      </c>
      <c r="JO659" s="27" t="s">
        <v>8</v>
      </c>
      <c r="JP659" s="27" t="s">
        <v>7</v>
      </c>
      <c r="KK659" s="27" t="s">
        <v>8</v>
      </c>
      <c r="KL659" s="27" t="s">
        <v>7</v>
      </c>
      <c r="KM659" s="27" t="s">
        <v>8</v>
      </c>
      <c r="KN659" s="27" t="s">
        <v>7</v>
      </c>
      <c r="KO659" s="27" t="s">
        <v>8</v>
      </c>
      <c r="LN659" s="27" t="s">
        <v>7</v>
      </c>
      <c r="LO659" s="27" t="s">
        <v>8</v>
      </c>
      <c r="LP659" s="27" t="s">
        <v>7</v>
      </c>
      <c r="LQ659" s="27" t="s">
        <v>8</v>
      </c>
      <c r="LR659" s="27" t="s">
        <v>7</v>
      </c>
      <c r="LS659" s="27" t="s">
        <v>8</v>
      </c>
      <c r="LT659" s="27" t="s">
        <v>7</v>
      </c>
      <c r="OB659" s="27" t="s">
        <v>7</v>
      </c>
    </row>
    <row r="660" spans="1:396" x14ac:dyDescent="0.25">
      <c r="A660" s="7">
        <v>0.23560660504047748</v>
      </c>
      <c r="B660"/>
      <c r="C660"/>
      <c r="D660"/>
      <c r="E660"/>
      <c r="F660" s="27" t="s">
        <v>7</v>
      </c>
      <c r="GG660" s="27" t="s">
        <v>8</v>
      </c>
      <c r="GH660" s="27" t="s">
        <v>7</v>
      </c>
      <c r="GK660" s="27" t="s">
        <v>8</v>
      </c>
      <c r="GL660" s="27" t="s">
        <v>7</v>
      </c>
      <c r="GM660" s="27" t="s">
        <v>8</v>
      </c>
      <c r="GN660" s="27" t="s">
        <v>7</v>
      </c>
      <c r="GS660" s="27" t="s">
        <v>8</v>
      </c>
      <c r="GT660" s="27" t="s">
        <v>7</v>
      </c>
      <c r="GU660" s="27" t="s">
        <v>8</v>
      </c>
      <c r="HD660" s="27" t="s">
        <v>7</v>
      </c>
      <c r="JD660" s="27" t="s">
        <v>7</v>
      </c>
      <c r="JE660" s="27" t="s">
        <v>8</v>
      </c>
      <c r="JF660" s="27" t="s">
        <v>7</v>
      </c>
      <c r="JG660" s="27" t="s">
        <v>8</v>
      </c>
      <c r="JH660" s="27" t="s">
        <v>7</v>
      </c>
      <c r="JI660" s="27" t="s">
        <v>8</v>
      </c>
      <c r="JJ660" s="27" t="s">
        <v>7</v>
      </c>
      <c r="JK660" s="27" t="s">
        <v>8</v>
      </c>
      <c r="JL660" s="27" t="s">
        <v>7</v>
      </c>
      <c r="JM660" s="27" t="s">
        <v>8</v>
      </c>
      <c r="JN660" s="27" t="s">
        <v>7</v>
      </c>
      <c r="JO660" s="27" t="s">
        <v>8</v>
      </c>
      <c r="JP660" s="27" t="s">
        <v>7</v>
      </c>
      <c r="KK660" s="27" t="s">
        <v>8</v>
      </c>
      <c r="KL660" s="27" t="s">
        <v>7</v>
      </c>
      <c r="KM660" s="27" t="s">
        <v>8</v>
      </c>
      <c r="KN660" s="27" t="s">
        <v>7</v>
      </c>
      <c r="KO660" s="27" t="s">
        <v>8</v>
      </c>
      <c r="LN660" s="27" t="s">
        <v>7</v>
      </c>
      <c r="LO660" s="27" t="s">
        <v>8</v>
      </c>
      <c r="LP660" s="27" t="s">
        <v>7</v>
      </c>
      <c r="LQ660" s="27" t="s">
        <v>8</v>
      </c>
      <c r="LR660" s="27" t="s">
        <v>7</v>
      </c>
      <c r="OB660" s="27" t="s">
        <v>7</v>
      </c>
    </row>
    <row r="661" spans="1:396" x14ac:dyDescent="0.25">
      <c r="A661" s="7">
        <v>0.23098686768674265</v>
      </c>
      <c r="B661"/>
      <c r="C661"/>
      <c r="D661"/>
      <c r="E661"/>
      <c r="F661" s="27" t="s">
        <v>7</v>
      </c>
      <c r="GG661" s="27" t="s">
        <v>8</v>
      </c>
      <c r="GH661" s="27" t="s">
        <v>7</v>
      </c>
      <c r="GK661" s="27" t="s">
        <v>8</v>
      </c>
      <c r="GL661" s="27" t="s">
        <v>7</v>
      </c>
      <c r="GM661" s="27" t="s">
        <v>8</v>
      </c>
      <c r="GN661" s="27" t="s">
        <v>7</v>
      </c>
      <c r="GS661" s="27" t="s">
        <v>8</v>
      </c>
      <c r="GT661" s="27" t="s">
        <v>7</v>
      </c>
      <c r="JD661" s="27" t="s">
        <v>7</v>
      </c>
      <c r="JE661" s="27" t="s">
        <v>8</v>
      </c>
      <c r="JF661" s="27" t="s">
        <v>7</v>
      </c>
      <c r="JG661" s="27" t="s">
        <v>8</v>
      </c>
      <c r="JH661" s="27" t="s">
        <v>7</v>
      </c>
      <c r="JI661" s="27" t="s">
        <v>8</v>
      </c>
      <c r="JJ661" s="27" t="s">
        <v>7</v>
      </c>
      <c r="JK661" s="27" t="s">
        <v>8</v>
      </c>
      <c r="JL661" s="27" t="s">
        <v>7</v>
      </c>
      <c r="JM661" s="27" t="s">
        <v>8</v>
      </c>
      <c r="JN661" s="27" t="s">
        <v>7</v>
      </c>
      <c r="JO661" s="27" t="s">
        <v>8</v>
      </c>
      <c r="JP661" s="27" t="s">
        <v>7</v>
      </c>
      <c r="KK661" s="27" t="s">
        <v>8</v>
      </c>
      <c r="KL661" s="27" t="s">
        <v>7</v>
      </c>
      <c r="KM661" s="27" t="s">
        <v>8</v>
      </c>
      <c r="KN661" s="27" t="s">
        <v>7</v>
      </c>
      <c r="LN661" s="27" t="s">
        <v>7</v>
      </c>
      <c r="LO661" s="27" t="s">
        <v>8</v>
      </c>
      <c r="LP661" s="27" t="s">
        <v>7</v>
      </c>
      <c r="OB661" s="27" t="s">
        <v>7</v>
      </c>
    </row>
    <row r="662" spans="1:396" x14ac:dyDescent="0.25">
      <c r="A662" s="7">
        <v>0.22645771341837515</v>
      </c>
      <c r="B662"/>
      <c r="C662"/>
      <c r="D662"/>
      <c r="E662"/>
      <c r="F662" s="27" t="s">
        <v>7</v>
      </c>
      <c r="GG662" s="27" t="s">
        <v>8</v>
      </c>
      <c r="GH662" s="27" t="s">
        <v>7</v>
      </c>
      <c r="GK662" s="27" t="s">
        <v>8</v>
      </c>
      <c r="GL662" s="27" t="s">
        <v>7</v>
      </c>
      <c r="GM662" s="27" t="s">
        <v>8</v>
      </c>
      <c r="GN662" s="27" t="s">
        <v>7</v>
      </c>
      <c r="GQ662" s="27" t="s">
        <v>8</v>
      </c>
      <c r="GS662" s="27" t="s">
        <v>8</v>
      </c>
      <c r="JD662" s="27" t="s">
        <v>7</v>
      </c>
      <c r="JE662" s="27" t="s">
        <v>8</v>
      </c>
      <c r="JF662" s="27" t="s">
        <v>7</v>
      </c>
      <c r="JG662" s="27" t="s">
        <v>8</v>
      </c>
      <c r="JH662" s="27" t="s">
        <v>7</v>
      </c>
      <c r="JI662" s="27" t="s">
        <v>8</v>
      </c>
      <c r="JJ662" s="27" t="s">
        <v>7</v>
      </c>
      <c r="JK662" s="27" t="s">
        <v>8</v>
      </c>
      <c r="JL662" s="27" t="s">
        <v>7</v>
      </c>
      <c r="JM662" s="27" t="s">
        <v>8</v>
      </c>
      <c r="JN662" s="27" t="s">
        <v>7</v>
      </c>
      <c r="JO662" s="27" t="s">
        <v>8</v>
      </c>
      <c r="JP662" s="27" t="s">
        <v>7</v>
      </c>
      <c r="KK662" s="27" t="s">
        <v>8</v>
      </c>
      <c r="KL662" s="27" t="s">
        <v>7</v>
      </c>
      <c r="KM662" s="27" t="s">
        <v>8</v>
      </c>
      <c r="LN662" s="27" t="s">
        <v>7</v>
      </c>
      <c r="LO662" s="27" t="s">
        <v>8</v>
      </c>
      <c r="OB662" s="27" t="s">
        <v>7</v>
      </c>
      <c r="OE662" s="27" t="s">
        <v>8</v>
      </c>
    </row>
    <row r="663" spans="1:396" x14ac:dyDescent="0.25">
      <c r="A663" s="7">
        <v>0.22201736609644623</v>
      </c>
      <c r="B663"/>
      <c r="C663"/>
      <c r="D663"/>
      <c r="E663"/>
      <c r="F663" s="27" t="s">
        <v>7</v>
      </c>
      <c r="GG663" s="27" t="s">
        <v>8</v>
      </c>
      <c r="GH663" s="27" t="s">
        <v>7</v>
      </c>
      <c r="GK663" s="27" t="s">
        <v>8</v>
      </c>
      <c r="GL663" s="27" t="s">
        <v>7</v>
      </c>
      <c r="GM663" s="27" t="s">
        <v>8</v>
      </c>
      <c r="GN663" s="27" t="s">
        <v>7</v>
      </c>
      <c r="GO663" s="27" t="s">
        <v>8</v>
      </c>
      <c r="GQ663" s="27" t="s">
        <v>8</v>
      </c>
      <c r="GR663" s="27" t="s">
        <v>7</v>
      </c>
      <c r="GS663" s="27" t="s">
        <v>8</v>
      </c>
      <c r="JD663" s="27" t="s">
        <v>7</v>
      </c>
      <c r="JE663" s="27" t="s">
        <v>8</v>
      </c>
      <c r="JF663" s="27" t="s">
        <v>7</v>
      </c>
      <c r="JG663" s="27" t="s">
        <v>8</v>
      </c>
      <c r="JH663" s="27" t="s">
        <v>7</v>
      </c>
      <c r="JI663" s="27" t="s">
        <v>8</v>
      </c>
      <c r="JJ663" s="27" t="s">
        <v>7</v>
      </c>
      <c r="JK663" s="27" t="s">
        <v>8</v>
      </c>
      <c r="JL663" s="27" t="s">
        <v>7</v>
      </c>
      <c r="JM663" s="27" t="s">
        <v>8</v>
      </c>
      <c r="JN663" s="27" t="s">
        <v>7</v>
      </c>
      <c r="JO663" s="27" t="s">
        <v>8</v>
      </c>
      <c r="JP663" s="27" t="s">
        <v>7</v>
      </c>
      <c r="KK663" s="27" t="s">
        <v>8</v>
      </c>
      <c r="KL663" s="27" t="s">
        <v>7</v>
      </c>
      <c r="KM663" s="27" t="s">
        <v>8</v>
      </c>
      <c r="LN663" s="27" t="s">
        <v>7</v>
      </c>
      <c r="LO663" s="27" t="s">
        <v>8</v>
      </c>
      <c r="OB663" s="27" t="s">
        <v>7</v>
      </c>
      <c r="OE663" s="27" t="s">
        <v>8</v>
      </c>
      <c r="OF663" s="27" t="s">
        <v>7</v>
      </c>
    </row>
    <row r="664" spans="1:396" x14ac:dyDescent="0.25">
      <c r="A664" s="7">
        <v>0.21766408440828061</v>
      </c>
      <c r="B664"/>
      <c r="C664"/>
      <c r="D664"/>
      <c r="E664"/>
      <c r="F664" s="27" t="s">
        <v>7</v>
      </c>
      <c r="GG664" s="27" t="s">
        <v>8</v>
      </c>
      <c r="GH664" s="27" t="s">
        <v>7</v>
      </c>
      <c r="GK664" s="27" t="s">
        <v>8</v>
      </c>
      <c r="GL664" s="27" t="s">
        <v>7</v>
      </c>
      <c r="GM664" s="27" t="s">
        <v>8</v>
      </c>
      <c r="GN664" s="27" t="s">
        <v>7</v>
      </c>
      <c r="GO664" s="27" t="s">
        <v>8</v>
      </c>
      <c r="GP664" s="27" t="s">
        <v>7</v>
      </c>
      <c r="GQ664" s="27" t="s">
        <v>8</v>
      </c>
      <c r="GR664" s="27" t="s">
        <v>7</v>
      </c>
      <c r="GS664" s="27" t="s">
        <v>8</v>
      </c>
      <c r="JD664" s="27" t="s">
        <v>7</v>
      </c>
      <c r="JE664" s="27" t="s">
        <v>8</v>
      </c>
      <c r="JF664" s="27" t="s">
        <v>7</v>
      </c>
      <c r="JG664" s="27" t="s">
        <v>8</v>
      </c>
      <c r="JH664" s="27" t="s">
        <v>7</v>
      </c>
      <c r="JI664" s="27" t="s">
        <v>8</v>
      </c>
      <c r="JJ664" s="27" t="s">
        <v>7</v>
      </c>
      <c r="JK664" s="27" t="s">
        <v>8</v>
      </c>
      <c r="JL664" s="27" t="s">
        <v>7</v>
      </c>
      <c r="JM664" s="27" t="s">
        <v>8</v>
      </c>
      <c r="JN664" s="27" t="s">
        <v>7</v>
      </c>
      <c r="JO664" s="27" t="s">
        <v>8</v>
      </c>
      <c r="JP664" s="27" t="s">
        <v>7</v>
      </c>
      <c r="JQ664" s="27" t="s">
        <v>8</v>
      </c>
      <c r="KK664" s="27" t="s">
        <v>8</v>
      </c>
      <c r="KL664" s="27" t="s">
        <v>7</v>
      </c>
      <c r="KM664" s="27" t="s">
        <v>8</v>
      </c>
      <c r="LN664" s="27" t="s">
        <v>7</v>
      </c>
      <c r="OB664" s="27" t="s">
        <v>7</v>
      </c>
      <c r="OE664" s="27" t="s">
        <v>8</v>
      </c>
      <c r="OF664" s="27" t="s">
        <v>7</v>
      </c>
    </row>
    <row r="665" spans="1:396" x14ac:dyDescent="0.25">
      <c r="A665" s="7">
        <v>0.21339616118458882</v>
      </c>
      <c r="B665"/>
      <c r="C665"/>
      <c r="D665"/>
      <c r="E665"/>
      <c r="F665" s="27" t="s">
        <v>7</v>
      </c>
      <c r="GG665" s="27" t="s">
        <v>8</v>
      </c>
      <c r="GH665" s="27" t="s">
        <v>7</v>
      </c>
      <c r="GK665" s="27" t="s">
        <v>8</v>
      </c>
      <c r="GL665" s="27" t="s">
        <v>7</v>
      </c>
      <c r="GM665" s="27" t="s">
        <v>8</v>
      </c>
      <c r="GN665" s="27" t="s">
        <v>7</v>
      </c>
      <c r="GO665" s="27" t="s">
        <v>8</v>
      </c>
      <c r="GP665" s="27" t="s">
        <v>7</v>
      </c>
      <c r="GQ665" s="27" t="s">
        <v>8</v>
      </c>
      <c r="GR665" s="27" t="s">
        <v>7</v>
      </c>
      <c r="JD665" s="27" t="s">
        <v>7</v>
      </c>
      <c r="JE665" s="27" t="s">
        <v>8</v>
      </c>
      <c r="JF665" s="27" t="s">
        <v>7</v>
      </c>
      <c r="JG665" s="27" t="s">
        <v>8</v>
      </c>
      <c r="JH665" s="27" t="s">
        <v>7</v>
      </c>
      <c r="JI665" s="27" t="s">
        <v>8</v>
      </c>
      <c r="JJ665" s="27" t="s">
        <v>7</v>
      </c>
      <c r="JK665" s="27" t="s">
        <v>8</v>
      </c>
      <c r="JL665" s="27" t="s">
        <v>7</v>
      </c>
      <c r="JM665" s="27" t="s">
        <v>8</v>
      </c>
      <c r="JN665" s="27" t="s">
        <v>7</v>
      </c>
      <c r="JO665" s="27" t="s">
        <v>8</v>
      </c>
      <c r="JP665" s="27" t="s">
        <v>7</v>
      </c>
      <c r="JQ665" s="27" t="s">
        <v>8</v>
      </c>
      <c r="JR665" s="27" t="s">
        <v>7</v>
      </c>
      <c r="KK665" s="27" t="s">
        <v>8</v>
      </c>
      <c r="KL665" s="27" t="s">
        <v>7</v>
      </c>
      <c r="KM665" s="27" t="s">
        <v>8</v>
      </c>
      <c r="OB665" s="27" t="s">
        <v>7</v>
      </c>
      <c r="OE665" s="27" t="s">
        <v>8</v>
      </c>
      <c r="OF665" s="27" t="s">
        <v>7</v>
      </c>
    </row>
    <row r="666" spans="1:396" x14ac:dyDescent="0.25">
      <c r="A666" s="7">
        <v>0.20921192272998904</v>
      </c>
      <c r="B666"/>
      <c r="C666"/>
      <c r="D666"/>
      <c r="E666"/>
      <c r="F666" s="27" t="s">
        <v>7</v>
      </c>
      <c r="GG666" s="27" t="s">
        <v>8</v>
      </c>
      <c r="GH666" s="27" t="s">
        <v>7</v>
      </c>
      <c r="GK666" s="27" t="s">
        <v>8</v>
      </c>
      <c r="GL666" s="27" t="s">
        <v>7</v>
      </c>
      <c r="GM666" s="27" t="s">
        <v>8</v>
      </c>
      <c r="GN666" s="27" t="s">
        <v>7</v>
      </c>
      <c r="GO666" s="27" t="s">
        <v>8</v>
      </c>
      <c r="GP666" s="27" t="s">
        <v>7</v>
      </c>
      <c r="GQ666" s="27" t="s">
        <v>8</v>
      </c>
      <c r="JD666" s="27" t="s">
        <v>7</v>
      </c>
      <c r="JE666" s="27" t="s">
        <v>8</v>
      </c>
      <c r="JF666" s="27" t="s">
        <v>7</v>
      </c>
      <c r="JG666" s="27" t="s">
        <v>8</v>
      </c>
      <c r="JH666" s="27" t="s">
        <v>7</v>
      </c>
      <c r="JI666" s="27" t="s">
        <v>8</v>
      </c>
      <c r="JJ666" s="27" t="s">
        <v>7</v>
      </c>
      <c r="JK666" s="27" t="s">
        <v>8</v>
      </c>
      <c r="JL666" s="27" t="s">
        <v>7</v>
      </c>
      <c r="JM666" s="27" t="s">
        <v>8</v>
      </c>
      <c r="JN666" s="27" t="s">
        <v>7</v>
      </c>
      <c r="JO666" s="27" t="s">
        <v>8</v>
      </c>
      <c r="JP666" s="27" t="s">
        <v>7</v>
      </c>
      <c r="JQ666" s="27" t="s">
        <v>8</v>
      </c>
      <c r="JR666" s="27" t="s">
        <v>7</v>
      </c>
      <c r="KK666" s="27" t="s">
        <v>8</v>
      </c>
      <c r="KL666" s="27" t="s">
        <v>7</v>
      </c>
      <c r="KM666" s="27" t="s">
        <v>8</v>
      </c>
      <c r="OB666" s="27" t="s">
        <v>7</v>
      </c>
      <c r="OC666" s="27" t="s">
        <v>8</v>
      </c>
      <c r="OE666" s="27" t="s">
        <v>8</v>
      </c>
      <c r="OF666" s="27" t="s">
        <v>7</v>
      </c>
    </row>
    <row r="667" spans="1:396" x14ac:dyDescent="0.25">
      <c r="A667" s="7">
        <v>0.20510972816665593</v>
      </c>
      <c r="B667"/>
      <c r="C667"/>
      <c r="D667"/>
      <c r="E667"/>
      <c r="F667" s="27" t="s">
        <v>7</v>
      </c>
      <c r="GG667" s="27" t="s">
        <v>8</v>
      </c>
      <c r="GH667" s="27" t="s">
        <v>7</v>
      </c>
      <c r="GI667" s="27" t="s">
        <v>8</v>
      </c>
      <c r="GK667" s="27" t="s">
        <v>8</v>
      </c>
      <c r="GL667" s="27" t="s">
        <v>7</v>
      </c>
      <c r="GM667" s="27" t="s">
        <v>8</v>
      </c>
      <c r="GN667" s="27" t="s">
        <v>7</v>
      </c>
      <c r="GO667" s="27" t="s">
        <v>8</v>
      </c>
      <c r="GP667" s="27" t="s">
        <v>7</v>
      </c>
      <c r="GQ667" s="27" t="s">
        <v>8</v>
      </c>
      <c r="JD667" s="27" t="s">
        <v>7</v>
      </c>
      <c r="JE667" s="27" t="s">
        <v>8</v>
      </c>
      <c r="JF667" s="27" t="s">
        <v>7</v>
      </c>
      <c r="JG667" s="27" t="s">
        <v>8</v>
      </c>
      <c r="JH667" s="27" t="s">
        <v>7</v>
      </c>
      <c r="JI667" s="27" t="s">
        <v>8</v>
      </c>
      <c r="JJ667" s="27" t="s">
        <v>7</v>
      </c>
      <c r="JL667" s="27" t="s">
        <v>7</v>
      </c>
      <c r="JM667" s="27" t="s">
        <v>8</v>
      </c>
      <c r="JN667" s="27" t="s">
        <v>7</v>
      </c>
      <c r="JP667" s="27" t="s">
        <v>7</v>
      </c>
      <c r="JR667" s="27" t="s">
        <v>7</v>
      </c>
      <c r="KA667" s="27" t="s">
        <v>8</v>
      </c>
      <c r="KK667" s="27" t="s">
        <v>8</v>
      </c>
      <c r="KL667" s="27" t="s">
        <v>7</v>
      </c>
      <c r="KM667" s="27" t="s">
        <v>8</v>
      </c>
      <c r="OB667" s="27" t="s">
        <v>7</v>
      </c>
      <c r="OC667" s="27" t="s">
        <v>8</v>
      </c>
      <c r="OD667" s="27" t="s">
        <v>7</v>
      </c>
      <c r="OE667" s="27" t="s">
        <v>8</v>
      </c>
      <c r="OF667" s="27" t="s">
        <v>7</v>
      </c>
    </row>
    <row r="668" spans="1:396" x14ac:dyDescent="0.25">
      <c r="A668" s="7">
        <v>0.20108796879083912</v>
      </c>
      <c r="B668"/>
      <c r="C668"/>
      <c r="D668"/>
      <c r="E668"/>
      <c r="F668" s="27" t="s">
        <v>7</v>
      </c>
      <c r="GE668" s="27" t="s">
        <v>8</v>
      </c>
      <c r="GG668" s="27" t="s">
        <v>8</v>
      </c>
      <c r="GH668" s="27" t="s">
        <v>7</v>
      </c>
      <c r="GI668" s="27" t="s">
        <v>8</v>
      </c>
      <c r="GJ668" s="27" t="s">
        <v>7</v>
      </c>
      <c r="GK668" s="27" t="s">
        <v>8</v>
      </c>
      <c r="GL668" s="27" t="s">
        <v>7</v>
      </c>
      <c r="GM668" s="27" t="s">
        <v>8</v>
      </c>
      <c r="GN668" s="27" t="s">
        <v>7</v>
      </c>
      <c r="GO668" s="27" t="s">
        <v>8</v>
      </c>
      <c r="GP668" s="27" t="s">
        <v>7</v>
      </c>
      <c r="GQ668" s="27" t="s">
        <v>8</v>
      </c>
      <c r="JD668" s="27" t="s">
        <v>7</v>
      </c>
      <c r="JE668" s="27" t="s">
        <v>8</v>
      </c>
      <c r="JF668" s="27" t="s">
        <v>7</v>
      </c>
      <c r="JG668" s="27" t="s">
        <v>8</v>
      </c>
      <c r="JH668" s="27" t="s">
        <v>7</v>
      </c>
      <c r="JI668" s="27" t="s">
        <v>8</v>
      </c>
      <c r="JL668" s="27" t="s">
        <v>7</v>
      </c>
      <c r="JR668" s="27" t="s">
        <v>7</v>
      </c>
      <c r="KA668" s="27" t="s">
        <v>8</v>
      </c>
      <c r="KB668" s="27" t="s">
        <v>7</v>
      </c>
      <c r="KK668" s="27" t="s">
        <v>8</v>
      </c>
      <c r="KL668" s="27" t="s">
        <v>7</v>
      </c>
      <c r="KM668" s="27" t="s">
        <v>8</v>
      </c>
      <c r="OB668" s="27" t="s">
        <v>7</v>
      </c>
      <c r="OC668" s="27" t="s">
        <v>8</v>
      </c>
      <c r="OD668" s="27" t="s">
        <v>7</v>
      </c>
      <c r="OE668" s="27" t="s">
        <v>8</v>
      </c>
      <c r="OF668" s="27" t="s">
        <v>7</v>
      </c>
    </row>
    <row r="669" spans="1:396" x14ac:dyDescent="0.25">
      <c r="A669" s="7">
        <v>0.19714506744199917</v>
      </c>
      <c r="B669"/>
      <c r="C669"/>
      <c r="D669"/>
      <c r="E669"/>
      <c r="F669" s="27" t="s">
        <v>7</v>
      </c>
      <c r="GE669" s="27" t="s">
        <v>8</v>
      </c>
      <c r="GF669" s="27" t="s">
        <v>7</v>
      </c>
      <c r="GG669" s="27" t="s">
        <v>8</v>
      </c>
      <c r="GH669" s="27" t="s">
        <v>7</v>
      </c>
      <c r="GI669" s="27" t="s">
        <v>8</v>
      </c>
      <c r="GJ669" s="27" t="s">
        <v>7</v>
      </c>
      <c r="GK669" s="27" t="s">
        <v>8</v>
      </c>
      <c r="GL669" s="27" t="s">
        <v>7</v>
      </c>
      <c r="GM669" s="27" t="s">
        <v>8</v>
      </c>
      <c r="GN669" s="27" t="s">
        <v>7</v>
      </c>
      <c r="GO669" s="27" t="s">
        <v>8</v>
      </c>
      <c r="GP669" s="27" t="s">
        <v>7</v>
      </c>
      <c r="GQ669" s="27" t="s">
        <v>8</v>
      </c>
      <c r="JD669" s="27" t="s">
        <v>7</v>
      </c>
      <c r="JE669" s="27" t="s">
        <v>8</v>
      </c>
      <c r="JF669" s="27" t="s">
        <v>7</v>
      </c>
      <c r="JG669" s="27" t="s">
        <v>8</v>
      </c>
      <c r="JH669" s="27" t="s">
        <v>7</v>
      </c>
      <c r="JI669" s="27" t="s">
        <v>8</v>
      </c>
      <c r="JR669" s="27" t="s">
        <v>7</v>
      </c>
      <c r="KA669" s="27" t="s">
        <v>8</v>
      </c>
      <c r="KB669" s="27" t="s">
        <v>7</v>
      </c>
      <c r="KK669" s="27" t="s">
        <v>8</v>
      </c>
      <c r="KL669" s="27" t="s">
        <v>7</v>
      </c>
      <c r="KM669" s="27" t="s">
        <v>8</v>
      </c>
      <c r="OB669" s="27" t="s">
        <v>7</v>
      </c>
      <c r="OC669" s="27" t="s">
        <v>8</v>
      </c>
      <c r="OD669" s="27" t="s">
        <v>7</v>
      </c>
      <c r="OE669" s="27" t="s">
        <v>8</v>
      </c>
      <c r="OF669" s="27" t="s">
        <v>7</v>
      </c>
    </row>
    <row r="670" spans="1:396" x14ac:dyDescent="0.25">
      <c r="A670" s="7">
        <v>0.19327947788431293</v>
      </c>
      <c r="B670"/>
      <c r="C670"/>
      <c r="D670"/>
      <c r="E670"/>
      <c r="F670" s="27" t="s">
        <v>7</v>
      </c>
      <c r="GE670" s="27" t="s">
        <v>8</v>
      </c>
      <c r="GF670" s="27" t="s">
        <v>7</v>
      </c>
      <c r="GG670" s="27" t="s">
        <v>8</v>
      </c>
      <c r="GH670" s="27" t="s">
        <v>7</v>
      </c>
      <c r="GI670" s="27" t="s">
        <v>8</v>
      </c>
      <c r="GJ670" s="27" t="s">
        <v>7</v>
      </c>
      <c r="GK670" s="27" t="s">
        <v>8</v>
      </c>
      <c r="GL670" s="27" t="s">
        <v>7</v>
      </c>
      <c r="GM670" s="27" t="s">
        <v>8</v>
      </c>
      <c r="GN670" s="27" t="s">
        <v>7</v>
      </c>
      <c r="GO670" s="27" t="s">
        <v>8</v>
      </c>
      <c r="GP670" s="27" t="s">
        <v>7</v>
      </c>
      <c r="GQ670" s="27" t="s">
        <v>8</v>
      </c>
      <c r="JD670" s="27" t="s">
        <v>7</v>
      </c>
      <c r="JE670" s="27" t="s">
        <v>8</v>
      </c>
      <c r="JF670" s="27" t="s">
        <v>7</v>
      </c>
      <c r="JG670" s="27" t="s">
        <v>8</v>
      </c>
      <c r="JH670" s="27" t="s">
        <v>7</v>
      </c>
      <c r="JI670" s="27" t="s">
        <v>8</v>
      </c>
      <c r="JR670" s="27" t="s">
        <v>7</v>
      </c>
      <c r="KA670" s="27" t="s">
        <v>8</v>
      </c>
      <c r="KB670" s="27" t="s">
        <v>7</v>
      </c>
      <c r="KG670" s="27" t="s">
        <v>8</v>
      </c>
      <c r="KK670" s="27" t="s">
        <v>8</v>
      </c>
      <c r="KL670" s="27" t="s">
        <v>7</v>
      </c>
      <c r="KM670" s="27" t="s">
        <v>8</v>
      </c>
      <c r="OB670" s="27" t="s">
        <v>7</v>
      </c>
      <c r="OC670" s="27" t="s">
        <v>8</v>
      </c>
      <c r="OD670" s="27" t="s">
        <v>7</v>
      </c>
      <c r="OE670" s="27" t="s">
        <v>8</v>
      </c>
    </row>
    <row r="671" spans="1:396" x14ac:dyDescent="0.25">
      <c r="A671" s="7">
        <v>0.18948968420030682</v>
      </c>
      <c r="B671"/>
      <c r="C671"/>
      <c r="D671"/>
      <c r="E671"/>
      <c r="F671" s="27" t="s">
        <v>7</v>
      </c>
      <c r="GE671" s="27" t="s">
        <v>8</v>
      </c>
      <c r="GF671" s="27" t="s">
        <v>7</v>
      </c>
      <c r="GG671" s="27" t="s">
        <v>8</v>
      </c>
      <c r="GH671" s="27" t="s">
        <v>7</v>
      </c>
      <c r="GI671" s="27" t="s">
        <v>8</v>
      </c>
      <c r="GJ671" s="27" t="s">
        <v>7</v>
      </c>
      <c r="GK671" s="27" t="s">
        <v>8</v>
      </c>
      <c r="GL671" s="27" t="s">
        <v>7</v>
      </c>
      <c r="GM671" s="27" t="s">
        <v>8</v>
      </c>
      <c r="GN671" s="27" t="s">
        <v>7</v>
      </c>
      <c r="GP671" s="27" t="s">
        <v>7</v>
      </c>
      <c r="JD671" s="27" t="s">
        <v>7</v>
      </c>
      <c r="JE671" s="27" t="s">
        <v>8</v>
      </c>
      <c r="JF671" s="27" t="s">
        <v>7</v>
      </c>
      <c r="JG671" s="27" t="s">
        <v>8</v>
      </c>
      <c r="JH671" s="27" t="s">
        <v>7</v>
      </c>
      <c r="JI671" s="27" t="s">
        <v>8</v>
      </c>
      <c r="JR671" s="27" t="s">
        <v>7</v>
      </c>
      <c r="JS671" s="27" t="s">
        <v>8</v>
      </c>
      <c r="KA671" s="27" t="s">
        <v>8</v>
      </c>
      <c r="KB671" s="27" t="s">
        <v>7</v>
      </c>
      <c r="KE671" s="27" t="s">
        <v>8</v>
      </c>
      <c r="KG671" s="27" t="s">
        <v>8</v>
      </c>
      <c r="KH671" s="27" t="s">
        <v>7</v>
      </c>
      <c r="KK671" s="27" t="s">
        <v>8</v>
      </c>
      <c r="KL671" s="27" t="s">
        <v>7</v>
      </c>
      <c r="OB671" s="27" t="s">
        <v>7</v>
      </c>
      <c r="OC671" s="27" t="s">
        <v>8</v>
      </c>
      <c r="OD671" s="27" t="s">
        <v>7</v>
      </c>
      <c r="OE671" s="27" t="s">
        <v>8</v>
      </c>
    </row>
    <row r="672" spans="1:396" x14ac:dyDescent="0.25">
      <c r="A672" s="7">
        <v>0.18577420019637925</v>
      </c>
      <c r="B672"/>
      <c r="C672"/>
      <c r="D672"/>
      <c r="E672"/>
      <c r="F672" s="27" t="s">
        <v>7</v>
      </c>
      <c r="GE672" s="27" t="s">
        <v>8</v>
      </c>
      <c r="GF672" s="27" t="s">
        <v>7</v>
      </c>
      <c r="GG672" s="27" t="s">
        <v>8</v>
      </c>
      <c r="GH672" s="27" t="s">
        <v>7</v>
      </c>
      <c r="GI672" s="27" t="s">
        <v>8</v>
      </c>
      <c r="GJ672" s="27" t="s">
        <v>7</v>
      </c>
      <c r="GK672" s="27" t="s">
        <v>8</v>
      </c>
      <c r="GL672" s="27" t="s">
        <v>7</v>
      </c>
      <c r="JD672" s="27" t="s">
        <v>7</v>
      </c>
      <c r="JE672" s="27" t="s">
        <v>8</v>
      </c>
      <c r="JF672" s="27" t="s">
        <v>7</v>
      </c>
      <c r="JG672" s="27" t="s">
        <v>8</v>
      </c>
      <c r="JH672" s="27" t="s">
        <v>7</v>
      </c>
      <c r="JI672" s="27" t="s">
        <v>8</v>
      </c>
      <c r="JR672" s="27" t="s">
        <v>7</v>
      </c>
      <c r="JS672" s="27" t="s">
        <v>8</v>
      </c>
      <c r="JT672" s="27" t="s">
        <v>7</v>
      </c>
      <c r="KA672" s="27" t="s">
        <v>8</v>
      </c>
      <c r="KB672" s="27" t="s">
        <v>7</v>
      </c>
      <c r="KE672" s="27" t="s">
        <v>8</v>
      </c>
      <c r="KF672" s="27" t="s">
        <v>7</v>
      </c>
      <c r="KG672" s="27" t="s">
        <v>8</v>
      </c>
      <c r="KH672" s="27" t="s">
        <v>7</v>
      </c>
      <c r="KI672" s="27" t="s">
        <v>8</v>
      </c>
      <c r="KK672" s="27" t="s">
        <v>8</v>
      </c>
      <c r="OB672" s="27" t="s">
        <v>7</v>
      </c>
      <c r="OC672" s="27" t="s">
        <v>8</v>
      </c>
      <c r="OD672" s="27" t="s">
        <v>7</v>
      </c>
      <c r="OE672" s="27" t="s">
        <v>8</v>
      </c>
    </row>
    <row r="673" spans="1:395" x14ac:dyDescent="0.25">
      <c r="A673" s="7">
        <v>0.18213156881997963</v>
      </c>
      <c r="B673"/>
      <c r="C673"/>
      <c r="D673"/>
      <c r="E673"/>
      <c r="F673" s="27" t="s">
        <v>7</v>
      </c>
      <c r="GE673" s="27" t="s">
        <v>8</v>
      </c>
      <c r="GF673" s="27" t="s">
        <v>7</v>
      </c>
      <c r="GG673" s="27" t="s">
        <v>8</v>
      </c>
      <c r="GH673" s="27" t="s">
        <v>7</v>
      </c>
      <c r="GI673" s="27" t="s">
        <v>8</v>
      </c>
      <c r="GJ673" s="27" t="s">
        <v>7</v>
      </c>
      <c r="GK673" s="27" t="s">
        <v>8</v>
      </c>
      <c r="JD673" s="27" t="s">
        <v>7</v>
      </c>
      <c r="JE673" s="27" t="s">
        <v>8</v>
      </c>
      <c r="JF673" s="27" t="s">
        <v>7</v>
      </c>
      <c r="JG673" s="27" t="s">
        <v>8</v>
      </c>
      <c r="JH673" s="27" t="s">
        <v>7</v>
      </c>
      <c r="JR673" s="27" t="s">
        <v>7</v>
      </c>
      <c r="JS673" s="27" t="s">
        <v>8</v>
      </c>
      <c r="JT673" s="27" t="s">
        <v>7</v>
      </c>
      <c r="JU673" s="27" t="s">
        <v>8</v>
      </c>
      <c r="KA673" s="27" t="s">
        <v>8</v>
      </c>
      <c r="KB673" s="27" t="s">
        <v>7</v>
      </c>
      <c r="KE673" s="27" t="s">
        <v>8</v>
      </c>
      <c r="KF673" s="27" t="s">
        <v>7</v>
      </c>
      <c r="KG673" s="27" t="s">
        <v>8</v>
      </c>
      <c r="KH673" s="27" t="s">
        <v>7</v>
      </c>
      <c r="KI673" s="27" t="s">
        <v>8</v>
      </c>
      <c r="KJ673" s="27" t="s">
        <v>7</v>
      </c>
      <c r="KK673" s="27" t="s">
        <v>8</v>
      </c>
      <c r="OB673" s="27" t="s">
        <v>7</v>
      </c>
      <c r="OC673" s="27" t="s">
        <v>8</v>
      </c>
      <c r="OD673" s="27" t="s">
        <v>7</v>
      </c>
      <c r="OE673" s="27" t="s">
        <v>8</v>
      </c>
    </row>
    <row r="674" spans="1:395" x14ac:dyDescent="0.25">
      <c r="A674" s="7">
        <v>0.17856036158821534</v>
      </c>
      <c r="B674"/>
      <c r="C674"/>
      <c r="D674"/>
      <c r="E674"/>
      <c r="F674" s="27" t="s">
        <v>7</v>
      </c>
      <c r="GE674" s="27" t="s">
        <v>8</v>
      </c>
      <c r="GF674" s="27" t="s">
        <v>7</v>
      </c>
      <c r="GG674" s="27" t="s">
        <v>8</v>
      </c>
      <c r="GH674" s="27" t="s">
        <v>7</v>
      </c>
      <c r="GI674" s="27" t="s">
        <v>8</v>
      </c>
      <c r="GJ674" s="27" t="s">
        <v>7</v>
      </c>
      <c r="GK674" s="27" t="s">
        <v>8</v>
      </c>
      <c r="JD674" s="27" t="s">
        <v>7</v>
      </c>
      <c r="JE674" s="27" t="s">
        <v>8</v>
      </c>
      <c r="JF674" s="27" t="s">
        <v>7</v>
      </c>
      <c r="JG674" s="27" t="s">
        <v>8</v>
      </c>
      <c r="JR674" s="27" t="s">
        <v>7</v>
      </c>
      <c r="JS674" s="27" t="s">
        <v>8</v>
      </c>
      <c r="JT674" s="27" t="s">
        <v>7</v>
      </c>
      <c r="JU674" s="27" t="s">
        <v>8</v>
      </c>
      <c r="JV674" s="27" t="s">
        <v>7</v>
      </c>
      <c r="KA674" s="27" t="s">
        <v>8</v>
      </c>
      <c r="KB674" s="27" t="s">
        <v>7</v>
      </c>
      <c r="KC674" s="27" t="s">
        <v>8</v>
      </c>
      <c r="KE674" s="27" t="s">
        <v>8</v>
      </c>
      <c r="KF674" s="27" t="s">
        <v>7</v>
      </c>
      <c r="KG674" s="27" t="s">
        <v>8</v>
      </c>
      <c r="KH674" s="27" t="s">
        <v>7</v>
      </c>
      <c r="KI674" s="27" t="s">
        <v>8</v>
      </c>
      <c r="KJ674" s="27" t="s">
        <v>7</v>
      </c>
      <c r="KK674" s="27" t="s">
        <v>8</v>
      </c>
      <c r="OB674" s="27" t="s">
        <v>7</v>
      </c>
      <c r="OC674" s="27" t="s">
        <v>8</v>
      </c>
      <c r="OD674" s="27" t="s">
        <v>7</v>
      </c>
      <c r="OE674" s="27" t="s">
        <v>8</v>
      </c>
    </row>
    <row r="675" spans="1:395" x14ac:dyDescent="0.25">
      <c r="A675" s="7">
        <v>0.17505917802766208</v>
      </c>
      <c r="B675"/>
      <c r="C675"/>
      <c r="D675"/>
      <c r="E675"/>
      <c r="F675" s="27" t="s">
        <v>7</v>
      </c>
      <c r="FK675" s="27" t="s">
        <v>8</v>
      </c>
      <c r="GE675" s="27" t="s">
        <v>8</v>
      </c>
      <c r="GF675" s="27" t="s">
        <v>7</v>
      </c>
      <c r="GH675" s="27" t="s">
        <v>7</v>
      </c>
      <c r="GI675" s="27" t="s">
        <v>8</v>
      </c>
      <c r="GJ675" s="27" t="s">
        <v>7</v>
      </c>
      <c r="GK675" s="27" t="s">
        <v>8</v>
      </c>
      <c r="JD675" s="27" t="s">
        <v>7</v>
      </c>
      <c r="JF675" s="27" t="s">
        <v>7</v>
      </c>
      <c r="JG675" s="27" t="s">
        <v>8</v>
      </c>
      <c r="JR675" s="27" t="s">
        <v>7</v>
      </c>
      <c r="JS675" s="27" t="s">
        <v>8</v>
      </c>
      <c r="JT675" s="27" t="s">
        <v>7</v>
      </c>
      <c r="JU675" s="27" t="s">
        <v>8</v>
      </c>
      <c r="JV675" s="27" t="s">
        <v>7</v>
      </c>
      <c r="JW675" s="27" t="s">
        <v>8</v>
      </c>
      <c r="KA675" s="27" t="s">
        <v>8</v>
      </c>
      <c r="KB675" s="27" t="s">
        <v>7</v>
      </c>
      <c r="KC675" s="27" t="s">
        <v>8</v>
      </c>
      <c r="KD675" s="27" t="s">
        <v>7</v>
      </c>
      <c r="KE675" s="27" t="s">
        <v>8</v>
      </c>
      <c r="KF675" s="27" t="s">
        <v>7</v>
      </c>
      <c r="KG675" s="27" t="s">
        <v>8</v>
      </c>
      <c r="KH675" s="27" t="s">
        <v>7</v>
      </c>
      <c r="KI675" s="27" t="s">
        <v>8</v>
      </c>
      <c r="KJ675" s="27" t="s">
        <v>7</v>
      </c>
      <c r="KK675" s="27" t="s">
        <v>8</v>
      </c>
      <c r="OB675" s="27" t="s">
        <v>7</v>
      </c>
      <c r="OC675" s="27" t="s">
        <v>8</v>
      </c>
      <c r="OD675" s="27" t="s">
        <v>7</v>
      </c>
      <c r="OE675" s="27" t="s">
        <v>8</v>
      </c>
    </row>
    <row r="676" spans="1:395" x14ac:dyDescent="0.25">
      <c r="A676" s="7">
        <v>0.17162664512515888</v>
      </c>
      <c r="B676"/>
      <c r="C676"/>
      <c r="D676"/>
      <c r="E676"/>
      <c r="F676" s="27" t="s">
        <v>7</v>
      </c>
      <c r="FK676" s="27" t="s">
        <v>8</v>
      </c>
      <c r="FL676" s="27" t="s">
        <v>7</v>
      </c>
      <c r="GE676" s="27" t="s">
        <v>8</v>
      </c>
      <c r="GH676" s="27" t="s">
        <v>7</v>
      </c>
      <c r="GI676" s="27" t="s">
        <v>8</v>
      </c>
      <c r="GJ676" s="27" t="s">
        <v>7</v>
      </c>
      <c r="GK676" s="27" t="s">
        <v>8</v>
      </c>
      <c r="JF676" s="27" t="s">
        <v>7</v>
      </c>
      <c r="JG676" s="27" t="s">
        <v>8</v>
      </c>
      <c r="JR676" s="27" t="s">
        <v>7</v>
      </c>
      <c r="JS676" s="27" t="s">
        <v>8</v>
      </c>
      <c r="JT676" s="27" t="s">
        <v>7</v>
      </c>
      <c r="JU676" s="27" t="s">
        <v>8</v>
      </c>
      <c r="JV676" s="27" t="s">
        <v>7</v>
      </c>
      <c r="JW676" s="27" t="s">
        <v>8</v>
      </c>
      <c r="JX676" s="27" t="s">
        <v>7</v>
      </c>
      <c r="JY676" s="27" t="s">
        <v>8</v>
      </c>
      <c r="KA676" s="27" t="s">
        <v>8</v>
      </c>
      <c r="KB676" s="27" t="s">
        <v>7</v>
      </c>
      <c r="KC676" s="27" t="s">
        <v>8</v>
      </c>
      <c r="KD676" s="27" t="s">
        <v>7</v>
      </c>
      <c r="KE676" s="27" t="s">
        <v>8</v>
      </c>
      <c r="KF676" s="27" t="s">
        <v>7</v>
      </c>
      <c r="KG676" s="27" t="s">
        <v>8</v>
      </c>
      <c r="KH676" s="27" t="s">
        <v>7</v>
      </c>
      <c r="KI676" s="27" t="s">
        <v>8</v>
      </c>
      <c r="KJ676" s="27" t="s">
        <v>7</v>
      </c>
      <c r="KK676" s="27" t="s">
        <v>8</v>
      </c>
      <c r="OB676" s="27" t="s">
        <v>7</v>
      </c>
      <c r="OD676" s="27" t="s">
        <v>7</v>
      </c>
    </row>
    <row r="677" spans="1:395" x14ac:dyDescent="0.25">
      <c r="A677" s="7">
        <v>0.16826141678937145</v>
      </c>
      <c r="B677"/>
      <c r="C677"/>
      <c r="D677"/>
      <c r="E677"/>
      <c r="F677" s="27" t="s">
        <v>7</v>
      </c>
      <c r="FI677" s="27" t="s">
        <v>8</v>
      </c>
      <c r="FK677" s="27" t="s">
        <v>8</v>
      </c>
      <c r="FL677" s="27" t="s">
        <v>7</v>
      </c>
      <c r="GE677" s="27" t="s">
        <v>8</v>
      </c>
      <c r="GH677" s="27" t="s">
        <v>7</v>
      </c>
      <c r="GI677" s="27" t="s">
        <v>8</v>
      </c>
      <c r="GJ677" s="27" t="s">
        <v>7</v>
      </c>
      <c r="JF677" s="27" t="s">
        <v>7</v>
      </c>
      <c r="JG677" s="27" t="s">
        <v>8</v>
      </c>
      <c r="JR677" s="27" t="s">
        <v>7</v>
      </c>
      <c r="JS677" s="27" t="s">
        <v>8</v>
      </c>
      <c r="JT677" s="27" t="s">
        <v>7</v>
      </c>
      <c r="JU677" s="27" t="s">
        <v>8</v>
      </c>
      <c r="JV677" s="27" t="s">
        <v>7</v>
      </c>
      <c r="JW677" s="27" t="s">
        <v>8</v>
      </c>
      <c r="JX677" s="27" t="s">
        <v>7</v>
      </c>
      <c r="JY677" s="27" t="s">
        <v>8</v>
      </c>
      <c r="JZ677" s="27" t="s">
        <v>7</v>
      </c>
      <c r="KA677" s="27" t="s">
        <v>8</v>
      </c>
      <c r="KB677" s="27" t="s">
        <v>7</v>
      </c>
      <c r="KC677" s="27" t="s">
        <v>8</v>
      </c>
      <c r="KD677" s="27" t="s">
        <v>7</v>
      </c>
      <c r="KE677" s="27" t="s">
        <v>8</v>
      </c>
      <c r="KF677" s="27" t="s">
        <v>7</v>
      </c>
      <c r="KG677" s="27" t="s">
        <v>8</v>
      </c>
      <c r="KH677" s="27" t="s">
        <v>7</v>
      </c>
      <c r="KI677" s="27" t="s">
        <v>8</v>
      </c>
      <c r="KJ677" s="27" t="s">
        <v>7</v>
      </c>
      <c r="KK677" s="27" t="s">
        <v>8</v>
      </c>
    </row>
    <row r="678" spans="1:395" x14ac:dyDescent="0.25">
      <c r="A678" s="7">
        <v>0.16496217332291319</v>
      </c>
      <c r="B678"/>
      <c r="C678"/>
      <c r="D678"/>
      <c r="E678"/>
      <c r="F678" s="27" t="s">
        <v>7</v>
      </c>
      <c r="FI678" s="27" t="s">
        <v>8</v>
      </c>
      <c r="FJ678" s="27" t="s">
        <v>7</v>
      </c>
      <c r="FK678" s="27" t="s">
        <v>8</v>
      </c>
      <c r="FL678" s="27" t="s">
        <v>7</v>
      </c>
      <c r="GE678" s="27" t="s">
        <v>8</v>
      </c>
      <c r="GH678" s="27" t="s">
        <v>7</v>
      </c>
      <c r="GI678" s="27" t="s">
        <v>8</v>
      </c>
      <c r="JF678" s="27" t="s">
        <v>7</v>
      </c>
      <c r="JG678" s="27" t="s">
        <v>8</v>
      </c>
      <c r="JR678" s="27" t="s">
        <v>7</v>
      </c>
      <c r="JS678" s="27" t="s">
        <v>8</v>
      </c>
      <c r="JT678" s="27" t="s">
        <v>7</v>
      </c>
      <c r="JU678" s="27" t="s">
        <v>8</v>
      </c>
      <c r="JV678" s="27" t="s">
        <v>7</v>
      </c>
      <c r="JW678" s="27" t="s">
        <v>8</v>
      </c>
      <c r="JX678" s="27" t="s">
        <v>7</v>
      </c>
      <c r="JY678" s="27" t="s">
        <v>8</v>
      </c>
      <c r="JZ678" s="27" t="s">
        <v>7</v>
      </c>
      <c r="KA678" s="27" t="s">
        <v>8</v>
      </c>
      <c r="KB678" s="27" t="s">
        <v>7</v>
      </c>
      <c r="KD678" s="27" t="s">
        <v>7</v>
      </c>
      <c r="KE678" s="27" t="s">
        <v>8</v>
      </c>
      <c r="KF678" s="27" t="s">
        <v>7</v>
      </c>
      <c r="KG678" s="27" t="s">
        <v>8</v>
      </c>
      <c r="KH678" s="27" t="s">
        <v>7</v>
      </c>
      <c r="KI678" s="27" t="s">
        <v>8</v>
      </c>
      <c r="KJ678" s="27" t="s">
        <v>7</v>
      </c>
      <c r="KK678" s="27" t="s">
        <v>8</v>
      </c>
    </row>
    <row r="679" spans="1:395" x14ac:dyDescent="0.25">
      <c r="A679" s="7">
        <v>0.16172762090481685</v>
      </c>
      <c r="B679"/>
      <c r="C679"/>
      <c r="D679"/>
      <c r="E679"/>
      <c r="F679" s="27" t="s">
        <v>7</v>
      </c>
      <c r="FI679" s="27" t="s">
        <v>8</v>
      </c>
      <c r="FJ679" s="27" t="s">
        <v>7</v>
      </c>
      <c r="FK679" s="27" t="s">
        <v>8</v>
      </c>
      <c r="FL679" s="27" t="s">
        <v>7</v>
      </c>
      <c r="GE679" s="27" t="s">
        <v>8</v>
      </c>
      <c r="GH679" s="27" t="s">
        <v>7</v>
      </c>
      <c r="GI679" s="27" t="s">
        <v>8</v>
      </c>
      <c r="JF679" s="27" t="s">
        <v>7</v>
      </c>
      <c r="JG679" s="27" t="s">
        <v>8</v>
      </c>
      <c r="JR679" s="27" t="s">
        <v>7</v>
      </c>
      <c r="JS679" s="27" t="s">
        <v>8</v>
      </c>
      <c r="JT679" s="27" t="s">
        <v>7</v>
      </c>
      <c r="JU679" s="27" t="s">
        <v>8</v>
      </c>
      <c r="JV679" s="27" t="s">
        <v>7</v>
      </c>
      <c r="JX679" s="27" t="s">
        <v>7</v>
      </c>
      <c r="JY679" s="27" t="s">
        <v>8</v>
      </c>
      <c r="JZ679" s="27" t="s">
        <v>7</v>
      </c>
      <c r="KA679" s="27" t="s">
        <v>8</v>
      </c>
      <c r="KD679" s="27" t="s">
        <v>7</v>
      </c>
      <c r="KF679" s="27" t="s">
        <v>7</v>
      </c>
      <c r="KG679" s="27" t="s">
        <v>8</v>
      </c>
      <c r="KH679" s="27" t="s">
        <v>7</v>
      </c>
      <c r="KI679" s="27" t="s">
        <v>8</v>
      </c>
      <c r="KJ679" s="27" t="s">
        <v>7</v>
      </c>
      <c r="KK679" s="27" t="s">
        <v>8</v>
      </c>
    </row>
    <row r="680" spans="1:395" x14ac:dyDescent="0.25">
      <c r="A680" s="7">
        <v>0.15855649108315376</v>
      </c>
      <c r="B680"/>
      <c r="C680"/>
      <c r="D680"/>
      <c r="E680"/>
      <c r="F680" s="27" t="s">
        <v>7</v>
      </c>
      <c r="FI680" s="27" t="s">
        <v>8</v>
      </c>
      <c r="FJ680" s="27" t="s">
        <v>7</v>
      </c>
      <c r="FK680" s="27" t="s">
        <v>8</v>
      </c>
      <c r="FL680" s="27" t="s">
        <v>7</v>
      </c>
      <c r="GE680" s="27" t="s">
        <v>8</v>
      </c>
      <c r="GH680" s="27" t="s">
        <v>7</v>
      </c>
      <c r="JF680" s="27" t="s">
        <v>7</v>
      </c>
      <c r="JG680" s="27" t="s">
        <v>8</v>
      </c>
      <c r="JR680" s="27" t="s">
        <v>7</v>
      </c>
      <c r="JS680" s="27" t="s">
        <v>8</v>
      </c>
      <c r="JT680" s="27" t="s">
        <v>7</v>
      </c>
      <c r="JU680" s="27" t="s">
        <v>8</v>
      </c>
      <c r="JX680" s="27" t="s">
        <v>7</v>
      </c>
      <c r="JZ680" s="27" t="s">
        <v>7</v>
      </c>
      <c r="KF680" s="27" t="s">
        <v>7</v>
      </c>
      <c r="KG680" s="27" t="s">
        <v>8</v>
      </c>
      <c r="KH680" s="27" t="s">
        <v>7</v>
      </c>
      <c r="KI680" s="27" t="s">
        <v>8</v>
      </c>
      <c r="KJ680" s="27" t="s">
        <v>7</v>
      </c>
      <c r="KK680" s="27" t="s">
        <v>8</v>
      </c>
    </row>
    <row r="681" spans="1:395" x14ac:dyDescent="0.25">
      <c r="A681" s="7">
        <v>0.15544754027760171</v>
      </c>
      <c r="B681"/>
      <c r="C681"/>
      <c r="D681"/>
      <c r="E681"/>
      <c r="F681" s="27" t="s">
        <v>7</v>
      </c>
      <c r="FI681" s="27" t="s">
        <v>8</v>
      </c>
      <c r="FJ681" s="27" t="s">
        <v>7</v>
      </c>
      <c r="FK681" s="27" t="s">
        <v>8</v>
      </c>
      <c r="FL681" s="27" t="s">
        <v>7</v>
      </c>
      <c r="GE681" s="27" t="s">
        <v>8</v>
      </c>
      <c r="JF681" s="27" t="s">
        <v>7</v>
      </c>
      <c r="JG681" s="27" t="s">
        <v>8</v>
      </c>
      <c r="JR681" s="27" t="s">
        <v>7</v>
      </c>
      <c r="JS681" s="27" t="s">
        <v>8</v>
      </c>
      <c r="JT681" s="27" t="s">
        <v>7</v>
      </c>
      <c r="JU681" s="27" t="s">
        <v>8</v>
      </c>
      <c r="KF681" s="27" t="s">
        <v>7</v>
      </c>
      <c r="KH681" s="27" t="s">
        <v>7</v>
      </c>
      <c r="KI681" s="27" t="s">
        <v>8</v>
      </c>
      <c r="KJ681" s="27" t="s">
        <v>7</v>
      </c>
    </row>
    <row r="682" spans="1:395" x14ac:dyDescent="0.25">
      <c r="A682" s="7">
        <v>0.15239954929176638</v>
      </c>
      <c r="B682"/>
      <c r="C682"/>
      <c r="D682"/>
      <c r="E682"/>
      <c r="F682" s="27" t="s">
        <v>7</v>
      </c>
      <c r="FI682" s="27" t="s">
        <v>8</v>
      </c>
      <c r="FJ682" s="27" t="s">
        <v>7</v>
      </c>
      <c r="FK682" s="27" t="s">
        <v>8</v>
      </c>
      <c r="FL682" s="27" t="s">
        <v>7</v>
      </c>
      <c r="GE682" s="27" t="s">
        <v>8</v>
      </c>
      <c r="JF682" s="27" t="s">
        <v>7</v>
      </c>
      <c r="JG682" s="27" t="s">
        <v>8</v>
      </c>
      <c r="JR682" s="27" t="s">
        <v>7</v>
      </c>
      <c r="JS682" s="27" t="s">
        <v>8</v>
      </c>
      <c r="JT682" s="27" t="s">
        <v>7</v>
      </c>
      <c r="KH682" s="27" t="s">
        <v>7</v>
      </c>
      <c r="KI682" s="27" t="s">
        <v>8</v>
      </c>
    </row>
    <row r="683" spans="1:395" x14ac:dyDescent="0.25">
      <c r="A683" s="7">
        <v>0.14941132283506509</v>
      </c>
      <c r="B683"/>
      <c r="C683"/>
      <c r="D683"/>
      <c r="E683"/>
      <c r="F683" s="27" t="s">
        <v>7</v>
      </c>
      <c r="FI683" s="27" t="s">
        <v>8</v>
      </c>
      <c r="FJ683" s="27" t="s">
        <v>7</v>
      </c>
      <c r="FK683" s="27" t="s">
        <v>8</v>
      </c>
      <c r="FL683" s="27" t="s">
        <v>7</v>
      </c>
      <c r="GE683" s="27" t="s">
        <v>8</v>
      </c>
      <c r="JF683" s="27" t="s">
        <v>7</v>
      </c>
      <c r="JG683" s="27" t="s">
        <v>8</v>
      </c>
      <c r="JR683" s="27" t="s">
        <v>7</v>
      </c>
      <c r="JS683" s="27" t="s">
        <v>8</v>
      </c>
      <c r="KH683" s="27" t="s">
        <v>7</v>
      </c>
      <c r="KI683" s="27" t="s">
        <v>8</v>
      </c>
    </row>
    <row r="684" spans="1:395" x14ac:dyDescent="0.25">
      <c r="A684" s="7">
        <v>0.14648168905398537</v>
      </c>
      <c r="B684"/>
      <c r="C684"/>
      <c r="D684"/>
      <c r="E684"/>
      <c r="F684" s="27" t="s">
        <v>7</v>
      </c>
      <c r="FI684" s="27" t="s">
        <v>8</v>
      </c>
      <c r="FJ684" s="27" t="s">
        <v>7</v>
      </c>
      <c r="FK684" s="27" t="s">
        <v>8</v>
      </c>
      <c r="FL684" s="27" t="s">
        <v>7</v>
      </c>
      <c r="GE684" s="27" t="s">
        <v>8</v>
      </c>
      <c r="JF684" s="27" t="s">
        <v>7</v>
      </c>
      <c r="JG684" s="27" t="s">
        <v>8</v>
      </c>
      <c r="JR684" s="27" t="s">
        <v>7</v>
      </c>
      <c r="JS684" s="27" t="s">
        <v>8</v>
      </c>
      <c r="KH684" s="18" t="s">
        <v>7</v>
      </c>
      <c r="KI684" s="27" t="s">
        <v>8</v>
      </c>
    </row>
    <row r="685" spans="1:395" x14ac:dyDescent="0.25">
      <c r="A685" s="7">
        <v>0.14360949907253467</v>
      </c>
      <c r="B685"/>
      <c r="C685"/>
      <c r="D685"/>
      <c r="E685"/>
      <c r="F685" s="27" t="s">
        <v>7</v>
      </c>
      <c r="FI685" s="27" t="s">
        <v>8</v>
      </c>
      <c r="FJ685" s="27" t="s">
        <v>7</v>
      </c>
      <c r="FK685" s="27" t="s">
        <v>8</v>
      </c>
      <c r="FL685" s="27" t="s">
        <v>7</v>
      </c>
      <c r="GE685" s="27" t="s">
        <v>8</v>
      </c>
      <c r="JF685" s="27" t="s">
        <v>7</v>
      </c>
      <c r="JG685" s="27" t="s">
        <v>8</v>
      </c>
      <c r="JR685" s="27" t="s">
        <v>7</v>
      </c>
      <c r="JS685" s="27" t="s">
        <v>8</v>
      </c>
      <c r="KH685" s="27" t="s">
        <v>7</v>
      </c>
      <c r="KI685" s="27" t="s">
        <v>8</v>
      </c>
    </row>
    <row r="686" spans="1:395" x14ac:dyDescent="0.25">
      <c r="A686" s="7">
        <v>0.14079362654170066</v>
      </c>
      <c r="B686"/>
      <c r="C686"/>
      <c r="D686"/>
      <c r="E686"/>
      <c r="F686" s="27" t="s">
        <v>7</v>
      </c>
      <c r="FI686" s="27" t="s">
        <v>8</v>
      </c>
      <c r="FJ686" s="27" t="s">
        <v>7</v>
      </c>
      <c r="FK686" s="27" t="s">
        <v>8</v>
      </c>
      <c r="FL686" s="27" t="s">
        <v>7</v>
      </c>
      <c r="GC686" s="27" t="s">
        <v>8</v>
      </c>
      <c r="GE686" s="27" t="s">
        <v>8</v>
      </c>
      <c r="JF686" s="27" t="s">
        <v>7</v>
      </c>
      <c r="JG686" s="27" t="s">
        <v>8</v>
      </c>
      <c r="JR686" s="27" t="s">
        <v>7</v>
      </c>
      <c r="JS686" s="27" t="s">
        <v>8</v>
      </c>
      <c r="KH686" s="27" t="s">
        <v>7</v>
      </c>
      <c r="KI686" s="27" t="s">
        <v>8</v>
      </c>
    </row>
    <row r="687" spans="1:395" x14ac:dyDescent="0.25">
      <c r="A687" s="7">
        <v>0.13803296719774574</v>
      </c>
      <c r="B687"/>
      <c r="C687"/>
      <c r="D687"/>
      <c r="E687"/>
      <c r="F687" s="27" t="s">
        <v>7</v>
      </c>
      <c r="FI687" s="27" t="s">
        <v>8</v>
      </c>
      <c r="FJ687" s="27" t="s">
        <v>7</v>
      </c>
      <c r="FK687" s="27" t="s">
        <v>8</v>
      </c>
      <c r="FL687" s="27" t="s">
        <v>7</v>
      </c>
      <c r="GC687" s="27" t="s">
        <v>8</v>
      </c>
      <c r="GD687" s="27" t="s">
        <v>7</v>
      </c>
      <c r="GE687" s="27" t="s">
        <v>8</v>
      </c>
      <c r="JF687" s="27" t="s">
        <v>7</v>
      </c>
      <c r="JR687" s="27" t="s">
        <v>7</v>
      </c>
      <c r="JS687" s="27" t="s">
        <v>8</v>
      </c>
      <c r="KH687" s="27" t="s">
        <v>7</v>
      </c>
      <c r="KI687" s="27" t="s">
        <v>8</v>
      </c>
    </row>
    <row r="688" spans="1:395" x14ac:dyDescent="0.25">
      <c r="A688" s="7">
        <v>0.1353264384291625</v>
      </c>
      <c r="B688"/>
      <c r="C688"/>
      <c r="D688"/>
      <c r="E688"/>
      <c r="F688" s="27" t="s">
        <v>7</v>
      </c>
      <c r="FG688" s="27" t="s">
        <v>8</v>
      </c>
      <c r="FI688" s="27" t="s">
        <v>8</v>
      </c>
      <c r="FJ688" s="27" t="s">
        <v>7</v>
      </c>
      <c r="FK688" s="27" t="s">
        <v>8</v>
      </c>
      <c r="FL688" s="27" t="s">
        <v>7</v>
      </c>
      <c r="GC688" s="27" t="s">
        <v>8</v>
      </c>
      <c r="GD688" s="27" t="s">
        <v>7</v>
      </c>
      <c r="GE688" s="27" t="s">
        <v>8</v>
      </c>
      <c r="JR688" s="27" t="s">
        <v>7</v>
      </c>
      <c r="JS688" s="27" t="s">
        <v>8</v>
      </c>
      <c r="KH688" s="27" t="s">
        <v>7</v>
      </c>
    </row>
    <row r="689" spans="1:279" x14ac:dyDescent="0.25">
      <c r="A689" s="7">
        <v>0.13267297885212009</v>
      </c>
      <c r="B689"/>
      <c r="C689"/>
      <c r="D689"/>
      <c r="E689"/>
      <c r="F689" s="27" t="s">
        <v>7</v>
      </c>
      <c r="FG689" s="27" t="s">
        <v>8</v>
      </c>
      <c r="FH689" s="27" t="s">
        <v>7</v>
      </c>
      <c r="FI689" s="27" t="s">
        <v>8</v>
      </c>
      <c r="FJ689" s="27" t="s">
        <v>7</v>
      </c>
      <c r="FL689" s="27" t="s">
        <v>7</v>
      </c>
      <c r="GC689" s="27" t="s">
        <v>8</v>
      </c>
      <c r="GD689" s="27" t="s">
        <v>7</v>
      </c>
      <c r="GE689" s="27" t="s">
        <v>8</v>
      </c>
      <c r="JR689" s="27" t="s">
        <v>7</v>
      </c>
      <c r="JS689" s="27" t="s">
        <v>8</v>
      </c>
    </row>
    <row r="690" spans="1:279" x14ac:dyDescent="0.25">
      <c r="A690" s="7">
        <v>0.13007154789423539</v>
      </c>
      <c r="B690"/>
      <c r="C690"/>
      <c r="D690"/>
      <c r="E690"/>
      <c r="F690" s="27" t="s">
        <v>7</v>
      </c>
      <c r="FG690" s="27" t="s">
        <v>8</v>
      </c>
      <c r="FH690" s="27" t="s">
        <v>7</v>
      </c>
      <c r="FI690" s="27" t="s">
        <v>8</v>
      </c>
      <c r="FL690" s="27" t="s">
        <v>7</v>
      </c>
      <c r="GC690" s="27" t="s">
        <v>8</v>
      </c>
      <c r="GD690" s="27" t="s">
        <v>7</v>
      </c>
      <c r="GE690" s="27" t="s">
        <v>8</v>
      </c>
      <c r="JR690" s="27" t="s">
        <v>7</v>
      </c>
    </row>
    <row r="691" spans="1:279" x14ac:dyDescent="0.25">
      <c r="A691" s="7">
        <v>0.12752112538650529</v>
      </c>
      <c r="B691"/>
      <c r="C691"/>
      <c r="D691"/>
      <c r="E691"/>
      <c r="F691" s="27" t="s">
        <v>7</v>
      </c>
      <c r="DU691" s="27" t="s">
        <v>8</v>
      </c>
      <c r="FG691" s="27" t="s">
        <v>8</v>
      </c>
      <c r="FH691" s="27" t="s">
        <v>7</v>
      </c>
      <c r="FI691" s="27" t="s">
        <v>8</v>
      </c>
      <c r="FL691" s="27" t="s">
        <v>7</v>
      </c>
      <c r="FM691" s="27" t="s">
        <v>8</v>
      </c>
      <c r="GC691" s="27" t="s">
        <v>8</v>
      </c>
      <c r="GD691" s="27" t="s">
        <v>7</v>
      </c>
      <c r="GE691" s="27" t="s">
        <v>8</v>
      </c>
    </row>
    <row r="692" spans="1:279" x14ac:dyDescent="0.25">
      <c r="A692" s="7">
        <v>0.12502071116324048</v>
      </c>
      <c r="B692"/>
      <c r="C692"/>
      <c r="D692"/>
      <c r="E692"/>
      <c r="F692" s="27" t="s">
        <v>7</v>
      </c>
      <c r="DU692" s="27" t="s">
        <v>8</v>
      </c>
      <c r="DV692" s="27" t="s">
        <v>7</v>
      </c>
      <c r="FG692" s="27" t="s">
        <v>8</v>
      </c>
      <c r="FH692" s="27" t="s">
        <v>7</v>
      </c>
      <c r="FI692" s="27" t="s">
        <v>8</v>
      </c>
      <c r="FL692" s="27" t="s">
        <v>7</v>
      </c>
      <c r="FM692" s="27" t="s">
        <v>8</v>
      </c>
      <c r="FN692" s="27" t="s">
        <v>7</v>
      </c>
      <c r="FU692" s="27" t="s">
        <v>8</v>
      </c>
      <c r="GC692" s="27" t="s">
        <v>8</v>
      </c>
      <c r="GD692" s="27" t="s">
        <v>7</v>
      </c>
      <c r="GE692" s="27" t="s">
        <v>8</v>
      </c>
    </row>
    <row r="693" spans="1:279" x14ac:dyDescent="0.25">
      <c r="A693" s="7">
        <v>0.1225693246698436</v>
      </c>
      <c r="B693"/>
      <c r="C693"/>
      <c r="D693"/>
      <c r="E693"/>
      <c r="F693" s="27" t="s">
        <v>7</v>
      </c>
      <c r="DU693" s="27" t="s">
        <v>8</v>
      </c>
      <c r="DV693" s="27" t="s">
        <v>7</v>
      </c>
      <c r="FG693" s="27" t="s">
        <v>8</v>
      </c>
      <c r="FH693" s="27" t="s">
        <v>7</v>
      </c>
      <c r="FI693" s="27" t="s">
        <v>8</v>
      </c>
      <c r="FL693" s="27" t="s">
        <v>7</v>
      </c>
      <c r="FM693" s="27" t="s">
        <v>8</v>
      </c>
      <c r="FN693" s="27" t="s">
        <v>7</v>
      </c>
      <c r="FU693" s="27" t="s">
        <v>8</v>
      </c>
      <c r="FV693" s="27" t="s">
        <v>7</v>
      </c>
      <c r="FY693" s="27" t="s">
        <v>8</v>
      </c>
      <c r="GC693" s="27" t="s">
        <v>8</v>
      </c>
      <c r="GD693" s="27" t="s">
        <v>7</v>
      </c>
      <c r="GE693" s="27" t="s">
        <v>8</v>
      </c>
    </row>
    <row r="694" spans="1:279" x14ac:dyDescent="0.25">
      <c r="A694" s="7">
        <v>0.12016600457827803</v>
      </c>
      <c r="B694"/>
      <c r="C694"/>
      <c r="D694"/>
      <c r="E694"/>
      <c r="F694" s="27" t="s">
        <v>7</v>
      </c>
      <c r="DU694" s="27" t="s">
        <v>8</v>
      </c>
      <c r="DV694" s="27" t="s">
        <v>7</v>
      </c>
      <c r="FE694" s="27" t="s">
        <v>8</v>
      </c>
      <c r="FG694" s="27" t="s">
        <v>8</v>
      </c>
      <c r="FH694" s="27" t="s">
        <v>7</v>
      </c>
      <c r="FI694" s="27" t="s">
        <v>8</v>
      </c>
      <c r="FL694" s="27" t="s">
        <v>7</v>
      </c>
      <c r="FM694" s="27" t="s">
        <v>8</v>
      </c>
      <c r="FN694" s="27" t="s">
        <v>7</v>
      </c>
      <c r="FU694" s="27" t="s">
        <v>8</v>
      </c>
      <c r="FV694" s="27" t="s">
        <v>7</v>
      </c>
      <c r="FY694" s="27" t="s">
        <v>8</v>
      </c>
      <c r="FZ694" s="27" t="s">
        <v>7</v>
      </c>
      <c r="GC694" s="27" t="s">
        <v>8</v>
      </c>
      <c r="GD694" s="27" t="s">
        <v>7</v>
      </c>
      <c r="GE694" s="27" t="s">
        <v>8</v>
      </c>
    </row>
    <row r="695" spans="1:279" x14ac:dyDescent="0.25">
      <c r="A695" s="7">
        <v>0.1178098084100765</v>
      </c>
      <c r="B695"/>
      <c r="C695"/>
      <c r="D695"/>
      <c r="E695"/>
      <c r="F695" s="27" t="s">
        <v>7</v>
      </c>
      <c r="DQ695" s="27" t="s">
        <v>8</v>
      </c>
      <c r="DU695" s="27" t="s">
        <v>8</v>
      </c>
      <c r="DV695" s="27" t="s">
        <v>7</v>
      </c>
      <c r="FE695" s="27" t="s">
        <v>8</v>
      </c>
      <c r="FF695" s="27" t="s">
        <v>7</v>
      </c>
      <c r="FG695" s="27" t="s">
        <v>8</v>
      </c>
      <c r="FH695" s="27" t="s">
        <v>7</v>
      </c>
      <c r="FI695" s="27" t="s">
        <v>8</v>
      </c>
      <c r="FL695" s="27" t="s">
        <v>7</v>
      </c>
      <c r="FM695" s="27" t="s">
        <v>8</v>
      </c>
      <c r="FN695" s="27" t="s">
        <v>7</v>
      </c>
      <c r="FU695" s="27" t="s">
        <v>8</v>
      </c>
      <c r="FV695" s="27" t="s">
        <v>7</v>
      </c>
      <c r="FY695" s="27" t="s">
        <v>8</v>
      </c>
      <c r="FZ695" s="27" t="s">
        <v>7</v>
      </c>
      <c r="GC695" s="27" t="s">
        <v>8</v>
      </c>
      <c r="GD695" s="27" t="s">
        <v>7</v>
      </c>
    </row>
    <row r="696" spans="1:279" x14ac:dyDescent="0.25">
      <c r="A696" s="7">
        <v>0.11549981216674166</v>
      </c>
      <c r="B696"/>
      <c r="C696"/>
      <c r="D696"/>
      <c r="E696"/>
      <c r="F696" s="27" t="s">
        <v>7</v>
      </c>
      <c r="DQ696" s="27" t="s">
        <v>8</v>
      </c>
      <c r="DR696" s="27" t="s">
        <v>7</v>
      </c>
      <c r="DU696" s="27" t="s">
        <v>8</v>
      </c>
      <c r="DV696" s="27" t="s">
        <v>7</v>
      </c>
      <c r="FE696" s="27" t="s">
        <v>8</v>
      </c>
      <c r="FF696" s="27" t="s">
        <v>7</v>
      </c>
      <c r="FG696" s="27" t="s">
        <v>8</v>
      </c>
      <c r="FH696" s="27" t="s">
        <v>7</v>
      </c>
      <c r="FI696" s="27" t="s">
        <v>8</v>
      </c>
      <c r="FL696" s="27" t="s">
        <v>7</v>
      </c>
      <c r="FM696" s="27" t="s">
        <v>8</v>
      </c>
      <c r="FN696" s="27" t="s">
        <v>7</v>
      </c>
      <c r="FU696" s="27" t="s">
        <v>8</v>
      </c>
      <c r="FV696" s="27" t="s">
        <v>7</v>
      </c>
      <c r="FY696" s="27" t="s">
        <v>8</v>
      </c>
      <c r="FZ696" s="27" t="s">
        <v>7</v>
      </c>
      <c r="GC696" s="27" t="s">
        <v>8</v>
      </c>
    </row>
    <row r="697" spans="1:279" x14ac:dyDescent="0.25">
      <c r="A697" s="7">
        <v>0.11323510996739378</v>
      </c>
      <c r="B697"/>
      <c r="C697"/>
      <c r="D697"/>
      <c r="E697"/>
      <c r="F697" s="27" t="s">
        <v>7</v>
      </c>
      <c r="DQ697" s="27" t="s">
        <v>8</v>
      </c>
      <c r="DR697" s="27" t="s">
        <v>7</v>
      </c>
      <c r="DU697" s="27" t="s">
        <v>8</v>
      </c>
      <c r="DV697" s="27" t="s">
        <v>7</v>
      </c>
      <c r="FE697" s="27" t="s">
        <v>8</v>
      </c>
      <c r="FF697" s="27" t="s">
        <v>7</v>
      </c>
      <c r="FG697" s="27" t="s">
        <v>8</v>
      </c>
      <c r="FH697" s="27" t="s">
        <v>7</v>
      </c>
      <c r="FL697" s="27" t="s">
        <v>7</v>
      </c>
      <c r="FM697" s="27" t="s">
        <v>8</v>
      </c>
      <c r="FN697" s="27" t="s">
        <v>7</v>
      </c>
      <c r="FU697" s="27" t="s">
        <v>8</v>
      </c>
      <c r="FV697" s="27" t="s">
        <v>7</v>
      </c>
      <c r="FY697" s="27" t="s">
        <v>8</v>
      </c>
      <c r="FZ697" s="27" t="s">
        <v>7</v>
      </c>
      <c r="GA697" s="27" t="s">
        <v>8</v>
      </c>
      <c r="GC697" s="27" t="s">
        <v>8</v>
      </c>
    </row>
    <row r="698" spans="1:279" x14ac:dyDescent="0.25">
      <c r="A698" s="7">
        <v>0.11101481369352331</v>
      </c>
      <c r="B698"/>
      <c r="C698"/>
      <c r="D698"/>
      <c r="E698"/>
      <c r="F698" s="27" t="s">
        <v>7</v>
      </c>
      <c r="DQ698" s="27" t="s">
        <v>8</v>
      </c>
      <c r="DR698" s="27" t="s">
        <v>7</v>
      </c>
      <c r="DU698" s="27" t="s">
        <v>8</v>
      </c>
      <c r="DV698" s="27" t="s">
        <v>7</v>
      </c>
      <c r="FE698" s="27" t="s">
        <v>8</v>
      </c>
      <c r="FF698" s="27" t="s">
        <v>7</v>
      </c>
      <c r="FG698" s="27" t="s">
        <v>8</v>
      </c>
      <c r="FL698" s="27" t="s">
        <v>7</v>
      </c>
      <c r="FM698" s="27" t="s">
        <v>8</v>
      </c>
      <c r="FN698" s="27" t="s">
        <v>7</v>
      </c>
      <c r="FS698" s="27" t="s">
        <v>8</v>
      </c>
      <c r="FU698" s="27" t="s">
        <v>8</v>
      </c>
      <c r="FV698" s="27" t="s">
        <v>7</v>
      </c>
      <c r="FY698" s="27" t="s">
        <v>8</v>
      </c>
      <c r="FZ698" s="27" t="s">
        <v>7</v>
      </c>
      <c r="GA698" s="27" t="s">
        <v>8</v>
      </c>
      <c r="GB698" s="27" t="s">
        <v>7</v>
      </c>
      <c r="GC698" s="27" t="s">
        <v>8</v>
      </c>
    </row>
    <row r="699" spans="1:279" x14ac:dyDescent="0.25">
      <c r="A699" s="7">
        <v>0.10883805264070913</v>
      </c>
      <c r="B699"/>
      <c r="C699"/>
      <c r="D699"/>
      <c r="E699"/>
      <c r="F699" s="27" t="s">
        <v>7</v>
      </c>
      <c r="DQ699" s="27" t="s">
        <v>8</v>
      </c>
      <c r="DR699" s="27" t="s">
        <v>7</v>
      </c>
      <c r="DU699" s="27" t="s">
        <v>8</v>
      </c>
      <c r="DV699" s="27" t="s">
        <v>7</v>
      </c>
      <c r="FC699" s="27" t="s">
        <v>8</v>
      </c>
      <c r="FE699" s="27" t="s">
        <v>8</v>
      </c>
      <c r="FF699" s="27" t="s">
        <v>7</v>
      </c>
      <c r="FG699" s="27" t="s">
        <v>8</v>
      </c>
      <c r="FL699" s="27" t="s">
        <v>7</v>
      </c>
      <c r="FM699" s="27" t="s">
        <v>8</v>
      </c>
      <c r="FN699" s="27" t="s">
        <v>7</v>
      </c>
      <c r="FO699" s="27" t="s">
        <v>8</v>
      </c>
      <c r="FQ699" s="27" t="s">
        <v>8</v>
      </c>
      <c r="FS699" s="27" t="s">
        <v>8</v>
      </c>
      <c r="FT699" s="27" t="s">
        <v>7</v>
      </c>
      <c r="FU699" s="27" t="s">
        <v>8</v>
      </c>
      <c r="FV699" s="27" t="s">
        <v>7</v>
      </c>
      <c r="FW699" s="27" t="s">
        <v>8</v>
      </c>
      <c r="FY699" s="27" t="s">
        <v>8</v>
      </c>
      <c r="FZ699" s="27" t="s">
        <v>7</v>
      </c>
      <c r="GA699" s="27" t="s">
        <v>8</v>
      </c>
      <c r="GB699" s="27" t="s">
        <v>7</v>
      </c>
      <c r="GC699" s="27" t="s">
        <v>8</v>
      </c>
    </row>
    <row r="700" spans="1:279" x14ac:dyDescent="0.25">
      <c r="A700" s="7">
        <v>0.10670397317716582</v>
      </c>
      <c r="B700"/>
      <c r="C700"/>
      <c r="D700"/>
      <c r="E700"/>
      <c r="F700" s="27" t="s">
        <v>7</v>
      </c>
      <c r="DK700" s="27" t="s">
        <v>8</v>
      </c>
      <c r="DQ700" s="27" t="s">
        <v>8</v>
      </c>
      <c r="DR700" s="27" t="s">
        <v>7</v>
      </c>
      <c r="DS700" s="27" t="s">
        <v>8</v>
      </c>
      <c r="DU700" s="27" t="s">
        <v>8</v>
      </c>
      <c r="DV700" s="27" t="s">
        <v>7</v>
      </c>
      <c r="FC700" s="27" t="s">
        <v>8</v>
      </c>
      <c r="FD700" s="27" t="s">
        <v>7</v>
      </c>
      <c r="FE700" s="27" t="s">
        <v>8</v>
      </c>
      <c r="FF700" s="27" t="s">
        <v>7</v>
      </c>
      <c r="FG700" s="27" t="s">
        <v>8</v>
      </c>
      <c r="FL700" s="27" t="s">
        <v>7</v>
      </c>
      <c r="FM700" s="27" t="s">
        <v>8</v>
      </c>
      <c r="FN700" s="27" t="s">
        <v>7</v>
      </c>
      <c r="FO700" s="27" t="s">
        <v>8</v>
      </c>
      <c r="FP700" s="27" t="s">
        <v>7</v>
      </c>
      <c r="FQ700" s="27" t="s">
        <v>8</v>
      </c>
      <c r="FR700" s="27" t="s">
        <v>7</v>
      </c>
      <c r="FS700" s="27" t="s">
        <v>8</v>
      </c>
      <c r="FT700" s="27" t="s">
        <v>7</v>
      </c>
      <c r="FU700" s="27" t="s">
        <v>8</v>
      </c>
      <c r="FV700" s="27" t="s">
        <v>7</v>
      </c>
      <c r="FW700" s="27" t="s">
        <v>8</v>
      </c>
      <c r="FX700" s="27" t="s">
        <v>7</v>
      </c>
      <c r="FY700" s="27" t="s">
        <v>8</v>
      </c>
      <c r="FZ700" s="27" t="s">
        <v>7</v>
      </c>
      <c r="GA700" s="27" t="s">
        <v>8</v>
      </c>
      <c r="GB700" s="27" t="s">
        <v>7</v>
      </c>
      <c r="GC700" s="27" t="s">
        <v>8</v>
      </c>
    </row>
    <row r="701" spans="1:279" x14ac:dyDescent="0.25">
      <c r="A701" s="7">
        <v>0.1046117384089861</v>
      </c>
      <c r="B701"/>
      <c r="C701"/>
      <c r="D701"/>
      <c r="E701"/>
      <c r="F701" s="27" t="s">
        <v>7</v>
      </c>
      <c r="DK701" s="27" t="s">
        <v>8</v>
      </c>
      <c r="DL701" s="27" t="s">
        <v>7</v>
      </c>
      <c r="DQ701" s="27" t="s">
        <v>8</v>
      </c>
      <c r="DR701" s="27" t="s">
        <v>7</v>
      </c>
      <c r="DS701" s="27" t="s">
        <v>8</v>
      </c>
      <c r="DT701" s="27" t="s">
        <v>7</v>
      </c>
      <c r="DU701" s="27" t="s">
        <v>8</v>
      </c>
      <c r="DV701" s="27" t="s">
        <v>7</v>
      </c>
      <c r="FC701" s="27" t="s">
        <v>8</v>
      </c>
      <c r="FD701" s="27" t="s">
        <v>7</v>
      </c>
      <c r="FE701" s="27" t="s">
        <v>8</v>
      </c>
      <c r="FF701" s="27" t="s">
        <v>7</v>
      </c>
      <c r="FL701" s="27" t="s">
        <v>7</v>
      </c>
      <c r="FN701" s="27" t="s">
        <v>7</v>
      </c>
      <c r="FO701" s="27" t="s">
        <v>8</v>
      </c>
      <c r="FP701" s="27" t="s">
        <v>7</v>
      </c>
      <c r="FQ701" s="27" t="s">
        <v>8</v>
      </c>
      <c r="FR701" s="27" t="s">
        <v>7</v>
      </c>
      <c r="FS701" s="27" t="s">
        <v>8</v>
      </c>
      <c r="FT701" s="27" t="s">
        <v>7</v>
      </c>
      <c r="FU701" s="27" t="s">
        <v>8</v>
      </c>
      <c r="FV701" s="27" t="s">
        <v>7</v>
      </c>
      <c r="FW701" s="27" t="s">
        <v>8</v>
      </c>
      <c r="FX701" s="27" t="s">
        <v>7</v>
      </c>
      <c r="FY701" s="27" t="s">
        <v>8</v>
      </c>
      <c r="FZ701" s="27" t="s">
        <v>7</v>
      </c>
      <c r="GA701" s="27" t="s">
        <v>8</v>
      </c>
      <c r="GB701" s="27" t="s">
        <v>7</v>
      </c>
      <c r="GC701" s="27" t="s">
        <v>8</v>
      </c>
    </row>
    <row r="702" spans="1:279" x14ac:dyDescent="0.25">
      <c r="A702" s="7">
        <v>0.10256052785194716</v>
      </c>
      <c r="B702"/>
      <c r="C702"/>
      <c r="D702"/>
      <c r="E702"/>
      <c r="F702" s="27" t="s">
        <v>7</v>
      </c>
      <c r="DK702" s="27" t="s">
        <v>8</v>
      </c>
      <c r="DL702" s="27" t="s">
        <v>7</v>
      </c>
      <c r="DQ702" s="27" t="s">
        <v>8</v>
      </c>
      <c r="DR702" s="27" t="s">
        <v>7</v>
      </c>
      <c r="DS702" s="27" t="s">
        <v>8</v>
      </c>
      <c r="DT702" s="27" t="s">
        <v>7</v>
      </c>
      <c r="DU702" s="27" t="s">
        <v>8</v>
      </c>
      <c r="DV702" s="27" t="s">
        <v>7</v>
      </c>
      <c r="FC702" s="27" t="s">
        <v>8</v>
      </c>
      <c r="FD702" s="27" t="s">
        <v>7</v>
      </c>
      <c r="FE702" s="27" t="s">
        <v>8</v>
      </c>
      <c r="FN702" s="27" t="s">
        <v>7</v>
      </c>
      <c r="FP702" s="27" t="s">
        <v>7</v>
      </c>
      <c r="FQ702" s="27" t="s">
        <v>8</v>
      </c>
      <c r="FR702" s="27" t="s">
        <v>7</v>
      </c>
      <c r="FT702" s="27" t="s">
        <v>7</v>
      </c>
      <c r="FV702" s="27" t="s">
        <v>7</v>
      </c>
      <c r="FW702" s="27" t="s">
        <v>8</v>
      </c>
      <c r="FX702" s="27" t="s">
        <v>7</v>
      </c>
      <c r="FY702" s="27" t="s">
        <v>8</v>
      </c>
      <c r="FZ702" s="27" t="s">
        <v>7</v>
      </c>
      <c r="GA702" s="27" t="s">
        <v>8</v>
      </c>
      <c r="GB702" s="27" t="s">
        <v>7</v>
      </c>
    </row>
    <row r="703" spans="1:279" x14ac:dyDescent="0.25">
      <c r="A703" s="7">
        <v>0.10054953710975212</v>
      </c>
      <c r="B703"/>
      <c r="C703"/>
      <c r="D703"/>
      <c r="E703"/>
      <c r="F703" s="27" t="s">
        <v>7</v>
      </c>
      <c r="DK703" s="27" t="s">
        <v>8</v>
      </c>
      <c r="DL703" s="27" t="s">
        <v>7</v>
      </c>
      <c r="DQ703" s="27" t="s">
        <v>8</v>
      </c>
      <c r="DR703" s="27" t="s">
        <v>7</v>
      </c>
      <c r="DS703" s="27" t="s">
        <v>8</v>
      </c>
      <c r="DT703" s="27" t="s">
        <v>7</v>
      </c>
      <c r="DV703" s="27" t="s">
        <v>7</v>
      </c>
      <c r="FC703" s="27" t="s">
        <v>8</v>
      </c>
      <c r="FD703" s="27" t="s">
        <v>7</v>
      </c>
      <c r="FE703" s="27" t="s">
        <v>8</v>
      </c>
      <c r="FP703" s="27" t="s">
        <v>7</v>
      </c>
      <c r="FQ703" s="27" t="s">
        <v>8</v>
      </c>
      <c r="FV703" s="27" t="s">
        <v>7</v>
      </c>
      <c r="FW703" s="27" t="s">
        <v>8</v>
      </c>
      <c r="FX703" s="27" t="s">
        <v>7</v>
      </c>
      <c r="FZ703" s="27" t="s">
        <v>7</v>
      </c>
      <c r="GA703" s="27" t="s">
        <v>8</v>
      </c>
    </row>
    <row r="704" spans="1:279" x14ac:dyDescent="0.25">
      <c r="A704" s="7">
        <v>9.8577977558580512E-2</v>
      </c>
      <c r="B704"/>
      <c r="C704"/>
      <c r="D704"/>
      <c r="E704"/>
      <c r="F704" s="27" t="s">
        <v>7</v>
      </c>
      <c r="DK704" s="27" t="s">
        <v>8</v>
      </c>
      <c r="DL704" s="27" t="s">
        <v>7</v>
      </c>
      <c r="DQ704" s="27" t="s">
        <v>8</v>
      </c>
      <c r="DR704" s="27" t="s">
        <v>7</v>
      </c>
      <c r="DV704" s="27" t="s">
        <v>7</v>
      </c>
      <c r="FC704" s="27" t="s">
        <v>8</v>
      </c>
      <c r="FD704" s="27" t="s">
        <v>7</v>
      </c>
      <c r="FE704" s="27" t="s">
        <v>8</v>
      </c>
      <c r="FP704" s="27" t="s">
        <v>7</v>
      </c>
      <c r="FQ704" s="27" t="s">
        <v>8</v>
      </c>
      <c r="FV704" s="27" t="s">
        <v>7</v>
      </c>
      <c r="FZ704" s="27" t="s">
        <v>7</v>
      </c>
      <c r="GA704" s="27" t="s">
        <v>8</v>
      </c>
    </row>
    <row r="705" spans="1:183" x14ac:dyDescent="0.25">
      <c r="A705" s="7">
        <v>9.6645076037824032E-2</v>
      </c>
      <c r="B705"/>
      <c r="C705"/>
      <c r="D705"/>
      <c r="E705"/>
      <c r="F705" s="27" t="s">
        <v>7</v>
      </c>
      <c r="DK705" s="27" t="s">
        <v>8</v>
      </c>
      <c r="DL705" s="27" t="s">
        <v>7</v>
      </c>
      <c r="DQ705" s="27" t="s">
        <v>8</v>
      </c>
      <c r="DV705" s="27" t="s">
        <v>7</v>
      </c>
      <c r="FC705" s="27" t="s">
        <v>8</v>
      </c>
      <c r="FD705" s="27" t="s">
        <v>7</v>
      </c>
      <c r="FE705" s="27" t="s">
        <v>8</v>
      </c>
      <c r="FP705" s="27" t="s">
        <v>7</v>
      </c>
      <c r="FZ705" s="27" t="s">
        <v>7</v>
      </c>
      <c r="GA705" s="27" t="s">
        <v>8</v>
      </c>
    </row>
    <row r="706" spans="1:183" x14ac:dyDescent="0.25">
      <c r="A706" s="7">
        <v>9.4750074546886304E-2</v>
      </c>
      <c r="B706"/>
      <c r="C706"/>
      <c r="D706"/>
      <c r="E706"/>
      <c r="F706" s="27" t="s">
        <v>7</v>
      </c>
      <c r="DK706" s="27" t="s">
        <v>8</v>
      </c>
      <c r="DL706" s="27" t="s">
        <v>7</v>
      </c>
      <c r="DQ706" s="27" t="s">
        <v>8</v>
      </c>
      <c r="DV706" s="27" t="s">
        <v>7</v>
      </c>
      <c r="FC706" s="27" t="s">
        <v>8</v>
      </c>
      <c r="FD706" s="27" t="s">
        <v>7</v>
      </c>
      <c r="FE706" s="27" t="s">
        <v>8</v>
      </c>
      <c r="FZ706" s="27" t="s">
        <v>7</v>
      </c>
      <c r="GA706" s="27" t="s">
        <v>8</v>
      </c>
    </row>
    <row r="707" spans="1:183" x14ac:dyDescent="0.25">
      <c r="A707" s="7">
        <v>9.2892229947927743E-2</v>
      </c>
      <c r="B707"/>
      <c r="C707"/>
      <c r="D707"/>
      <c r="E707"/>
      <c r="F707" s="27" t="s">
        <v>7</v>
      </c>
      <c r="DK707" s="27" t="s">
        <v>8</v>
      </c>
      <c r="DL707" s="27" t="s">
        <v>7</v>
      </c>
      <c r="DM707" s="27" t="s">
        <v>8</v>
      </c>
      <c r="DQ707" s="27" t="s">
        <v>8</v>
      </c>
      <c r="DV707" s="27" t="s">
        <v>7</v>
      </c>
      <c r="FC707" s="27" t="s">
        <v>8</v>
      </c>
      <c r="FD707" s="27" t="s">
        <v>7</v>
      </c>
      <c r="FE707" s="27" t="s">
        <v>8</v>
      </c>
      <c r="FZ707" s="27" t="s">
        <v>7</v>
      </c>
      <c r="GA707" s="27" t="s">
        <v>8</v>
      </c>
    </row>
    <row r="708" spans="1:183" x14ac:dyDescent="0.25">
      <c r="A708" s="7">
        <v>9.1070813674438963E-2</v>
      </c>
      <c r="B708"/>
      <c r="C708"/>
      <c r="D708"/>
      <c r="E708"/>
      <c r="F708" s="27" t="s">
        <v>7</v>
      </c>
      <c r="DK708" s="27" t="s">
        <v>8</v>
      </c>
      <c r="DL708" s="27" t="s">
        <v>7</v>
      </c>
      <c r="DM708" s="27" t="s">
        <v>8</v>
      </c>
      <c r="DN708" s="27" t="s">
        <v>7</v>
      </c>
      <c r="DO708" s="27" t="s">
        <v>8</v>
      </c>
      <c r="DQ708" s="27" t="s">
        <v>8</v>
      </c>
      <c r="DV708" s="27" t="s">
        <v>7</v>
      </c>
      <c r="FC708" s="27" t="s">
        <v>8</v>
      </c>
      <c r="FD708" s="27" t="s">
        <v>7</v>
      </c>
      <c r="FZ708" s="27" t="s">
        <v>7</v>
      </c>
    </row>
    <row r="709" spans="1:183" x14ac:dyDescent="0.25">
      <c r="A709" s="7">
        <v>8.9285111445528392E-2</v>
      </c>
      <c r="B709"/>
      <c r="C709"/>
      <c r="D709"/>
      <c r="E709"/>
      <c r="F709" s="27" t="s">
        <v>7</v>
      </c>
      <c r="G709" s="27" t="s">
        <v>8</v>
      </c>
      <c r="DK709" s="27" t="s">
        <v>8</v>
      </c>
      <c r="DL709" s="27" t="s">
        <v>7</v>
      </c>
      <c r="DM709" s="27" t="s">
        <v>8</v>
      </c>
      <c r="DN709" s="27" t="s">
        <v>7</v>
      </c>
      <c r="DO709" s="27" t="s">
        <v>8</v>
      </c>
      <c r="DP709" s="27" t="s">
        <v>7</v>
      </c>
      <c r="DQ709" s="27" t="s">
        <v>8</v>
      </c>
      <c r="DV709" s="27" t="s">
        <v>7</v>
      </c>
      <c r="DW709" s="27" t="s">
        <v>8</v>
      </c>
      <c r="DY709" s="27" t="s">
        <v>8</v>
      </c>
      <c r="FC709" s="27" t="s">
        <v>8</v>
      </c>
    </row>
    <row r="710" spans="1:183" x14ac:dyDescent="0.25">
      <c r="A710" s="7">
        <v>8.7534422985812155E-2</v>
      </c>
      <c r="B710"/>
      <c r="C710"/>
      <c r="D710"/>
      <c r="E710"/>
      <c r="F710" s="27" t="s">
        <v>7</v>
      </c>
      <c r="G710" s="27" t="s">
        <v>8</v>
      </c>
      <c r="H710" s="27" t="s">
        <v>7</v>
      </c>
      <c r="DK710" s="27" t="s">
        <v>8</v>
      </c>
      <c r="DL710" s="27" t="s">
        <v>7</v>
      </c>
      <c r="DM710" s="27" t="s">
        <v>8</v>
      </c>
      <c r="DN710" s="27" t="s">
        <v>7</v>
      </c>
      <c r="DO710" s="27" t="s">
        <v>8</v>
      </c>
      <c r="DP710" s="27" t="s">
        <v>7</v>
      </c>
      <c r="DQ710" s="27" t="s">
        <v>8</v>
      </c>
      <c r="DV710" s="27" t="s">
        <v>7</v>
      </c>
      <c r="DW710" s="27" t="s">
        <v>8</v>
      </c>
      <c r="DX710" s="27" t="s">
        <v>7</v>
      </c>
      <c r="DY710" s="27" t="s">
        <v>8</v>
      </c>
      <c r="DZ710" s="27" t="s">
        <v>7</v>
      </c>
      <c r="FC710" s="27" t="s">
        <v>8</v>
      </c>
    </row>
    <row r="711" spans="1:183" x14ac:dyDescent="0.25">
      <c r="A711" s="7">
        <v>8.5818061750796232E-2</v>
      </c>
      <c r="B711"/>
      <c r="C711"/>
      <c r="D711"/>
      <c r="E711"/>
      <c r="F711" s="27" t="s">
        <v>7</v>
      </c>
      <c r="G711" s="27" t="s">
        <v>8</v>
      </c>
      <c r="H711" s="27" t="s">
        <v>7</v>
      </c>
      <c r="CU711" s="27" t="s">
        <v>8</v>
      </c>
      <c r="DE711" s="27" t="s">
        <v>8</v>
      </c>
      <c r="DG711" s="27" t="s">
        <v>8</v>
      </c>
      <c r="DK711" s="27" t="s">
        <v>8</v>
      </c>
      <c r="DL711" s="27" t="s">
        <v>7</v>
      </c>
      <c r="DM711" s="27" t="s">
        <v>8</v>
      </c>
      <c r="DN711" s="27" t="s">
        <v>7</v>
      </c>
      <c r="DO711" s="27" t="s">
        <v>8</v>
      </c>
      <c r="DP711" s="27" t="s">
        <v>7</v>
      </c>
      <c r="DQ711" s="27" t="s">
        <v>8</v>
      </c>
      <c r="DV711" s="27" t="s">
        <v>7</v>
      </c>
      <c r="DW711" s="27" t="s">
        <v>8</v>
      </c>
      <c r="DX711" s="27" t="s">
        <v>7</v>
      </c>
      <c r="DY711" s="27" t="s">
        <v>8</v>
      </c>
      <c r="DZ711" s="27" t="s">
        <v>7</v>
      </c>
      <c r="FC711" s="27" t="s">
        <v>8</v>
      </c>
    </row>
    <row r="712" spans="1:183" x14ac:dyDescent="0.25">
      <c r="A712" s="7">
        <v>8.4135354657643366E-2</v>
      </c>
      <c r="B712"/>
      <c r="C712"/>
      <c r="D712"/>
      <c r="E712"/>
      <c r="F712" s="27" t="s">
        <v>7</v>
      </c>
      <c r="G712" s="27" t="s">
        <v>8</v>
      </c>
      <c r="H712" s="27" t="s">
        <v>7</v>
      </c>
      <c r="U712" s="27" t="s">
        <v>8</v>
      </c>
      <c r="CU712" s="27" t="s">
        <v>8</v>
      </c>
      <c r="CV712" s="27" t="s">
        <v>7</v>
      </c>
      <c r="DE712" s="27" t="s">
        <v>8</v>
      </c>
      <c r="DF712" s="27" t="s">
        <v>7</v>
      </c>
      <c r="DG712" s="27" t="s">
        <v>8</v>
      </c>
      <c r="DH712" s="27" t="s">
        <v>7</v>
      </c>
      <c r="DK712" s="27" t="s">
        <v>8</v>
      </c>
      <c r="DL712" s="27" t="s">
        <v>7</v>
      </c>
      <c r="DN712" s="27" t="s">
        <v>7</v>
      </c>
      <c r="DO712" s="27" t="s">
        <v>8</v>
      </c>
      <c r="DP712" s="27" t="s">
        <v>7</v>
      </c>
      <c r="DQ712" s="27" t="s">
        <v>8</v>
      </c>
      <c r="DV712" s="27" t="s">
        <v>7</v>
      </c>
      <c r="DW712" s="27" t="s">
        <v>8</v>
      </c>
      <c r="DX712" s="27" t="s">
        <v>7</v>
      </c>
      <c r="DY712" s="27" t="s">
        <v>8</v>
      </c>
      <c r="DZ712" s="27" t="s">
        <v>7</v>
      </c>
      <c r="EA712" s="27" t="s">
        <v>8</v>
      </c>
      <c r="FC712" s="27" t="s">
        <v>8</v>
      </c>
    </row>
    <row r="713" spans="1:183" x14ac:dyDescent="0.25">
      <c r="A713" s="7">
        <v>8.248564182121898E-2</v>
      </c>
      <c r="B713"/>
      <c r="C713"/>
      <c r="D713"/>
      <c r="E713"/>
      <c r="F713" s="27" t="s">
        <v>7</v>
      </c>
      <c r="G713" s="27" t="s">
        <v>8</v>
      </c>
      <c r="H713" s="27" t="s">
        <v>7</v>
      </c>
      <c r="I713" s="27" t="s">
        <v>8</v>
      </c>
      <c r="U713" s="27" t="s">
        <v>8</v>
      </c>
      <c r="V713" s="27" t="s">
        <v>7</v>
      </c>
      <c r="CU713" s="27" t="s">
        <v>8</v>
      </c>
      <c r="CV713" s="27" t="s">
        <v>7</v>
      </c>
      <c r="CW713" s="27" t="s">
        <v>8</v>
      </c>
      <c r="DE713" s="27" t="s">
        <v>8</v>
      </c>
      <c r="DF713" s="27" t="s">
        <v>7</v>
      </c>
      <c r="DG713" s="27" t="s">
        <v>8</v>
      </c>
      <c r="DH713" s="27" t="s">
        <v>7</v>
      </c>
      <c r="DI713" s="27" t="s">
        <v>8</v>
      </c>
      <c r="DK713" s="27" t="s">
        <v>8</v>
      </c>
      <c r="DN713" s="27" t="s">
        <v>7</v>
      </c>
      <c r="DO713" s="27" t="s">
        <v>8</v>
      </c>
      <c r="DP713" s="27" t="s">
        <v>7</v>
      </c>
      <c r="DQ713" s="27" t="s">
        <v>8</v>
      </c>
      <c r="DV713" s="27" t="s">
        <v>7</v>
      </c>
      <c r="DW713" s="27" t="s">
        <v>8</v>
      </c>
      <c r="DX713" s="27" t="s">
        <v>7</v>
      </c>
      <c r="DY713" s="27" t="s">
        <v>8</v>
      </c>
      <c r="DZ713" s="27" t="s">
        <v>7</v>
      </c>
      <c r="EA713" s="27" t="s">
        <v>8</v>
      </c>
      <c r="EB713" s="27" t="s">
        <v>7</v>
      </c>
      <c r="FC713" s="27" t="s">
        <v>8</v>
      </c>
    </row>
    <row r="714" spans="1:183" x14ac:dyDescent="0.25">
      <c r="A714" s="7">
        <v>8.0868276295312735E-2</v>
      </c>
      <c r="B714"/>
      <c r="C714"/>
      <c r="D714"/>
      <c r="E714"/>
      <c r="F714" s="27" t="s">
        <v>7</v>
      </c>
      <c r="G714" s="27" t="s">
        <v>8</v>
      </c>
      <c r="H714" s="27" t="s">
        <v>7</v>
      </c>
      <c r="I714" s="27" t="s">
        <v>8</v>
      </c>
      <c r="J714" s="27" t="s">
        <v>7</v>
      </c>
      <c r="U714" s="27" t="s">
        <v>8</v>
      </c>
      <c r="V714" s="27" t="s">
        <v>7</v>
      </c>
      <c r="CU714" s="27" t="s">
        <v>8</v>
      </c>
      <c r="CV714" s="27" t="s">
        <v>7</v>
      </c>
      <c r="CW714" s="27" t="s">
        <v>8</v>
      </c>
      <c r="CX714" s="27" t="s">
        <v>7</v>
      </c>
      <c r="DE714" s="27" t="s">
        <v>8</v>
      </c>
      <c r="DF714" s="27" t="s">
        <v>7</v>
      </c>
      <c r="DG714" s="27" t="s">
        <v>8</v>
      </c>
      <c r="DH714" s="27" t="s">
        <v>7</v>
      </c>
      <c r="DI714" s="27" t="s">
        <v>8</v>
      </c>
      <c r="DJ714" s="27" t="s">
        <v>7</v>
      </c>
      <c r="DK714" s="27" t="s">
        <v>8</v>
      </c>
      <c r="DN714" s="27" t="s">
        <v>7</v>
      </c>
      <c r="DO714" s="27" t="s">
        <v>8</v>
      </c>
      <c r="DP714" s="27" t="s">
        <v>7</v>
      </c>
      <c r="DQ714" s="27" t="s">
        <v>8</v>
      </c>
      <c r="DV714" s="27" t="s">
        <v>7</v>
      </c>
      <c r="DW714" s="27" t="s">
        <v>8</v>
      </c>
      <c r="DX714" s="27" t="s">
        <v>7</v>
      </c>
      <c r="DY714" s="27" t="s">
        <v>8</v>
      </c>
      <c r="DZ714" s="27" t="s">
        <v>7</v>
      </c>
      <c r="EA714" s="27" t="s">
        <v>8</v>
      </c>
      <c r="EB714" s="27" t="s">
        <v>7</v>
      </c>
      <c r="EY714" s="27" t="s">
        <v>8</v>
      </c>
      <c r="FC714" s="27" t="s">
        <v>8</v>
      </c>
    </row>
    <row r="715" spans="1:183" x14ac:dyDescent="0.25">
      <c r="A715" s="7">
        <v>7.9282623818934056E-2</v>
      </c>
      <c r="B715"/>
      <c r="C715"/>
      <c r="D715"/>
      <c r="E715"/>
      <c r="F715" s="27" t="s">
        <v>7</v>
      </c>
      <c r="G715" s="27" t="s">
        <v>8</v>
      </c>
      <c r="H715" s="27" t="s">
        <v>7</v>
      </c>
      <c r="I715" s="27" t="s">
        <v>8</v>
      </c>
      <c r="J715" s="27" t="s">
        <v>7</v>
      </c>
      <c r="U715" s="27" t="s">
        <v>8</v>
      </c>
      <c r="V715" s="27" t="s">
        <v>7</v>
      </c>
      <c r="CS715" s="27" t="s">
        <v>8</v>
      </c>
      <c r="CU715" s="27" t="s">
        <v>8</v>
      </c>
      <c r="CV715" s="27" t="s">
        <v>7</v>
      </c>
      <c r="CW715" s="27" t="s">
        <v>8</v>
      </c>
      <c r="CX715" s="27" t="s">
        <v>7</v>
      </c>
      <c r="DC715" s="27" t="s">
        <v>8</v>
      </c>
      <c r="DE715" s="27" t="s">
        <v>8</v>
      </c>
      <c r="DF715" s="27" t="s">
        <v>7</v>
      </c>
      <c r="DG715" s="27" t="s">
        <v>8</v>
      </c>
      <c r="DH715" s="27" t="s">
        <v>7</v>
      </c>
      <c r="DI715" s="27" t="s">
        <v>8</v>
      </c>
      <c r="DJ715" s="27" t="s">
        <v>7</v>
      </c>
      <c r="DK715" s="27" t="s">
        <v>8</v>
      </c>
      <c r="DN715" s="27" t="s">
        <v>7</v>
      </c>
      <c r="DO715" s="27" t="s">
        <v>8</v>
      </c>
      <c r="DP715" s="27" t="s">
        <v>7</v>
      </c>
      <c r="DV715" s="27" t="s">
        <v>7</v>
      </c>
      <c r="DX715" s="27" t="s">
        <v>7</v>
      </c>
      <c r="DZ715" s="27" t="s">
        <v>7</v>
      </c>
      <c r="EA715" s="27" t="s">
        <v>8</v>
      </c>
      <c r="EB715" s="27" t="s">
        <v>7</v>
      </c>
      <c r="EY715" s="27" t="s">
        <v>8</v>
      </c>
      <c r="EZ715" s="27" t="s">
        <v>7</v>
      </c>
      <c r="FC715" s="27" t="s">
        <v>8</v>
      </c>
    </row>
    <row r="716" spans="1:183" x14ac:dyDescent="0.25">
      <c r="A716" s="7">
        <v>7.7728062567582412E-2</v>
      </c>
      <c r="B716"/>
      <c r="C716"/>
      <c r="D716"/>
      <c r="E716"/>
      <c r="F716" s="27" t="s">
        <v>7</v>
      </c>
      <c r="G716" s="27" t="s">
        <v>8</v>
      </c>
      <c r="H716" s="27" t="s">
        <v>7</v>
      </c>
      <c r="I716" s="27" t="s">
        <v>8</v>
      </c>
      <c r="J716" s="27" t="s">
        <v>7</v>
      </c>
      <c r="U716" s="27" t="s">
        <v>8</v>
      </c>
      <c r="V716" s="27" t="s">
        <v>7</v>
      </c>
      <c r="W716" s="27" t="s">
        <v>8</v>
      </c>
      <c r="CS716" s="27" t="s">
        <v>8</v>
      </c>
      <c r="CT716" s="27" t="s">
        <v>7</v>
      </c>
      <c r="CU716" s="27" t="s">
        <v>8</v>
      </c>
      <c r="CV716" s="27" t="s">
        <v>7</v>
      </c>
      <c r="CW716" s="27" t="s">
        <v>8</v>
      </c>
      <c r="CX716" s="27" t="s">
        <v>7</v>
      </c>
      <c r="DC716" s="27" t="s">
        <v>8</v>
      </c>
      <c r="DD716" s="27" t="s">
        <v>7</v>
      </c>
      <c r="DE716" s="27" t="s">
        <v>8</v>
      </c>
      <c r="DF716" s="27" t="s">
        <v>7</v>
      </c>
      <c r="DG716" s="27" t="s">
        <v>8</v>
      </c>
      <c r="DH716" s="27" t="s">
        <v>7</v>
      </c>
      <c r="DI716" s="27" t="s">
        <v>8</v>
      </c>
      <c r="DJ716" s="27" t="s">
        <v>7</v>
      </c>
      <c r="DN716" s="27" t="s">
        <v>7</v>
      </c>
      <c r="DZ716" s="27" t="s">
        <v>7</v>
      </c>
      <c r="EA716" s="27" t="s">
        <v>8</v>
      </c>
      <c r="EB716" s="27" t="s">
        <v>7</v>
      </c>
      <c r="EC716" s="27" t="s">
        <v>8</v>
      </c>
      <c r="EY716" s="27" t="s">
        <v>8</v>
      </c>
      <c r="EZ716" s="27" t="s">
        <v>7</v>
      </c>
      <c r="FA716" s="27" t="s">
        <v>8</v>
      </c>
      <c r="FC716" s="27" t="s">
        <v>8</v>
      </c>
    </row>
    <row r="717" spans="1:183" x14ac:dyDescent="0.25">
      <c r="A717" s="7">
        <v>7.6203982909394521E-2</v>
      </c>
      <c r="B717"/>
      <c r="C717"/>
      <c r="D717"/>
      <c r="E717"/>
      <c r="F717" s="27" t="s">
        <v>7</v>
      </c>
      <c r="G717" s="27" t="s">
        <v>8</v>
      </c>
      <c r="H717" s="27" t="s">
        <v>7</v>
      </c>
      <c r="I717" s="27" t="s">
        <v>8</v>
      </c>
      <c r="J717" s="27" t="s">
        <v>7</v>
      </c>
      <c r="U717" s="27" t="s">
        <v>8</v>
      </c>
      <c r="V717" s="27" t="s">
        <v>7</v>
      </c>
      <c r="W717" s="27" t="s">
        <v>8</v>
      </c>
      <c r="X717" s="27" t="s">
        <v>7</v>
      </c>
      <c r="CM717" s="27" t="s">
        <v>8</v>
      </c>
      <c r="CS717" s="27" t="s">
        <v>8</v>
      </c>
      <c r="CT717" s="27" t="s">
        <v>7</v>
      </c>
      <c r="CU717" s="27" t="s">
        <v>8</v>
      </c>
      <c r="CV717" s="27" t="s">
        <v>7</v>
      </c>
      <c r="CW717" s="27" t="s">
        <v>8</v>
      </c>
      <c r="CX717" s="27" t="s">
        <v>7</v>
      </c>
      <c r="DC717" s="27" t="s">
        <v>8</v>
      </c>
      <c r="DD717" s="27" t="s">
        <v>7</v>
      </c>
      <c r="DE717" s="27" t="s">
        <v>8</v>
      </c>
      <c r="DF717" s="27" t="s">
        <v>7</v>
      </c>
      <c r="DG717" s="27" t="s">
        <v>8</v>
      </c>
      <c r="DH717" s="27" t="s">
        <v>7</v>
      </c>
      <c r="DI717" s="27" t="s">
        <v>8</v>
      </c>
      <c r="DZ717" s="27" t="s">
        <v>7</v>
      </c>
      <c r="EA717" s="27" t="s">
        <v>8</v>
      </c>
      <c r="EB717" s="27" t="s">
        <v>7</v>
      </c>
      <c r="EC717" s="27" t="s">
        <v>8</v>
      </c>
      <c r="ED717" s="27" t="s">
        <v>7</v>
      </c>
      <c r="EI717" s="27" t="s">
        <v>8</v>
      </c>
      <c r="EW717" s="27" t="s">
        <v>8</v>
      </c>
      <c r="EY717" s="27" t="s">
        <v>8</v>
      </c>
      <c r="EZ717" s="27" t="s">
        <v>7</v>
      </c>
      <c r="FA717" s="27" t="s">
        <v>8</v>
      </c>
      <c r="FB717" s="27" t="s">
        <v>7</v>
      </c>
      <c r="FC717" s="27" t="s">
        <v>8</v>
      </c>
    </row>
    <row r="718" spans="1:183" x14ac:dyDescent="0.25">
      <c r="A718" s="7">
        <v>7.4709787166073058E-2</v>
      </c>
      <c r="B718"/>
      <c r="C718"/>
      <c r="D718"/>
      <c r="E718"/>
      <c r="F718" s="27" t="s">
        <v>7</v>
      </c>
      <c r="G718" s="27" t="s">
        <v>8</v>
      </c>
      <c r="H718" s="27" t="s">
        <v>7</v>
      </c>
      <c r="J718" s="27" t="s">
        <v>7</v>
      </c>
      <c r="U718" s="27" t="s">
        <v>8</v>
      </c>
      <c r="V718" s="27" t="s">
        <v>7</v>
      </c>
      <c r="W718" s="27" t="s">
        <v>8</v>
      </c>
      <c r="X718" s="27" t="s">
        <v>7</v>
      </c>
      <c r="CM718" s="27" t="s">
        <v>8</v>
      </c>
      <c r="CN718" s="27" t="s">
        <v>7</v>
      </c>
      <c r="CS718" s="27" t="s">
        <v>8</v>
      </c>
      <c r="CT718" s="27" t="s">
        <v>7</v>
      </c>
      <c r="CU718" s="27" t="s">
        <v>8</v>
      </c>
      <c r="CV718" s="27" t="s">
        <v>7</v>
      </c>
      <c r="CW718" s="27" t="s">
        <v>8</v>
      </c>
      <c r="CX718" s="27" t="s">
        <v>7</v>
      </c>
      <c r="DC718" s="27" t="s">
        <v>8</v>
      </c>
      <c r="DD718" s="27" t="s">
        <v>7</v>
      </c>
      <c r="DE718" s="27" t="s">
        <v>8</v>
      </c>
      <c r="DF718" s="27" t="s">
        <v>7</v>
      </c>
      <c r="DH718" s="27" t="s">
        <v>7</v>
      </c>
      <c r="DI718" s="27" t="s">
        <v>8</v>
      </c>
      <c r="DZ718" s="27" t="s">
        <v>7</v>
      </c>
      <c r="EA718" s="27" t="s">
        <v>8</v>
      </c>
      <c r="EB718" s="27" t="s">
        <v>7</v>
      </c>
      <c r="EC718" s="27" t="s">
        <v>8</v>
      </c>
      <c r="ED718" s="27" t="s">
        <v>7</v>
      </c>
      <c r="EG718" s="27" t="s">
        <v>8</v>
      </c>
      <c r="EI718" s="27" t="s">
        <v>8</v>
      </c>
      <c r="EJ718" s="27" t="s">
        <v>7</v>
      </c>
      <c r="EW718" s="27" t="s">
        <v>8</v>
      </c>
      <c r="EX718" s="27" t="s">
        <v>7</v>
      </c>
      <c r="EY718" s="27" t="s">
        <v>8</v>
      </c>
      <c r="EZ718" s="27" t="s">
        <v>7</v>
      </c>
      <c r="FA718" s="27" t="s">
        <v>8</v>
      </c>
      <c r="FB718" s="27" t="s">
        <v>7</v>
      </c>
      <c r="FC718" s="27" t="s">
        <v>8</v>
      </c>
    </row>
    <row r="719" spans="1:183" x14ac:dyDescent="0.25">
      <c r="A719" s="7">
        <v>7.3244889378503E-2</v>
      </c>
      <c r="B719"/>
      <c r="C719"/>
      <c r="D719"/>
      <c r="E719"/>
      <c r="F719" s="27" t="s">
        <v>7</v>
      </c>
      <c r="G719" s="27" t="s">
        <v>8</v>
      </c>
      <c r="J719" s="27" t="s">
        <v>7</v>
      </c>
      <c r="U719" s="27" t="s">
        <v>8</v>
      </c>
      <c r="V719" s="27" t="s">
        <v>7</v>
      </c>
      <c r="W719" s="27" t="s">
        <v>8</v>
      </c>
      <c r="X719" s="27" t="s">
        <v>7</v>
      </c>
      <c r="CM719" s="27" t="s">
        <v>8</v>
      </c>
      <c r="CN719" s="27" t="s">
        <v>7</v>
      </c>
      <c r="CS719" s="27" t="s">
        <v>8</v>
      </c>
      <c r="CT719" s="27" t="s">
        <v>7</v>
      </c>
      <c r="CU719" s="27" t="s">
        <v>8</v>
      </c>
      <c r="CV719" s="27" t="s">
        <v>7</v>
      </c>
      <c r="CX719" s="27" t="s">
        <v>7</v>
      </c>
      <c r="DA719" s="27" t="s">
        <v>8</v>
      </c>
      <c r="DC719" s="27" t="s">
        <v>8</v>
      </c>
      <c r="DD719" s="27" t="s">
        <v>7</v>
      </c>
      <c r="DE719" s="27" t="s">
        <v>8</v>
      </c>
      <c r="DH719" s="27" t="s">
        <v>7</v>
      </c>
      <c r="DZ719" s="27" t="s">
        <v>7</v>
      </c>
      <c r="EA719" s="27" t="s">
        <v>8</v>
      </c>
      <c r="EB719" s="27" t="s">
        <v>7</v>
      </c>
      <c r="ED719" s="27" t="s">
        <v>7</v>
      </c>
      <c r="EG719" s="27" t="s">
        <v>8</v>
      </c>
      <c r="EH719" s="27" t="s">
        <v>7</v>
      </c>
      <c r="EI719" s="27" t="s">
        <v>8</v>
      </c>
      <c r="EJ719" s="27" t="s">
        <v>7</v>
      </c>
      <c r="EW719" s="27" t="s">
        <v>8</v>
      </c>
      <c r="EX719" s="27" t="s">
        <v>7</v>
      </c>
      <c r="EY719" s="27" t="s">
        <v>8</v>
      </c>
      <c r="EZ719" s="27" t="s">
        <v>7</v>
      </c>
      <c r="FA719" s="27" t="s">
        <v>8</v>
      </c>
      <c r="FB719" s="27" t="s">
        <v>7</v>
      </c>
    </row>
    <row r="720" spans="1:183" x14ac:dyDescent="0.25">
      <c r="A720" s="7">
        <v>7.1808715076963722E-2</v>
      </c>
      <c r="B720"/>
      <c r="C720"/>
      <c r="D720"/>
      <c r="E720"/>
      <c r="F720" s="27" t="s">
        <v>7</v>
      </c>
      <c r="J720" s="27" t="s">
        <v>7</v>
      </c>
      <c r="K720" s="27" t="s">
        <v>8</v>
      </c>
      <c r="U720" s="27" t="s">
        <v>8</v>
      </c>
      <c r="V720" s="27" t="s">
        <v>7</v>
      </c>
      <c r="W720" s="27" t="s">
        <v>8</v>
      </c>
      <c r="X720" s="27" t="s">
        <v>7</v>
      </c>
      <c r="CK720" s="27" t="s">
        <v>8</v>
      </c>
      <c r="CM720" s="27" t="s">
        <v>8</v>
      </c>
      <c r="CN720" s="27" t="s">
        <v>7</v>
      </c>
      <c r="CO720" s="27" t="s">
        <v>8</v>
      </c>
      <c r="CS720" s="27" t="s">
        <v>8</v>
      </c>
      <c r="CT720" s="27" t="s">
        <v>7</v>
      </c>
      <c r="CU720" s="27" t="s">
        <v>8</v>
      </c>
      <c r="CX720" s="27" t="s">
        <v>7</v>
      </c>
      <c r="DA720" s="27" t="s">
        <v>8</v>
      </c>
      <c r="DB720" s="27" t="s">
        <v>7</v>
      </c>
      <c r="DC720" s="27" t="s">
        <v>8</v>
      </c>
      <c r="DD720" s="27" t="s">
        <v>7</v>
      </c>
      <c r="DZ720" s="27" t="s">
        <v>7</v>
      </c>
      <c r="EA720" s="27" t="s">
        <v>8</v>
      </c>
      <c r="ED720" s="27" t="s">
        <v>7</v>
      </c>
      <c r="EG720" s="27" t="s">
        <v>8</v>
      </c>
      <c r="EH720" s="27" t="s">
        <v>7</v>
      </c>
      <c r="EI720" s="27" t="s">
        <v>8</v>
      </c>
      <c r="EJ720" s="27" t="s">
        <v>7</v>
      </c>
      <c r="EW720" s="27" t="s">
        <v>8</v>
      </c>
      <c r="EX720" s="27" t="s">
        <v>7</v>
      </c>
      <c r="EY720" s="27" t="s">
        <v>8</v>
      </c>
      <c r="EZ720" s="27" t="s">
        <v>7</v>
      </c>
    </row>
    <row r="721" spans="1:155" x14ac:dyDescent="0.25">
      <c r="A721" s="7">
        <v>7.0400701055846782E-2</v>
      </c>
      <c r="B721"/>
      <c r="C721"/>
      <c r="D721"/>
      <c r="E721"/>
      <c r="J721" s="27" t="s">
        <v>7</v>
      </c>
      <c r="K721" s="27" t="s">
        <v>8</v>
      </c>
      <c r="L721" s="27" t="s">
        <v>7</v>
      </c>
      <c r="U721" s="27" t="s">
        <v>8</v>
      </c>
      <c r="V721" s="27" t="s">
        <v>7</v>
      </c>
      <c r="W721" s="27" t="s">
        <v>8</v>
      </c>
      <c r="X721" s="27" t="s">
        <v>7</v>
      </c>
      <c r="CK721" s="27" t="s">
        <v>8</v>
      </c>
      <c r="CL721" s="27" t="s">
        <v>7</v>
      </c>
      <c r="CM721" s="27" t="s">
        <v>8</v>
      </c>
      <c r="CN721" s="27" t="s">
        <v>7</v>
      </c>
      <c r="CO721" s="27" t="s">
        <v>8</v>
      </c>
      <c r="CP721" s="27" t="s">
        <v>7</v>
      </c>
      <c r="CS721" s="27" t="s">
        <v>8</v>
      </c>
      <c r="CT721" s="27" t="s">
        <v>7</v>
      </c>
      <c r="CX721" s="27" t="s">
        <v>7</v>
      </c>
      <c r="DA721" s="27" t="s">
        <v>8</v>
      </c>
      <c r="DB721" s="27" t="s">
        <v>7</v>
      </c>
      <c r="DC721" s="27" t="s">
        <v>8</v>
      </c>
      <c r="DZ721" s="27" t="s">
        <v>7</v>
      </c>
      <c r="EA721" s="27" t="s">
        <v>8</v>
      </c>
      <c r="ED721" s="27" t="s">
        <v>7</v>
      </c>
      <c r="EG721" s="27" t="s">
        <v>8</v>
      </c>
      <c r="EH721" s="27" t="s">
        <v>7</v>
      </c>
      <c r="EI721" s="27" t="s">
        <v>8</v>
      </c>
      <c r="EJ721" s="27" t="s">
        <v>7</v>
      </c>
      <c r="EK721" s="27" t="s">
        <v>8</v>
      </c>
      <c r="EW721" s="27" t="s">
        <v>8</v>
      </c>
      <c r="EX721" s="27" t="s">
        <v>7</v>
      </c>
      <c r="EY721" s="27" t="s">
        <v>8</v>
      </c>
    </row>
    <row r="722" spans="1:155" x14ac:dyDescent="0.25">
      <c r="A722" s="7">
        <v>6.9020295152790956E-2</v>
      </c>
      <c r="B722"/>
      <c r="C722"/>
      <c r="D722"/>
      <c r="E722"/>
      <c r="J722" s="27" t="s">
        <v>7</v>
      </c>
      <c r="K722" s="27" t="s">
        <v>8</v>
      </c>
      <c r="L722" s="27" t="s">
        <v>7</v>
      </c>
      <c r="U722" s="27" t="s">
        <v>8</v>
      </c>
      <c r="V722" s="27" t="s">
        <v>7</v>
      </c>
      <c r="W722" s="27" t="s">
        <v>8</v>
      </c>
      <c r="X722" s="27" t="s">
        <v>7</v>
      </c>
      <c r="CK722" s="27" t="s">
        <v>8</v>
      </c>
      <c r="CL722" s="27" t="s">
        <v>7</v>
      </c>
      <c r="CM722" s="27" t="s">
        <v>8</v>
      </c>
      <c r="CN722" s="27" t="s">
        <v>7</v>
      </c>
      <c r="CO722" s="27" t="s">
        <v>8</v>
      </c>
      <c r="CP722" s="27" t="s">
        <v>7</v>
      </c>
      <c r="CQ722" s="27" t="s">
        <v>8</v>
      </c>
      <c r="CS722" s="27" t="s">
        <v>8</v>
      </c>
      <c r="CX722" s="27" t="s">
        <v>7</v>
      </c>
      <c r="CY722" s="27" t="s">
        <v>8</v>
      </c>
      <c r="DA722" s="27" t="s">
        <v>8</v>
      </c>
      <c r="DB722" s="27" t="s">
        <v>7</v>
      </c>
      <c r="DC722" s="27" t="s">
        <v>8</v>
      </c>
      <c r="DZ722" s="27" t="s">
        <v>7</v>
      </c>
      <c r="ED722" s="27" t="s">
        <v>7</v>
      </c>
      <c r="EG722" s="27" t="s">
        <v>8</v>
      </c>
      <c r="EH722" s="27" t="s">
        <v>7</v>
      </c>
      <c r="EI722" s="27" t="s">
        <v>8</v>
      </c>
      <c r="EJ722" s="27" t="s">
        <v>7</v>
      </c>
      <c r="EK722" s="27" t="s">
        <v>8</v>
      </c>
      <c r="EL722" s="27" t="s">
        <v>7</v>
      </c>
      <c r="EM722" s="27" t="s">
        <v>8</v>
      </c>
      <c r="EW722" s="27" t="s">
        <v>8</v>
      </c>
      <c r="EX722" s="27" t="s">
        <v>7</v>
      </c>
      <c r="EY722" s="27" t="s">
        <v>8</v>
      </c>
    </row>
    <row r="723" spans="1:155" x14ac:dyDescent="0.25">
      <c r="A723" s="7">
        <v>6.7666956032147993E-2</v>
      </c>
      <c r="B723"/>
      <c r="C723"/>
      <c r="D723"/>
      <c r="E723"/>
      <c r="J723" s="27" t="s">
        <v>7</v>
      </c>
      <c r="K723" s="27" t="s">
        <v>8</v>
      </c>
      <c r="L723" s="27" t="s">
        <v>7</v>
      </c>
      <c r="M723" s="27" t="s">
        <v>8</v>
      </c>
      <c r="U723" s="27" t="s">
        <v>8</v>
      </c>
      <c r="V723" s="27" t="s">
        <v>7</v>
      </c>
      <c r="W723" s="27" t="s">
        <v>8</v>
      </c>
      <c r="X723" s="27" t="s">
        <v>7</v>
      </c>
      <c r="CK723" s="27" t="s">
        <v>8</v>
      </c>
      <c r="CL723" s="27" t="s">
        <v>7</v>
      </c>
      <c r="CM723" s="27" t="s">
        <v>8</v>
      </c>
      <c r="CN723" s="27" t="s">
        <v>7</v>
      </c>
      <c r="CO723" s="27" t="s">
        <v>8</v>
      </c>
      <c r="CP723" s="27" t="s">
        <v>7</v>
      </c>
      <c r="CQ723" s="27" t="s">
        <v>8</v>
      </c>
      <c r="CR723" s="27" t="s">
        <v>7</v>
      </c>
      <c r="CS723" s="27" t="s">
        <v>8</v>
      </c>
      <c r="CX723" s="27" t="s">
        <v>7</v>
      </c>
      <c r="CY723" s="27" t="s">
        <v>8</v>
      </c>
      <c r="CZ723" s="27" t="s">
        <v>7</v>
      </c>
      <c r="DA723" s="27" t="s">
        <v>8</v>
      </c>
      <c r="DB723" s="27" t="s">
        <v>7</v>
      </c>
      <c r="DC723" s="27" t="s">
        <v>8</v>
      </c>
      <c r="ED723" s="27" t="s">
        <v>7</v>
      </c>
      <c r="EG723" s="27" t="s">
        <v>8</v>
      </c>
      <c r="EH723" s="27" t="s">
        <v>7</v>
      </c>
      <c r="EI723" s="27" t="s">
        <v>8</v>
      </c>
      <c r="EJ723" s="27" t="s">
        <v>7</v>
      </c>
      <c r="EK723" s="27" t="s">
        <v>8</v>
      </c>
      <c r="EL723" s="27" t="s">
        <v>7</v>
      </c>
      <c r="EM723" s="27" t="s">
        <v>8</v>
      </c>
      <c r="EN723" s="27" t="s">
        <v>7</v>
      </c>
      <c r="EQ723" s="27" t="s">
        <v>8</v>
      </c>
      <c r="EW723" s="27" t="s">
        <v>8</v>
      </c>
      <c r="EX723" s="27" t="s">
        <v>7</v>
      </c>
    </row>
    <row r="724" spans="1:155" x14ac:dyDescent="0.25">
      <c r="A724" s="7">
        <v>6.6340152972694105E-2</v>
      </c>
      <c r="B724"/>
      <c r="C724"/>
      <c r="D724"/>
      <c r="E724"/>
      <c r="J724" s="27" t="s">
        <v>7</v>
      </c>
      <c r="K724" s="27" t="s">
        <v>8</v>
      </c>
      <c r="L724" s="27" t="s">
        <v>7</v>
      </c>
      <c r="M724" s="27" t="s">
        <v>8</v>
      </c>
      <c r="N724" s="27" t="s">
        <v>7</v>
      </c>
      <c r="U724" s="27" t="s">
        <v>8</v>
      </c>
      <c r="V724" s="27" t="s">
        <v>7</v>
      </c>
      <c r="W724" s="27" t="s">
        <v>8</v>
      </c>
      <c r="X724" s="27" t="s">
        <v>7</v>
      </c>
      <c r="CA724" s="27" t="s">
        <v>8</v>
      </c>
      <c r="CK724" s="27" t="s">
        <v>8</v>
      </c>
      <c r="CL724" s="27" t="s">
        <v>7</v>
      </c>
      <c r="CM724" s="27" t="s">
        <v>8</v>
      </c>
      <c r="CN724" s="27" t="s">
        <v>7</v>
      </c>
      <c r="CO724" s="27" t="s">
        <v>8</v>
      </c>
      <c r="CP724" s="27" t="s">
        <v>7</v>
      </c>
      <c r="CQ724" s="27" t="s">
        <v>8</v>
      </c>
      <c r="CR724" s="27" t="s">
        <v>7</v>
      </c>
      <c r="CS724" s="27" t="s">
        <v>8</v>
      </c>
      <c r="CX724" s="27" t="s">
        <v>7</v>
      </c>
      <c r="CY724" s="27" t="s">
        <v>8</v>
      </c>
      <c r="CZ724" s="27" t="s">
        <v>7</v>
      </c>
      <c r="DA724" s="27" t="s">
        <v>8</v>
      </c>
      <c r="DB724" s="27" t="s">
        <v>7</v>
      </c>
      <c r="DC724" s="27" t="s">
        <v>8</v>
      </c>
      <c r="ED724" s="27" t="s">
        <v>7</v>
      </c>
      <c r="EG724" s="27" t="s">
        <v>8</v>
      </c>
      <c r="EH724" s="27" t="s">
        <v>7</v>
      </c>
      <c r="EJ724" s="27" t="s">
        <v>7</v>
      </c>
      <c r="EK724" s="27" t="s">
        <v>8</v>
      </c>
      <c r="EL724" s="27" t="s">
        <v>7</v>
      </c>
      <c r="EM724" s="27" t="s">
        <v>8</v>
      </c>
      <c r="EN724" s="27" t="s">
        <v>7</v>
      </c>
      <c r="EO724" s="27" t="s">
        <v>8</v>
      </c>
      <c r="EQ724" s="27" t="s">
        <v>8</v>
      </c>
      <c r="ER724" s="27" t="s">
        <v>7</v>
      </c>
      <c r="ES724" s="27" t="s">
        <v>8</v>
      </c>
      <c r="EW724" s="27" t="s">
        <v>8</v>
      </c>
    </row>
    <row r="725" spans="1:155" x14ac:dyDescent="0.25">
      <c r="A725" s="7">
        <v>6.5039365659504023E-2</v>
      </c>
      <c r="B725"/>
      <c r="C725"/>
      <c r="D725"/>
      <c r="E725"/>
      <c r="J725" s="27" t="s">
        <v>7</v>
      </c>
      <c r="K725" s="27" t="s">
        <v>8</v>
      </c>
      <c r="L725" s="27" t="s">
        <v>7</v>
      </c>
      <c r="M725" s="27" t="s">
        <v>8</v>
      </c>
      <c r="N725" s="27" t="s">
        <v>7</v>
      </c>
      <c r="U725" s="27" t="s">
        <v>8</v>
      </c>
      <c r="V725" s="27" t="s">
        <v>7</v>
      </c>
      <c r="W725" s="27" t="s">
        <v>8</v>
      </c>
      <c r="X725" s="27" t="s">
        <v>7</v>
      </c>
      <c r="CA725" s="27" t="s">
        <v>8</v>
      </c>
      <c r="CB725" s="27" t="s">
        <v>7</v>
      </c>
      <c r="CK725" s="27" t="s">
        <v>8</v>
      </c>
      <c r="CL725" s="27" t="s">
        <v>7</v>
      </c>
      <c r="CM725" s="27" t="s">
        <v>8</v>
      </c>
      <c r="CN725" s="27" t="s">
        <v>7</v>
      </c>
      <c r="CO725" s="27" t="s">
        <v>8</v>
      </c>
      <c r="CP725" s="27" t="s">
        <v>7</v>
      </c>
      <c r="CQ725" s="27" t="s">
        <v>8</v>
      </c>
      <c r="CR725" s="27" t="s">
        <v>7</v>
      </c>
      <c r="CX725" s="27" t="s">
        <v>7</v>
      </c>
      <c r="CY725" s="27" t="s">
        <v>8</v>
      </c>
      <c r="CZ725" s="27" t="s">
        <v>7</v>
      </c>
      <c r="DA725" s="27" t="s">
        <v>8</v>
      </c>
      <c r="DB725" s="27" t="s">
        <v>7</v>
      </c>
      <c r="DC725" s="27" t="s">
        <v>8</v>
      </c>
      <c r="ED725" s="27" t="s">
        <v>7</v>
      </c>
      <c r="EE725" s="27" t="s">
        <v>8</v>
      </c>
      <c r="EG725" s="27" t="s">
        <v>8</v>
      </c>
      <c r="EJ725" s="27" t="s">
        <v>7</v>
      </c>
      <c r="EL725" s="27" t="s">
        <v>7</v>
      </c>
      <c r="EM725" s="27" t="s">
        <v>8</v>
      </c>
      <c r="EN725" s="27" t="s">
        <v>7</v>
      </c>
      <c r="EO725" s="27" t="s">
        <v>8</v>
      </c>
      <c r="EP725" s="27" t="s">
        <v>7</v>
      </c>
      <c r="EQ725" s="27" t="s">
        <v>8</v>
      </c>
      <c r="ER725" s="27" t="s">
        <v>7</v>
      </c>
      <c r="ES725" s="27" t="s">
        <v>8</v>
      </c>
      <c r="ET725" s="27" t="s">
        <v>7</v>
      </c>
      <c r="EW725" s="27" t="s">
        <v>8</v>
      </c>
    </row>
    <row r="726" spans="1:155" x14ac:dyDescent="0.25">
      <c r="A726" s="7">
        <v>6.3764083979905906E-2</v>
      </c>
      <c r="B726"/>
      <c r="C726"/>
      <c r="D726"/>
      <c r="E726"/>
      <c r="J726" s="27" t="s">
        <v>7</v>
      </c>
      <c r="K726" s="27" t="s">
        <v>8</v>
      </c>
      <c r="L726" s="27" t="s">
        <v>7</v>
      </c>
      <c r="M726" s="27" t="s">
        <v>8</v>
      </c>
      <c r="N726" s="27" t="s">
        <v>7</v>
      </c>
      <c r="U726" s="27" t="s">
        <v>8</v>
      </c>
      <c r="V726" s="27" t="s">
        <v>7</v>
      </c>
      <c r="W726" s="27" t="s">
        <v>8</v>
      </c>
      <c r="X726" s="27" t="s">
        <v>7</v>
      </c>
      <c r="CA726" s="27" t="s">
        <v>8</v>
      </c>
      <c r="CB726" s="27" t="s">
        <v>7</v>
      </c>
      <c r="CK726" s="27" t="s">
        <v>8</v>
      </c>
      <c r="CL726" s="27" t="s">
        <v>7</v>
      </c>
      <c r="CM726" s="27" t="s">
        <v>8</v>
      </c>
      <c r="CN726" s="27" t="s">
        <v>7</v>
      </c>
      <c r="CP726" s="27" t="s">
        <v>7</v>
      </c>
      <c r="CQ726" s="27" t="s">
        <v>8</v>
      </c>
      <c r="CX726" s="27" t="s">
        <v>7</v>
      </c>
      <c r="CY726" s="27" t="s">
        <v>8</v>
      </c>
      <c r="CZ726" s="27" t="s">
        <v>7</v>
      </c>
      <c r="DA726" s="27" t="s">
        <v>8</v>
      </c>
      <c r="DB726" s="27" t="s">
        <v>7</v>
      </c>
      <c r="DC726" s="27" t="s">
        <v>8</v>
      </c>
      <c r="ED726" s="27" t="s">
        <v>7</v>
      </c>
      <c r="EE726" s="27" t="s">
        <v>8</v>
      </c>
      <c r="EF726" s="27" t="s">
        <v>7</v>
      </c>
      <c r="EG726" s="27" t="s">
        <v>8</v>
      </c>
      <c r="EL726" s="27" t="s">
        <v>7</v>
      </c>
      <c r="EM726" s="27" t="s">
        <v>8</v>
      </c>
      <c r="EN726" s="27" t="s">
        <v>7</v>
      </c>
      <c r="EO726" s="27" t="s">
        <v>8</v>
      </c>
      <c r="EP726" s="27" t="s">
        <v>7</v>
      </c>
      <c r="EQ726" s="27" t="s">
        <v>8</v>
      </c>
      <c r="ER726" s="27" t="s">
        <v>7</v>
      </c>
      <c r="ES726" s="27" t="s">
        <v>8</v>
      </c>
      <c r="ET726" s="27" t="s">
        <v>7</v>
      </c>
      <c r="EW726" s="27" t="s">
        <v>8</v>
      </c>
    </row>
    <row r="727" spans="1:155" x14ac:dyDescent="0.25">
      <c r="A727" s="7">
        <v>6.251380782343717E-2</v>
      </c>
      <c r="B727"/>
      <c r="C727"/>
      <c r="D727"/>
      <c r="E727"/>
      <c r="J727" s="27" t="s">
        <v>7</v>
      </c>
      <c r="K727" s="27" t="s">
        <v>8</v>
      </c>
      <c r="L727" s="27" t="s">
        <v>7</v>
      </c>
      <c r="M727" s="27" t="s">
        <v>8</v>
      </c>
      <c r="N727" s="27" t="s">
        <v>7</v>
      </c>
      <c r="U727" s="27" t="s">
        <v>8</v>
      </c>
      <c r="V727" s="27" t="s">
        <v>7</v>
      </c>
      <c r="W727" s="27" t="s">
        <v>8</v>
      </c>
      <c r="X727" s="27" t="s">
        <v>7</v>
      </c>
      <c r="CA727" s="27" t="s">
        <v>8</v>
      </c>
      <c r="CB727" s="27" t="s">
        <v>7</v>
      </c>
      <c r="CK727" s="27" t="s">
        <v>8</v>
      </c>
      <c r="CL727" s="27" t="s">
        <v>7</v>
      </c>
      <c r="CM727" s="27" t="s">
        <v>8</v>
      </c>
      <c r="CP727" s="27" t="s">
        <v>7</v>
      </c>
      <c r="CQ727" s="27" t="s">
        <v>8</v>
      </c>
      <c r="CX727" s="27" t="s">
        <v>7</v>
      </c>
      <c r="CY727" s="27" t="s">
        <v>8</v>
      </c>
      <c r="CZ727" s="27" t="s">
        <v>7</v>
      </c>
      <c r="DB727" s="27" t="s">
        <v>7</v>
      </c>
      <c r="DC727" s="27" t="s">
        <v>8</v>
      </c>
      <c r="ED727" s="27" t="s">
        <v>7</v>
      </c>
      <c r="EE727" s="27" t="s">
        <v>8</v>
      </c>
      <c r="EF727" s="27" t="s">
        <v>7</v>
      </c>
      <c r="EG727" s="27" t="s">
        <v>8</v>
      </c>
      <c r="EL727" s="27" t="s">
        <v>7</v>
      </c>
      <c r="EM727" s="27" t="s">
        <v>8</v>
      </c>
      <c r="EN727" s="27" t="s">
        <v>7</v>
      </c>
      <c r="EP727" s="27" t="s">
        <v>7</v>
      </c>
      <c r="EQ727" s="27" t="s">
        <v>8</v>
      </c>
      <c r="ER727" s="27" t="s">
        <v>7</v>
      </c>
      <c r="ET727" s="27" t="s">
        <v>7</v>
      </c>
      <c r="EW727" s="27" t="s">
        <v>8</v>
      </c>
    </row>
    <row r="728" spans="1:155" x14ac:dyDescent="0.25">
      <c r="A728" s="7">
        <v>6.1288046885722716E-2</v>
      </c>
      <c r="B728"/>
      <c r="C728"/>
      <c r="D728"/>
      <c r="E728"/>
      <c r="J728" s="27" t="s">
        <v>7</v>
      </c>
      <c r="K728" s="27" t="s">
        <v>8</v>
      </c>
      <c r="L728" s="27" t="s">
        <v>7</v>
      </c>
      <c r="M728" s="27" t="s">
        <v>8</v>
      </c>
      <c r="N728" s="27" t="s">
        <v>7</v>
      </c>
      <c r="U728" s="27" t="s">
        <v>8</v>
      </c>
      <c r="V728" s="27" t="s">
        <v>7</v>
      </c>
      <c r="W728" s="27" t="s">
        <v>8</v>
      </c>
      <c r="X728" s="27" t="s">
        <v>7</v>
      </c>
      <c r="CA728" s="27" t="s">
        <v>8</v>
      </c>
      <c r="CB728" s="27" t="s">
        <v>7</v>
      </c>
      <c r="CK728" s="27" t="s">
        <v>8</v>
      </c>
      <c r="CL728" s="27" t="s">
        <v>7</v>
      </c>
      <c r="CP728" s="27" t="s">
        <v>7</v>
      </c>
      <c r="CQ728" s="27" t="s">
        <v>8</v>
      </c>
      <c r="CX728" s="27" t="s">
        <v>7</v>
      </c>
      <c r="CY728" s="27" t="s">
        <v>8</v>
      </c>
      <c r="DB728" s="27" t="s">
        <v>7</v>
      </c>
      <c r="DC728" s="27" t="s">
        <v>8</v>
      </c>
      <c r="ED728" s="27" t="s">
        <v>7</v>
      </c>
      <c r="EE728" s="27" t="s">
        <v>8</v>
      </c>
      <c r="EF728" s="27" t="s">
        <v>7</v>
      </c>
      <c r="EG728" s="27" t="s">
        <v>8</v>
      </c>
      <c r="EL728" s="27" t="s">
        <v>7</v>
      </c>
      <c r="EM728" s="27" t="s">
        <v>8</v>
      </c>
      <c r="EP728" s="27" t="s">
        <v>7</v>
      </c>
      <c r="EQ728" s="27" t="s">
        <v>8</v>
      </c>
      <c r="ET728" s="27" t="s">
        <v>7</v>
      </c>
      <c r="EU728" s="27" t="s">
        <v>8</v>
      </c>
      <c r="EW728" s="27" t="s">
        <v>8</v>
      </c>
    </row>
    <row r="729" spans="1:155" x14ac:dyDescent="0.25">
      <c r="A729" s="7">
        <v>6.0086320476198739E-2</v>
      </c>
      <c r="B729"/>
      <c r="C729"/>
      <c r="D729"/>
      <c r="E729"/>
      <c r="J729" s="27" t="s">
        <v>7</v>
      </c>
      <c r="K729" s="27" t="s">
        <v>8</v>
      </c>
      <c r="L729" s="27" t="s">
        <v>7</v>
      </c>
      <c r="M729" s="27" t="s">
        <v>8</v>
      </c>
      <c r="N729" s="27" t="s">
        <v>7</v>
      </c>
      <c r="U729" s="27" t="s">
        <v>8</v>
      </c>
      <c r="V729" s="27" t="s">
        <v>7</v>
      </c>
      <c r="W729" s="27" t="s">
        <v>8</v>
      </c>
      <c r="X729" s="27" t="s">
        <v>7</v>
      </c>
      <c r="CA729" s="27" t="s">
        <v>8</v>
      </c>
      <c r="CB729" s="27" t="s">
        <v>7</v>
      </c>
      <c r="CK729" s="27" t="s">
        <v>8</v>
      </c>
      <c r="CP729" s="27" t="s">
        <v>7</v>
      </c>
      <c r="CX729" s="27" t="s">
        <v>7</v>
      </c>
      <c r="CY729" s="27" t="s">
        <v>8</v>
      </c>
      <c r="DB729" s="27" t="s">
        <v>7</v>
      </c>
      <c r="ED729" s="27" t="s">
        <v>7</v>
      </c>
      <c r="EE729" s="27" t="s">
        <v>8</v>
      </c>
      <c r="EF729" s="27" t="s">
        <v>7</v>
      </c>
      <c r="EG729" s="27" t="s">
        <v>8</v>
      </c>
      <c r="EL729" s="27" t="s">
        <v>7</v>
      </c>
      <c r="EM729" s="27" t="s">
        <v>8</v>
      </c>
      <c r="EP729" s="27" t="s">
        <v>7</v>
      </c>
      <c r="ET729" s="27" t="s">
        <v>7</v>
      </c>
      <c r="EU729" s="27" t="s">
        <v>8</v>
      </c>
      <c r="EV729" s="27" t="s">
        <v>7</v>
      </c>
      <c r="EW729" s="27" t="s">
        <v>8</v>
      </c>
    </row>
    <row r="730" spans="1:155" x14ac:dyDescent="0.25">
      <c r="A730" s="7">
        <v>5.8908157329606609E-2</v>
      </c>
      <c r="B730"/>
      <c r="C730"/>
      <c r="D730"/>
      <c r="E730"/>
      <c r="J730" s="27" t="s">
        <v>7</v>
      </c>
      <c r="K730" s="27" t="s">
        <v>8</v>
      </c>
      <c r="L730" s="27" t="s">
        <v>7</v>
      </c>
      <c r="N730" s="27" t="s">
        <v>7</v>
      </c>
      <c r="U730" s="27" t="s">
        <v>8</v>
      </c>
      <c r="V730" s="27" t="s">
        <v>7</v>
      </c>
      <c r="W730" s="27" t="s">
        <v>8</v>
      </c>
      <c r="X730" s="27" t="s">
        <v>7</v>
      </c>
      <c r="BS730" s="27" t="s">
        <v>8</v>
      </c>
      <c r="CA730" s="27" t="s">
        <v>8</v>
      </c>
      <c r="CB730" s="27" t="s">
        <v>7</v>
      </c>
      <c r="CK730" s="27" t="s">
        <v>8</v>
      </c>
      <c r="CX730" s="27" t="s">
        <v>7</v>
      </c>
      <c r="CY730" s="27" t="s">
        <v>8</v>
      </c>
      <c r="ED730" s="27" t="s">
        <v>7</v>
      </c>
      <c r="EF730" s="27" t="s">
        <v>7</v>
      </c>
      <c r="EG730" s="27" t="s">
        <v>8</v>
      </c>
      <c r="EL730" s="27" t="s">
        <v>7</v>
      </c>
      <c r="EM730" s="27" t="s">
        <v>8</v>
      </c>
      <c r="ET730" s="27" t="s">
        <v>7</v>
      </c>
      <c r="EU730" s="27" t="s">
        <v>8</v>
      </c>
      <c r="EV730" s="27" t="s">
        <v>7</v>
      </c>
      <c r="EW730" s="27" t="s">
        <v>8</v>
      </c>
    </row>
    <row r="731" spans="1:155" x14ac:dyDescent="0.25">
      <c r="A731" s="7">
        <v>5.7753095421182947E-2</v>
      </c>
      <c r="B731"/>
      <c r="C731"/>
      <c r="D731"/>
      <c r="E731"/>
      <c r="J731" s="27" t="s">
        <v>7</v>
      </c>
      <c r="N731" s="27" t="s">
        <v>7</v>
      </c>
      <c r="U731" s="27" t="s">
        <v>8</v>
      </c>
      <c r="V731" s="27" t="s">
        <v>7</v>
      </c>
      <c r="W731" s="27" t="s">
        <v>8</v>
      </c>
      <c r="X731" s="27" t="s">
        <v>7</v>
      </c>
      <c r="BS731" s="27" t="s">
        <v>8</v>
      </c>
      <c r="BT731" s="27" t="s">
        <v>7</v>
      </c>
      <c r="CA731" s="27" t="s">
        <v>8</v>
      </c>
      <c r="CB731" s="27" t="s">
        <v>7</v>
      </c>
      <c r="CC731" s="27" t="s">
        <v>8</v>
      </c>
      <c r="CG731" s="27" t="s">
        <v>8</v>
      </c>
      <c r="CK731" s="27" t="s">
        <v>8</v>
      </c>
      <c r="CX731" s="27" t="s">
        <v>7</v>
      </c>
      <c r="CY731" s="27" t="s">
        <v>8</v>
      </c>
      <c r="EF731" s="27" t="s">
        <v>7</v>
      </c>
      <c r="EG731" s="27" t="s">
        <v>8</v>
      </c>
      <c r="EL731" s="27" t="s">
        <v>7</v>
      </c>
      <c r="EM731" s="27" t="s">
        <v>8</v>
      </c>
      <c r="ET731" s="27" t="s">
        <v>7</v>
      </c>
      <c r="EU731" s="27" t="s">
        <v>8</v>
      </c>
      <c r="EV731" s="27" t="s">
        <v>7</v>
      </c>
      <c r="EW731" s="27" t="s">
        <v>8</v>
      </c>
    </row>
    <row r="732" spans="1:155" x14ac:dyDescent="0.25">
      <c r="A732" s="7">
        <v>5.6620681785473484E-2</v>
      </c>
      <c r="B732"/>
      <c r="C732"/>
      <c r="D732"/>
      <c r="E732"/>
      <c r="N732" s="27" t="s">
        <v>7</v>
      </c>
      <c r="U732" s="27" t="s">
        <v>8</v>
      </c>
      <c r="V732" s="27" t="s">
        <v>7</v>
      </c>
      <c r="W732" s="27" t="s">
        <v>8</v>
      </c>
      <c r="X732" s="27" t="s">
        <v>7</v>
      </c>
      <c r="BO732" s="27" t="s">
        <v>8</v>
      </c>
      <c r="BS732" s="27" t="s">
        <v>8</v>
      </c>
      <c r="BT732" s="27" t="s">
        <v>7</v>
      </c>
      <c r="CA732" s="27" t="s">
        <v>8</v>
      </c>
      <c r="CB732" s="27" t="s">
        <v>7</v>
      </c>
      <c r="CC732" s="27" t="s">
        <v>8</v>
      </c>
      <c r="CD732" s="27" t="s">
        <v>7</v>
      </c>
      <c r="CG732" s="27" t="s">
        <v>8</v>
      </c>
      <c r="CH732" s="27" t="s">
        <v>7</v>
      </c>
      <c r="CK732" s="27" t="s">
        <v>8</v>
      </c>
      <c r="CX732" s="27" t="s">
        <v>7</v>
      </c>
      <c r="EF732" s="27" t="s">
        <v>7</v>
      </c>
      <c r="EG732" s="27" t="s">
        <v>8</v>
      </c>
      <c r="EL732" s="27" t="s">
        <v>7</v>
      </c>
      <c r="ET732" s="27" t="s">
        <v>7</v>
      </c>
      <c r="EU732" s="27" t="s">
        <v>8</v>
      </c>
      <c r="EV732" s="27" t="s">
        <v>7</v>
      </c>
      <c r="EW732" s="27" t="s">
        <v>8</v>
      </c>
    </row>
    <row r="733" spans="1:155" x14ac:dyDescent="0.25">
      <c r="A733" s="7">
        <v>5.5510472338699497E-2</v>
      </c>
      <c r="B733"/>
      <c r="C733"/>
      <c r="D733"/>
      <c r="E733"/>
      <c r="N733" s="27" t="s">
        <v>7</v>
      </c>
      <c r="U733" s="27" t="s">
        <v>8</v>
      </c>
      <c r="V733" s="27" t="s">
        <v>7</v>
      </c>
      <c r="W733" s="27" t="s">
        <v>8</v>
      </c>
      <c r="X733" s="27" t="s">
        <v>7</v>
      </c>
      <c r="BO733" s="27" t="s">
        <v>8</v>
      </c>
      <c r="BP733" s="27" t="s">
        <v>7</v>
      </c>
      <c r="BS733" s="27" t="s">
        <v>8</v>
      </c>
      <c r="BT733" s="27" t="s">
        <v>7</v>
      </c>
      <c r="BY733" s="27" t="s">
        <v>8</v>
      </c>
      <c r="CA733" s="27" t="s">
        <v>8</v>
      </c>
      <c r="CB733" s="27" t="s">
        <v>7</v>
      </c>
      <c r="CC733" s="27" t="s">
        <v>8</v>
      </c>
      <c r="CD733" s="27" t="s">
        <v>7</v>
      </c>
      <c r="CG733" s="27" t="s">
        <v>8</v>
      </c>
      <c r="CH733" s="27" t="s">
        <v>7</v>
      </c>
      <c r="CI733" s="27" t="s">
        <v>8</v>
      </c>
      <c r="CK733" s="27" t="s">
        <v>8</v>
      </c>
      <c r="EF733" s="27" t="s">
        <v>7</v>
      </c>
      <c r="EG733" s="27" t="s">
        <v>8</v>
      </c>
      <c r="ET733" s="27" t="s">
        <v>7</v>
      </c>
      <c r="EU733" s="27" t="s">
        <v>8</v>
      </c>
      <c r="EV733" s="27" t="s">
        <v>7</v>
      </c>
      <c r="EW733" s="27" t="s">
        <v>8</v>
      </c>
    </row>
    <row r="734" spans="1:155" x14ac:dyDescent="0.25">
      <c r="A734" s="7">
        <v>5.4422031704607354E-2</v>
      </c>
      <c r="B734"/>
      <c r="C734"/>
      <c r="D734"/>
      <c r="E734"/>
      <c r="N734" s="27" t="s">
        <v>7</v>
      </c>
      <c r="U734" s="27" t="s">
        <v>8</v>
      </c>
      <c r="V734" s="27" t="s">
        <v>7</v>
      </c>
      <c r="W734" s="27" t="s">
        <v>8</v>
      </c>
      <c r="X734" s="27" t="s">
        <v>7</v>
      </c>
      <c r="BO734" s="27" t="s">
        <v>8</v>
      </c>
      <c r="BP734" s="27" t="s">
        <v>7</v>
      </c>
      <c r="BS734" s="27" t="s">
        <v>8</v>
      </c>
      <c r="BT734" s="27" t="s">
        <v>7</v>
      </c>
      <c r="BW734" s="27" t="s">
        <v>8</v>
      </c>
      <c r="BY734" s="27" t="s">
        <v>8</v>
      </c>
      <c r="BZ734" s="27" t="s">
        <v>7</v>
      </c>
      <c r="CA734" s="27" t="s">
        <v>8</v>
      </c>
      <c r="CB734" s="27" t="s">
        <v>7</v>
      </c>
      <c r="CC734" s="27" t="s">
        <v>8</v>
      </c>
      <c r="CD734" s="27" t="s">
        <v>7</v>
      </c>
      <c r="CG734" s="27" t="s">
        <v>8</v>
      </c>
      <c r="CH734" s="27" t="s">
        <v>7</v>
      </c>
      <c r="CI734" s="27" t="s">
        <v>8</v>
      </c>
      <c r="CJ734" s="27" t="s">
        <v>7</v>
      </c>
      <c r="CK734" s="27" t="s">
        <v>8</v>
      </c>
      <c r="EF734" s="27" t="s">
        <v>7</v>
      </c>
      <c r="EG734" s="27" t="s">
        <v>8</v>
      </c>
      <c r="ET734" s="27" t="s">
        <v>7</v>
      </c>
      <c r="EU734" s="27" t="s">
        <v>8</v>
      </c>
      <c r="EV734" s="27" t="s">
        <v>7</v>
      </c>
      <c r="EW734" s="27" t="s">
        <v>8</v>
      </c>
    </row>
    <row r="735" spans="1:155" x14ac:dyDescent="0.25">
      <c r="A735" s="7">
        <v>5.3354933043732705E-2</v>
      </c>
      <c r="B735"/>
      <c r="C735"/>
      <c r="D735"/>
      <c r="E735"/>
      <c r="N735" s="27" t="s">
        <v>7</v>
      </c>
      <c r="U735" s="27" t="s">
        <v>8</v>
      </c>
      <c r="V735" s="27" t="s">
        <v>7</v>
      </c>
      <c r="X735" s="27" t="s">
        <v>7</v>
      </c>
      <c r="BO735" s="27" t="s">
        <v>8</v>
      </c>
      <c r="BP735" s="27" t="s">
        <v>7</v>
      </c>
      <c r="BS735" s="27" t="s">
        <v>8</v>
      </c>
      <c r="BT735" s="27" t="s">
        <v>7</v>
      </c>
      <c r="BU735" s="27" t="s">
        <v>8</v>
      </c>
      <c r="BW735" s="27" t="s">
        <v>8</v>
      </c>
      <c r="BX735" s="27" t="s">
        <v>7</v>
      </c>
      <c r="BY735" s="27" t="s">
        <v>8</v>
      </c>
      <c r="BZ735" s="27" t="s">
        <v>7</v>
      </c>
      <c r="CA735" s="27" t="s">
        <v>8</v>
      </c>
      <c r="CB735" s="27" t="s">
        <v>7</v>
      </c>
      <c r="CC735" s="27" t="s">
        <v>8</v>
      </c>
      <c r="CD735" s="27" t="s">
        <v>7</v>
      </c>
      <c r="CG735" s="27" t="s">
        <v>8</v>
      </c>
      <c r="CH735" s="27" t="s">
        <v>7</v>
      </c>
      <c r="CI735" s="27" t="s">
        <v>8</v>
      </c>
      <c r="CJ735" s="27" t="s">
        <v>7</v>
      </c>
      <c r="CK735" s="27" t="s">
        <v>8</v>
      </c>
      <c r="EF735" s="27" t="s">
        <v>7</v>
      </c>
      <c r="ET735" s="27" t="s">
        <v>7</v>
      </c>
      <c r="EU735" s="27" t="s">
        <v>8</v>
      </c>
      <c r="EV735" s="27" t="s">
        <v>7</v>
      </c>
      <c r="EW735" s="27" t="s">
        <v>8</v>
      </c>
    </row>
    <row r="736" spans="1:155" x14ac:dyDescent="0.25">
      <c r="A736" s="7">
        <v>5.2308757886012455E-2</v>
      </c>
      <c r="B736"/>
      <c r="C736"/>
      <c r="D736"/>
      <c r="E736"/>
      <c r="N736" s="27" t="s">
        <v>7</v>
      </c>
      <c r="O736" s="27" t="s">
        <v>8</v>
      </c>
      <c r="U736" s="27" t="s">
        <v>8</v>
      </c>
      <c r="X736" s="27" t="s">
        <v>7</v>
      </c>
      <c r="BO736" s="27" t="s">
        <v>8</v>
      </c>
      <c r="BP736" s="27" t="s">
        <v>7</v>
      </c>
      <c r="BS736" s="27" t="s">
        <v>8</v>
      </c>
      <c r="BT736" s="27" t="s">
        <v>7</v>
      </c>
      <c r="BU736" s="27" t="s">
        <v>8</v>
      </c>
      <c r="BV736" s="27" t="s">
        <v>7</v>
      </c>
      <c r="BW736" s="27" t="s">
        <v>8</v>
      </c>
      <c r="BX736" s="27" t="s">
        <v>7</v>
      </c>
      <c r="BY736" s="27" t="s">
        <v>8</v>
      </c>
      <c r="BZ736" s="27" t="s">
        <v>7</v>
      </c>
      <c r="CB736" s="27" t="s">
        <v>7</v>
      </c>
      <c r="CD736" s="27" t="s">
        <v>7</v>
      </c>
      <c r="CE736" s="27" t="s">
        <v>8</v>
      </c>
      <c r="CG736" s="27" t="s">
        <v>8</v>
      </c>
      <c r="CH736" s="27" t="s">
        <v>7</v>
      </c>
      <c r="CI736" s="27" t="s">
        <v>8</v>
      </c>
      <c r="CJ736" s="27" t="s">
        <v>7</v>
      </c>
      <c r="ET736" s="27" t="s">
        <v>7</v>
      </c>
      <c r="EV736" s="27" t="s">
        <v>7</v>
      </c>
    </row>
    <row r="737" spans="1:87" x14ac:dyDescent="0.25">
      <c r="A737" s="7">
        <v>5.1283095966678877E-2</v>
      </c>
      <c r="B737"/>
      <c r="C737"/>
      <c r="D737"/>
      <c r="E737"/>
      <c r="N737" s="27" t="s">
        <v>7</v>
      </c>
      <c r="O737" s="27" t="s">
        <v>8</v>
      </c>
      <c r="P737" s="27" t="s">
        <v>7</v>
      </c>
      <c r="U737" s="27" t="s">
        <v>8</v>
      </c>
      <c r="X737" s="27" t="s">
        <v>7</v>
      </c>
      <c r="BO737" s="27" t="s">
        <v>8</v>
      </c>
      <c r="BP737" s="27" t="s">
        <v>7</v>
      </c>
      <c r="BQ737" s="27" t="s">
        <v>8</v>
      </c>
      <c r="BS737" s="27" t="s">
        <v>8</v>
      </c>
      <c r="BT737" s="27" t="s">
        <v>7</v>
      </c>
      <c r="BU737" s="27" t="s">
        <v>8</v>
      </c>
      <c r="BV737" s="27" t="s">
        <v>7</v>
      </c>
      <c r="BW737" s="27" t="s">
        <v>8</v>
      </c>
      <c r="BX737" s="27" t="s">
        <v>7</v>
      </c>
      <c r="CD737" s="27" t="s">
        <v>7</v>
      </c>
      <c r="CE737" s="27" t="s">
        <v>8</v>
      </c>
      <c r="CF737" s="27" t="s">
        <v>7</v>
      </c>
      <c r="CG737" s="27" t="s">
        <v>8</v>
      </c>
      <c r="CH737" s="27" t="s">
        <v>7</v>
      </c>
      <c r="CI737" s="27" t="s">
        <v>8</v>
      </c>
    </row>
    <row r="738" spans="1:87" x14ac:dyDescent="0.25">
      <c r="A738" s="7">
        <v>5.0277545065371444E-2</v>
      </c>
      <c r="B738"/>
      <c r="C738"/>
      <c r="D738"/>
      <c r="E738"/>
      <c r="N738" s="27" t="s">
        <v>7</v>
      </c>
      <c r="O738" s="27" t="s">
        <v>8</v>
      </c>
      <c r="P738" s="27" t="s">
        <v>7</v>
      </c>
      <c r="U738" s="27" t="s">
        <v>8</v>
      </c>
      <c r="X738" s="27" t="s">
        <v>7</v>
      </c>
      <c r="BO738" s="27" t="s">
        <v>8</v>
      </c>
      <c r="BP738" s="27" t="s">
        <v>7</v>
      </c>
      <c r="BQ738" s="27" t="s">
        <v>8</v>
      </c>
      <c r="BR738" s="27" t="s">
        <v>7</v>
      </c>
      <c r="BS738" s="27" t="s">
        <v>8</v>
      </c>
      <c r="BT738" s="27" t="s">
        <v>7</v>
      </c>
      <c r="BU738" s="27" t="s">
        <v>8</v>
      </c>
      <c r="BV738" s="27" t="s">
        <v>7</v>
      </c>
      <c r="BW738" s="27" t="s">
        <v>8</v>
      </c>
      <c r="CD738" s="27" t="s">
        <v>7</v>
      </c>
      <c r="CE738" s="27" t="s">
        <v>8</v>
      </c>
      <c r="CF738" s="27" t="s">
        <v>7</v>
      </c>
      <c r="CG738" s="27" t="s">
        <v>8</v>
      </c>
      <c r="CH738" s="27" t="s">
        <v>7</v>
      </c>
      <c r="CI738" s="27" t="s">
        <v>8</v>
      </c>
    </row>
    <row r="739" spans="1:87" x14ac:dyDescent="0.25">
      <c r="A739" s="7">
        <v>4.9291710848403378E-2</v>
      </c>
      <c r="B739"/>
      <c r="C739"/>
      <c r="D739"/>
      <c r="E739"/>
      <c r="N739" s="27" t="s">
        <v>7</v>
      </c>
      <c r="O739" s="27" t="s">
        <v>8</v>
      </c>
      <c r="P739" s="27" t="s">
        <v>7</v>
      </c>
      <c r="S739" s="27" t="s">
        <v>8</v>
      </c>
      <c r="U739" s="27" t="s">
        <v>8</v>
      </c>
      <c r="X739" s="27" t="s">
        <v>7</v>
      </c>
      <c r="BO739" s="27" t="s">
        <v>8</v>
      </c>
      <c r="BP739" s="27" t="s">
        <v>7</v>
      </c>
      <c r="BQ739" s="27" t="s">
        <v>8</v>
      </c>
      <c r="BR739" s="27" t="s">
        <v>7</v>
      </c>
      <c r="BS739" s="27" t="s">
        <v>8</v>
      </c>
      <c r="BT739" s="27" t="s">
        <v>7</v>
      </c>
      <c r="BU739" s="27" t="s">
        <v>8</v>
      </c>
      <c r="BV739" s="27" t="s">
        <v>7</v>
      </c>
      <c r="BW739" s="27" t="s">
        <v>8</v>
      </c>
      <c r="CD739" s="27" t="s">
        <v>7</v>
      </c>
      <c r="CE739" s="27" t="s">
        <v>8</v>
      </c>
      <c r="CF739" s="27" t="s">
        <v>7</v>
      </c>
      <c r="CG739" s="27" t="s">
        <v>8</v>
      </c>
      <c r="CH739" s="27" t="s">
        <v>7</v>
      </c>
    </row>
    <row r="740" spans="1:87" x14ac:dyDescent="0.25">
      <c r="A740" s="7">
        <v>4.8325206714120959E-2</v>
      </c>
      <c r="B740"/>
      <c r="C740"/>
      <c r="D740"/>
      <c r="E740"/>
      <c r="N740" s="27" t="s">
        <v>7</v>
      </c>
      <c r="O740" s="27" t="s">
        <v>8</v>
      </c>
      <c r="P740" s="27" t="s">
        <v>7</v>
      </c>
      <c r="S740" s="27" t="s">
        <v>8</v>
      </c>
      <c r="T740" s="27" t="s">
        <v>7</v>
      </c>
      <c r="U740" s="27" t="s">
        <v>8</v>
      </c>
      <c r="X740" s="27" t="s">
        <v>7</v>
      </c>
      <c r="BO740" s="27" t="s">
        <v>8</v>
      </c>
      <c r="BP740" s="27" t="s">
        <v>7</v>
      </c>
      <c r="BQ740" s="27" t="s">
        <v>8</v>
      </c>
      <c r="BR740" s="27" t="s">
        <v>7</v>
      </c>
      <c r="BS740" s="27" t="s">
        <v>8</v>
      </c>
      <c r="BT740" s="27" t="s">
        <v>7</v>
      </c>
      <c r="BU740" s="27" t="s">
        <v>8</v>
      </c>
      <c r="BV740" s="27" t="s">
        <v>7</v>
      </c>
      <c r="BW740" s="27" t="s">
        <v>8</v>
      </c>
      <c r="CD740" s="27" t="s">
        <v>7</v>
      </c>
      <c r="CE740" s="27" t="s">
        <v>8</v>
      </c>
      <c r="CF740" s="27" t="s">
        <v>7</v>
      </c>
      <c r="CG740" s="27" t="s">
        <v>8</v>
      </c>
    </row>
    <row r="741" spans="1:87" x14ac:dyDescent="0.25">
      <c r="A741" s="7">
        <v>4.7377653641295057E-2</v>
      </c>
      <c r="B741"/>
      <c r="C741"/>
      <c r="D741"/>
      <c r="E741"/>
      <c r="N741" s="27" t="s">
        <v>7</v>
      </c>
      <c r="O741" s="27" t="s">
        <v>8</v>
      </c>
      <c r="P741" s="27" t="s">
        <v>7</v>
      </c>
      <c r="S741" s="27" t="s">
        <v>8</v>
      </c>
      <c r="T741" s="27" t="s">
        <v>7</v>
      </c>
      <c r="U741" s="27" t="s">
        <v>8</v>
      </c>
      <c r="X741" s="27" t="s">
        <v>7</v>
      </c>
      <c r="AQ741" s="27" t="s">
        <v>8</v>
      </c>
      <c r="BO741" s="27" t="s">
        <v>8</v>
      </c>
      <c r="BP741" s="27" t="s">
        <v>7</v>
      </c>
      <c r="BR741" s="27" t="s">
        <v>7</v>
      </c>
      <c r="BS741" s="27" t="s">
        <v>8</v>
      </c>
      <c r="BT741" s="27" t="s">
        <v>7</v>
      </c>
      <c r="BU741" s="27" t="s">
        <v>8</v>
      </c>
      <c r="BV741" s="27" t="s">
        <v>7</v>
      </c>
      <c r="BW741" s="27" t="s">
        <v>8</v>
      </c>
      <c r="CD741" s="27" t="s">
        <v>7</v>
      </c>
      <c r="CE741" s="27" t="s">
        <v>8</v>
      </c>
      <c r="CF741" s="27" t="s">
        <v>7</v>
      </c>
    </row>
    <row r="742" spans="1:87" x14ac:dyDescent="0.25">
      <c r="A742" s="7">
        <v>4.644868004048535E-2</v>
      </c>
      <c r="B742"/>
      <c r="C742"/>
      <c r="D742"/>
      <c r="E742"/>
      <c r="N742" s="27" t="s">
        <v>7</v>
      </c>
      <c r="O742" s="27" t="s">
        <v>8</v>
      </c>
      <c r="P742" s="27" t="s">
        <v>7</v>
      </c>
      <c r="Q742" s="27" t="s">
        <v>8</v>
      </c>
      <c r="S742" s="27" t="s">
        <v>8</v>
      </c>
      <c r="T742" s="27" t="s">
        <v>7</v>
      </c>
      <c r="U742" s="27" t="s">
        <v>8</v>
      </c>
      <c r="X742" s="27" t="s">
        <v>7</v>
      </c>
      <c r="AQ742" s="27" t="s">
        <v>8</v>
      </c>
      <c r="AR742" s="27" t="s">
        <v>7</v>
      </c>
      <c r="BI742" s="27" t="s">
        <v>8</v>
      </c>
      <c r="BO742" s="27" t="s">
        <v>8</v>
      </c>
      <c r="BR742" s="27" t="s">
        <v>7</v>
      </c>
      <c r="BT742" s="27" t="s">
        <v>7</v>
      </c>
      <c r="BU742" s="27" t="s">
        <v>8</v>
      </c>
      <c r="BV742" s="27" t="s">
        <v>7</v>
      </c>
      <c r="BW742" s="27" t="s">
        <v>8</v>
      </c>
      <c r="CD742" s="27" t="s">
        <v>7</v>
      </c>
    </row>
    <row r="743" spans="1:87" x14ac:dyDescent="0.25">
      <c r="A743" s="7">
        <v>4.5537921608318974E-2</v>
      </c>
      <c r="B743"/>
      <c r="C743"/>
      <c r="D743"/>
      <c r="E743"/>
      <c r="N743" s="27" t="s">
        <v>7</v>
      </c>
      <c r="O743" s="27" t="s">
        <v>8</v>
      </c>
      <c r="P743" s="27" t="s">
        <v>7</v>
      </c>
      <c r="Q743" s="27" t="s">
        <v>8</v>
      </c>
      <c r="R743" s="27" t="s">
        <v>7</v>
      </c>
      <c r="S743" s="27" t="s">
        <v>8</v>
      </c>
      <c r="T743" s="27" t="s">
        <v>7</v>
      </c>
      <c r="U743" s="27" t="s">
        <v>8</v>
      </c>
      <c r="X743" s="27" t="s">
        <v>7</v>
      </c>
      <c r="AQ743" s="27" t="s">
        <v>8</v>
      </c>
      <c r="AR743" s="27" t="s">
        <v>7</v>
      </c>
      <c r="AU743" s="27" t="s">
        <v>8</v>
      </c>
      <c r="BI743" s="27" t="s">
        <v>8</v>
      </c>
      <c r="BJ743" s="27" t="s">
        <v>7</v>
      </c>
      <c r="BO743" s="27" t="s">
        <v>8</v>
      </c>
      <c r="BT743" s="27" t="s">
        <v>7</v>
      </c>
      <c r="BV743" s="27" t="s">
        <v>7</v>
      </c>
      <c r="BW743" s="27" t="s">
        <v>8</v>
      </c>
    </row>
    <row r="744" spans="1:87" x14ac:dyDescent="0.25">
      <c r="A744" s="7">
        <v>4.4645021184626446E-2</v>
      </c>
      <c r="B744"/>
      <c r="C744"/>
      <c r="D744"/>
      <c r="E744"/>
      <c r="N744" s="27" t="s">
        <v>7</v>
      </c>
      <c r="O744" s="27" t="s">
        <v>8</v>
      </c>
      <c r="P744" s="27" t="s">
        <v>7</v>
      </c>
      <c r="Q744" s="27" t="s">
        <v>8</v>
      </c>
      <c r="R744" s="27" t="s">
        <v>7</v>
      </c>
      <c r="S744" s="27" t="s">
        <v>8</v>
      </c>
      <c r="T744" s="27" t="s">
        <v>7</v>
      </c>
      <c r="X744" s="27" t="s">
        <v>7</v>
      </c>
      <c r="AQ744" s="27" t="s">
        <v>8</v>
      </c>
      <c r="AR744" s="27" t="s">
        <v>7</v>
      </c>
      <c r="AU744" s="27" t="s">
        <v>8</v>
      </c>
      <c r="AV744" s="27" t="s">
        <v>7</v>
      </c>
      <c r="AW744" s="27" t="s">
        <v>8</v>
      </c>
      <c r="BI744" s="27" t="s">
        <v>8</v>
      </c>
      <c r="BJ744" s="27" t="s">
        <v>7</v>
      </c>
      <c r="BK744" s="27" t="s">
        <v>8</v>
      </c>
      <c r="BM744" s="27" t="s">
        <v>8</v>
      </c>
      <c r="BO744" s="27" t="s">
        <v>8</v>
      </c>
      <c r="BV744" s="27" t="s">
        <v>7</v>
      </c>
    </row>
    <row r="745" spans="1:87" x14ac:dyDescent="0.25">
      <c r="A745" s="7">
        <v>4.3769628612378868E-2</v>
      </c>
      <c r="B745"/>
      <c r="C745"/>
      <c r="D745"/>
      <c r="E745"/>
      <c r="N745" s="27" t="s">
        <v>7</v>
      </c>
      <c r="O745" s="27" t="s">
        <v>8</v>
      </c>
      <c r="P745" s="27" t="s">
        <v>7</v>
      </c>
      <c r="Q745" s="27" t="s">
        <v>8</v>
      </c>
      <c r="R745" s="27" t="s">
        <v>7</v>
      </c>
      <c r="S745" s="27" t="s">
        <v>8</v>
      </c>
      <c r="X745" s="27" t="s">
        <v>7</v>
      </c>
      <c r="AQ745" s="27" t="s">
        <v>8</v>
      </c>
      <c r="AR745" s="27" t="s">
        <v>7</v>
      </c>
      <c r="AS745" s="27" t="s">
        <v>8</v>
      </c>
      <c r="AU745" s="27" t="s">
        <v>8</v>
      </c>
      <c r="AV745" s="27" t="s">
        <v>7</v>
      </c>
      <c r="AW745" s="27" t="s">
        <v>8</v>
      </c>
      <c r="AX745" s="27" t="s">
        <v>7</v>
      </c>
      <c r="AY745" s="27" t="s">
        <v>8</v>
      </c>
      <c r="BI745" s="27" t="s">
        <v>8</v>
      </c>
      <c r="BJ745" s="27" t="s">
        <v>7</v>
      </c>
      <c r="BK745" s="27" t="s">
        <v>8</v>
      </c>
      <c r="BL745" s="27" t="s">
        <v>7</v>
      </c>
      <c r="BM745" s="27" t="s">
        <v>8</v>
      </c>
      <c r="BN745" s="27" t="s">
        <v>7</v>
      </c>
      <c r="BO745" s="27" t="s">
        <v>8</v>
      </c>
    </row>
    <row r="746" spans="1:87" x14ac:dyDescent="0.25">
      <c r="A746" s="7">
        <v>4.2911400600371442E-2</v>
      </c>
      <c r="B746"/>
      <c r="C746"/>
      <c r="D746"/>
      <c r="E746"/>
      <c r="N746" s="27" t="s">
        <v>7</v>
      </c>
      <c r="O746" s="27" t="s">
        <v>8</v>
      </c>
      <c r="P746" s="27" t="s">
        <v>7</v>
      </c>
      <c r="Q746" s="27" t="s">
        <v>8</v>
      </c>
      <c r="R746" s="27" t="s">
        <v>7</v>
      </c>
      <c r="S746" s="27" t="s">
        <v>8</v>
      </c>
      <c r="X746" s="27" t="s">
        <v>7</v>
      </c>
      <c r="AK746" s="27" t="s">
        <v>8</v>
      </c>
      <c r="AQ746" s="27" t="s">
        <v>8</v>
      </c>
      <c r="AR746" s="27" t="s">
        <v>7</v>
      </c>
      <c r="AS746" s="27" t="s">
        <v>8</v>
      </c>
      <c r="AT746" s="27" t="s">
        <v>7</v>
      </c>
      <c r="AU746" s="27" t="s">
        <v>8</v>
      </c>
      <c r="AV746" s="27" t="s">
        <v>7</v>
      </c>
      <c r="AW746" s="27" t="s">
        <v>8</v>
      </c>
      <c r="AX746" s="27" t="s">
        <v>7</v>
      </c>
      <c r="AY746" s="27" t="s">
        <v>8</v>
      </c>
      <c r="AZ746" s="27" t="s">
        <v>7</v>
      </c>
      <c r="BI746" s="27" t="s">
        <v>8</v>
      </c>
      <c r="BJ746" s="27" t="s">
        <v>7</v>
      </c>
      <c r="BK746" s="27" t="s">
        <v>8</v>
      </c>
      <c r="BL746" s="27" t="s">
        <v>7</v>
      </c>
      <c r="BM746" s="27" t="s">
        <v>8</v>
      </c>
      <c r="BN746" s="27" t="s">
        <v>7</v>
      </c>
      <c r="BO746" s="27" t="s">
        <v>8</v>
      </c>
    </row>
    <row r="747" spans="1:87" x14ac:dyDescent="0.25">
      <c r="A747" s="7">
        <v>4.2070000588599457E-2</v>
      </c>
      <c r="B747"/>
      <c r="C747"/>
      <c r="D747"/>
      <c r="E747"/>
      <c r="N747" s="27" t="s">
        <v>7</v>
      </c>
      <c r="O747" s="27" t="s">
        <v>8</v>
      </c>
      <c r="P747" s="27" t="s">
        <v>7</v>
      </c>
      <c r="Q747" s="27" t="s">
        <v>8</v>
      </c>
      <c r="R747" s="27" t="s">
        <v>7</v>
      </c>
      <c r="S747" s="27" t="s">
        <v>8</v>
      </c>
      <c r="X747" s="27" t="s">
        <v>7</v>
      </c>
      <c r="AK747" s="27" t="s">
        <v>8</v>
      </c>
      <c r="AL747" s="27" t="s">
        <v>7</v>
      </c>
      <c r="AQ747" s="27" t="s">
        <v>8</v>
      </c>
      <c r="AR747" s="27" t="s">
        <v>7</v>
      </c>
      <c r="AS747" s="27" t="s">
        <v>8</v>
      </c>
      <c r="AT747" s="27" t="s">
        <v>7</v>
      </c>
      <c r="AU747" s="27" t="s">
        <v>8</v>
      </c>
      <c r="AV747" s="27" t="s">
        <v>7</v>
      </c>
      <c r="AW747" s="27" t="s">
        <v>8</v>
      </c>
      <c r="AX747" s="27" t="s">
        <v>7</v>
      </c>
      <c r="AY747" s="27" t="s">
        <v>8</v>
      </c>
      <c r="AZ747" s="27" t="s">
        <v>7</v>
      </c>
      <c r="BA747" s="27" t="s">
        <v>8</v>
      </c>
      <c r="BI747" s="27" t="s">
        <v>8</v>
      </c>
      <c r="BJ747" s="27" t="s">
        <v>7</v>
      </c>
      <c r="BK747" s="27" t="s">
        <v>8</v>
      </c>
      <c r="BL747" s="27" t="s">
        <v>7</v>
      </c>
      <c r="BM747" s="27" t="s">
        <v>8</v>
      </c>
      <c r="BN747" s="27" t="s">
        <v>7</v>
      </c>
      <c r="BO747" s="27" t="s">
        <v>8</v>
      </c>
    </row>
    <row r="748" spans="1:87" x14ac:dyDescent="0.25">
      <c r="A748" s="7">
        <v>4.1245098616273977E-2</v>
      </c>
      <c r="B748"/>
      <c r="C748"/>
      <c r="D748"/>
      <c r="E748"/>
      <c r="N748" s="27" t="s">
        <v>7</v>
      </c>
      <c r="O748" s="27" t="s">
        <v>8</v>
      </c>
      <c r="P748" s="27" t="s">
        <v>7</v>
      </c>
      <c r="R748" s="27" t="s">
        <v>7</v>
      </c>
      <c r="X748" s="27" t="s">
        <v>7</v>
      </c>
      <c r="AI748" s="27" t="s">
        <v>8</v>
      </c>
      <c r="AK748" s="27" t="s">
        <v>8</v>
      </c>
      <c r="AL748" s="27" t="s">
        <v>7</v>
      </c>
      <c r="AQ748" s="27" t="s">
        <v>8</v>
      </c>
      <c r="AR748" s="27" t="s">
        <v>7</v>
      </c>
      <c r="AS748" s="27" t="s">
        <v>8</v>
      </c>
      <c r="AT748" s="27" t="s">
        <v>7</v>
      </c>
      <c r="AU748" s="27" t="s">
        <v>8</v>
      </c>
      <c r="AV748" s="27" t="s">
        <v>7</v>
      </c>
      <c r="AW748" s="27" t="s">
        <v>8</v>
      </c>
      <c r="AX748" s="27" t="s">
        <v>7</v>
      </c>
      <c r="AY748" s="27" t="s">
        <v>8</v>
      </c>
      <c r="AZ748" s="27" t="s">
        <v>7</v>
      </c>
      <c r="BA748" s="27" t="s">
        <v>8</v>
      </c>
      <c r="BB748" s="27" t="s">
        <v>7</v>
      </c>
      <c r="BI748" s="27" t="s">
        <v>8</v>
      </c>
      <c r="BJ748" s="27" t="s">
        <v>7</v>
      </c>
      <c r="BK748" s="27" t="s">
        <v>8</v>
      </c>
      <c r="BL748" s="27" t="s">
        <v>7</v>
      </c>
      <c r="BN748" s="27" t="s">
        <v>7</v>
      </c>
      <c r="BO748" s="27" t="s">
        <v>8</v>
      </c>
    </row>
    <row r="749" spans="1:87" x14ac:dyDescent="0.25">
      <c r="A749" s="7">
        <v>4.043637119242547E-2</v>
      </c>
      <c r="B749"/>
      <c r="C749"/>
      <c r="D749"/>
      <c r="E749"/>
      <c r="N749" s="27" t="s">
        <v>7</v>
      </c>
      <c r="O749" s="27" t="s">
        <v>8</v>
      </c>
      <c r="X749" s="27" t="s">
        <v>7</v>
      </c>
      <c r="AI749" s="27" t="s">
        <v>8</v>
      </c>
      <c r="AJ749" s="27" t="s">
        <v>7</v>
      </c>
      <c r="AK749" s="27" t="s">
        <v>8</v>
      </c>
      <c r="AL749" s="27" t="s">
        <v>7</v>
      </c>
      <c r="AQ749" s="27" t="s">
        <v>8</v>
      </c>
      <c r="AR749" s="27" t="s">
        <v>7</v>
      </c>
      <c r="AS749" s="27" t="s">
        <v>8</v>
      </c>
      <c r="AT749" s="27" t="s">
        <v>7</v>
      </c>
      <c r="AV749" s="27" t="s">
        <v>7</v>
      </c>
      <c r="AW749" s="27" t="s">
        <v>8</v>
      </c>
      <c r="AX749" s="27" t="s">
        <v>7</v>
      </c>
      <c r="AZ749" s="27" t="s">
        <v>7</v>
      </c>
      <c r="BA749" s="27" t="s">
        <v>8</v>
      </c>
      <c r="BB749" s="27" t="s">
        <v>7</v>
      </c>
      <c r="BE749" s="27" t="s">
        <v>8</v>
      </c>
      <c r="BG749" s="27" t="s">
        <v>8</v>
      </c>
      <c r="BI749" s="27" t="s">
        <v>8</v>
      </c>
      <c r="BJ749" s="27" t="s">
        <v>7</v>
      </c>
      <c r="BK749" s="27" t="s">
        <v>8</v>
      </c>
      <c r="BN749" s="27" t="s">
        <v>7</v>
      </c>
      <c r="BO749" s="27" t="s">
        <v>8</v>
      </c>
    </row>
    <row r="750" spans="1:87" x14ac:dyDescent="0.25">
      <c r="A750" s="7">
        <v>3.9643501169044582E-2</v>
      </c>
      <c r="B750"/>
      <c r="C750"/>
      <c r="D750"/>
      <c r="E750"/>
      <c r="N750" s="27" t="s">
        <v>7</v>
      </c>
      <c r="O750" s="27" t="s">
        <v>8</v>
      </c>
      <c r="X750" s="27" t="s">
        <v>7</v>
      </c>
      <c r="AI750" s="27" t="s">
        <v>8</v>
      </c>
      <c r="AJ750" s="27" t="s">
        <v>7</v>
      </c>
      <c r="AK750" s="27" t="s">
        <v>8</v>
      </c>
      <c r="AL750" s="27" t="s">
        <v>7</v>
      </c>
      <c r="AQ750" s="27" t="s">
        <v>8</v>
      </c>
      <c r="AR750" s="27" t="s">
        <v>7</v>
      </c>
      <c r="AS750" s="27" t="s">
        <v>8</v>
      </c>
      <c r="AV750" s="27" t="s">
        <v>7</v>
      </c>
      <c r="AZ750" s="27" t="s">
        <v>7</v>
      </c>
      <c r="BA750" s="27" t="s">
        <v>8</v>
      </c>
      <c r="BB750" s="27" t="s">
        <v>7</v>
      </c>
      <c r="BC750" s="27" t="s">
        <v>8</v>
      </c>
      <c r="BE750" s="27" t="s">
        <v>8</v>
      </c>
      <c r="BF750" s="27" t="s">
        <v>7</v>
      </c>
      <c r="BG750" s="27" t="s">
        <v>8</v>
      </c>
      <c r="BH750" s="27" t="s">
        <v>7</v>
      </c>
      <c r="BI750" s="27" t="s">
        <v>8</v>
      </c>
      <c r="BJ750" s="27" t="s">
        <v>7</v>
      </c>
      <c r="BK750" s="27" t="s">
        <v>8</v>
      </c>
      <c r="BN750" s="27" t="s">
        <v>7</v>
      </c>
      <c r="BO750" s="27" t="s">
        <v>8</v>
      </c>
    </row>
    <row r="751" spans="1:87" x14ac:dyDescent="0.25">
      <c r="A751" s="7">
        <v>3.8866177616710372E-2</v>
      </c>
      <c r="B751"/>
      <c r="C751"/>
      <c r="D751"/>
      <c r="E751"/>
      <c r="N751" s="27" t="s">
        <v>7</v>
      </c>
      <c r="O751" s="27" t="s">
        <v>8</v>
      </c>
      <c r="X751" s="27" t="s">
        <v>7</v>
      </c>
      <c r="AI751" s="27" t="s">
        <v>8</v>
      </c>
      <c r="AJ751" s="27" t="s">
        <v>7</v>
      </c>
      <c r="AK751" s="27" t="s">
        <v>8</v>
      </c>
      <c r="AL751" s="27" t="s">
        <v>7</v>
      </c>
      <c r="AM751" s="27" t="s">
        <v>8</v>
      </c>
      <c r="AO751" s="27" t="s">
        <v>8</v>
      </c>
      <c r="AQ751" s="27" t="s">
        <v>8</v>
      </c>
      <c r="AR751" s="27" t="s">
        <v>7</v>
      </c>
      <c r="AS751" s="27" t="s">
        <v>8</v>
      </c>
      <c r="AZ751" s="27" t="s">
        <v>7</v>
      </c>
      <c r="BA751" s="27" t="s">
        <v>8</v>
      </c>
      <c r="BB751" s="27" t="s">
        <v>7</v>
      </c>
      <c r="BC751" s="27" t="s">
        <v>8</v>
      </c>
      <c r="BD751" s="27" t="s">
        <v>7</v>
      </c>
      <c r="BE751" s="27" t="s">
        <v>8</v>
      </c>
      <c r="BF751" s="27" t="s">
        <v>7</v>
      </c>
      <c r="BG751" s="27" t="s">
        <v>8</v>
      </c>
      <c r="BH751" s="27" t="s">
        <v>7</v>
      </c>
      <c r="BI751" s="27" t="s">
        <v>8</v>
      </c>
      <c r="BJ751" s="27" t="s">
        <v>7</v>
      </c>
      <c r="BN751" s="27" t="s">
        <v>7</v>
      </c>
    </row>
    <row r="752" spans="1:87" x14ac:dyDescent="0.25">
      <c r="A752" s="7">
        <v>3.8104095702657229E-2</v>
      </c>
      <c r="B752"/>
      <c r="C752"/>
      <c r="D752"/>
      <c r="E752"/>
      <c r="N752" s="27" t="s">
        <v>7</v>
      </c>
      <c r="O752" s="27" t="s">
        <v>8</v>
      </c>
      <c r="X752" s="27" t="s">
        <v>7</v>
      </c>
      <c r="AE752" s="27" t="s">
        <v>8</v>
      </c>
      <c r="AI752" s="27" t="s">
        <v>8</v>
      </c>
      <c r="AJ752" s="27" t="s">
        <v>7</v>
      </c>
      <c r="AK752" s="27" t="s">
        <v>8</v>
      </c>
      <c r="AL752" s="27" t="s">
        <v>7</v>
      </c>
      <c r="AM752" s="27" t="s">
        <v>8</v>
      </c>
      <c r="AN752" s="27" t="s">
        <v>7</v>
      </c>
      <c r="AO752" s="27" t="s">
        <v>8</v>
      </c>
      <c r="AP752" s="27" t="s">
        <v>7</v>
      </c>
      <c r="AQ752" s="27" t="s">
        <v>8</v>
      </c>
      <c r="AR752" s="27" t="s">
        <v>7</v>
      </c>
      <c r="AZ752" s="27" t="s">
        <v>7</v>
      </c>
      <c r="BB752" s="27" t="s">
        <v>7</v>
      </c>
      <c r="BC752" s="27" t="s">
        <v>8</v>
      </c>
      <c r="BD752" s="27" t="s">
        <v>7</v>
      </c>
      <c r="BE752" s="27" t="s">
        <v>8</v>
      </c>
      <c r="BF752" s="27" t="s">
        <v>7</v>
      </c>
      <c r="BG752" s="27" t="s">
        <v>8</v>
      </c>
      <c r="BH752" s="27" t="s">
        <v>7</v>
      </c>
      <c r="BI752" s="27" t="s">
        <v>8</v>
      </c>
    </row>
    <row r="753" spans="1:61" x14ac:dyDescent="0.25">
      <c r="A753" s="7">
        <v>3.7356956571232579E-2</v>
      </c>
      <c r="B753"/>
      <c r="C753"/>
      <c r="D753"/>
      <c r="E753"/>
      <c r="N753" s="27" t="s">
        <v>7</v>
      </c>
      <c r="O753" s="27" t="s">
        <v>8</v>
      </c>
      <c r="X753" s="27" t="s">
        <v>7</v>
      </c>
      <c r="AE753" s="27" t="s">
        <v>8</v>
      </c>
      <c r="AF753" s="27" t="s">
        <v>7</v>
      </c>
      <c r="AI753" s="27" t="s">
        <v>8</v>
      </c>
      <c r="AJ753" s="27" t="s">
        <v>7</v>
      </c>
      <c r="AK753" s="27" t="s">
        <v>8</v>
      </c>
      <c r="AL753" s="27" t="s">
        <v>7</v>
      </c>
      <c r="AM753" s="27" t="s">
        <v>8</v>
      </c>
      <c r="AN753" s="27" t="s">
        <v>7</v>
      </c>
      <c r="AO753" s="27" t="s">
        <v>8</v>
      </c>
      <c r="AP753" s="27" t="s">
        <v>7</v>
      </c>
      <c r="AQ753" s="27" t="s">
        <v>8</v>
      </c>
      <c r="BB753" s="27" t="s">
        <v>7</v>
      </c>
      <c r="BC753" s="27" t="s">
        <v>8</v>
      </c>
      <c r="BD753" s="27" t="s">
        <v>7</v>
      </c>
      <c r="BE753" s="27" t="s">
        <v>8</v>
      </c>
      <c r="BF753" s="27" t="s">
        <v>7</v>
      </c>
      <c r="BG753" s="27" t="s">
        <v>8</v>
      </c>
      <c r="BH753" s="27" t="s">
        <v>7</v>
      </c>
      <c r="BI753" s="27" t="s">
        <v>8</v>
      </c>
    </row>
    <row r="754" spans="1:61" x14ac:dyDescent="0.25">
      <c r="A754" s="7">
        <v>3.6624467226698605E-2</v>
      </c>
      <c r="B754"/>
      <c r="C754"/>
      <c r="D754"/>
      <c r="E754"/>
      <c r="N754" s="27" t="s">
        <v>7</v>
      </c>
      <c r="X754" s="27" t="s">
        <v>7</v>
      </c>
      <c r="Y754" s="27" t="s">
        <v>8</v>
      </c>
      <c r="AE754" s="27" t="s">
        <v>8</v>
      </c>
      <c r="AF754" s="27" t="s">
        <v>7</v>
      </c>
      <c r="AI754" s="27" t="s">
        <v>8</v>
      </c>
      <c r="AJ754" s="27" t="s">
        <v>7</v>
      </c>
      <c r="AK754" s="27" t="s">
        <v>8</v>
      </c>
      <c r="AL754" s="27" t="s">
        <v>7</v>
      </c>
      <c r="AM754" s="27" t="s">
        <v>8</v>
      </c>
      <c r="AN754" s="27" t="s">
        <v>7</v>
      </c>
      <c r="AO754" s="27" t="s">
        <v>8</v>
      </c>
      <c r="AP754" s="27" t="s">
        <v>7</v>
      </c>
      <c r="AQ754" s="27" t="s">
        <v>8</v>
      </c>
      <c r="BB754" s="27" t="s">
        <v>7</v>
      </c>
      <c r="BC754" s="27" t="s">
        <v>8</v>
      </c>
      <c r="BD754" s="27" t="s">
        <v>7</v>
      </c>
      <c r="BE754" s="27" t="s">
        <v>8</v>
      </c>
      <c r="BF754" s="27" t="s">
        <v>7</v>
      </c>
      <c r="BG754" s="27" t="s">
        <v>8</v>
      </c>
      <c r="BH754" s="27" t="s">
        <v>7</v>
      </c>
      <c r="BI754" s="27" t="s">
        <v>8</v>
      </c>
    </row>
    <row r="755" spans="1:61" x14ac:dyDescent="0.25">
      <c r="A755" s="7">
        <v>3.5906340418331961E-2</v>
      </c>
      <c r="B755"/>
      <c r="C755"/>
      <c r="D755"/>
      <c r="E755"/>
      <c r="X755" s="27" t="s">
        <v>7</v>
      </c>
      <c r="Y755" s="27" t="s">
        <v>8</v>
      </c>
      <c r="Z755" s="27" t="s">
        <v>7</v>
      </c>
      <c r="AE755" s="27" t="s">
        <v>8</v>
      </c>
      <c r="AF755" s="27" t="s">
        <v>7</v>
      </c>
      <c r="AI755" s="27" t="s">
        <v>8</v>
      </c>
      <c r="AJ755" s="27" t="s">
        <v>7</v>
      </c>
      <c r="AK755" s="27" t="s">
        <v>8</v>
      </c>
      <c r="AL755" s="27" t="s">
        <v>7</v>
      </c>
      <c r="AM755" s="27" t="s">
        <v>8</v>
      </c>
      <c r="AN755" s="27" t="s">
        <v>7</v>
      </c>
      <c r="AO755" s="27" t="s">
        <v>8</v>
      </c>
      <c r="AP755" s="27" t="s">
        <v>7</v>
      </c>
      <c r="AQ755" s="27" t="s">
        <v>8</v>
      </c>
      <c r="BB755" s="27" t="s">
        <v>7</v>
      </c>
      <c r="BC755" s="27" t="s">
        <v>8</v>
      </c>
      <c r="BD755" s="27" t="s">
        <v>7</v>
      </c>
      <c r="BF755" s="27" t="s">
        <v>7</v>
      </c>
      <c r="BH755" s="27" t="s">
        <v>7</v>
      </c>
      <c r="BI755" s="27" t="s">
        <v>8</v>
      </c>
    </row>
    <row r="756" spans="1:61" x14ac:dyDescent="0.25">
      <c r="A756" s="7">
        <v>3.5202294527776436E-2</v>
      </c>
      <c r="B756"/>
      <c r="C756"/>
      <c r="D756"/>
      <c r="E756"/>
      <c r="X756" s="27" t="s">
        <v>7</v>
      </c>
      <c r="Y756" s="27" t="s">
        <v>8</v>
      </c>
      <c r="Z756" s="27" t="s">
        <v>7</v>
      </c>
      <c r="AC756" s="27" t="s">
        <v>8</v>
      </c>
      <c r="AE756" s="27" t="s">
        <v>8</v>
      </c>
      <c r="AF756" s="27" t="s">
        <v>7</v>
      </c>
      <c r="AI756" s="27" t="s">
        <v>8</v>
      </c>
      <c r="AJ756" s="27" t="s">
        <v>7</v>
      </c>
      <c r="AK756" s="27" t="s">
        <v>8</v>
      </c>
      <c r="AL756" s="27" t="s">
        <v>7</v>
      </c>
      <c r="AM756" s="27" t="s">
        <v>8</v>
      </c>
      <c r="AN756" s="27" t="s">
        <v>7</v>
      </c>
      <c r="AP756" s="27" t="s">
        <v>7</v>
      </c>
      <c r="BB756" s="27" t="s">
        <v>7</v>
      </c>
      <c r="BC756" s="27" t="s">
        <v>8</v>
      </c>
      <c r="BH756" s="27" t="s">
        <v>7</v>
      </c>
    </row>
    <row r="757" spans="1:61" x14ac:dyDescent="0.25">
      <c r="A757" s="7">
        <v>3.451205345860435E-2</v>
      </c>
      <c r="B757"/>
      <c r="C757"/>
      <c r="D757"/>
      <c r="E757"/>
      <c r="X757" s="27" t="s">
        <v>7</v>
      </c>
      <c r="Y757" s="27" t="s">
        <v>8</v>
      </c>
      <c r="Z757" s="27" t="s">
        <v>7</v>
      </c>
      <c r="AC757" s="27" t="s">
        <v>8</v>
      </c>
      <c r="AD757" s="27" t="s">
        <v>7</v>
      </c>
      <c r="AE757" s="27" t="s">
        <v>8</v>
      </c>
      <c r="AF757" s="27" t="s">
        <v>7</v>
      </c>
      <c r="AI757" s="27" t="s">
        <v>8</v>
      </c>
      <c r="AJ757" s="27" t="s">
        <v>7</v>
      </c>
      <c r="AL757" s="27" t="s">
        <v>7</v>
      </c>
      <c r="BB757" s="27" t="s">
        <v>7</v>
      </c>
      <c r="BC757" s="27" t="s">
        <v>8</v>
      </c>
    </row>
    <row r="758" spans="1:61" x14ac:dyDescent="0.25">
      <c r="A758" s="7">
        <v>3.3835346528043479E-2</v>
      </c>
      <c r="B758"/>
      <c r="C758"/>
      <c r="D758"/>
      <c r="E758"/>
      <c r="X758" s="27" t="s">
        <v>7</v>
      </c>
      <c r="Y758" s="27" t="s">
        <v>8</v>
      </c>
      <c r="Z758" s="27" t="s">
        <v>7</v>
      </c>
      <c r="AC758" s="27" t="s">
        <v>8</v>
      </c>
      <c r="AD758" s="27" t="s">
        <v>7</v>
      </c>
      <c r="AE758" s="27" t="s">
        <v>8</v>
      </c>
      <c r="AF758" s="27" t="s">
        <v>7</v>
      </c>
      <c r="AG758" s="27" t="s">
        <v>8</v>
      </c>
      <c r="AI758" s="27" t="s">
        <v>8</v>
      </c>
      <c r="BB758" s="27" t="s">
        <v>7</v>
      </c>
    </row>
    <row r="759" spans="1:61" x14ac:dyDescent="0.25">
      <c r="A759" s="7">
        <v>3.3171908360826938E-2</v>
      </c>
      <c r="B759"/>
      <c r="C759"/>
      <c r="D759"/>
      <c r="E759"/>
      <c r="X759" s="27" t="s">
        <v>7</v>
      </c>
      <c r="Y759" s="27" t="s">
        <v>8</v>
      </c>
      <c r="Z759" s="27" t="s">
        <v>7</v>
      </c>
      <c r="AC759" s="27" t="s">
        <v>8</v>
      </c>
      <c r="AD759" s="27" t="s">
        <v>7</v>
      </c>
      <c r="AE759" s="27" t="s">
        <v>8</v>
      </c>
      <c r="AF759" s="27" t="s">
        <v>7</v>
      </c>
      <c r="AG759" s="27" t="s">
        <v>8</v>
      </c>
      <c r="AH759" s="27" t="s">
        <v>7</v>
      </c>
      <c r="AI759" s="27" t="s">
        <v>8</v>
      </c>
    </row>
    <row r="760" spans="1:61" x14ac:dyDescent="0.25">
      <c r="A760" s="7">
        <v>3.2521478785124451E-2</v>
      </c>
      <c r="B760"/>
      <c r="C760"/>
      <c r="D760"/>
      <c r="E760"/>
      <c r="X760" s="27" t="s">
        <v>7</v>
      </c>
      <c r="Y760" s="27" t="s">
        <v>8</v>
      </c>
      <c r="Z760" s="27" t="s">
        <v>7</v>
      </c>
      <c r="AC760" s="27" t="s">
        <v>8</v>
      </c>
      <c r="AD760" s="27" t="s">
        <v>7</v>
      </c>
      <c r="AE760" s="27" t="s">
        <v>8</v>
      </c>
      <c r="AF760" s="27" t="s">
        <v>7</v>
      </c>
      <c r="AG760" s="27" t="s">
        <v>8</v>
      </c>
      <c r="AH760" s="27" t="s">
        <v>7</v>
      </c>
      <c r="AI760" s="27" t="s">
        <v>8</v>
      </c>
    </row>
    <row r="761" spans="1:61" x14ac:dyDescent="0.25">
      <c r="A761" s="7">
        <v>3.1883802730514173E-2</v>
      </c>
      <c r="B761"/>
      <c r="C761"/>
      <c r="D761"/>
      <c r="E761"/>
      <c r="X761" s="27" t="s">
        <v>7</v>
      </c>
      <c r="Y761" s="27" t="s">
        <v>8</v>
      </c>
      <c r="Z761" s="27" t="s">
        <v>7</v>
      </c>
      <c r="AC761" s="27" t="s">
        <v>8</v>
      </c>
      <c r="AD761" s="27" t="s">
        <v>7</v>
      </c>
      <c r="AE761" s="27" t="s">
        <v>8</v>
      </c>
      <c r="AF761" s="27" t="s">
        <v>7</v>
      </c>
      <c r="AG761" s="27" t="s">
        <v>8</v>
      </c>
      <c r="AH761" s="27" t="s">
        <v>7</v>
      </c>
      <c r="AI761" s="27" t="s">
        <v>8</v>
      </c>
    </row>
    <row r="762" spans="1:61" x14ac:dyDescent="0.25">
      <c r="A762" s="7">
        <v>3.1258630127955073E-2</v>
      </c>
      <c r="B762"/>
      <c r="C762"/>
      <c r="D762"/>
      <c r="E762"/>
      <c r="X762" s="27" t="s">
        <v>7</v>
      </c>
      <c r="Y762" s="27" t="s">
        <v>8</v>
      </c>
      <c r="Z762" s="27" t="s">
        <v>7</v>
      </c>
      <c r="AC762" s="27" t="s">
        <v>8</v>
      </c>
      <c r="AD762" s="27" t="s">
        <v>7</v>
      </c>
      <c r="AE762" s="27" t="s">
        <v>8</v>
      </c>
      <c r="AF762" s="27" t="s">
        <v>7</v>
      </c>
      <c r="AG762" s="27" t="s">
        <v>8</v>
      </c>
      <c r="AH762" s="27" t="s">
        <v>7</v>
      </c>
      <c r="AI762" s="27" t="s">
        <v>8</v>
      </c>
    </row>
    <row r="763" spans="1:61" x14ac:dyDescent="0.25">
      <c r="A763" s="7">
        <v>3.064571581172066E-2</v>
      </c>
      <c r="B763"/>
      <c r="C763"/>
      <c r="D763"/>
      <c r="E763"/>
      <c r="X763" s="27" t="s">
        <v>7</v>
      </c>
      <c r="Y763" s="27" t="s">
        <v>8</v>
      </c>
      <c r="Z763" s="27" t="s">
        <v>7</v>
      </c>
      <c r="AC763" s="27" t="s">
        <v>8</v>
      </c>
      <c r="AD763" s="27" t="s">
        <v>7</v>
      </c>
      <c r="AE763" s="27" t="s">
        <v>8</v>
      </c>
      <c r="AF763" s="27" t="s">
        <v>7</v>
      </c>
      <c r="AG763" s="27" t="s">
        <v>8</v>
      </c>
      <c r="AH763" s="27" t="s">
        <v>7</v>
      </c>
      <c r="AI763" s="27" t="s">
        <v>8</v>
      </c>
    </row>
    <row r="764" spans="1:61" x14ac:dyDescent="0.25">
      <c r="A764" s="7">
        <v>3.0044819423255549E-2</v>
      </c>
      <c r="B764"/>
      <c r="C764"/>
      <c r="D764"/>
      <c r="E764"/>
      <c r="X764" s="27" t="s">
        <v>7</v>
      </c>
      <c r="Y764" s="27" t="s">
        <v>8</v>
      </c>
      <c r="Z764" s="27" t="s">
        <v>7</v>
      </c>
      <c r="AC764" s="27" t="s">
        <v>8</v>
      </c>
      <c r="AD764" s="27" t="s">
        <v>7</v>
      </c>
      <c r="AE764" s="27" t="s">
        <v>8</v>
      </c>
      <c r="AF764" s="27" t="s">
        <v>7</v>
      </c>
      <c r="AG764" s="27" t="s">
        <v>8</v>
      </c>
      <c r="AH764" s="27" t="s">
        <v>7</v>
      </c>
    </row>
    <row r="765" spans="1:61" x14ac:dyDescent="0.25">
      <c r="A765" s="7">
        <v>2.9455705316917203E-2</v>
      </c>
      <c r="B765"/>
      <c r="C765"/>
      <c r="D765"/>
      <c r="E765"/>
      <c r="X765" s="27" t="s">
        <v>7</v>
      </c>
      <c r="Y765" s="27" t="s">
        <v>8</v>
      </c>
      <c r="Z765" s="27" t="s">
        <v>7</v>
      </c>
      <c r="AA765" s="27" t="s">
        <v>8</v>
      </c>
      <c r="AC765" s="27" t="s">
        <v>8</v>
      </c>
      <c r="AD765" s="27" t="s">
        <v>7</v>
      </c>
      <c r="AE765" s="27" t="s">
        <v>8</v>
      </c>
      <c r="AF765" s="27" t="s">
        <v>7</v>
      </c>
      <c r="AG765" s="27" t="s">
        <v>8</v>
      </c>
    </row>
    <row r="766" spans="1:61" x14ac:dyDescent="0.25">
      <c r="A766" s="7">
        <v>2.8878142467565884E-2</v>
      </c>
      <c r="B766"/>
      <c r="C766"/>
      <c r="D766"/>
      <c r="E766"/>
      <c r="X766" s="27" t="s">
        <v>7</v>
      </c>
      <c r="Y766" s="27" t="s">
        <v>8</v>
      </c>
      <c r="Z766" s="27" t="s">
        <v>7</v>
      </c>
      <c r="AA766" s="27" t="s">
        <v>8</v>
      </c>
      <c r="AB766" s="27" t="s">
        <v>7</v>
      </c>
      <c r="AC766" s="27" t="s">
        <v>8</v>
      </c>
      <c r="AD766" s="27" t="s">
        <v>7</v>
      </c>
      <c r="AE766" s="27" t="s">
        <v>8</v>
      </c>
      <c r="AF766" s="27" t="s">
        <v>7</v>
      </c>
      <c r="AG766" s="27" t="s">
        <v>8</v>
      </c>
    </row>
    <row r="767" spans="1:61" x14ac:dyDescent="0.25">
      <c r="A767" s="7">
        <v>2.8311904379966554E-2</v>
      </c>
      <c r="B767"/>
      <c r="C767"/>
      <c r="D767"/>
      <c r="E767"/>
      <c r="X767" s="27" t="s">
        <v>7</v>
      </c>
      <c r="Y767" s="27" t="s">
        <v>8</v>
      </c>
      <c r="Z767" s="27" t="s">
        <v>7</v>
      </c>
      <c r="AA767" s="27" t="s">
        <v>8</v>
      </c>
      <c r="AB767" s="27" t="s">
        <v>7</v>
      </c>
      <c r="AC767" s="27" t="s">
        <v>8</v>
      </c>
      <c r="AD767" s="27" t="s">
        <v>7</v>
      </c>
      <c r="AE767" s="27" t="s">
        <v>8</v>
      </c>
      <c r="AF767" s="27" t="s">
        <v>7</v>
      </c>
    </row>
    <row r="768" spans="1:61" x14ac:dyDescent="0.25">
      <c r="A768" s="7">
        <v>2.7756768999967207E-2</v>
      </c>
      <c r="B768"/>
      <c r="C768"/>
      <c r="D768"/>
      <c r="E768"/>
      <c r="X768" s="27" t="s">
        <v>7</v>
      </c>
      <c r="Y768" s="27" t="s">
        <v>8</v>
      </c>
      <c r="Z768" s="27" t="s">
        <v>7</v>
      </c>
      <c r="AA768" s="27" t="s">
        <v>8</v>
      </c>
      <c r="AB768" s="27" t="s">
        <v>7</v>
      </c>
      <c r="AC768" s="27" t="s">
        <v>8</v>
      </c>
      <c r="AD768" s="27" t="s">
        <v>7</v>
      </c>
      <c r="AE768" s="27" t="s">
        <v>8</v>
      </c>
    </row>
    <row r="769" spans="1:31" x14ac:dyDescent="0.25">
      <c r="A769" s="7">
        <v>2.7212518627418834E-2</v>
      </c>
      <c r="B769"/>
      <c r="C769"/>
      <c r="D769"/>
      <c r="E769"/>
      <c r="X769" s="27" t="s">
        <v>7</v>
      </c>
      <c r="Y769" s="27" t="s">
        <v>8</v>
      </c>
      <c r="Z769" s="27" t="s">
        <v>7</v>
      </c>
      <c r="AA769" s="27" t="s">
        <v>8</v>
      </c>
      <c r="AB769" s="27" t="s">
        <v>7</v>
      </c>
      <c r="AC769" s="27" t="s">
        <v>8</v>
      </c>
      <c r="AD769" s="27" t="s">
        <v>7</v>
      </c>
      <c r="AE769" s="27" t="s">
        <v>8</v>
      </c>
    </row>
    <row r="770" spans="1:31" x14ac:dyDescent="0.25">
      <c r="A770" s="7">
        <v>2.6678939830802779E-2</v>
      </c>
      <c r="B770"/>
      <c r="C770"/>
      <c r="D770"/>
      <c r="E770"/>
      <c r="X770" s="27" t="s">
        <v>7</v>
      </c>
      <c r="Y770" s="27" t="s">
        <v>8</v>
      </c>
      <c r="Z770" s="27" t="s">
        <v>7</v>
      </c>
      <c r="AA770" s="27" t="s">
        <v>8</v>
      </c>
      <c r="AB770" s="27" t="s">
        <v>7</v>
      </c>
      <c r="AC770" s="27" t="s">
        <v>8</v>
      </c>
      <c r="AD770" s="27" t="s">
        <v>7</v>
      </c>
      <c r="AE770" s="27" t="s">
        <v>8</v>
      </c>
    </row>
    <row r="771" spans="1:31" x14ac:dyDescent="0.25">
      <c r="A771" s="7">
        <v>2.615582336353214E-2</v>
      </c>
      <c r="B771"/>
      <c r="C771"/>
      <c r="D771"/>
      <c r="E771"/>
      <c r="X771" s="27" t="s">
        <v>7</v>
      </c>
      <c r="Y771" s="27" t="s">
        <v>8</v>
      </c>
      <c r="Z771" s="27" t="s">
        <v>7</v>
      </c>
      <c r="AA771" s="27" t="s">
        <v>8</v>
      </c>
      <c r="AB771" s="27" t="s">
        <v>7</v>
      </c>
      <c r="AC771" s="27" t="s">
        <v>8</v>
      </c>
      <c r="AD771" s="27" t="s">
        <v>7</v>
      </c>
      <c r="AE771" s="27" t="s">
        <v>8</v>
      </c>
    </row>
    <row r="772" spans="1:31" x14ac:dyDescent="0.25">
      <c r="A772" s="7">
        <v>2.5642964081894253E-2</v>
      </c>
      <c r="B772"/>
      <c r="C772"/>
      <c r="D772"/>
      <c r="E772"/>
      <c r="X772" s="27" t="s">
        <v>7</v>
      </c>
      <c r="Y772" s="27" t="s">
        <v>8</v>
      </c>
      <c r="Z772" s="27" t="s">
        <v>7</v>
      </c>
      <c r="AA772" s="27" t="s">
        <v>8</v>
      </c>
      <c r="AB772" s="27" t="s">
        <v>7</v>
      </c>
      <c r="AC772" s="27" t="s">
        <v>8</v>
      </c>
      <c r="AD772" s="27" t="s">
        <v>7</v>
      </c>
      <c r="AE772" s="27" t="s">
        <v>8</v>
      </c>
    </row>
    <row r="773" spans="1:31" x14ac:dyDescent="0.25">
      <c r="A773" s="7">
        <v>2.5140160864602207E-2</v>
      </c>
      <c r="B773"/>
      <c r="C773"/>
      <c r="D773"/>
      <c r="E773"/>
      <c r="X773" s="27" t="s">
        <v>7</v>
      </c>
      <c r="Y773" s="27" t="s">
        <v>8</v>
      </c>
      <c r="Z773" s="27" t="s">
        <v>7</v>
      </c>
      <c r="AA773" s="27" t="s">
        <v>8</v>
      </c>
      <c r="AB773" s="27" t="s">
        <v>7</v>
      </c>
      <c r="AC773" s="27" t="s">
        <v>8</v>
      </c>
      <c r="AD773" s="27" t="s">
        <v>7</v>
      </c>
    </row>
    <row r="774" spans="1:31" x14ac:dyDescent="0.25">
      <c r="A774" s="7">
        <v>2.4647216533923735E-2</v>
      </c>
      <c r="B774"/>
      <c r="C774"/>
      <c r="D774"/>
      <c r="E774"/>
      <c r="X774" s="27" t="s">
        <v>7</v>
      </c>
      <c r="Y774" s="27" t="s">
        <v>8</v>
      </c>
      <c r="Z774" s="27" t="s">
        <v>7</v>
      </c>
      <c r="AA774" s="27" t="s">
        <v>8</v>
      </c>
      <c r="AB774" s="27" t="s">
        <v>7</v>
      </c>
      <c r="AC774" s="27" t="s">
        <v>8</v>
      </c>
    </row>
    <row r="775" spans="1:31" x14ac:dyDescent="0.25">
      <c r="A775" s="7">
        <v>2.4163937778356601E-2</v>
      </c>
      <c r="B775"/>
      <c r="C775"/>
      <c r="D775"/>
      <c r="E775"/>
      <c r="X775" s="27" t="s">
        <v>7</v>
      </c>
      <c r="Y775" s="27" t="s">
        <v>8</v>
      </c>
      <c r="Z775" s="27" t="s">
        <v>7</v>
      </c>
      <c r="AA775" s="27" t="s">
        <v>8</v>
      </c>
      <c r="AB775" s="27" t="s">
        <v>7</v>
      </c>
    </row>
    <row r="776" spans="1:31" x14ac:dyDescent="0.25">
      <c r="A776" s="7">
        <v>2.3690135076820197E-2</v>
      </c>
      <c r="B776"/>
      <c r="C776"/>
      <c r="D776"/>
      <c r="E776"/>
      <c r="X776" s="27" t="s">
        <v>7</v>
      </c>
      <c r="Y776" s="27" t="s">
        <v>8</v>
      </c>
      <c r="Z776" s="27" t="s">
        <v>7</v>
      </c>
      <c r="AA776" s="27" t="s">
        <v>8</v>
      </c>
    </row>
    <row r="777" spans="1:31" x14ac:dyDescent="0.25">
      <c r="A777" s="7">
        <v>2.3225622624333527E-2</v>
      </c>
      <c r="B777"/>
      <c r="C777"/>
      <c r="D777"/>
      <c r="E777"/>
      <c r="X777" s="27" t="s">
        <v>7</v>
      </c>
      <c r="Y777" s="27" t="s">
        <v>8</v>
      </c>
      <c r="Z777" s="27" t="s">
        <v>7</v>
      </c>
      <c r="AA777" s="27" t="s">
        <v>8</v>
      </c>
    </row>
    <row r="778" spans="1:31" x14ac:dyDescent="0.25">
      <c r="A778" s="7">
        <v>2.2770218259150519E-2</v>
      </c>
      <c r="B778"/>
      <c r="C778"/>
      <c r="D778"/>
      <c r="E778"/>
      <c r="X778" s="27" t="s">
        <v>7</v>
      </c>
      <c r="Y778" s="27" t="s">
        <v>8</v>
      </c>
      <c r="Z778" s="27" t="s">
        <v>7</v>
      </c>
      <c r="AA778" s="27" t="s">
        <v>8</v>
      </c>
    </row>
    <row r="779" spans="1:31" x14ac:dyDescent="0.25">
      <c r="A779" s="7">
        <v>2.2323743391324039E-2</v>
      </c>
      <c r="B779"/>
      <c r="C779"/>
      <c r="D779"/>
      <c r="E779"/>
      <c r="X779" s="27" t="s">
        <v>7</v>
      </c>
      <c r="Y779" s="27" t="s">
        <v>8</v>
      </c>
      <c r="Z779" s="27" t="s">
        <v>7</v>
      </c>
      <c r="AA779" s="27" t="s">
        <v>8</v>
      </c>
    </row>
    <row r="780" spans="1:31" x14ac:dyDescent="0.25">
      <c r="A780" s="7">
        <v>2.188602293267063E-2</v>
      </c>
      <c r="B780"/>
      <c r="C780"/>
      <c r="D780"/>
      <c r="E780"/>
      <c r="X780" s="27" t="s">
        <v>7</v>
      </c>
      <c r="Y780" s="27" t="s">
        <v>8</v>
      </c>
      <c r="Z780" s="27" t="s">
        <v>7</v>
      </c>
      <c r="AA780" s="27" t="s">
        <v>8</v>
      </c>
    </row>
    <row r="781" spans="1:31" x14ac:dyDescent="0.25">
      <c r="A781" s="7">
        <v>2.1456885228108461E-2</v>
      </c>
      <c r="B781"/>
      <c r="C781"/>
      <c r="D781"/>
      <c r="E781"/>
      <c r="X781" s="27" t="s">
        <v>7</v>
      </c>
      <c r="Y781" s="27" t="s">
        <v>8</v>
      </c>
      <c r="Z781" s="27" t="s">
        <v>7</v>
      </c>
    </row>
    <row r="782" spans="1:31" x14ac:dyDescent="0.25">
      <c r="A782" s="7">
        <v>2.1036161988341632E-2</v>
      </c>
      <c r="B782"/>
      <c r="C782"/>
      <c r="D782"/>
      <c r="E782"/>
      <c r="X782" s="27" t="s">
        <v>7</v>
      </c>
      <c r="Y782" s="27" t="s">
        <v>8</v>
      </c>
    </row>
    <row r="783" spans="1:31" x14ac:dyDescent="0.25">
      <c r="A783" s="7">
        <v>2.0623688223864345E-2</v>
      </c>
      <c r="B783"/>
      <c r="C783"/>
      <c r="D783"/>
      <c r="E783"/>
      <c r="X783" s="27" t="s">
        <v>7</v>
      </c>
      <c r="Y783" s="27" t="s">
        <v>8</v>
      </c>
    </row>
    <row r="784" spans="1:31" x14ac:dyDescent="0.25">
      <c r="A784" s="7">
        <v>2.021930218025916E-2</v>
      </c>
      <c r="B784"/>
      <c r="C784"/>
      <c r="D784"/>
      <c r="E784"/>
      <c r="X784" s="27" t="s">
        <v>7</v>
      </c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126" operator="equal">
      <formula>$U$1</formula>
    </cfRule>
    <cfRule type="cellIs" dxfId="89" priority="1127" operator="equal">
      <formula>$S$1</formula>
    </cfRule>
  </conditionalFormatting>
  <conditionalFormatting sqref="D27">
    <cfRule type="cellIs" dxfId="88" priority="1124" operator="equal">
      <formula>$S$1</formula>
    </cfRule>
    <cfRule type="cellIs" dxfId="87" priority="1125" operator="equal">
      <formula>$U$1</formula>
    </cfRule>
  </conditionalFormatting>
  <conditionalFormatting sqref="C164">
    <cfRule type="cellIs" dxfId="86" priority="1122" operator="equal">
      <formula>$U$1</formula>
    </cfRule>
    <cfRule type="cellIs" dxfId="85" priority="1123" operator="equal">
      <formula>$S$1</formula>
    </cfRule>
  </conditionalFormatting>
  <conditionalFormatting sqref="D164">
    <cfRule type="cellIs" dxfId="84" priority="1120" operator="equal">
      <formula>$S$1</formula>
    </cfRule>
    <cfRule type="cellIs" dxfId="83" priority="1121" operator="equal">
      <formula>$U$1</formula>
    </cfRule>
  </conditionalFormatting>
  <conditionalFormatting sqref="C55">
    <cfRule type="cellIs" dxfId="82" priority="1118" operator="equal">
      <formula>$U$1</formula>
    </cfRule>
    <cfRule type="cellIs" dxfId="81" priority="1119" operator="equal">
      <formula>$S$1</formula>
    </cfRule>
  </conditionalFormatting>
  <conditionalFormatting sqref="D55">
    <cfRule type="cellIs" dxfId="80" priority="1116" operator="equal">
      <formula>$S$1</formula>
    </cfRule>
    <cfRule type="cellIs" dxfId="79" priority="1117" operator="equal">
      <formula>$U$1</formula>
    </cfRule>
  </conditionalFormatting>
  <conditionalFormatting sqref="C89">
    <cfRule type="cellIs" dxfId="78" priority="1114" operator="equal">
      <formula>$U$1</formula>
    </cfRule>
    <cfRule type="cellIs" dxfId="77" priority="1115" operator="equal">
      <formula>$S$1</formula>
    </cfRule>
  </conditionalFormatting>
  <conditionalFormatting sqref="D89">
    <cfRule type="cellIs" dxfId="76" priority="1112" operator="equal">
      <formula>$S$1</formula>
    </cfRule>
    <cfRule type="cellIs" dxfId="75" priority="1113" operator="equal">
      <formula>$U$1</formula>
    </cfRule>
  </conditionalFormatting>
  <conditionalFormatting sqref="C136">
    <cfRule type="cellIs" dxfId="74" priority="1110" operator="equal">
      <formula>$U$1</formula>
    </cfRule>
    <cfRule type="cellIs" dxfId="73" priority="1111" operator="equal">
      <formula>$S$1</formula>
    </cfRule>
  </conditionalFormatting>
  <conditionalFormatting sqref="D136">
    <cfRule type="cellIs" dxfId="72" priority="1108" operator="equal">
      <formula>$S$1</formula>
    </cfRule>
    <cfRule type="cellIs" dxfId="71" priority="1109" operator="equal">
      <formula>$U$1</formula>
    </cfRule>
  </conditionalFormatting>
  <conditionalFormatting sqref="C1">
    <cfRule type="cellIs" dxfId="70" priority="1107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HK271" sqref="HK271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$A$270</v>
      </c>
      <c r="D111" s="1" t="str">
        <f>ADDRESS(C121-1,D121,1,1)</f>
        <v>$HK$270</v>
      </c>
      <c r="E111"/>
    </row>
    <row r="112" spans="1:5" x14ac:dyDescent="0.25">
      <c r="A112" s="30">
        <v>515.50191262726139</v>
      </c>
      <c r="C112" s="1" t="str">
        <f>ADDRESS(C121,1,1,1)</f>
        <v>$A$271</v>
      </c>
      <c r="D112" s="1" t="str">
        <f>ADDRESS(C121,D121-1,1,1)</f>
        <v>$HJ$271</v>
      </c>
      <c r="E112"/>
    </row>
    <row r="113" spans="1:5" x14ac:dyDescent="0.25">
      <c r="A113" s="30">
        <v>490.95420250215363</v>
      </c>
      <c r="C113" s="1" t="str">
        <f>ADDRESS(C121+1,1,1,1)</f>
        <v>$A$272</v>
      </c>
      <c r="D113" s="1" t="str">
        <f>ADDRESS(C121-1,D121+1,1,1)</f>
        <v>$HL$270</v>
      </c>
    </row>
    <row r="114" spans="1:5" x14ac:dyDescent="0.25">
      <c r="A114" s="30">
        <v>467.57543095443202</v>
      </c>
      <c r="C114" s="1" t="str">
        <f>ADDRESS(C121,D121,1,1)</f>
        <v>$HK$271</v>
      </c>
      <c r="D114" s="1" t="str">
        <f>ADDRESS(C121+1,D121+1,1,1)</f>
        <v>$HL$272</v>
      </c>
    </row>
    <row r="115" spans="1:5" x14ac:dyDescent="0.25">
      <c r="A115" s="30">
        <v>445.30993424231622</v>
      </c>
      <c r="C115" s="1" t="str">
        <f>ADDRESS(C121+1,D121,1,1)</f>
        <v>$HK$272</v>
      </c>
    </row>
    <row r="116" spans="1:5" x14ac:dyDescent="0.25">
      <c r="A116" s="30">
        <v>424.10469927839637</v>
      </c>
      <c r="C116" s="1">
        <f>C117-1</f>
        <v>270</v>
      </c>
    </row>
    <row r="117" spans="1:5" x14ac:dyDescent="0.25">
      <c r="A117" s="30">
        <v>403.9092374079965</v>
      </c>
      <c r="C117" s="1">
        <f>C121</f>
        <v>271</v>
      </c>
      <c r="D117" s="1">
        <f>D121</f>
        <v>219</v>
      </c>
    </row>
    <row r="118" spans="1:5" x14ac:dyDescent="0.25">
      <c r="A118" s="30">
        <v>384.6754641980919</v>
      </c>
      <c r="C118" s="1">
        <f>C117+1</f>
        <v>272</v>
      </c>
      <c r="D118" s="1">
        <f>D117+1</f>
        <v>220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271</v>
      </c>
      <c r="D121" s="19">
        <v>219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R271</v>
      </c>
      <c r="D123" s="1" t="str">
        <f>"C"&amp;D121</f>
        <v>C219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0.22035947491033836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5" x14ac:dyDescent="0.25">
      <c r="A225" s="30">
        <v>2.0789281794113688</v>
      </c>
      <c r="E225"/>
    </row>
    <row r="226" spans="1:5" x14ac:dyDescent="0.25">
      <c r="A226" s="30">
        <v>1.9799315994393987</v>
      </c>
      <c r="E226"/>
    </row>
    <row r="227" spans="1:5" x14ac:dyDescent="0.25">
      <c r="A227" s="30">
        <v>1.8856491423232367</v>
      </c>
      <c r="E227"/>
    </row>
    <row r="228" spans="1:5" x14ac:dyDescent="0.25">
      <c r="A228" s="30">
        <v>1.7958563260221301</v>
      </c>
      <c r="C228" s="7"/>
      <c r="D228"/>
      <c r="E228"/>
    </row>
    <row r="229" spans="1:5" x14ac:dyDescent="0.25">
      <c r="A229" s="30">
        <v>1.7103393581163142</v>
      </c>
      <c r="E229"/>
    </row>
    <row r="230" spans="1:5" x14ac:dyDescent="0.25">
      <c r="A230" s="30">
        <v>1.628894626777442</v>
      </c>
      <c r="E230"/>
    </row>
    <row r="231" spans="1:5" x14ac:dyDescent="0.25">
      <c r="A231" s="30">
        <v>1.5513282159785162</v>
      </c>
      <c r="C231"/>
      <c r="D231"/>
      <c r="E231"/>
    </row>
    <row r="232" spans="1:5" x14ac:dyDescent="0.25">
      <c r="A232" s="30">
        <v>1.477455443789063</v>
      </c>
      <c r="E232"/>
    </row>
    <row r="233" spans="1:5" x14ac:dyDescent="0.25">
      <c r="A233" s="30">
        <v>1.4071004226562505</v>
      </c>
      <c r="E233"/>
    </row>
    <row r="234" spans="1:5" x14ac:dyDescent="0.25">
      <c r="A234" s="30">
        <v>1.3400956406250004</v>
      </c>
      <c r="E234"/>
    </row>
    <row r="235" spans="1:5" x14ac:dyDescent="0.25">
      <c r="A235" s="30">
        <v>1.2762815625000004</v>
      </c>
      <c r="C235"/>
      <c r="E235"/>
    </row>
    <row r="236" spans="1:5" x14ac:dyDescent="0.25">
      <c r="A236" s="30">
        <v>1.2155062500000002</v>
      </c>
      <c r="E236"/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1.1025</v>
      </c>
      <c r="E238"/>
    </row>
    <row r="239" spans="1:5" x14ac:dyDescent="0.25">
      <c r="A239" s="30">
        <v>1.05</v>
      </c>
      <c r="E239"/>
    </row>
    <row r="240" spans="1:5" x14ac:dyDescent="0.25">
      <c r="A240" s="30">
        <v>1</v>
      </c>
      <c r="E240" s="29" t="s">
        <v>8</v>
      </c>
    </row>
    <row r="241" spans="1:213" x14ac:dyDescent="0.25">
      <c r="A241" s="30">
        <v>0.952380952380952</v>
      </c>
      <c r="B241"/>
      <c r="C241"/>
      <c r="D241"/>
      <c r="E241"/>
      <c r="F241" s="27" t="s">
        <v>7</v>
      </c>
    </row>
    <row r="242" spans="1:213" x14ac:dyDescent="0.25">
      <c r="A242" s="30">
        <v>0.90702947845804915</v>
      </c>
      <c r="B242"/>
      <c r="C242"/>
      <c r="D242"/>
      <c r="E242"/>
      <c r="F242" s="27" t="s">
        <v>7</v>
      </c>
      <c r="DU242" s="27" t="s">
        <v>8</v>
      </c>
    </row>
    <row r="243" spans="1:213" x14ac:dyDescent="0.25">
      <c r="A243" s="30">
        <v>0.86383759853147501</v>
      </c>
      <c r="B243"/>
      <c r="C243"/>
      <c r="D243"/>
      <c r="E243"/>
      <c r="F243" s="27" t="s">
        <v>7</v>
      </c>
      <c r="DS243" s="27" t="s">
        <v>8</v>
      </c>
      <c r="DU243" s="27" t="s">
        <v>8</v>
      </c>
      <c r="DV243" s="27" t="s">
        <v>7</v>
      </c>
    </row>
    <row r="244" spans="1:213" x14ac:dyDescent="0.25">
      <c r="A244" s="30">
        <v>0.82270247479188063</v>
      </c>
      <c r="B244"/>
      <c r="C244"/>
      <c r="D244"/>
      <c r="E244"/>
      <c r="F244" s="27" t="s">
        <v>7</v>
      </c>
      <c r="DQ244" s="27" t="s">
        <v>8</v>
      </c>
      <c r="DS244" s="27" t="s">
        <v>8</v>
      </c>
      <c r="DT244" s="27" t="s">
        <v>7</v>
      </c>
      <c r="DU244" s="27" t="s">
        <v>8</v>
      </c>
      <c r="DV244" s="27" t="s">
        <v>7</v>
      </c>
    </row>
    <row r="245" spans="1:213" x14ac:dyDescent="0.25">
      <c r="A245" s="30">
        <v>0.78352616646845741</v>
      </c>
      <c r="B245"/>
      <c r="C245"/>
      <c r="D245"/>
      <c r="E245"/>
      <c r="F245" s="27" t="s">
        <v>7</v>
      </c>
      <c r="DQ245" s="27" t="s">
        <v>8</v>
      </c>
      <c r="DR245" s="27" t="s">
        <v>7</v>
      </c>
      <c r="DS245" s="27" t="s">
        <v>8</v>
      </c>
      <c r="DT245" s="27" t="s">
        <v>7</v>
      </c>
      <c r="DU245" s="27" t="s">
        <v>8</v>
      </c>
      <c r="DV245" s="27" t="s">
        <v>7</v>
      </c>
      <c r="GI245" s="27" t="s">
        <v>8</v>
      </c>
      <c r="GM245" s="27" t="s">
        <v>8</v>
      </c>
    </row>
    <row r="246" spans="1:213" x14ac:dyDescent="0.25">
      <c r="A246" s="30">
        <v>0.74621539663662584</v>
      </c>
      <c r="B246"/>
      <c r="C246"/>
      <c r="D246"/>
      <c r="E246"/>
      <c r="F246" s="27" t="s">
        <v>7</v>
      </c>
      <c r="DQ246" s="27" t="s">
        <v>8</v>
      </c>
      <c r="DR246" s="27" t="s">
        <v>7</v>
      </c>
      <c r="DS246" s="27" t="s">
        <v>8</v>
      </c>
      <c r="DT246" s="27" t="s">
        <v>7</v>
      </c>
      <c r="DV246" s="27" t="s">
        <v>7</v>
      </c>
      <c r="EA246" s="27" t="s">
        <v>8</v>
      </c>
      <c r="GI246" s="27" t="s">
        <v>8</v>
      </c>
      <c r="GJ246" s="27" t="s">
        <v>7</v>
      </c>
      <c r="GM246" s="27" t="s">
        <v>8</v>
      </c>
      <c r="GN246" s="27" t="s">
        <v>7</v>
      </c>
    </row>
    <row r="247" spans="1:213" x14ac:dyDescent="0.25">
      <c r="A247" s="30">
        <v>0.71068133013011958</v>
      </c>
      <c r="B247"/>
      <c r="C247"/>
      <c r="D247"/>
      <c r="E247"/>
      <c r="F247" s="27" t="s">
        <v>7</v>
      </c>
      <c r="DQ247" s="27" t="s">
        <v>8</v>
      </c>
      <c r="DR247" s="27" t="s">
        <v>7</v>
      </c>
      <c r="DS247" s="27" t="s">
        <v>8</v>
      </c>
      <c r="DV247" s="27" t="s">
        <v>7</v>
      </c>
      <c r="EA247" s="27" t="s">
        <v>8</v>
      </c>
      <c r="EB247" s="27" t="s">
        <v>7</v>
      </c>
      <c r="GI247" s="27" t="s">
        <v>8</v>
      </c>
      <c r="GJ247" s="27" t="s">
        <v>7</v>
      </c>
      <c r="GM247" s="27" t="s">
        <v>8</v>
      </c>
      <c r="GN247" s="27" t="s">
        <v>7</v>
      </c>
    </row>
    <row r="248" spans="1:213" x14ac:dyDescent="0.25">
      <c r="A248" s="30">
        <v>0.676839362028685</v>
      </c>
      <c r="B248"/>
      <c r="C248"/>
      <c r="D248"/>
      <c r="E248"/>
      <c r="F248" s="27" t="s">
        <v>7</v>
      </c>
      <c r="DQ248" s="27" t="s">
        <v>8</v>
      </c>
      <c r="DR248" s="27" t="s">
        <v>7</v>
      </c>
      <c r="DS248" s="27" t="s">
        <v>8</v>
      </c>
      <c r="DV248" s="27" t="s">
        <v>7</v>
      </c>
      <c r="EA248" s="27" t="s">
        <v>8</v>
      </c>
      <c r="EB248" s="27" t="s">
        <v>7</v>
      </c>
      <c r="GI248" s="27" t="s">
        <v>8</v>
      </c>
      <c r="GJ248" s="27" t="s">
        <v>7</v>
      </c>
      <c r="GM248" s="27" t="s">
        <v>8</v>
      </c>
      <c r="GN248" s="27" t="s">
        <v>7</v>
      </c>
    </row>
    <row r="249" spans="1:213" x14ac:dyDescent="0.25">
      <c r="A249" s="30">
        <v>0.64460891621779492</v>
      </c>
      <c r="B249"/>
      <c r="C249"/>
      <c r="D249"/>
      <c r="E249"/>
      <c r="F249" s="27" t="s">
        <v>7</v>
      </c>
      <c r="DK249" s="27" t="s">
        <v>8</v>
      </c>
      <c r="DO249" s="27" t="s">
        <v>8</v>
      </c>
      <c r="DQ249" s="27" t="s">
        <v>8</v>
      </c>
      <c r="DR249" s="27" t="s">
        <v>7</v>
      </c>
      <c r="DS249" s="27" t="s">
        <v>8</v>
      </c>
      <c r="DV249" s="27" t="s">
        <v>7</v>
      </c>
      <c r="DW249" s="27" t="s">
        <v>8</v>
      </c>
      <c r="EA249" s="27" t="s">
        <v>8</v>
      </c>
      <c r="EB249" s="27" t="s">
        <v>7</v>
      </c>
      <c r="GI249" s="27" t="s">
        <v>8</v>
      </c>
      <c r="GJ249" s="27" t="s">
        <v>7</v>
      </c>
      <c r="GK249" s="27" t="s">
        <v>8</v>
      </c>
      <c r="GM249" s="27" t="s">
        <v>8</v>
      </c>
      <c r="GN249" s="27" t="s">
        <v>7</v>
      </c>
    </row>
    <row r="250" spans="1:213" x14ac:dyDescent="0.25">
      <c r="A250" s="30">
        <v>0.61391325354075688</v>
      </c>
      <c r="B250"/>
      <c r="C250"/>
      <c r="D250"/>
      <c r="E250"/>
      <c r="F250" s="27" t="s">
        <v>7</v>
      </c>
      <c r="DK250" s="27" t="s">
        <v>8</v>
      </c>
      <c r="DL250" s="27" t="s">
        <v>7</v>
      </c>
      <c r="DO250" s="27" t="s">
        <v>8</v>
      </c>
      <c r="DP250" s="27" t="s">
        <v>7</v>
      </c>
      <c r="DQ250" s="27" t="s">
        <v>8</v>
      </c>
      <c r="DR250" s="27" t="s">
        <v>7</v>
      </c>
      <c r="DV250" s="27" t="s">
        <v>7</v>
      </c>
      <c r="DW250" s="27" t="s">
        <v>8</v>
      </c>
      <c r="DX250" s="27" t="s">
        <v>7</v>
      </c>
      <c r="EA250" s="27" t="s">
        <v>8</v>
      </c>
      <c r="EB250" s="27" t="s">
        <v>7</v>
      </c>
      <c r="GI250" s="27" t="s">
        <v>8</v>
      </c>
      <c r="GJ250" s="27" t="s">
        <v>7</v>
      </c>
      <c r="GK250" s="27" t="s">
        <v>8</v>
      </c>
      <c r="GL250" s="27" t="s">
        <v>7</v>
      </c>
      <c r="GM250" s="27" t="s">
        <v>8</v>
      </c>
      <c r="GN250" s="27" t="s">
        <v>7</v>
      </c>
      <c r="GO250" s="27" t="s">
        <v>8</v>
      </c>
    </row>
    <row r="251" spans="1:213" x14ac:dyDescent="0.25">
      <c r="A251" s="30">
        <v>0.58467928908643485</v>
      </c>
      <c r="B251"/>
      <c r="C251"/>
      <c r="D251"/>
      <c r="E251"/>
      <c r="F251" s="27" t="s">
        <v>7</v>
      </c>
      <c r="DK251" s="27" t="s">
        <v>8</v>
      </c>
      <c r="DL251" s="27" t="s">
        <v>7</v>
      </c>
      <c r="DM251" s="27" t="s">
        <v>8</v>
      </c>
      <c r="DO251" s="27" t="s">
        <v>8</v>
      </c>
      <c r="DP251" s="27" t="s">
        <v>7</v>
      </c>
      <c r="DQ251" s="27" t="s">
        <v>8</v>
      </c>
      <c r="DV251" s="27" t="s">
        <v>7</v>
      </c>
      <c r="DW251" s="27" t="s">
        <v>8</v>
      </c>
      <c r="DX251" s="27" t="s">
        <v>7</v>
      </c>
      <c r="EA251" s="27" t="s">
        <v>8</v>
      </c>
      <c r="EB251" s="27" t="s">
        <v>7</v>
      </c>
      <c r="GG251" s="27" t="s">
        <v>8</v>
      </c>
      <c r="GI251" s="27" t="s">
        <v>8</v>
      </c>
      <c r="GJ251" s="27" t="s">
        <v>7</v>
      </c>
      <c r="GK251" s="27" t="s">
        <v>8</v>
      </c>
      <c r="GL251" s="27" t="s">
        <v>7</v>
      </c>
      <c r="GM251" s="27" t="s">
        <v>8</v>
      </c>
      <c r="GN251" s="27" t="s">
        <v>7</v>
      </c>
      <c r="GO251" s="27" t="s">
        <v>8</v>
      </c>
      <c r="GP251" s="27" t="s">
        <v>7</v>
      </c>
    </row>
    <row r="252" spans="1:213" x14ac:dyDescent="0.25">
      <c r="A252" s="30">
        <v>0.55683741817755672</v>
      </c>
      <c r="B252"/>
      <c r="C252"/>
      <c r="D252"/>
      <c r="E252"/>
      <c r="F252" s="27" t="s">
        <v>7</v>
      </c>
      <c r="DK252" s="27" t="s">
        <v>8</v>
      </c>
      <c r="DL252" s="27" t="s">
        <v>7</v>
      </c>
      <c r="DM252" s="27" t="s">
        <v>8</v>
      </c>
      <c r="DN252" s="27" t="s">
        <v>7</v>
      </c>
      <c r="DO252" s="27" t="s">
        <v>8</v>
      </c>
      <c r="DP252" s="27" t="s">
        <v>7</v>
      </c>
      <c r="DQ252" s="27" t="s">
        <v>8</v>
      </c>
      <c r="DV252" s="27" t="s">
        <v>7</v>
      </c>
      <c r="DX252" s="27" t="s">
        <v>7</v>
      </c>
      <c r="DY252" s="27" t="s">
        <v>8</v>
      </c>
      <c r="EA252" s="27" t="s">
        <v>8</v>
      </c>
      <c r="EB252" s="27" t="s">
        <v>7</v>
      </c>
      <c r="GG252" s="27" t="s">
        <v>8</v>
      </c>
      <c r="GH252" s="27" t="s">
        <v>7</v>
      </c>
      <c r="GI252" s="27" t="s">
        <v>8</v>
      </c>
      <c r="GJ252" s="27" t="s">
        <v>7</v>
      </c>
      <c r="GL252" s="27" t="s">
        <v>7</v>
      </c>
      <c r="GM252" s="27" t="s">
        <v>8</v>
      </c>
      <c r="GN252" s="27" t="s">
        <v>7</v>
      </c>
      <c r="GO252" s="27" t="s">
        <v>8</v>
      </c>
      <c r="GP252" s="27" t="s">
        <v>7</v>
      </c>
    </row>
    <row r="253" spans="1:213" x14ac:dyDescent="0.25">
      <c r="A253" s="30">
        <v>0.53032135064529184</v>
      </c>
      <c r="B253"/>
      <c r="C253"/>
      <c r="D253"/>
      <c r="E253"/>
      <c r="F253" s="27" t="s">
        <v>7</v>
      </c>
      <c r="DK253" s="27" t="s">
        <v>8</v>
      </c>
      <c r="DL253" s="27" t="s">
        <v>7</v>
      </c>
      <c r="DM253" s="27" t="s">
        <v>8</v>
      </c>
      <c r="DN253" s="27" t="s">
        <v>7</v>
      </c>
      <c r="DO253" s="27" t="s">
        <v>8</v>
      </c>
      <c r="DP253" s="27" t="s">
        <v>7</v>
      </c>
      <c r="DX253" s="27" t="s">
        <v>7</v>
      </c>
      <c r="DY253" s="27" t="s">
        <v>8</v>
      </c>
      <c r="DZ253" s="27" t="s">
        <v>7</v>
      </c>
      <c r="EA253" s="27" t="s">
        <v>8</v>
      </c>
      <c r="EB253" s="27" t="s">
        <v>7</v>
      </c>
      <c r="GG253" s="27" t="s">
        <v>8</v>
      </c>
      <c r="GH253" s="27" t="s">
        <v>7</v>
      </c>
      <c r="GI253" s="27" t="s">
        <v>8</v>
      </c>
      <c r="GL253" s="27" t="s">
        <v>7</v>
      </c>
      <c r="GM253" s="27" t="s">
        <v>8</v>
      </c>
      <c r="GN253" s="27" t="s">
        <v>7</v>
      </c>
      <c r="GP253" s="27" t="s">
        <v>7</v>
      </c>
      <c r="GQ253" s="27" t="s">
        <v>8</v>
      </c>
    </row>
    <row r="254" spans="1:213" x14ac:dyDescent="0.25">
      <c r="A254" s="30">
        <v>0.50506795299551588</v>
      </c>
      <c r="B254"/>
      <c r="C254"/>
      <c r="D254"/>
      <c r="E254"/>
      <c r="F254" s="27" t="s">
        <v>7</v>
      </c>
      <c r="DK254" s="27" t="s">
        <v>8</v>
      </c>
      <c r="DL254" s="27" t="s">
        <v>7</v>
      </c>
      <c r="DM254" s="27" t="s">
        <v>8</v>
      </c>
      <c r="DN254" s="27" t="s">
        <v>7</v>
      </c>
      <c r="DX254" s="27" t="s">
        <v>7</v>
      </c>
      <c r="DY254" s="27" t="s">
        <v>8</v>
      </c>
      <c r="DZ254" s="27" t="s">
        <v>7</v>
      </c>
      <c r="EA254" s="27" t="s">
        <v>8</v>
      </c>
      <c r="EB254" s="27" t="s">
        <v>7</v>
      </c>
      <c r="GG254" s="27" t="s">
        <v>8</v>
      </c>
      <c r="GH254" s="27" t="s">
        <v>7</v>
      </c>
      <c r="GI254" s="27" t="s">
        <v>8</v>
      </c>
      <c r="GL254" s="27" t="s">
        <v>7</v>
      </c>
      <c r="GM254" s="27" t="s">
        <v>8</v>
      </c>
      <c r="GP254" s="27" t="s">
        <v>7</v>
      </c>
      <c r="GQ254" s="27" t="s">
        <v>8</v>
      </c>
      <c r="GR254" s="27" t="s">
        <v>7</v>
      </c>
    </row>
    <row r="255" spans="1:213" x14ac:dyDescent="0.25">
      <c r="A255" s="30">
        <v>0.48101709809096732</v>
      </c>
      <c r="E255"/>
      <c r="F255" s="27" t="s">
        <v>7</v>
      </c>
      <c r="DK255" s="27" t="s">
        <v>8</v>
      </c>
      <c r="DL255" s="27" t="s">
        <v>7</v>
      </c>
      <c r="DM255" s="27" t="s">
        <v>8</v>
      </c>
      <c r="DX255" s="27" t="s">
        <v>7</v>
      </c>
      <c r="DZ255" s="27" t="s">
        <v>7</v>
      </c>
      <c r="EA255" s="27" t="s">
        <v>8</v>
      </c>
      <c r="EB255" s="27" t="s">
        <v>7</v>
      </c>
      <c r="EC255" s="27" t="s">
        <v>8</v>
      </c>
      <c r="GG255" s="27" t="s">
        <v>8</v>
      </c>
      <c r="GH255" s="27" t="s">
        <v>7</v>
      </c>
      <c r="GI255" s="27" t="s">
        <v>8</v>
      </c>
      <c r="GL255" s="27" t="s">
        <v>7</v>
      </c>
      <c r="GM255" s="27" t="s">
        <v>8</v>
      </c>
      <c r="GP255" s="27" t="s">
        <v>7</v>
      </c>
      <c r="GQ255" s="27" t="s">
        <v>8</v>
      </c>
      <c r="GR255" s="27" t="s">
        <v>7</v>
      </c>
      <c r="GU255" s="27" t="s">
        <v>8</v>
      </c>
    </row>
    <row r="256" spans="1:213" x14ac:dyDescent="0.25">
      <c r="A256" s="30">
        <v>0.45811152199139726</v>
      </c>
      <c r="E256"/>
      <c r="F256" s="27" t="s">
        <v>7</v>
      </c>
      <c r="DK256" s="27" t="s">
        <v>8</v>
      </c>
      <c r="DL256" s="27" t="s">
        <v>7</v>
      </c>
      <c r="DZ256" s="27" t="s">
        <v>7</v>
      </c>
      <c r="EA256" s="27" t="s">
        <v>8</v>
      </c>
      <c r="EB256" s="27" t="s">
        <v>7</v>
      </c>
      <c r="EC256" s="27" t="s">
        <v>8</v>
      </c>
      <c r="ED256" s="27" t="s">
        <v>7</v>
      </c>
      <c r="GG256" s="27" t="s">
        <v>8</v>
      </c>
      <c r="GH256" s="27" t="s">
        <v>7</v>
      </c>
      <c r="GI256" s="27" t="s">
        <v>8</v>
      </c>
      <c r="GL256" s="27" t="s">
        <v>7</v>
      </c>
      <c r="GP256" s="27" t="s">
        <v>7</v>
      </c>
      <c r="GR256" s="27" t="s">
        <v>7</v>
      </c>
      <c r="GU256" s="27" t="s">
        <v>8</v>
      </c>
      <c r="GV256" s="27" t="s">
        <v>7</v>
      </c>
      <c r="HE256" s="27" t="s">
        <v>8</v>
      </c>
    </row>
    <row r="257" spans="1:219" x14ac:dyDescent="0.25">
      <c r="A257" s="30">
        <v>0.43629668761085438</v>
      </c>
      <c r="B257"/>
      <c r="C257"/>
      <c r="D257"/>
      <c r="E257"/>
      <c r="F257" s="27" t="s">
        <v>7</v>
      </c>
      <c r="DA257" s="27" t="s">
        <v>8</v>
      </c>
      <c r="DK257" s="27" t="s">
        <v>8</v>
      </c>
      <c r="DZ257" s="27" t="s">
        <v>7</v>
      </c>
      <c r="EA257" s="27" t="s">
        <v>8</v>
      </c>
      <c r="EB257" s="27" t="s">
        <v>7</v>
      </c>
      <c r="EC257" s="27" t="s">
        <v>8</v>
      </c>
      <c r="ED257" s="27" t="s">
        <v>7</v>
      </c>
      <c r="GE257" s="27" t="s">
        <v>8</v>
      </c>
      <c r="GG257" s="27" t="s">
        <v>8</v>
      </c>
      <c r="GH257" s="27" t="s">
        <v>7</v>
      </c>
      <c r="GR257" s="27" t="s">
        <v>7</v>
      </c>
      <c r="GU257" s="27" t="s">
        <v>8</v>
      </c>
      <c r="GV257" s="27" t="s">
        <v>7</v>
      </c>
      <c r="HC257" s="27" t="s">
        <v>8</v>
      </c>
      <c r="HE257" s="27" t="s">
        <v>8</v>
      </c>
      <c r="HF257" s="27" t="s">
        <v>7</v>
      </c>
    </row>
    <row r="258" spans="1:219" x14ac:dyDescent="0.25">
      <c r="A258" s="30">
        <v>0.41552065486748019</v>
      </c>
      <c r="B258"/>
      <c r="C258"/>
      <c r="D258"/>
      <c r="E258"/>
      <c r="F258" s="27" t="s">
        <v>7</v>
      </c>
      <c r="DA258" s="27" t="s">
        <v>8</v>
      </c>
      <c r="DB258" s="27" t="s">
        <v>7</v>
      </c>
      <c r="DE258" s="27" t="s">
        <v>8</v>
      </c>
      <c r="DK258" s="27" t="s">
        <v>8</v>
      </c>
      <c r="DZ258" s="27" t="s">
        <v>7</v>
      </c>
      <c r="EA258" s="27" t="s">
        <v>8</v>
      </c>
      <c r="EB258" s="27" t="s">
        <v>7</v>
      </c>
      <c r="ED258" s="27" t="s">
        <v>7</v>
      </c>
      <c r="GE258" s="27" t="s">
        <v>8</v>
      </c>
      <c r="GF258" s="27" t="s">
        <v>7</v>
      </c>
      <c r="GG258" s="27" t="s">
        <v>8</v>
      </c>
      <c r="GR258" s="27" t="s">
        <v>7</v>
      </c>
      <c r="GU258" s="27" t="s">
        <v>8</v>
      </c>
      <c r="GV258" s="27" t="s">
        <v>7</v>
      </c>
      <c r="HC258" s="27" t="s">
        <v>8</v>
      </c>
      <c r="HD258" s="27" t="s">
        <v>7</v>
      </c>
      <c r="HE258" s="27" t="s">
        <v>8</v>
      </c>
      <c r="HF258" s="27" t="s">
        <v>7</v>
      </c>
    </row>
    <row r="259" spans="1:219" x14ac:dyDescent="0.25">
      <c r="A259" s="30">
        <v>0.39573395701664765</v>
      </c>
      <c r="B259"/>
      <c r="C259"/>
      <c r="D259"/>
      <c r="E259"/>
      <c r="F259" s="27" t="s">
        <v>7</v>
      </c>
      <c r="DA259" s="27" t="s">
        <v>8</v>
      </c>
      <c r="DB259" s="27" t="s">
        <v>7</v>
      </c>
      <c r="DC259" s="27" t="s">
        <v>8</v>
      </c>
      <c r="DE259" s="27" t="s">
        <v>8</v>
      </c>
      <c r="DF259" s="27" t="s">
        <v>7</v>
      </c>
      <c r="DI259" s="27" t="s">
        <v>8</v>
      </c>
      <c r="DK259" s="27" t="s">
        <v>8</v>
      </c>
      <c r="DZ259" s="27" t="s">
        <v>7</v>
      </c>
      <c r="EA259" s="27" t="s">
        <v>8</v>
      </c>
      <c r="ED259" s="27" t="s">
        <v>7</v>
      </c>
      <c r="GE259" s="27" t="s">
        <v>8</v>
      </c>
      <c r="GF259" s="27" t="s">
        <v>7</v>
      </c>
      <c r="GG259" s="27" t="s">
        <v>8</v>
      </c>
      <c r="GR259" s="27" t="s">
        <v>7</v>
      </c>
      <c r="GU259" s="27" t="s">
        <v>8</v>
      </c>
      <c r="GV259" s="27" t="s">
        <v>7</v>
      </c>
      <c r="HC259" s="27" t="s">
        <v>8</v>
      </c>
      <c r="HD259" s="27" t="s">
        <v>7</v>
      </c>
      <c r="HE259" s="27" t="s">
        <v>8</v>
      </c>
      <c r="HF259" s="27" t="s">
        <v>7</v>
      </c>
    </row>
    <row r="260" spans="1:219" x14ac:dyDescent="0.25">
      <c r="A260" s="30">
        <v>0.37688948287299762</v>
      </c>
      <c r="B260"/>
      <c r="C260"/>
      <c r="D260"/>
      <c r="E260"/>
      <c r="F260" s="27" t="s">
        <v>7</v>
      </c>
      <c r="DA260" s="27" t="s">
        <v>8</v>
      </c>
      <c r="DB260" s="27" t="s">
        <v>7</v>
      </c>
      <c r="DC260" s="27" t="s">
        <v>8</v>
      </c>
      <c r="DD260" s="27" t="s">
        <v>7</v>
      </c>
      <c r="DE260" s="27" t="s">
        <v>8</v>
      </c>
      <c r="DF260" s="27" t="s">
        <v>7</v>
      </c>
      <c r="DI260" s="27" t="s">
        <v>8</v>
      </c>
      <c r="DJ260" s="27" t="s">
        <v>7</v>
      </c>
      <c r="DK260" s="27" t="s">
        <v>8</v>
      </c>
      <c r="DZ260" s="27" t="s">
        <v>7</v>
      </c>
      <c r="ED260" s="27" t="s">
        <v>7</v>
      </c>
      <c r="FQ260" s="27" t="s">
        <v>8</v>
      </c>
      <c r="GE260" s="27" t="s">
        <v>8</v>
      </c>
      <c r="GF260" s="27" t="s">
        <v>7</v>
      </c>
      <c r="GG260" s="27" t="s">
        <v>8</v>
      </c>
      <c r="GR260" s="27" t="s">
        <v>7</v>
      </c>
      <c r="GU260" s="27" t="s">
        <v>8</v>
      </c>
      <c r="GV260" s="27" t="s">
        <v>7</v>
      </c>
      <c r="GY260" s="27" t="s">
        <v>8</v>
      </c>
      <c r="HA260" s="27" t="s">
        <v>8</v>
      </c>
      <c r="HC260" s="27" t="s">
        <v>8</v>
      </c>
      <c r="HD260" s="27" t="s">
        <v>7</v>
      </c>
      <c r="HF260" s="27" t="s">
        <v>7</v>
      </c>
    </row>
    <row r="261" spans="1:219" x14ac:dyDescent="0.25">
      <c r="A261" s="30">
        <v>0.35894236464094997</v>
      </c>
      <c r="B261"/>
      <c r="C261"/>
      <c r="D261"/>
      <c r="E261"/>
      <c r="F261" s="27" t="s">
        <v>7</v>
      </c>
      <c r="DA261" s="27" t="s">
        <v>8</v>
      </c>
      <c r="DB261" s="27" t="s">
        <v>7</v>
      </c>
      <c r="DC261" s="27" t="s">
        <v>8</v>
      </c>
      <c r="DD261" s="27" t="s">
        <v>7</v>
      </c>
      <c r="DE261" s="27" t="s">
        <v>8</v>
      </c>
      <c r="DF261" s="27" t="s">
        <v>7</v>
      </c>
      <c r="DI261" s="27" t="s">
        <v>8</v>
      </c>
      <c r="DJ261" s="27" t="s">
        <v>7</v>
      </c>
      <c r="DK261" s="27" t="s">
        <v>8</v>
      </c>
      <c r="ED261" s="27" t="s">
        <v>7</v>
      </c>
      <c r="FO261" s="27" t="s">
        <v>8</v>
      </c>
      <c r="FQ261" s="27" t="s">
        <v>8</v>
      </c>
      <c r="FR261" s="27" t="s">
        <v>7</v>
      </c>
      <c r="FY261" s="27" t="s">
        <v>8</v>
      </c>
      <c r="GE261" s="27" t="s">
        <v>8</v>
      </c>
      <c r="GF261" s="27" t="s">
        <v>7</v>
      </c>
      <c r="GG261" s="27" t="s">
        <v>8</v>
      </c>
      <c r="GR261" s="27" t="s">
        <v>7</v>
      </c>
      <c r="GS261" s="27" t="s">
        <v>8</v>
      </c>
      <c r="GU261" s="27" t="s">
        <v>8</v>
      </c>
      <c r="GV261" s="27" t="s">
        <v>7</v>
      </c>
      <c r="GY261" s="27" t="s">
        <v>8</v>
      </c>
      <c r="GZ261" s="27" t="s">
        <v>7</v>
      </c>
      <c r="HA261" s="27" t="s">
        <v>8</v>
      </c>
      <c r="HB261" s="27" t="s">
        <v>7</v>
      </c>
      <c r="HC261" s="27" t="s">
        <v>8</v>
      </c>
      <c r="HF261" s="27" t="s">
        <v>7</v>
      </c>
      <c r="HG261" s="27" t="s">
        <v>8</v>
      </c>
    </row>
    <row r="262" spans="1:219" x14ac:dyDescent="0.25">
      <c r="A262" s="30">
        <v>0.34184987108661891</v>
      </c>
      <c r="B262"/>
      <c r="C262"/>
      <c r="D262"/>
      <c r="E262"/>
      <c r="F262" s="27" t="s">
        <v>7</v>
      </c>
      <c r="CY262" s="27" t="s">
        <v>8</v>
      </c>
      <c r="DA262" s="27" t="s">
        <v>8</v>
      </c>
      <c r="DB262" s="27" t="s">
        <v>7</v>
      </c>
      <c r="DC262" s="27" t="s">
        <v>8</v>
      </c>
      <c r="DD262" s="27" t="s">
        <v>7</v>
      </c>
      <c r="DF262" s="27" t="s">
        <v>7</v>
      </c>
      <c r="DI262" s="27" t="s">
        <v>8</v>
      </c>
      <c r="DJ262" s="27" t="s">
        <v>7</v>
      </c>
      <c r="ED262" s="27" t="s">
        <v>7</v>
      </c>
      <c r="FI262" s="27" t="s">
        <v>8</v>
      </c>
      <c r="FK262" s="27" t="s">
        <v>8</v>
      </c>
      <c r="FO262" s="27" t="s">
        <v>8</v>
      </c>
      <c r="FP262" s="27" t="s">
        <v>7</v>
      </c>
      <c r="FQ262" s="27" t="s">
        <v>8</v>
      </c>
      <c r="FR262" s="27" t="s">
        <v>7</v>
      </c>
      <c r="FU262" s="27" t="s">
        <v>8</v>
      </c>
      <c r="FY262" s="27" t="s">
        <v>8</v>
      </c>
      <c r="FZ262" s="27" t="s">
        <v>7</v>
      </c>
      <c r="GE262" s="27" t="s">
        <v>8</v>
      </c>
      <c r="GF262" s="27" t="s">
        <v>7</v>
      </c>
      <c r="GG262" s="27" t="s">
        <v>8</v>
      </c>
      <c r="GR262" s="27" t="s">
        <v>7</v>
      </c>
      <c r="GS262" s="27" t="s">
        <v>8</v>
      </c>
      <c r="GT262" s="27" t="s">
        <v>7</v>
      </c>
      <c r="GU262" s="27" t="s">
        <v>8</v>
      </c>
      <c r="GV262" s="27" t="s">
        <v>7</v>
      </c>
      <c r="GW262" s="27" t="s">
        <v>8</v>
      </c>
      <c r="GY262" s="27" t="s">
        <v>8</v>
      </c>
      <c r="GZ262" s="27" t="s">
        <v>7</v>
      </c>
      <c r="HA262" s="27" t="s">
        <v>8</v>
      </c>
      <c r="HB262" s="27" t="s">
        <v>7</v>
      </c>
      <c r="HC262" s="27" t="s">
        <v>8</v>
      </c>
      <c r="HF262" s="27" t="s">
        <v>7</v>
      </c>
      <c r="HG262" s="27" t="s">
        <v>8</v>
      </c>
      <c r="HH262" s="27" t="s">
        <v>7</v>
      </c>
    </row>
    <row r="263" spans="1:219" x14ac:dyDescent="0.25">
      <c r="A263" s="30">
        <v>0.32557130579677979</v>
      </c>
      <c r="B263"/>
      <c r="C263"/>
      <c r="D263"/>
      <c r="E263"/>
      <c r="F263" s="27" t="s">
        <v>7</v>
      </c>
      <c r="CY263" s="27" t="s">
        <v>8</v>
      </c>
      <c r="CZ263" s="27" t="s">
        <v>7</v>
      </c>
      <c r="DA263" s="27" t="s">
        <v>8</v>
      </c>
      <c r="DB263" s="27" t="s">
        <v>7</v>
      </c>
      <c r="DF263" s="27" t="s">
        <v>7</v>
      </c>
      <c r="DG263" s="27" t="s">
        <v>8</v>
      </c>
      <c r="DI263" s="27" t="s">
        <v>8</v>
      </c>
      <c r="ED263" s="27" t="s">
        <v>7</v>
      </c>
      <c r="FG263" s="27" t="s">
        <v>8</v>
      </c>
      <c r="FI263" s="27" t="s">
        <v>8</v>
      </c>
      <c r="FJ263" s="27" t="s">
        <v>7</v>
      </c>
      <c r="FK263" s="27" t="s">
        <v>8</v>
      </c>
      <c r="FL263" s="27" t="s">
        <v>7</v>
      </c>
      <c r="FM263" s="27" t="s">
        <v>8</v>
      </c>
      <c r="FO263" s="27" t="s">
        <v>8</v>
      </c>
      <c r="FP263" s="27" t="s">
        <v>7</v>
      </c>
      <c r="FQ263" s="27" t="s">
        <v>8</v>
      </c>
      <c r="FR263" s="27" t="s">
        <v>7</v>
      </c>
      <c r="FS263" s="27" t="s">
        <v>8</v>
      </c>
      <c r="FU263" s="27" t="s">
        <v>8</v>
      </c>
      <c r="FV263" s="27" t="s">
        <v>7</v>
      </c>
      <c r="FY263" s="27" t="s">
        <v>8</v>
      </c>
      <c r="FZ263" s="27" t="s">
        <v>7</v>
      </c>
      <c r="GC263" s="27" t="s">
        <v>8</v>
      </c>
      <c r="GE263" s="27" t="s">
        <v>8</v>
      </c>
      <c r="GF263" s="27" t="s">
        <v>7</v>
      </c>
      <c r="GR263" s="27" t="s">
        <v>7</v>
      </c>
      <c r="GS263" s="27" t="s">
        <v>8</v>
      </c>
      <c r="GT263" s="27" t="s">
        <v>7</v>
      </c>
      <c r="GU263" s="27" t="s">
        <v>8</v>
      </c>
      <c r="GV263" s="27" t="s">
        <v>7</v>
      </c>
      <c r="GW263" s="27" t="s">
        <v>8</v>
      </c>
      <c r="GX263" s="27" t="s">
        <v>7</v>
      </c>
      <c r="GY263" s="27" t="s">
        <v>8</v>
      </c>
      <c r="GZ263" s="27" t="s">
        <v>7</v>
      </c>
      <c r="HB263" s="27" t="s">
        <v>7</v>
      </c>
      <c r="HF263" s="27" t="s">
        <v>7</v>
      </c>
      <c r="HG263" s="27" t="s">
        <v>8</v>
      </c>
      <c r="HH263" s="27" t="s">
        <v>7</v>
      </c>
    </row>
    <row r="264" spans="1:219" x14ac:dyDescent="0.25">
      <c r="A264" s="30">
        <v>0.3100679102826473</v>
      </c>
      <c r="B264"/>
      <c r="C264"/>
      <c r="D264"/>
      <c r="E264"/>
      <c r="F264" s="27" t="s">
        <v>7</v>
      </c>
      <c r="CY264" s="27" t="s">
        <v>8</v>
      </c>
      <c r="CZ264" s="27" t="s">
        <v>7</v>
      </c>
      <c r="DA264" s="27" t="s">
        <v>8</v>
      </c>
      <c r="DF264" s="27" t="s">
        <v>7</v>
      </c>
      <c r="DG264" s="27" t="s">
        <v>8</v>
      </c>
      <c r="DH264" s="27" t="s">
        <v>7</v>
      </c>
      <c r="DI264" s="27" t="s">
        <v>8</v>
      </c>
      <c r="ED264" s="27" t="s">
        <v>7</v>
      </c>
      <c r="EE264" s="27" t="s">
        <v>8</v>
      </c>
      <c r="EM264" s="27" t="s">
        <v>8</v>
      </c>
      <c r="FC264" s="27" t="s">
        <v>8</v>
      </c>
      <c r="FG264" s="27" t="s">
        <v>8</v>
      </c>
      <c r="FH264" s="27" t="s">
        <v>7</v>
      </c>
      <c r="FI264" s="27" t="s">
        <v>8</v>
      </c>
      <c r="FJ264" s="27" t="s">
        <v>7</v>
      </c>
      <c r="FK264" s="27" t="s">
        <v>8</v>
      </c>
      <c r="FL264" s="27" t="s">
        <v>7</v>
      </c>
      <c r="FM264" s="27" t="s">
        <v>8</v>
      </c>
      <c r="FN264" s="27" t="s">
        <v>7</v>
      </c>
      <c r="FO264" s="27" t="s">
        <v>8</v>
      </c>
      <c r="FP264" s="27" t="s">
        <v>7</v>
      </c>
      <c r="FQ264" s="27" t="s">
        <v>8</v>
      </c>
      <c r="FR264" s="27" t="s">
        <v>7</v>
      </c>
      <c r="FS264" s="27" t="s">
        <v>8</v>
      </c>
      <c r="FT264" s="27" t="s">
        <v>7</v>
      </c>
      <c r="FU264" s="27" t="s">
        <v>8</v>
      </c>
      <c r="FV264" s="27" t="s">
        <v>7</v>
      </c>
      <c r="FY264" s="27" t="s">
        <v>8</v>
      </c>
      <c r="FZ264" s="27" t="s">
        <v>7</v>
      </c>
      <c r="GA264" s="27" t="s">
        <v>8</v>
      </c>
      <c r="GC264" s="27" t="s">
        <v>8</v>
      </c>
      <c r="GD264" s="27" t="s">
        <v>7</v>
      </c>
      <c r="GE264" s="27" t="s">
        <v>8</v>
      </c>
      <c r="GR264" s="27" t="s">
        <v>7</v>
      </c>
      <c r="GS264" s="27" t="s">
        <v>8</v>
      </c>
      <c r="GT264" s="27" t="s">
        <v>7</v>
      </c>
      <c r="GU264" s="27" t="s">
        <v>8</v>
      </c>
      <c r="GV264" s="27" t="s">
        <v>7</v>
      </c>
      <c r="GW264" s="27" t="s">
        <v>8</v>
      </c>
      <c r="GX264" s="27" t="s">
        <v>7</v>
      </c>
      <c r="GY264" s="27" t="s">
        <v>8</v>
      </c>
      <c r="HF264" s="27" t="s">
        <v>7</v>
      </c>
      <c r="HG264" s="27" t="s">
        <v>8</v>
      </c>
      <c r="HH264" s="27" t="s">
        <v>7</v>
      </c>
    </row>
    <row r="265" spans="1:219" x14ac:dyDescent="0.25">
      <c r="A265" s="30">
        <v>0.2953027716977592</v>
      </c>
      <c r="B265"/>
      <c r="C265"/>
      <c r="D265"/>
      <c r="E265"/>
      <c r="F265" s="27" t="s">
        <v>7</v>
      </c>
      <c r="CY265" s="27" t="s">
        <v>8</v>
      </c>
      <c r="CZ265" s="27" t="s">
        <v>7</v>
      </c>
      <c r="DF265" s="27" t="s">
        <v>7</v>
      </c>
      <c r="DG265" s="27" t="s">
        <v>8</v>
      </c>
      <c r="DH265" s="27" t="s">
        <v>7</v>
      </c>
      <c r="DI265" s="27" t="s">
        <v>8</v>
      </c>
      <c r="ED265" s="27" t="s">
        <v>7</v>
      </c>
      <c r="EE265" s="27" t="s">
        <v>8</v>
      </c>
      <c r="EF265" s="27" t="s">
        <v>7</v>
      </c>
      <c r="EM265" s="27" t="s">
        <v>8</v>
      </c>
      <c r="EN265" s="27" t="s">
        <v>7</v>
      </c>
      <c r="FC265" s="27" t="s">
        <v>8</v>
      </c>
      <c r="FD265" s="27" t="s">
        <v>7</v>
      </c>
      <c r="FE265" s="27" t="s">
        <v>8</v>
      </c>
      <c r="FG265" s="27" t="s">
        <v>8</v>
      </c>
      <c r="FH265" s="27" t="s">
        <v>7</v>
      </c>
      <c r="FI265" s="27" t="s">
        <v>8</v>
      </c>
      <c r="FJ265" s="27" t="s">
        <v>7</v>
      </c>
      <c r="FK265" s="27" t="s">
        <v>8</v>
      </c>
      <c r="FL265" s="27" t="s">
        <v>7</v>
      </c>
      <c r="FM265" s="27" t="s">
        <v>8</v>
      </c>
      <c r="FN265" s="27" t="s">
        <v>7</v>
      </c>
      <c r="FO265" s="27" t="s">
        <v>8</v>
      </c>
      <c r="FP265" s="27" t="s">
        <v>7</v>
      </c>
      <c r="FR265" s="27" t="s">
        <v>7</v>
      </c>
      <c r="FS265" s="27" t="s">
        <v>8</v>
      </c>
      <c r="FT265" s="27" t="s">
        <v>7</v>
      </c>
      <c r="FU265" s="27" t="s">
        <v>8</v>
      </c>
      <c r="FV265" s="27" t="s">
        <v>7</v>
      </c>
      <c r="FY265" s="27" t="s">
        <v>8</v>
      </c>
      <c r="FZ265" s="27" t="s">
        <v>7</v>
      </c>
      <c r="GA265" s="27" t="s">
        <v>8</v>
      </c>
      <c r="GB265" s="27" t="s">
        <v>7</v>
      </c>
      <c r="GC265" s="27" t="s">
        <v>8</v>
      </c>
      <c r="GD265" s="27" t="s">
        <v>7</v>
      </c>
      <c r="GE265" s="27" t="s">
        <v>8</v>
      </c>
      <c r="GR265" s="27" t="s">
        <v>7</v>
      </c>
      <c r="GT265" s="27" t="s">
        <v>7</v>
      </c>
      <c r="GU265" s="27" t="s">
        <v>8</v>
      </c>
      <c r="GV265" s="27" t="s">
        <v>7</v>
      </c>
      <c r="GX265" s="27" t="s">
        <v>7</v>
      </c>
      <c r="HF265" s="27" t="s">
        <v>7</v>
      </c>
      <c r="HH265" s="27" t="s">
        <v>7</v>
      </c>
    </row>
    <row r="266" spans="1:219" x14ac:dyDescent="0.25">
      <c r="A266" s="30">
        <v>0.28124073495024676</v>
      </c>
      <c r="B266"/>
      <c r="C266"/>
      <c r="D266"/>
      <c r="E266"/>
      <c r="F266" s="27" t="s">
        <v>7</v>
      </c>
      <c r="CY266" s="27" t="s">
        <v>8</v>
      </c>
      <c r="DF266" s="27" t="s">
        <v>7</v>
      </c>
      <c r="DG266" s="27" t="s">
        <v>8</v>
      </c>
      <c r="DH266" s="27" t="s">
        <v>7</v>
      </c>
      <c r="DI266" s="27" t="s">
        <v>8</v>
      </c>
      <c r="ED266" s="27" t="s">
        <v>7</v>
      </c>
      <c r="EE266" s="27" t="s">
        <v>8</v>
      </c>
      <c r="EF266" s="27" t="s">
        <v>7</v>
      </c>
      <c r="EK266" s="27" t="s">
        <v>8</v>
      </c>
      <c r="EM266" s="27" t="s">
        <v>8</v>
      </c>
      <c r="EN266" s="27" t="s">
        <v>7</v>
      </c>
      <c r="FC266" s="27" t="s">
        <v>8</v>
      </c>
      <c r="FD266" s="27" t="s">
        <v>7</v>
      </c>
      <c r="FE266" s="27" t="s">
        <v>8</v>
      </c>
      <c r="FF266" s="27" t="s">
        <v>7</v>
      </c>
      <c r="FG266" s="27" t="s">
        <v>8</v>
      </c>
      <c r="FH266" s="27" t="s">
        <v>7</v>
      </c>
      <c r="FI266" s="27" t="s">
        <v>8</v>
      </c>
      <c r="FJ266" s="27" t="s">
        <v>7</v>
      </c>
      <c r="FL266" s="27" t="s">
        <v>7</v>
      </c>
      <c r="FM266" s="27" t="s">
        <v>8</v>
      </c>
      <c r="FN266" s="27" t="s">
        <v>7</v>
      </c>
      <c r="FO266" s="27" t="s">
        <v>8</v>
      </c>
      <c r="FR266" s="27" t="s">
        <v>7</v>
      </c>
      <c r="FS266" s="27" t="s">
        <v>8</v>
      </c>
      <c r="FT266" s="27" t="s">
        <v>7</v>
      </c>
      <c r="FV266" s="27" t="s">
        <v>7</v>
      </c>
      <c r="FW266" s="27" t="s">
        <v>8</v>
      </c>
      <c r="FY266" s="27" t="s">
        <v>8</v>
      </c>
      <c r="FZ266" s="27" t="s">
        <v>7</v>
      </c>
      <c r="GA266" s="27" t="s">
        <v>8</v>
      </c>
      <c r="GB266" s="27" t="s">
        <v>7</v>
      </c>
      <c r="GC266" s="27" t="s">
        <v>8</v>
      </c>
      <c r="GD266" s="27" t="s">
        <v>7</v>
      </c>
      <c r="GE266" s="27" t="s">
        <v>8</v>
      </c>
      <c r="GT266" s="27" t="s">
        <v>7</v>
      </c>
      <c r="HH266" s="27" t="s">
        <v>7</v>
      </c>
    </row>
    <row r="267" spans="1:219" x14ac:dyDescent="0.25">
      <c r="A267" s="30">
        <v>0.26784831900023492</v>
      </c>
      <c r="B267"/>
      <c r="C267"/>
      <c r="D267"/>
      <c r="E267"/>
      <c r="F267" s="27" t="s">
        <v>7</v>
      </c>
      <c r="CQ267" s="27" t="s">
        <v>8</v>
      </c>
      <c r="CW267" s="27" t="s">
        <v>8</v>
      </c>
      <c r="CY267" s="27" t="s">
        <v>8</v>
      </c>
      <c r="DF267" s="27" t="s">
        <v>7</v>
      </c>
      <c r="DG267" s="27" t="s">
        <v>8</v>
      </c>
      <c r="DH267" s="27" t="s">
        <v>7</v>
      </c>
      <c r="ED267" s="27" t="s">
        <v>7</v>
      </c>
      <c r="EE267" s="27" t="s">
        <v>8</v>
      </c>
      <c r="EF267" s="27" t="s">
        <v>7</v>
      </c>
      <c r="EG267" s="27" t="s">
        <v>8</v>
      </c>
      <c r="EK267" s="27" t="s">
        <v>8</v>
      </c>
      <c r="EL267" s="27" t="s">
        <v>7</v>
      </c>
      <c r="EM267" s="27" t="s">
        <v>8</v>
      </c>
      <c r="EN267" s="27" t="s">
        <v>7</v>
      </c>
      <c r="EO267" s="27" t="s">
        <v>8</v>
      </c>
      <c r="FC267" s="27" t="s">
        <v>8</v>
      </c>
      <c r="FD267" s="27" t="s">
        <v>7</v>
      </c>
      <c r="FE267" s="27" t="s">
        <v>8</v>
      </c>
      <c r="FF267" s="27" t="s">
        <v>7</v>
      </c>
      <c r="FG267" s="27" t="s">
        <v>8</v>
      </c>
      <c r="FH267" s="27" t="s">
        <v>7</v>
      </c>
      <c r="FL267" s="27" t="s">
        <v>7</v>
      </c>
      <c r="FN267" s="27" t="s">
        <v>7</v>
      </c>
      <c r="FO267" s="27" t="s">
        <v>8</v>
      </c>
      <c r="FR267" s="27" t="s">
        <v>7</v>
      </c>
      <c r="FV267" s="27" t="s">
        <v>7</v>
      </c>
      <c r="FW267" s="27" t="s">
        <v>8</v>
      </c>
      <c r="FX267" s="27" t="s">
        <v>7</v>
      </c>
      <c r="FY267" s="27" t="s">
        <v>8</v>
      </c>
      <c r="FZ267" s="27" t="s">
        <v>7</v>
      </c>
      <c r="GA267" s="27" t="s">
        <v>8</v>
      </c>
      <c r="GB267" s="27" t="s">
        <v>7</v>
      </c>
      <c r="GD267" s="27" t="s">
        <v>7</v>
      </c>
      <c r="GE267" s="27" t="s">
        <v>8</v>
      </c>
      <c r="HH267" s="27" t="s">
        <v>7</v>
      </c>
    </row>
    <row r="268" spans="1:219" x14ac:dyDescent="0.25">
      <c r="A268" s="30">
        <v>0.25509363714308075</v>
      </c>
      <c r="B268"/>
      <c r="C268"/>
      <c r="D268"/>
      <c r="E268"/>
      <c r="F268" s="27" t="s">
        <v>7</v>
      </c>
      <c r="CQ268" s="27" t="s">
        <v>8</v>
      </c>
      <c r="CR268" s="27" t="s">
        <v>7</v>
      </c>
      <c r="CW268" s="27" t="s">
        <v>8</v>
      </c>
      <c r="CX268" s="27" t="s">
        <v>7</v>
      </c>
      <c r="CY268" s="27" t="s">
        <v>8</v>
      </c>
      <c r="DF268" s="27" t="s">
        <v>7</v>
      </c>
      <c r="DG268" s="27" t="s">
        <v>8</v>
      </c>
      <c r="ED268" s="27" t="s">
        <v>7</v>
      </c>
      <c r="EE268" s="27" t="s">
        <v>8</v>
      </c>
      <c r="EF268" s="27" t="s">
        <v>7</v>
      </c>
      <c r="EG268" s="27" t="s">
        <v>8</v>
      </c>
      <c r="EH268" s="27" t="s">
        <v>7</v>
      </c>
      <c r="EI268" s="27" t="s">
        <v>8</v>
      </c>
      <c r="EK268" s="27" t="s">
        <v>8</v>
      </c>
      <c r="EL268" s="27" t="s">
        <v>7</v>
      </c>
      <c r="EM268" s="27" t="s">
        <v>8</v>
      </c>
      <c r="EN268" s="27" t="s">
        <v>7</v>
      </c>
      <c r="EO268" s="27" t="s">
        <v>8</v>
      </c>
      <c r="EP268" s="27" t="s">
        <v>7</v>
      </c>
      <c r="FA268" s="27" t="s">
        <v>8</v>
      </c>
      <c r="FC268" s="27" t="s">
        <v>8</v>
      </c>
      <c r="FD268" s="27" t="s">
        <v>7</v>
      </c>
      <c r="FE268" s="27" t="s">
        <v>8</v>
      </c>
      <c r="FF268" s="27" t="s">
        <v>7</v>
      </c>
      <c r="FN268" s="27" t="s">
        <v>7</v>
      </c>
      <c r="FV268" s="27" t="s">
        <v>7</v>
      </c>
      <c r="FW268" s="27" t="s">
        <v>8</v>
      </c>
      <c r="FX268" s="27" t="s">
        <v>7</v>
      </c>
      <c r="FY268" s="27" t="s">
        <v>8</v>
      </c>
      <c r="FZ268" s="27" t="s">
        <v>7</v>
      </c>
      <c r="GA268" s="27" t="s">
        <v>8</v>
      </c>
      <c r="GD268" s="27" t="s">
        <v>7</v>
      </c>
      <c r="HH268" s="27" t="s">
        <v>7</v>
      </c>
    </row>
    <row r="269" spans="1:219" x14ac:dyDescent="0.25">
      <c r="A269" s="30">
        <v>0.24294632108864825</v>
      </c>
      <c r="B269"/>
      <c r="C269"/>
      <c r="D269"/>
      <c r="E269"/>
      <c r="F269" s="27" t="s">
        <v>7</v>
      </c>
      <c r="CM269" s="27" t="s">
        <v>8</v>
      </c>
      <c r="CQ269" s="27" t="s">
        <v>8</v>
      </c>
      <c r="CR269" s="27" t="s">
        <v>7</v>
      </c>
      <c r="CS269" s="27" t="s">
        <v>8</v>
      </c>
      <c r="CW269" s="27" t="s">
        <v>8</v>
      </c>
      <c r="CX269" s="27" t="s">
        <v>7</v>
      </c>
      <c r="CY269" s="27" t="s">
        <v>8</v>
      </c>
      <c r="DF269" s="27" t="s">
        <v>7</v>
      </c>
      <c r="ED269" s="27" t="s">
        <v>7</v>
      </c>
      <c r="EE269" s="27" t="s">
        <v>8</v>
      </c>
      <c r="EF269" s="27" t="s">
        <v>7</v>
      </c>
      <c r="EG269" s="27" t="s">
        <v>8</v>
      </c>
      <c r="EH269" s="27" t="s">
        <v>7</v>
      </c>
      <c r="EI269" s="27" t="s">
        <v>8</v>
      </c>
      <c r="EJ269" s="27" t="s">
        <v>7</v>
      </c>
      <c r="EK269" s="27" t="s">
        <v>8</v>
      </c>
      <c r="EL269" s="27" t="s">
        <v>7</v>
      </c>
      <c r="EM269" s="27" t="s">
        <v>8</v>
      </c>
      <c r="EN269" s="27" t="s">
        <v>7</v>
      </c>
      <c r="EO269" s="27" t="s">
        <v>8</v>
      </c>
      <c r="EP269" s="27" t="s">
        <v>7</v>
      </c>
      <c r="FA269" s="27" t="s">
        <v>8</v>
      </c>
      <c r="FB269" s="27" t="s">
        <v>7</v>
      </c>
      <c r="FC269" s="27" t="s">
        <v>8</v>
      </c>
      <c r="FD269" s="27" t="s">
        <v>7</v>
      </c>
      <c r="FE269" s="27" t="s">
        <v>8</v>
      </c>
      <c r="FV269" s="27" t="s">
        <v>7</v>
      </c>
      <c r="FW269" s="27" t="s">
        <v>8</v>
      </c>
      <c r="FX269" s="27" t="s">
        <v>7</v>
      </c>
      <c r="FY269" s="27" t="s">
        <v>8</v>
      </c>
      <c r="FZ269" s="27" t="s">
        <v>7</v>
      </c>
      <c r="HH269" s="27" t="s">
        <v>7</v>
      </c>
    </row>
    <row r="270" spans="1:219" x14ac:dyDescent="0.25">
      <c r="A270" s="30">
        <v>0.23137744865585538</v>
      </c>
      <c r="B270"/>
      <c r="C270"/>
      <c r="D270"/>
      <c r="E270"/>
      <c r="F270" s="27" t="s">
        <v>7</v>
      </c>
      <c r="CM270" s="27" t="s">
        <v>8</v>
      </c>
      <c r="CN270" s="27" t="s">
        <v>7</v>
      </c>
      <c r="CQ270" s="27" t="s">
        <v>8</v>
      </c>
      <c r="CR270" s="27" t="s">
        <v>7</v>
      </c>
      <c r="CS270" s="27" t="s">
        <v>8</v>
      </c>
      <c r="CT270" s="27" t="s">
        <v>7</v>
      </c>
      <c r="CW270" s="27" t="s">
        <v>8</v>
      </c>
      <c r="CX270" s="27" t="s">
        <v>7</v>
      </c>
      <c r="ED270" s="27" t="s">
        <v>7</v>
      </c>
      <c r="EE270" s="27" t="s">
        <v>8</v>
      </c>
      <c r="EF270" s="27" t="s">
        <v>7</v>
      </c>
      <c r="EG270" s="27" t="s">
        <v>8</v>
      </c>
      <c r="EH270" s="27" t="s">
        <v>7</v>
      </c>
      <c r="EI270" s="27" t="s">
        <v>8</v>
      </c>
      <c r="EJ270" s="27" t="s">
        <v>7</v>
      </c>
      <c r="EK270" s="27" t="s">
        <v>8</v>
      </c>
      <c r="EL270" s="27" t="s">
        <v>7</v>
      </c>
      <c r="EM270" s="27" t="s">
        <v>8</v>
      </c>
      <c r="EN270" s="27" t="s">
        <v>7</v>
      </c>
      <c r="EO270" s="27" t="s">
        <v>8</v>
      </c>
      <c r="EP270" s="27" t="s">
        <v>7</v>
      </c>
      <c r="FA270" s="27" t="s">
        <v>8</v>
      </c>
      <c r="FB270" s="27" t="s">
        <v>7</v>
      </c>
      <c r="FC270" s="27" t="s">
        <v>8</v>
      </c>
      <c r="FD270" s="27" t="s">
        <v>7</v>
      </c>
      <c r="FV270" s="27" t="s">
        <v>7</v>
      </c>
      <c r="FW270" s="27" t="s">
        <v>8</v>
      </c>
      <c r="FX270" s="27" t="s">
        <v>7</v>
      </c>
      <c r="HH270" s="27" t="s">
        <v>7</v>
      </c>
    </row>
    <row r="271" spans="1:219" x14ac:dyDescent="0.25">
      <c r="A271" s="30">
        <v>0.22035947491033836</v>
      </c>
      <c r="B271"/>
      <c r="C271"/>
      <c r="D271"/>
      <c r="E271"/>
      <c r="F271" s="27" t="s">
        <v>7</v>
      </c>
      <c r="CM271" s="27" t="s">
        <v>8</v>
      </c>
      <c r="CN271" s="27" t="s">
        <v>7</v>
      </c>
      <c r="CQ271" s="27" t="s">
        <v>8</v>
      </c>
      <c r="CR271" s="27" t="s">
        <v>7</v>
      </c>
      <c r="CS271" s="27" t="s">
        <v>8</v>
      </c>
      <c r="CT271" s="27" t="s">
        <v>7</v>
      </c>
      <c r="CU271" s="27" t="s">
        <v>8</v>
      </c>
      <c r="CW271" s="27" t="s">
        <v>8</v>
      </c>
      <c r="ED271" s="27" t="s">
        <v>7</v>
      </c>
      <c r="EE271" s="27" t="s">
        <v>8</v>
      </c>
      <c r="EF271" s="27" t="s">
        <v>7</v>
      </c>
      <c r="EG271" s="27" t="s">
        <v>8</v>
      </c>
      <c r="EH271" s="27" t="s">
        <v>7</v>
      </c>
      <c r="EI271" s="27" t="s">
        <v>8</v>
      </c>
      <c r="EJ271" s="27" t="s">
        <v>7</v>
      </c>
      <c r="EK271" s="27" t="s">
        <v>8</v>
      </c>
      <c r="EL271" s="27" t="s">
        <v>7</v>
      </c>
      <c r="EM271" s="27" t="s">
        <v>8</v>
      </c>
      <c r="EN271" s="27" t="s">
        <v>7</v>
      </c>
      <c r="EO271" s="27" t="s">
        <v>8</v>
      </c>
      <c r="EP271" s="27" t="s">
        <v>7</v>
      </c>
      <c r="FA271" s="27" t="s">
        <v>8</v>
      </c>
      <c r="FB271" s="27" t="s">
        <v>7</v>
      </c>
      <c r="FC271" s="27" t="s">
        <v>8</v>
      </c>
      <c r="FV271" s="27" t="s">
        <v>7</v>
      </c>
      <c r="HH271" s="27" t="s">
        <v>7</v>
      </c>
      <c r="HK271" s="27" t="s">
        <v>8</v>
      </c>
    </row>
    <row r="272" spans="1:219" x14ac:dyDescent="0.25">
      <c r="A272" s="30">
        <v>0.20986616658127455</v>
      </c>
      <c r="B272"/>
      <c r="C272"/>
      <c r="D272"/>
      <c r="E272"/>
      <c r="F272" s="27" t="s">
        <v>7</v>
      </c>
      <c r="CM272" s="27" t="s">
        <v>8</v>
      </c>
      <c r="CN272" s="27" t="s">
        <v>7</v>
      </c>
      <c r="CQ272" s="27" t="s">
        <v>8</v>
      </c>
      <c r="CR272" s="27" t="s">
        <v>7</v>
      </c>
      <c r="CS272" s="27" t="s">
        <v>8</v>
      </c>
      <c r="CT272" s="27" t="s">
        <v>7</v>
      </c>
      <c r="CU272" s="27" t="s">
        <v>8</v>
      </c>
      <c r="CV272" s="27" t="s">
        <v>7</v>
      </c>
      <c r="CW272" s="27" t="s">
        <v>8</v>
      </c>
      <c r="ED272" s="27" t="s">
        <v>7</v>
      </c>
      <c r="EE272" s="27" t="s">
        <v>8</v>
      </c>
      <c r="EF272" s="27" t="s">
        <v>7</v>
      </c>
      <c r="EG272" s="27" t="s">
        <v>8</v>
      </c>
      <c r="EH272" s="27" t="s">
        <v>7</v>
      </c>
      <c r="EI272" s="27" t="s">
        <v>8</v>
      </c>
      <c r="EJ272" s="27" t="s">
        <v>7</v>
      </c>
      <c r="EL272" s="27" t="s">
        <v>7</v>
      </c>
      <c r="EM272" s="27" t="s">
        <v>8</v>
      </c>
      <c r="EN272" s="27" t="s">
        <v>7</v>
      </c>
      <c r="EP272" s="27" t="s">
        <v>7</v>
      </c>
      <c r="FA272" s="27" t="s">
        <v>8</v>
      </c>
      <c r="FB272" s="27" t="s">
        <v>7</v>
      </c>
      <c r="FC272" s="27" t="s">
        <v>8</v>
      </c>
      <c r="HH272" s="27" t="s">
        <v>7</v>
      </c>
      <c r="HI272" s="27" t="s">
        <v>8</v>
      </c>
      <c r="HK272" s="27" t="s">
        <v>8</v>
      </c>
    </row>
    <row r="273" spans="1:219" x14ac:dyDescent="0.25">
      <c r="A273" s="30">
        <v>0.19987253960121379</v>
      </c>
      <c r="B273"/>
      <c r="C273"/>
      <c r="D273"/>
      <c r="E273"/>
      <c r="F273" s="27" t="s">
        <v>7</v>
      </c>
      <c r="CM273" s="27" t="s">
        <v>8</v>
      </c>
      <c r="CN273" s="27" t="s">
        <v>7</v>
      </c>
      <c r="CO273" s="27" t="s">
        <v>8</v>
      </c>
      <c r="CQ273" s="27" t="s">
        <v>8</v>
      </c>
      <c r="CR273" s="27" t="s">
        <v>7</v>
      </c>
      <c r="CS273" s="27" t="s">
        <v>8</v>
      </c>
      <c r="CT273" s="27" t="s">
        <v>7</v>
      </c>
      <c r="CU273" s="27" t="s">
        <v>8</v>
      </c>
      <c r="CV273" s="27" t="s">
        <v>7</v>
      </c>
      <c r="CW273" s="27" t="s">
        <v>8</v>
      </c>
      <c r="ED273" s="27" t="s">
        <v>7</v>
      </c>
      <c r="EE273" s="27" t="s">
        <v>8</v>
      </c>
      <c r="EF273" s="27" t="s">
        <v>7</v>
      </c>
      <c r="EG273" s="27" t="s">
        <v>8</v>
      </c>
      <c r="EH273" s="27" t="s">
        <v>7</v>
      </c>
      <c r="EI273" s="27" t="s">
        <v>8</v>
      </c>
      <c r="EL273" s="27" t="s">
        <v>7</v>
      </c>
      <c r="EP273" s="27" t="s">
        <v>7</v>
      </c>
      <c r="EU273" s="27" t="s">
        <v>8</v>
      </c>
      <c r="FA273" s="27" t="s">
        <v>8</v>
      </c>
      <c r="FB273" s="27" t="s">
        <v>7</v>
      </c>
      <c r="FC273" s="27" t="s">
        <v>8</v>
      </c>
      <c r="HH273" s="27" t="s">
        <v>7</v>
      </c>
      <c r="HI273" s="27" t="s">
        <v>8</v>
      </c>
      <c r="HJ273" s="27" t="s">
        <v>7</v>
      </c>
      <c r="HK273" s="27" t="s">
        <v>8</v>
      </c>
    </row>
    <row r="274" spans="1:219" x14ac:dyDescent="0.25">
      <c r="A274" s="30">
        <v>0.19035479962020352</v>
      </c>
      <c r="B274"/>
      <c r="C274"/>
      <c r="D274"/>
      <c r="E274"/>
      <c r="F274" s="27" t="s">
        <v>7</v>
      </c>
      <c r="CM274" s="27" t="s">
        <v>8</v>
      </c>
      <c r="CN274" s="27" t="s">
        <v>7</v>
      </c>
      <c r="CO274" s="27" t="s">
        <v>8</v>
      </c>
      <c r="CP274" s="27" t="s">
        <v>7</v>
      </c>
      <c r="CQ274" s="27" t="s">
        <v>8</v>
      </c>
      <c r="CR274" s="27" t="s">
        <v>7</v>
      </c>
      <c r="CT274" s="27" t="s">
        <v>7</v>
      </c>
      <c r="CV274" s="27" t="s">
        <v>7</v>
      </c>
      <c r="ED274" s="27" t="s">
        <v>7</v>
      </c>
      <c r="EE274" s="27" t="s">
        <v>8</v>
      </c>
      <c r="EF274" s="27" t="s">
        <v>7</v>
      </c>
      <c r="EG274" s="27" t="s">
        <v>8</v>
      </c>
      <c r="EH274" s="27" t="s">
        <v>7</v>
      </c>
      <c r="EI274" s="27" t="s">
        <v>8</v>
      </c>
      <c r="EP274" s="27" t="s">
        <v>7</v>
      </c>
      <c r="EU274" s="27" t="s">
        <v>8</v>
      </c>
      <c r="EV274" s="27" t="s">
        <v>7</v>
      </c>
      <c r="EW274" s="27" t="s">
        <v>8</v>
      </c>
      <c r="FA274" s="27" t="s">
        <v>8</v>
      </c>
      <c r="FB274" s="27" t="s">
        <v>7</v>
      </c>
      <c r="HH274" s="27" t="s">
        <v>7</v>
      </c>
      <c r="HI274" s="27" t="s">
        <v>8</v>
      </c>
      <c r="HJ274" s="27" t="s">
        <v>7</v>
      </c>
      <c r="HK274" s="27" t="s">
        <v>8</v>
      </c>
    </row>
    <row r="275" spans="1:219" x14ac:dyDescent="0.25">
      <c r="A275" s="30">
        <v>0.18129028535257471</v>
      </c>
      <c r="B275"/>
      <c r="C275"/>
      <c r="D275"/>
      <c r="E275"/>
      <c r="F275" s="27" t="s">
        <v>7</v>
      </c>
      <c r="CM275" s="27" t="s">
        <v>8</v>
      </c>
      <c r="CN275" s="27" t="s">
        <v>7</v>
      </c>
      <c r="CO275" s="27" t="s">
        <v>8</v>
      </c>
      <c r="CP275" s="27" t="s">
        <v>7</v>
      </c>
      <c r="CQ275" s="27" t="s">
        <v>8</v>
      </c>
      <c r="ED275" s="27" t="s">
        <v>7</v>
      </c>
      <c r="EF275" s="27" t="s">
        <v>7</v>
      </c>
      <c r="EG275" s="27" t="s">
        <v>8</v>
      </c>
      <c r="EH275" s="27" t="s">
        <v>7</v>
      </c>
      <c r="EP275" s="27" t="s">
        <v>7</v>
      </c>
      <c r="EQ275" s="27" t="s">
        <v>8</v>
      </c>
      <c r="ES275" s="27" t="s">
        <v>8</v>
      </c>
      <c r="EU275" s="27" t="s">
        <v>8</v>
      </c>
      <c r="EV275" s="27" t="s">
        <v>7</v>
      </c>
      <c r="EW275" s="27" t="s">
        <v>8</v>
      </c>
      <c r="EX275" s="27" t="s">
        <v>7</v>
      </c>
      <c r="EY275" s="27" t="s">
        <v>8</v>
      </c>
      <c r="FA275" s="27" t="s">
        <v>8</v>
      </c>
      <c r="HH275" s="27" t="s">
        <v>7</v>
      </c>
      <c r="HI275" s="27" t="s">
        <v>8</v>
      </c>
      <c r="HJ275" s="27" t="s">
        <v>7</v>
      </c>
      <c r="HK275" s="27" t="s">
        <v>8</v>
      </c>
    </row>
    <row r="276" spans="1:219" x14ac:dyDescent="0.25">
      <c r="A276" s="30">
        <v>0.17265741462149967</v>
      </c>
      <c r="B276"/>
      <c r="C276"/>
      <c r="D276"/>
      <c r="E276"/>
      <c r="F276" s="27" t="s">
        <v>7</v>
      </c>
      <c r="CC276" s="27" t="s">
        <v>8</v>
      </c>
      <c r="CM276" s="27" t="s">
        <v>8</v>
      </c>
      <c r="CN276" s="27" t="s">
        <v>7</v>
      </c>
      <c r="CO276" s="27" t="s">
        <v>8</v>
      </c>
      <c r="CP276" s="27" t="s">
        <v>7</v>
      </c>
      <c r="EF276" s="27" t="s">
        <v>7</v>
      </c>
      <c r="EG276" s="27" t="s">
        <v>8</v>
      </c>
      <c r="EP276" s="27" t="s">
        <v>7</v>
      </c>
      <c r="EQ276" s="27" t="s">
        <v>8</v>
      </c>
      <c r="ER276" s="27" t="s">
        <v>7</v>
      </c>
      <c r="ES276" s="27" t="s">
        <v>8</v>
      </c>
      <c r="ET276" s="27" t="s">
        <v>7</v>
      </c>
      <c r="EU276" s="27" t="s">
        <v>8</v>
      </c>
      <c r="EV276" s="27" t="s">
        <v>7</v>
      </c>
      <c r="EW276" s="27" t="s">
        <v>8</v>
      </c>
      <c r="EX276" s="27" t="s">
        <v>7</v>
      </c>
      <c r="EY276" s="27" t="s">
        <v>8</v>
      </c>
      <c r="EZ276" s="27" t="s">
        <v>7</v>
      </c>
      <c r="FA276" s="27" t="s">
        <v>8</v>
      </c>
      <c r="HH276" s="27" t="s">
        <v>7</v>
      </c>
      <c r="HJ276" s="27" t="s">
        <v>7</v>
      </c>
    </row>
    <row r="277" spans="1:219" x14ac:dyDescent="0.25">
      <c r="A277" s="30">
        <v>0.16443563297285677</v>
      </c>
      <c r="B277"/>
      <c r="C277"/>
      <c r="D277"/>
      <c r="E277"/>
      <c r="F277" s="27" t="s">
        <v>7</v>
      </c>
      <c r="CA277" s="27" t="s">
        <v>8</v>
      </c>
      <c r="CC277" s="27" t="s">
        <v>8</v>
      </c>
      <c r="CD277" s="27" t="s">
        <v>7</v>
      </c>
      <c r="CM277" s="27" t="s">
        <v>8</v>
      </c>
      <c r="CN277" s="27" t="s">
        <v>7</v>
      </c>
      <c r="EF277" s="27" t="s">
        <v>7</v>
      </c>
      <c r="EG277" s="27" t="s">
        <v>8</v>
      </c>
      <c r="EP277" s="27" t="s">
        <v>7</v>
      </c>
      <c r="EQ277" s="27" t="s">
        <v>8</v>
      </c>
      <c r="ER277" s="27" t="s">
        <v>7</v>
      </c>
      <c r="ES277" s="27" t="s">
        <v>8</v>
      </c>
      <c r="ET277" s="27" t="s">
        <v>7</v>
      </c>
      <c r="EU277" s="27" t="s">
        <v>8</v>
      </c>
      <c r="EV277" s="27" t="s">
        <v>7</v>
      </c>
      <c r="EW277" s="27" t="s">
        <v>8</v>
      </c>
      <c r="EX277" s="27" t="s">
        <v>7</v>
      </c>
      <c r="EY277" s="27" t="s">
        <v>8</v>
      </c>
      <c r="EZ277" s="27" t="s">
        <v>7</v>
      </c>
      <c r="FA277" s="27" t="s">
        <v>8</v>
      </c>
    </row>
    <row r="278" spans="1:219" x14ac:dyDescent="0.25">
      <c r="A278" s="30">
        <v>0.15660536473605399</v>
      </c>
      <c r="B278"/>
      <c r="C278"/>
      <c r="D278"/>
      <c r="E278"/>
      <c r="F278" s="27" t="s">
        <v>7</v>
      </c>
      <c r="CA278" s="27" t="s">
        <v>8</v>
      </c>
      <c r="CB278" s="27" t="s">
        <v>7</v>
      </c>
      <c r="CC278" s="27" t="s">
        <v>8</v>
      </c>
      <c r="CD278" s="27" t="s">
        <v>7</v>
      </c>
      <c r="CM278" s="27" t="s">
        <v>8</v>
      </c>
      <c r="EF278" s="27" t="s">
        <v>7</v>
      </c>
      <c r="EG278" s="27" t="s">
        <v>8</v>
      </c>
      <c r="EP278" s="27" t="s">
        <v>7</v>
      </c>
      <c r="EQ278" s="27" t="s">
        <v>8</v>
      </c>
      <c r="ER278" s="27" t="s">
        <v>7</v>
      </c>
      <c r="ET278" s="27" t="s">
        <v>7</v>
      </c>
      <c r="EV278" s="27" t="s">
        <v>7</v>
      </c>
      <c r="EX278" s="27" t="s">
        <v>7</v>
      </c>
      <c r="EY278" s="27" t="s">
        <v>8</v>
      </c>
      <c r="EZ278" s="27" t="s">
        <v>7</v>
      </c>
    </row>
    <row r="279" spans="1:219" x14ac:dyDescent="0.25">
      <c r="A279" s="30">
        <v>0.14914796641528946</v>
      </c>
      <c r="B279"/>
      <c r="C279"/>
      <c r="D279"/>
      <c r="E279"/>
      <c r="F279" s="27" t="s">
        <v>7</v>
      </c>
      <c r="CA279" s="27" t="s">
        <v>8</v>
      </c>
      <c r="CB279" s="27" t="s">
        <v>7</v>
      </c>
      <c r="CC279" s="27" t="s">
        <v>8</v>
      </c>
      <c r="CD279" s="27" t="s">
        <v>7</v>
      </c>
      <c r="CM279" s="27" t="s">
        <v>8</v>
      </c>
      <c r="EF279" s="27" t="s">
        <v>7</v>
      </c>
      <c r="EG279" s="27" t="s">
        <v>8</v>
      </c>
      <c r="EP279" s="27" t="s">
        <v>7</v>
      </c>
      <c r="EQ279" s="27" t="s">
        <v>8</v>
      </c>
      <c r="EX279" s="18" t="s">
        <v>7</v>
      </c>
      <c r="EY279" s="27" t="s">
        <v>8</v>
      </c>
    </row>
    <row r="280" spans="1:219" x14ac:dyDescent="0.25">
      <c r="A280" s="30">
        <v>0.14204568230027562</v>
      </c>
      <c r="B280"/>
      <c r="C280"/>
      <c r="D280"/>
      <c r="E280"/>
      <c r="F280" s="27" t="s">
        <v>7</v>
      </c>
      <c r="CA280" s="27" t="s">
        <v>8</v>
      </c>
      <c r="CB280" s="27" t="s">
        <v>7</v>
      </c>
      <c r="CC280" s="27" t="s">
        <v>8</v>
      </c>
      <c r="CD280" s="27" t="s">
        <v>7</v>
      </c>
      <c r="CM280" s="27" t="s">
        <v>8</v>
      </c>
      <c r="EF280" s="27" t="s">
        <v>7</v>
      </c>
      <c r="EP280" s="27" t="s">
        <v>7</v>
      </c>
      <c r="EQ280" s="27" t="s">
        <v>8</v>
      </c>
      <c r="EX280" s="27" t="s">
        <v>7</v>
      </c>
      <c r="EY280" s="27" t="s">
        <v>8</v>
      </c>
    </row>
    <row r="281" spans="1:219" x14ac:dyDescent="0.25">
      <c r="A281" s="30">
        <v>0.13528160219073862</v>
      </c>
      <c r="B281"/>
      <c r="C281"/>
      <c r="D281"/>
      <c r="E281"/>
      <c r="F281" s="27" t="s">
        <v>7</v>
      </c>
      <c r="BY281" s="27" t="s">
        <v>8</v>
      </c>
      <c r="CA281" s="27" t="s">
        <v>8</v>
      </c>
      <c r="CB281" s="27" t="s">
        <v>7</v>
      </c>
      <c r="CD281" s="27" t="s">
        <v>7</v>
      </c>
      <c r="CK281" s="27" t="s">
        <v>8</v>
      </c>
      <c r="CM281" s="27" t="s">
        <v>8</v>
      </c>
      <c r="EP281" s="27" t="s">
        <v>7</v>
      </c>
      <c r="EX281" s="27" t="s">
        <v>7</v>
      </c>
    </row>
    <row r="282" spans="1:219" x14ac:dyDescent="0.25">
      <c r="A282" s="30">
        <v>0.12883962113403674</v>
      </c>
      <c r="B282"/>
      <c r="C282"/>
      <c r="D282"/>
      <c r="E282"/>
      <c r="F282" s="27" t="s">
        <v>7</v>
      </c>
      <c r="BI282" s="27" t="s">
        <v>8</v>
      </c>
      <c r="BY282" s="27" t="s">
        <v>8</v>
      </c>
      <c r="BZ282" s="27" t="s">
        <v>7</v>
      </c>
      <c r="CA282" s="27" t="s">
        <v>8</v>
      </c>
      <c r="CD282" s="27" t="s">
        <v>7</v>
      </c>
      <c r="CK282" s="27" t="s">
        <v>8</v>
      </c>
      <c r="CL282" s="27" t="s">
        <v>7</v>
      </c>
      <c r="CM282" s="27" t="s">
        <v>8</v>
      </c>
    </row>
    <row r="283" spans="1:219" x14ac:dyDescent="0.25">
      <c r="A283" s="30">
        <v>0.12270440108003494</v>
      </c>
      <c r="B283"/>
      <c r="C283"/>
      <c r="D283"/>
      <c r="E283"/>
      <c r="F283" s="27" t="s">
        <v>7</v>
      </c>
      <c r="BI283" s="27" t="s">
        <v>8</v>
      </c>
      <c r="BJ283" s="27" t="s">
        <v>7</v>
      </c>
      <c r="BY283" s="27" t="s">
        <v>8</v>
      </c>
      <c r="BZ283" s="27" t="s">
        <v>7</v>
      </c>
      <c r="CA283" s="27" t="s">
        <v>8</v>
      </c>
      <c r="CD283" s="27" t="s">
        <v>7</v>
      </c>
      <c r="CE283" s="27" t="s">
        <v>8</v>
      </c>
      <c r="CG283" s="27" t="s">
        <v>8</v>
      </c>
      <c r="CI283" s="27" t="s">
        <v>8</v>
      </c>
      <c r="CK283" s="27" t="s">
        <v>8</v>
      </c>
      <c r="CL283" s="27" t="s">
        <v>7</v>
      </c>
      <c r="CM283" s="27" t="s">
        <v>8</v>
      </c>
    </row>
    <row r="284" spans="1:219" x14ac:dyDescent="0.25">
      <c r="A284" s="30">
        <v>0.11686133436193799</v>
      </c>
      <c r="B284"/>
      <c r="C284"/>
      <c r="D284"/>
      <c r="E284"/>
      <c r="F284" s="27" t="s">
        <v>7</v>
      </c>
      <c r="BG284" s="27" t="s">
        <v>8</v>
      </c>
      <c r="BI284" s="27" t="s">
        <v>8</v>
      </c>
      <c r="BJ284" s="27" t="s">
        <v>7</v>
      </c>
      <c r="BK284" s="27" t="s">
        <v>8</v>
      </c>
      <c r="BY284" s="27" t="s">
        <v>8</v>
      </c>
      <c r="BZ284" s="27" t="s">
        <v>7</v>
      </c>
      <c r="CD284" s="27" t="s">
        <v>7</v>
      </c>
      <c r="CE284" s="27" t="s">
        <v>8</v>
      </c>
      <c r="CF284" s="27" t="s">
        <v>7</v>
      </c>
      <c r="CG284" s="27" t="s">
        <v>8</v>
      </c>
      <c r="CH284" s="27" t="s">
        <v>7</v>
      </c>
      <c r="CI284" s="27" t="s">
        <v>8</v>
      </c>
      <c r="CJ284" s="27" t="s">
        <v>7</v>
      </c>
      <c r="CK284" s="27" t="s">
        <v>8</v>
      </c>
      <c r="CL284" s="27" t="s">
        <v>7</v>
      </c>
    </row>
    <row r="285" spans="1:219" x14ac:dyDescent="0.25">
      <c r="A285" s="30">
        <v>0.11129650891613138</v>
      </c>
      <c r="B285"/>
      <c r="C285"/>
      <c r="D285"/>
      <c r="E285"/>
      <c r="F285" s="27" t="s">
        <v>7</v>
      </c>
      <c r="BG285" s="27" t="s">
        <v>8</v>
      </c>
      <c r="BH285" s="27" t="s">
        <v>7</v>
      </c>
      <c r="BI285" s="27" t="s">
        <v>8</v>
      </c>
      <c r="BJ285" s="27" t="s">
        <v>7</v>
      </c>
      <c r="BK285" s="27" t="s">
        <v>8</v>
      </c>
      <c r="BL285" s="27" t="s">
        <v>7</v>
      </c>
      <c r="BY285" s="27" t="s">
        <v>8</v>
      </c>
      <c r="CD285" s="27" t="s">
        <v>7</v>
      </c>
      <c r="CE285" s="27" t="s">
        <v>8</v>
      </c>
      <c r="CF285" s="27" t="s">
        <v>7</v>
      </c>
      <c r="CG285" s="27" t="s">
        <v>8</v>
      </c>
      <c r="CH285" s="27" t="s">
        <v>7</v>
      </c>
      <c r="CI285" s="27" t="s">
        <v>8</v>
      </c>
      <c r="CJ285" s="27" t="s">
        <v>7</v>
      </c>
      <c r="CK285" s="27" t="s">
        <v>8</v>
      </c>
    </row>
    <row r="286" spans="1:219" x14ac:dyDescent="0.25">
      <c r="A286" s="30">
        <v>0.10599667515822032</v>
      </c>
      <c r="B286"/>
      <c r="C286"/>
      <c r="D286"/>
      <c r="E286"/>
      <c r="F286" s="27" t="s">
        <v>7</v>
      </c>
      <c r="BE286" s="27" t="s">
        <v>8</v>
      </c>
      <c r="BG286" s="27" t="s">
        <v>8</v>
      </c>
      <c r="BH286" s="27" t="s">
        <v>7</v>
      </c>
      <c r="BI286" s="27" t="s">
        <v>8</v>
      </c>
      <c r="BJ286" s="27" t="s">
        <v>7</v>
      </c>
      <c r="BK286" s="27" t="s">
        <v>8</v>
      </c>
      <c r="BL286" s="27" t="s">
        <v>7</v>
      </c>
      <c r="BW286" s="27" t="s">
        <v>8</v>
      </c>
      <c r="BY286" s="27" t="s">
        <v>8</v>
      </c>
      <c r="CD286" s="27" t="s">
        <v>7</v>
      </c>
      <c r="CF286" s="27" t="s">
        <v>7</v>
      </c>
      <c r="CG286" s="27" t="s">
        <v>8</v>
      </c>
      <c r="CH286" s="27" t="s">
        <v>7</v>
      </c>
      <c r="CI286" s="27" t="s">
        <v>8</v>
      </c>
      <c r="CJ286" s="27" t="s">
        <v>7</v>
      </c>
      <c r="CK286" s="27" t="s">
        <v>8</v>
      </c>
    </row>
    <row r="287" spans="1:219" x14ac:dyDescent="0.25">
      <c r="A287" s="30">
        <v>0.10094921443640027</v>
      </c>
      <c r="B287"/>
      <c r="C287"/>
      <c r="D287"/>
      <c r="E287"/>
      <c r="F287" s="27" t="s">
        <v>7</v>
      </c>
      <c r="BE287" s="27" t="s">
        <v>8</v>
      </c>
      <c r="BF287" s="27" t="s">
        <v>7</v>
      </c>
      <c r="BG287" s="27" t="s">
        <v>8</v>
      </c>
      <c r="BH287" s="27" t="s">
        <v>7</v>
      </c>
      <c r="BJ287" s="27" t="s">
        <v>7</v>
      </c>
      <c r="BK287" s="27" t="s">
        <v>8</v>
      </c>
      <c r="BL287" s="27" t="s">
        <v>7</v>
      </c>
      <c r="BW287" s="27" t="s">
        <v>8</v>
      </c>
      <c r="BX287" s="27" t="s">
        <v>7</v>
      </c>
      <c r="BY287" s="27" t="s">
        <v>8</v>
      </c>
      <c r="CF287" s="27" t="s">
        <v>7</v>
      </c>
      <c r="CG287" s="27" t="s">
        <v>8</v>
      </c>
      <c r="CH287" s="27" t="s">
        <v>7</v>
      </c>
      <c r="CJ287" s="27" t="s">
        <v>7</v>
      </c>
      <c r="CK287" s="27" t="s">
        <v>8</v>
      </c>
    </row>
    <row r="288" spans="1:219" x14ac:dyDescent="0.25">
      <c r="A288" s="30">
        <v>9.6142108987047836E-2</v>
      </c>
      <c r="B288"/>
      <c r="C288"/>
      <c r="D288"/>
      <c r="E288"/>
      <c r="F288" s="27" t="s">
        <v>7</v>
      </c>
      <c r="BE288" s="27" t="s">
        <v>8</v>
      </c>
      <c r="BF288" s="27" t="s">
        <v>7</v>
      </c>
      <c r="BG288" s="27" t="s">
        <v>8</v>
      </c>
      <c r="BJ288" s="27" t="s">
        <v>7</v>
      </c>
      <c r="BL288" s="27" t="s">
        <v>7</v>
      </c>
      <c r="BW288" s="27" t="s">
        <v>8</v>
      </c>
      <c r="BX288" s="27" t="s">
        <v>7</v>
      </c>
      <c r="BY288" s="27" t="s">
        <v>8</v>
      </c>
      <c r="CF288" s="27" t="s">
        <v>7</v>
      </c>
      <c r="CJ288" s="27" t="s">
        <v>7</v>
      </c>
      <c r="CK288" s="27" t="s">
        <v>8</v>
      </c>
    </row>
    <row r="289" spans="1:88" x14ac:dyDescent="0.25">
      <c r="A289" s="30">
        <v>9.1563913320997906E-2</v>
      </c>
      <c r="B289"/>
      <c r="C289"/>
      <c r="D289"/>
      <c r="E289"/>
      <c r="F289" s="27" t="s">
        <v>7</v>
      </c>
      <c r="BE289" s="27" t="s">
        <v>8</v>
      </c>
      <c r="BF289" s="27" t="s">
        <v>7</v>
      </c>
      <c r="BG289" s="27" t="s">
        <v>8</v>
      </c>
      <c r="BL289" s="27" t="s">
        <v>7</v>
      </c>
      <c r="BW289" s="27" t="s">
        <v>8</v>
      </c>
      <c r="BX289" s="27" t="s">
        <v>7</v>
      </c>
      <c r="CJ289" s="27" t="s">
        <v>7</v>
      </c>
    </row>
    <row r="290" spans="1:88" x14ac:dyDescent="0.25">
      <c r="A290" s="30">
        <v>8.7203726972378923E-2</v>
      </c>
      <c r="B290"/>
      <c r="C290"/>
      <c r="D290"/>
      <c r="E290"/>
      <c r="F290" s="27" t="s">
        <v>7</v>
      </c>
      <c r="G290" s="27" t="s">
        <v>8</v>
      </c>
      <c r="BA290" s="27" t="s">
        <v>8</v>
      </c>
      <c r="BC290" s="27" t="s">
        <v>8</v>
      </c>
      <c r="BE290" s="27" t="s">
        <v>8</v>
      </c>
      <c r="BF290" s="27" t="s">
        <v>7</v>
      </c>
      <c r="BG290" s="27" t="s">
        <v>8</v>
      </c>
      <c r="BL290" s="27" t="s">
        <v>7</v>
      </c>
      <c r="BW290" s="27" t="s">
        <v>8</v>
      </c>
    </row>
    <row r="291" spans="1:88" x14ac:dyDescent="0.25">
      <c r="A291" s="30">
        <v>8.3051168545122747E-2</v>
      </c>
      <c r="B291"/>
      <c r="C291"/>
      <c r="D291"/>
      <c r="E291"/>
      <c r="F291" s="27" t="s">
        <v>7</v>
      </c>
      <c r="G291" s="27" t="s">
        <v>8</v>
      </c>
      <c r="H291" s="27" t="s">
        <v>7</v>
      </c>
      <c r="M291" s="27" t="s">
        <v>8</v>
      </c>
      <c r="AW291" s="27" t="s">
        <v>8</v>
      </c>
      <c r="BA291" s="27" t="s">
        <v>8</v>
      </c>
      <c r="BB291" s="27" t="s">
        <v>7</v>
      </c>
      <c r="BC291" s="27" t="s">
        <v>8</v>
      </c>
      <c r="BD291" s="27" t="s">
        <v>7</v>
      </c>
      <c r="BE291" s="27" t="s">
        <v>8</v>
      </c>
      <c r="BF291" s="27" t="s">
        <v>7</v>
      </c>
      <c r="BG291" s="27" t="s">
        <v>8</v>
      </c>
      <c r="BL291" s="27" t="s">
        <v>7</v>
      </c>
      <c r="BM291" s="27" t="s">
        <v>8</v>
      </c>
      <c r="BW291" s="27" t="s">
        <v>8</v>
      </c>
    </row>
    <row r="292" spans="1:88" x14ac:dyDescent="0.25">
      <c r="A292" s="30">
        <v>7.9096350995354961E-2</v>
      </c>
      <c r="B292"/>
      <c r="C292"/>
      <c r="D292"/>
      <c r="E292"/>
      <c r="F292" s="27" t="s">
        <v>7</v>
      </c>
      <c r="G292" s="27" t="s">
        <v>8</v>
      </c>
      <c r="H292" s="27" t="s">
        <v>7</v>
      </c>
      <c r="M292" s="27" t="s">
        <v>8</v>
      </c>
      <c r="N292" s="27" t="s">
        <v>7</v>
      </c>
      <c r="AW292" s="27" t="s">
        <v>8</v>
      </c>
      <c r="AX292" s="27" t="s">
        <v>7</v>
      </c>
      <c r="BA292" s="27" t="s">
        <v>8</v>
      </c>
      <c r="BB292" s="27" t="s">
        <v>7</v>
      </c>
      <c r="BC292" s="27" t="s">
        <v>8</v>
      </c>
      <c r="BD292" s="27" t="s">
        <v>7</v>
      </c>
      <c r="BE292" s="27" t="s">
        <v>8</v>
      </c>
      <c r="BF292" s="27" t="s">
        <v>7</v>
      </c>
      <c r="BL292" s="27" t="s">
        <v>7</v>
      </c>
      <c r="BM292" s="27" t="s">
        <v>8</v>
      </c>
      <c r="BN292" s="27" t="s">
        <v>7</v>
      </c>
      <c r="BW292" s="27" t="s">
        <v>8</v>
      </c>
    </row>
    <row r="293" spans="1:88" x14ac:dyDescent="0.25">
      <c r="A293" s="30">
        <v>7.5329858090814217E-2</v>
      </c>
      <c r="B293"/>
      <c r="C293"/>
      <c r="D293"/>
      <c r="E293"/>
      <c r="F293" s="27" t="s">
        <v>7</v>
      </c>
      <c r="G293" s="27" t="s">
        <v>8</v>
      </c>
      <c r="H293" s="27" t="s">
        <v>7</v>
      </c>
      <c r="M293" s="27" t="s">
        <v>8</v>
      </c>
      <c r="N293" s="27" t="s">
        <v>7</v>
      </c>
      <c r="O293" s="27" t="s">
        <v>8</v>
      </c>
      <c r="AU293" s="27" t="s">
        <v>8</v>
      </c>
      <c r="AW293" s="27" t="s">
        <v>8</v>
      </c>
      <c r="AX293" s="27" t="s">
        <v>7</v>
      </c>
      <c r="BA293" s="27" t="s">
        <v>8</v>
      </c>
      <c r="BB293" s="27" t="s">
        <v>7</v>
      </c>
      <c r="BD293" s="27" t="s">
        <v>7</v>
      </c>
      <c r="BL293" s="27" t="s">
        <v>7</v>
      </c>
      <c r="BM293" s="27" t="s">
        <v>8</v>
      </c>
      <c r="BN293" s="27" t="s">
        <v>7</v>
      </c>
      <c r="BO293" s="27" t="s">
        <v>8</v>
      </c>
      <c r="BU293" s="27" t="s">
        <v>8</v>
      </c>
      <c r="BW293" s="27" t="s">
        <v>8</v>
      </c>
    </row>
    <row r="294" spans="1:88" x14ac:dyDescent="0.25">
      <c r="A294" s="30">
        <v>7.1742721991251604E-2</v>
      </c>
      <c r="B294"/>
      <c r="C294"/>
      <c r="D294"/>
      <c r="E294"/>
      <c r="F294" s="27" t="s">
        <v>7</v>
      </c>
      <c r="H294" s="27" t="s">
        <v>7</v>
      </c>
      <c r="I294" s="27" t="s">
        <v>8</v>
      </c>
      <c r="M294" s="27" t="s">
        <v>8</v>
      </c>
      <c r="N294" s="27" t="s">
        <v>7</v>
      </c>
      <c r="O294" s="27" t="s">
        <v>8</v>
      </c>
      <c r="P294" s="27" t="s">
        <v>7</v>
      </c>
      <c r="AS294" s="27" t="s">
        <v>8</v>
      </c>
      <c r="AU294" s="27" t="s">
        <v>8</v>
      </c>
      <c r="AV294" s="27" t="s">
        <v>7</v>
      </c>
      <c r="AW294" s="27" t="s">
        <v>8</v>
      </c>
      <c r="AX294" s="27" t="s">
        <v>7</v>
      </c>
      <c r="AY294" s="27" t="s">
        <v>8</v>
      </c>
      <c r="BA294" s="27" t="s">
        <v>8</v>
      </c>
      <c r="BL294" s="27" t="s">
        <v>7</v>
      </c>
      <c r="BM294" s="27" t="s">
        <v>8</v>
      </c>
      <c r="BN294" s="27" t="s">
        <v>7</v>
      </c>
      <c r="BO294" s="27" t="s">
        <v>8</v>
      </c>
      <c r="BP294" s="27" t="s">
        <v>7</v>
      </c>
      <c r="BU294" s="27" t="s">
        <v>8</v>
      </c>
      <c r="BV294" s="27" t="s">
        <v>7</v>
      </c>
      <c r="BW294" s="27" t="s">
        <v>8</v>
      </c>
    </row>
    <row r="295" spans="1:88" x14ac:dyDescent="0.25">
      <c r="A295" s="30">
        <v>6.8326401896430078E-2</v>
      </c>
      <c r="B295"/>
      <c r="C295"/>
      <c r="D295"/>
      <c r="E295"/>
      <c r="H295" s="27" t="s">
        <v>7</v>
      </c>
      <c r="I295" s="27" t="s">
        <v>8</v>
      </c>
      <c r="J295" s="27" t="s">
        <v>7</v>
      </c>
      <c r="M295" s="27" t="s">
        <v>8</v>
      </c>
      <c r="N295" s="27" t="s">
        <v>7</v>
      </c>
      <c r="O295" s="27" t="s">
        <v>8</v>
      </c>
      <c r="P295" s="27" t="s">
        <v>7</v>
      </c>
      <c r="AS295" s="27" t="s">
        <v>8</v>
      </c>
      <c r="AT295" s="27" t="s">
        <v>7</v>
      </c>
      <c r="AU295" s="27" t="s">
        <v>8</v>
      </c>
      <c r="AV295" s="27" t="s">
        <v>7</v>
      </c>
      <c r="AW295" s="27" t="s">
        <v>8</v>
      </c>
      <c r="AX295" s="27" t="s">
        <v>7</v>
      </c>
      <c r="AY295" s="27" t="s">
        <v>8</v>
      </c>
      <c r="AZ295" s="27" t="s">
        <v>7</v>
      </c>
      <c r="BA295" s="27" t="s">
        <v>8</v>
      </c>
      <c r="BL295" s="27" t="s">
        <v>7</v>
      </c>
      <c r="BN295" s="27" t="s">
        <v>7</v>
      </c>
      <c r="BO295" s="27" t="s">
        <v>8</v>
      </c>
      <c r="BP295" s="27" t="s">
        <v>7</v>
      </c>
      <c r="BQ295" s="27" t="s">
        <v>8</v>
      </c>
      <c r="BU295" s="27" t="s">
        <v>8</v>
      </c>
      <c r="BV295" s="27" t="s">
        <v>7</v>
      </c>
      <c r="BW295" s="27" t="s">
        <v>8</v>
      </c>
    </row>
    <row r="296" spans="1:88" x14ac:dyDescent="0.25">
      <c r="A296" s="30">
        <v>6.5072763710885759E-2</v>
      </c>
      <c r="B296"/>
      <c r="C296"/>
      <c r="D296"/>
      <c r="E296"/>
      <c r="H296" s="27" t="s">
        <v>7</v>
      </c>
      <c r="I296" s="27" t="s">
        <v>8</v>
      </c>
      <c r="J296" s="27" t="s">
        <v>7</v>
      </c>
      <c r="M296" s="27" t="s">
        <v>8</v>
      </c>
      <c r="N296" s="27" t="s">
        <v>7</v>
      </c>
      <c r="O296" s="27" t="s">
        <v>8</v>
      </c>
      <c r="P296" s="27" t="s">
        <v>7</v>
      </c>
      <c r="AO296" s="27" t="s">
        <v>8</v>
      </c>
      <c r="AS296" s="27" t="s">
        <v>8</v>
      </c>
      <c r="AT296" s="27" t="s">
        <v>7</v>
      </c>
      <c r="AU296" s="27" t="s">
        <v>8</v>
      </c>
      <c r="AV296" s="27" t="s">
        <v>7</v>
      </c>
      <c r="AW296" s="27" t="s">
        <v>8</v>
      </c>
      <c r="AX296" s="27" t="s">
        <v>7</v>
      </c>
      <c r="AY296" s="27" t="s">
        <v>8</v>
      </c>
      <c r="AZ296" s="27" t="s">
        <v>7</v>
      </c>
      <c r="BA296" s="27" t="s">
        <v>8</v>
      </c>
      <c r="BN296" s="27" t="s">
        <v>7</v>
      </c>
      <c r="BO296" s="27" t="s">
        <v>8</v>
      </c>
      <c r="BP296" s="27" t="s">
        <v>7</v>
      </c>
      <c r="BQ296" s="27" t="s">
        <v>8</v>
      </c>
      <c r="BR296" s="27" t="s">
        <v>7</v>
      </c>
      <c r="BU296" s="27" t="s">
        <v>8</v>
      </c>
      <c r="BV296" s="27" t="s">
        <v>7</v>
      </c>
    </row>
    <row r="297" spans="1:88" x14ac:dyDescent="0.25">
      <c r="A297" s="30">
        <v>6.197406067703403E-2</v>
      </c>
      <c r="B297"/>
      <c r="C297"/>
      <c r="D297"/>
      <c r="E297"/>
      <c r="H297" s="27" t="s">
        <v>7</v>
      </c>
      <c r="I297" s="27" t="s">
        <v>8</v>
      </c>
      <c r="J297" s="27" t="s">
        <v>7</v>
      </c>
      <c r="M297" s="27" t="s">
        <v>8</v>
      </c>
      <c r="N297" s="27" t="s">
        <v>7</v>
      </c>
      <c r="O297" s="27" t="s">
        <v>8</v>
      </c>
      <c r="P297" s="27" t="s">
        <v>7</v>
      </c>
      <c r="AO297" s="27" t="s">
        <v>8</v>
      </c>
      <c r="AP297" s="27" t="s">
        <v>7</v>
      </c>
      <c r="AS297" s="27" t="s">
        <v>8</v>
      </c>
      <c r="AT297" s="27" t="s">
        <v>7</v>
      </c>
      <c r="AV297" s="27" t="s">
        <v>7</v>
      </c>
      <c r="AX297" s="27" t="s">
        <v>7</v>
      </c>
      <c r="AY297" s="27" t="s">
        <v>8</v>
      </c>
      <c r="AZ297" s="27" t="s">
        <v>7</v>
      </c>
      <c r="BN297" s="27" t="s">
        <v>7</v>
      </c>
      <c r="BO297" s="27" t="s">
        <v>8</v>
      </c>
      <c r="BP297" s="27" t="s">
        <v>7</v>
      </c>
      <c r="BQ297" s="27" t="s">
        <v>8</v>
      </c>
      <c r="BR297" s="27" t="s">
        <v>7</v>
      </c>
      <c r="BS297" s="27" t="s">
        <v>8</v>
      </c>
      <c r="BU297" s="27" t="s">
        <v>8</v>
      </c>
    </row>
    <row r="298" spans="1:88" x14ac:dyDescent="0.25">
      <c r="A298" s="30">
        <v>5.9022914930508576E-2</v>
      </c>
      <c r="B298"/>
      <c r="C298"/>
      <c r="D298"/>
      <c r="E298"/>
      <c r="H298" s="27" t="s">
        <v>7</v>
      </c>
      <c r="J298" s="27" t="s">
        <v>7</v>
      </c>
      <c r="M298" s="27" t="s">
        <v>8</v>
      </c>
      <c r="N298" s="27" t="s">
        <v>7</v>
      </c>
      <c r="O298" s="27" t="s">
        <v>8</v>
      </c>
      <c r="P298" s="27" t="s">
        <v>7</v>
      </c>
      <c r="AK298" s="27" t="s">
        <v>8</v>
      </c>
      <c r="AO298" s="27" t="s">
        <v>8</v>
      </c>
      <c r="AP298" s="27" t="s">
        <v>7</v>
      </c>
      <c r="AS298" s="27" t="s">
        <v>8</v>
      </c>
      <c r="AX298" s="27" t="s">
        <v>7</v>
      </c>
      <c r="BN298" s="27" t="s">
        <v>7</v>
      </c>
      <c r="BO298" s="27" t="s">
        <v>8</v>
      </c>
      <c r="BP298" s="27" t="s">
        <v>7</v>
      </c>
      <c r="BQ298" s="27" t="s">
        <v>8</v>
      </c>
      <c r="BR298" s="27" t="s">
        <v>7</v>
      </c>
      <c r="BS298" s="27" t="s">
        <v>8</v>
      </c>
      <c r="BT298" s="27" t="s">
        <v>7</v>
      </c>
      <c r="BU298" s="27" t="s">
        <v>8</v>
      </c>
    </row>
    <row r="299" spans="1:88" x14ac:dyDescent="0.25">
      <c r="A299" s="30">
        <v>5.6212299933817669E-2</v>
      </c>
      <c r="B299"/>
      <c r="C299"/>
      <c r="D299"/>
      <c r="E299"/>
      <c r="J299" s="27" t="s">
        <v>7</v>
      </c>
      <c r="M299" s="27" t="s">
        <v>8</v>
      </c>
      <c r="N299" s="27" t="s">
        <v>7</v>
      </c>
      <c r="O299" s="27" t="s">
        <v>8</v>
      </c>
      <c r="P299" s="27" t="s">
        <v>7</v>
      </c>
      <c r="AI299" s="27" t="s">
        <v>8</v>
      </c>
      <c r="AK299" s="27" t="s">
        <v>8</v>
      </c>
      <c r="AL299" s="27" t="s">
        <v>7</v>
      </c>
      <c r="AO299" s="27" t="s">
        <v>8</v>
      </c>
      <c r="AP299" s="27" t="s">
        <v>7</v>
      </c>
      <c r="AQ299" s="27" t="s">
        <v>8</v>
      </c>
      <c r="AS299" s="27" t="s">
        <v>8</v>
      </c>
      <c r="BN299" s="27" t="s">
        <v>7</v>
      </c>
      <c r="BO299" s="27" t="s">
        <v>8</v>
      </c>
      <c r="BP299" s="27" t="s">
        <v>7</v>
      </c>
      <c r="BR299" s="27" t="s">
        <v>7</v>
      </c>
      <c r="BS299" s="27" t="s">
        <v>8</v>
      </c>
      <c r="BT299" s="27" t="s">
        <v>7</v>
      </c>
      <c r="BU299" s="27" t="s">
        <v>8</v>
      </c>
    </row>
    <row r="300" spans="1:88" x14ac:dyDescent="0.25">
      <c r="A300" s="30">
        <v>5.3535523746492994E-2</v>
      </c>
      <c r="B300"/>
      <c r="C300"/>
      <c r="D300"/>
      <c r="E300"/>
      <c r="J300" s="27" t="s">
        <v>7</v>
      </c>
      <c r="M300" s="27" t="s">
        <v>8</v>
      </c>
      <c r="N300" s="27" t="s">
        <v>7</v>
      </c>
      <c r="P300" s="27" t="s">
        <v>7</v>
      </c>
      <c r="AI300" s="27" t="s">
        <v>8</v>
      </c>
      <c r="AJ300" s="27" t="s">
        <v>7</v>
      </c>
      <c r="AK300" s="27" t="s">
        <v>8</v>
      </c>
      <c r="AL300" s="27" t="s">
        <v>7</v>
      </c>
      <c r="AM300" s="27" t="s">
        <v>8</v>
      </c>
      <c r="AO300" s="27" t="s">
        <v>8</v>
      </c>
      <c r="AP300" s="27" t="s">
        <v>7</v>
      </c>
      <c r="AQ300" s="27" t="s">
        <v>8</v>
      </c>
      <c r="AR300" s="27" t="s">
        <v>7</v>
      </c>
      <c r="AS300" s="27" t="s">
        <v>8</v>
      </c>
      <c r="BN300" s="27" t="s">
        <v>7</v>
      </c>
      <c r="BR300" s="27" t="s">
        <v>7</v>
      </c>
      <c r="BT300" s="27" t="s">
        <v>7</v>
      </c>
    </row>
    <row r="301" spans="1:88" x14ac:dyDescent="0.25">
      <c r="A301" s="30">
        <v>5.0986213091898068E-2</v>
      </c>
      <c r="B301"/>
      <c r="C301"/>
      <c r="D301"/>
      <c r="E301"/>
      <c r="J301" s="27" t="s">
        <v>7</v>
      </c>
      <c r="K301" s="27" t="s">
        <v>8</v>
      </c>
      <c r="M301" s="27" t="s">
        <v>8</v>
      </c>
      <c r="P301" s="27" t="s">
        <v>7</v>
      </c>
      <c r="AI301" s="27" t="s">
        <v>8</v>
      </c>
      <c r="AJ301" s="27" t="s">
        <v>7</v>
      </c>
      <c r="AK301" s="27" t="s">
        <v>8</v>
      </c>
      <c r="AL301" s="27" t="s">
        <v>7</v>
      </c>
      <c r="AM301" s="27" t="s">
        <v>8</v>
      </c>
      <c r="AN301" s="27" t="s">
        <v>7</v>
      </c>
      <c r="AO301" s="27" t="s">
        <v>8</v>
      </c>
      <c r="AP301" s="27" t="s">
        <v>7</v>
      </c>
      <c r="AQ301" s="27" t="s">
        <v>8</v>
      </c>
      <c r="AR301" s="27" t="s">
        <v>7</v>
      </c>
      <c r="AS301" s="27" t="s">
        <v>8</v>
      </c>
    </row>
    <row r="302" spans="1:88" x14ac:dyDescent="0.25">
      <c r="A302" s="30">
        <v>4.8558298182760043E-2</v>
      </c>
      <c r="B302"/>
      <c r="C302"/>
      <c r="D302"/>
      <c r="E302"/>
      <c r="J302" s="27" t="s">
        <v>7</v>
      </c>
      <c r="K302" s="27" t="s">
        <v>8</v>
      </c>
      <c r="L302" s="27" t="s">
        <v>7</v>
      </c>
      <c r="M302" s="27" t="s">
        <v>8</v>
      </c>
      <c r="P302" s="27" t="s">
        <v>7</v>
      </c>
      <c r="AI302" s="27" t="s">
        <v>8</v>
      </c>
      <c r="AJ302" s="27" t="s">
        <v>7</v>
      </c>
      <c r="AK302" s="27" t="s">
        <v>8</v>
      </c>
      <c r="AL302" s="27" t="s">
        <v>7</v>
      </c>
      <c r="AM302" s="27" t="s">
        <v>8</v>
      </c>
      <c r="AN302" s="27" t="s">
        <v>7</v>
      </c>
      <c r="AO302" s="27" t="s">
        <v>8</v>
      </c>
      <c r="AP302" s="27" t="s">
        <v>7</v>
      </c>
      <c r="AR302" s="27" t="s">
        <v>7</v>
      </c>
    </row>
    <row r="303" spans="1:88" x14ac:dyDescent="0.25">
      <c r="A303" s="30">
        <v>4.6245998269295263E-2</v>
      </c>
      <c r="B303"/>
      <c r="C303"/>
      <c r="D303"/>
      <c r="E303"/>
      <c r="J303" s="27" t="s">
        <v>7</v>
      </c>
      <c r="K303" s="27" t="s">
        <v>8</v>
      </c>
      <c r="L303" s="27" t="s">
        <v>7</v>
      </c>
      <c r="M303" s="27" t="s">
        <v>8</v>
      </c>
      <c r="P303" s="27" t="s">
        <v>7</v>
      </c>
      <c r="AC303" s="27" t="s">
        <v>8</v>
      </c>
      <c r="AE303" s="27" t="s">
        <v>8</v>
      </c>
      <c r="AG303" s="27" t="s">
        <v>8</v>
      </c>
      <c r="AI303" s="27" t="s">
        <v>8</v>
      </c>
      <c r="AJ303" s="27" t="s">
        <v>7</v>
      </c>
      <c r="AL303" s="27" t="s">
        <v>7</v>
      </c>
      <c r="AN303" s="27" t="s">
        <v>7</v>
      </c>
    </row>
    <row r="304" spans="1:88" x14ac:dyDescent="0.25">
      <c r="A304" s="30">
        <v>4.4043807875519279E-2</v>
      </c>
      <c r="B304"/>
      <c r="C304"/>
      <c r="D304"/>
      <c r="E304"/>
      <c r="J304" s="27" t="s">
        <v>7</v>
      </c>
      <c r="K304" s="27" t="s">
        <v>8</v>
      </c>
      <c r="L304" s="27" t="s">
        <v>7</v>
      </c>
      <c r="M304" s="27" t="s">
        <v>8</v>
      </c>
      <c r="P304" s="27" t="s">
        <v>7</v>
      </c>
      <c r="AC304" s="27" t="s">
        <v>8</v>
      </c>
      <c r="AD304" s="27" t="s">
        <v>7</v>
      </c>
      <c r="AE304" s="27" t="s">
        <v>8</v>
      </c>
      <c r="AF304" s="27" t="s">
        <v>7</v>
      </c>
      <c r="AG304" s="27" t="s">
        <v>8</v>
      </c>
      <c r="AH304" s="27" t="s">
        <v>7</v>
      </c>
      <c r="AI304" s="27" t="s">
        <v>8</v>
      </c>
    </row>
    <row r="305" spans="1:35" x14ac:dyDescent="0.25">
      <c r="A305" s="30">
        <v>4.1946483690970725E-2</v>
      </c>
      <c r="B305"/>
      <c r="C305"/>
      <c r="D305"/>
      <c r="E305"/>
      <c r="J305" s="27" t="s">
        <v>7</v>
      </c>
      <c r="K305" s="27" t="s">
        <v>8</v>
      </c>
      <c r="L305" s="27" t="s">
        <v>7</v>
      </c>
      <c r="P305" s="27" t="s">
        <v>7</v>
      </c>
      <c r="AA305" s="27" t="s">
        <v>8</v>
      </c>
      <c r="AC305" s="27" t="s">
        <v>8</v>
      </c>
      <c r="AD305" s="27" t="s">
        <v>7</v>
      </c>
      <c r="AE305" s="27" t="s">
        <v>8</v>
      </c>
      <c r="AF305" s="27" t="s">
        <v>7</v>
      </c>
      <c r="AG305" s="27" t="s">
        <v>8</v>
      </c>
      <c r="AH305" s="27" t="s">
        <v>7</v>
      </c>
      <c r="AI305" s="27" t="s">
        <v>8</v>
      </c>
    </row>
    <row r="306" spans="1:35" x14ac:dyDescent="0.25">
      <c r="A306" s="30">
        <v>3.9949032086638768E-2</v>
      </c>
      <c r="B306"/>
      <c r="C306"/>
      <c r="D306"/>
      <c r="E306"/>
      <c r="J306" s="27" t="s">
        <v>7</v>
      </c>
      <c r="K306" s="27" t="s">
        <v>8</v>
      </c>
      <c r="P306" s="27" t="s">
        <v>7</v>
      </c>
      <c r="Y306" s="27" t="s">
        <v>8</v>
      </c>
      <c r="AA306" s="27" t="s">
        <v>8</v>
      </c>
      <c r="AB306" s="27" t="s">
        <v>7</v>
      </c>
      <c r="AC306" s="27" t="s">
        <v>8</v>
      </c>
      <c r="AD306" s="27" t="s">
        <v>7</v>
      </c>
      <c r="AE306" s="27" t="s">
        <v>8</v>
      </c>
      <c r="AF306" s="27" t="s">
        <v>7</v>
      </c>
      <c r="AG306" s="27" t="s">
        <v>8</v>
      </c>
      <c r="AH306" s="27" t="s">
        <v>7</v>
      </c>
    </row>
    <row r="307" spans="1:35" x14ac:dyDescent="0.25">
      <c r="A307" s="30">
        <v>3.8046697225370241E-2</v>
      </c>
      <c r="B307"/>
      <c r="C307"/>
      <c r="D307"/>
      <c r="E307"/>
      <c r="J307" s="27" t="s">
        <v>7</v>
      </c>
      <c r="P307" s="27" t="s">
        <v>7</v>
      </c>
      <c r="W307" s="27" t="s">
        <v>8</v>
      </c>
      <c r="Y307" s="27" t="s">
        <v>8</v>
      </c>
      <c r="Z307" s="27" t="s">
        <v>7</v>
      </c>
      <c r="AA307" s="27" t="s">
        <v>8</v>
      </c>
      <c r="AB307" s="27" t="s">
        <v>7</v>
      </c>
      <c r="AC307" s="27" t="s">
        <v>8</v>
      </c>
      <c r="AD307" s="27" t="s">
        <v>7</v>
      </c>
      <c r="AF307" s="27" t="s">
        <v>7</v>
      </c>
      <c r="AG307" s="27" t="s">
        <v>8</v>
      </c>
    </row>
    <row r="308" spans="1:35" x14ac:dyDescent="0.25">
      <c r="A308" s="30">
        <v>3.6234949738447833E-2</v>
      </c>
      <c r="B308"/>
      <c r="C308"/>
      <c r="D308"/>
      <c r="E308"/>
      <c r="P308" s="27" t="s">
        <v>7</v>
      </c>
      <c r="Q308" s="27" t="s">
        <v>8</v>
      </c>
      <c r="W308" s="27" t="s">
        <v>8</v>
      </c>
      <c r="X308" s="27" t="s">
        <v>7</v>
      </c>
      <c r="Y308" s="27" t="s">
        <v>8</v>
      </c>
      <c r="Z308" s="27" t="s">
        <v>7</v>
      </c>
      <c r="AA308" s="27" t="s">
        <v>8</v>
      </c>
      <c r="AB308" s="27" t="s">
        <v>7</v>
      </c>
      <c r="AC308" s="27" t="s">
        <v>8</v>
      </c>
      <c r="AF308" s="27" t="s">
        <v>7</v>
      </c>
      <c r="AG308" s="27" t="s">
        <v>8</v>
      </c>
    </row>
    <row r="309" spans="1:35" x14ac:dyDescent="0.25">
      <c r="A309" s="30">
        <v>3.4509475941378875E-2</v>
      </c>
      <c r="B309"/>
      <c r="C309"/>
      <c r="D309"/>
      <c r="E309"/>
      <c r="P309" s="27" t="s">
        <v>7</v>
      </c>
      <c r="Q309" s="27" t="s">
        <v>8</v>
      </c>
      <c r="R309" s="27" t="s">
        <v>7</v>
      </c>
      <c r="U309" s="27" t="s">
        <v>8</v>
      </c>
      <c r="W309" s="27" t="s">
        <v>8</v>
      </c>
      <c r="X309" s="27" t="s">
        <v>7</v>
      </c>
      <c r="Y309" s="27" t="s">
        <v>8</v>
      </c>
      <c r="Z309" s="27" t="s">
        <v>7</v>
      </c>
      <c r="AB309" s="27" t="s">
        <v>7</v>
      </c>
      <c r="AF309" s="27" t="s">
        <v>7</v>
      </c>
    </row>
    <row r="310" spans="1:35" x14ac:dyDescent="0.25">
      <c r="A310" s="30">
        <v>3.286616756321796E-2</v>
      </c>
      <c r="B310"/>
      <c r="C310"/>
      <c r="D310"/>
      <c r="E310"/>
      <c r="P310" s="27" t="s">
        <v>7</v>
      </c>
      <c r="Q310" s="27" t="s">
        <v>8</v>
      </c>
      <c r="R310" s="27" t="s">
        <v>7</v>
      </c>
      <c r="U310" s="27" t="s">
        <v>8</v>
      </c>
      <c r="V310" s="27" t="s">
        <v>7</v>
      </c>
      <c r="W310" s="27" t="s">
        <v>8</v>
      </c>
      <c r="X310" s="27" t="s">
        <v>7</v>
      </c>
      <c r="Y310" s="27" t="s">
        <v>8</v>
      </c>
    </row>
    <row r="311" spans="1:35" x14ac:dyDescent="0.25">
      <c r="A311" s="30">
        <v>3.1301111964969472E-2</v>
      </c>
      <c r="B311"/>
      <c r="C311"/>
      <c r="D311"/>
      <c r="E311"/>
      <c r="P311" s="27" t="s">
        <v>7</v>
      </c>
      <c r="Q311" s="27" t="s">
        <v>8</v>
      </c>
      <c r="R311" s="27" t="s">
        <v>7</v>
      </c>
      <c r="U311" s="27" t="s">
        <v>8</v>
      </c>
      <c r="V311" s="27" t="s">
        <v>7</v>
      </c>
      <c r="W311" s="27" t="s">
        <v>8</v>
      </c>
      <c r="X311" s="27" t="s">
        <v>7</v>
      </c>
      <c r="Y311" s="27" t="s">
        <v>8</v>
      </c>
    </row>
    <row r="312" spans="1:35" x14ac:dyDescent="0.25">
      <c r="A312" s="30">
        <v>2.9810582823780438E-2</v>
      </c>
      <c r="B312"/>
      <c r="C312"/>
      <c r="D312"/>
      <c r="E312"/>
      <c r="P312" s="27" t="s">
        <v>7</v>
      </c>
      <c r="Q312" s="27" t="s">
        <v>8</v>
      </c>
      <c r="R312" s="27" t="s">
        <v>7</v>
      </c>
      <c r="U312" s="27" t="s">
        <v>8</v>
      </c>
      <c r="V312" s="27" t="s">
        <v>7</v>
      </c>
      <c r="W312" s="27" t="s">
        <v>8</v>
      </c>
      <c r="X312" s="27" t="s">
        <v>7</v>
      </c>
      <c r="Y312" s="27" t="s">
        <v>8</v>
      </c>
    </row>
    <row r="313" spans="1:35" x14ac:dyDescent="0.25">
      <c r="A313" s="30">
        <v>2.8391031260743264E-2</v>
      </c>
      <c r="B313"/>
      <c r="C313"/>
      <c r="D313"/>
      <c r="E313"/>
      <c r="P313" s="27" t="s">
        <v>7</v>
      </c>
      <c r="Q313" s="27" t="s">
        <v>8</v>
      </c>
      <c r="R313" s="27" t="s">
        <v>7</v>
      </c>
      <c r="S313" s="27" t="s">
        <v>8</v>
      </c>
      <c r="U313" s="27" t="s">
        <v>8</v>
      </c>
      <c r="V313" s="27" t="s">
        <v>7</v>
      </c>
      <c r="W313" s="27" t="s">
        <v>8</v>
      </c>
      <c r="X313" s="27" t="s">
        <v>7</v>
      </c>
    </row>
    <row r="314" spans="1:35" x14ac:dyDescent="0.25">
      <c r="A314" s="30">
        <v>2.7039077391184052E-2</v>
      </c>
      <c r="B314"/>
      <c r="C314"/>
      <c r="D314"/>
      <c r="E314"/>
      <c r="P314" s="27" t="s">
        <v>7</v>
      </c>
      <c r="Q314" s="27" t="s">
        <v>8</v>
      </c>
      <c r="R314" s="27" t="s">
        <v>7</v>
      </c>
      <c r="S314" s="27" t="s">
        <v>8</v>
      </c>
      <c r="T314" s="27" t="s">
        <v>7</v>
      </c>
      <c r="U314" s="27" t="s">
        <v>8</v>
      </c>
      <c r="V314" s="27" t="s">
        <v>7</v>
      </c>
      <c r="W314" s="27" t="s">
        <v>8</v>
      </c>
    </row>
    <row r="315" spans="1:35" x14ac:dyDescent="0.25">
      <c r="A315" s="30">
        <v>2.5751502277318133E-2</v>
      </c>
      <c r="B315"/>
      <c r="C315"/>
      <c r="D315"/>
      <c r="E315"/>
      <c r="P315" s="27" t="s">
        <v>7</v>
      </c>
      <c r="Q315" s="27" t="s">
        <v>8</v>
      </c>
      <c r="R315" s="27" t="s">
        <v>7</v>
      </c>
      <c r="S315" s="27" t="s">
        <v>8</v>
      </c>
      <c r="T315" s="27" t="s">
        <v>7</v>
      </c>
      <c r="U315" s="27" t="s">
        <v>8</v>
      </c>
      <c r="V315" s="27" t="s">
        <v>7</v>
      </c>
    </row>
    <row r="316" spans="1:35" x14ac:dyDescent="0.25">
      <c r="A316" s="30">
        <v>2.4525240264112496E-2</v>
      </c>
      <c r="B316"/>
      <c r="C316"/>
      <c r="D316"/>
      <c r="E316"/>
      <c r="P316" s="27" t="s">
        <v>7</v>
      </c>
      <c r="Q316" s="27" t="s">
        <v>8</v>
      </c>
      <c r="R316" s="27" t="s">
        <v>7</v>
      </c>
      <c r="S316" s="27" t="s">
        <v>8</v>
      </c>
      <c r="T316" s="27" t="s">
        <v>7</v>
      </c>
    </row>
    <row r="317" spans="1:35" x14ac:dyDescent="0.25">
      <c r="A317" s="30">
        <v>2.3357371680107129E-2</v>
      </c>
      <c r="B317"/>
      <c r="C317"/>
      <c r="D317"/>
      <c r="E317"/>
      <c r="P317" s="27" t="s">
        <v>7</v>
      </c>
      <c r="Q317" s="27" t="s">
        <v>8</v>
      </c>
      <c r="R317" s="27" t="s">
        <v>7</v>
      </c>
      <c r="S317" s="27" t="s">
        <v>8</v>
      </c>
    </row>
    <row r="318" spans="1:35" x14ac:dyDescent="0.25">
      <c r="A318" s="30">
        <v>2.2245115885816305E-2</v>
      </c>
      <c r="B318"/>
      <c r="C318"/>
      <c r="D318"/>
      <c r="E318"/>
      <c r="P318" s="27" t="s">
        <v>7</v>
      </c>
      <c r="Q318" s="27" t="s">
        <v>8</v>
      </c>
      <c r="R318" s="27" t="s">
        <v>7</v>
      </c>
      <c r="S318" s="27" t="s">
        <v>8</v>
      </c>
    </row>
    <row r="319" spans="1:35" x14ac:dyDescent="0.25">
      <c r="A319" s="30">
        <v>2.1185824653158377E-2</v>
      </c>
      <c r="B319"/>
      <c r="C319"/>
      <c r="D319"/>
      <c r="E319"/>
      <c r="P319" s="27" t="s">
        <v>7</v>
      </c>
      <c r="Q319" s="27" t="s">
        <v>8</v>
      </c>
      <c r="R319" s="27" t="s">
        <v>7</v>
      </c>
    </row>
    <row r="320" spans="1:35" x14ac:dyDescent="0.25">
      <c r="A320" s="30">
        <v>2.0176975860150829E-2</v>
      </c>
      <c r="B320"/>
      <c r="C320"/>
      <c r="D320"/>
      <c r="E320"/>
      <c r="P320" s="27" t="s">
        <v>7</v>
      </c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141" operator="equal">
      <formula>$U$1</formula>
    </cfRule>
    <cfRule type="cellIs" dxfId="67" priority="1142" operator="equal">
      <formula>$S$1</formula>
    </cfRule>
  </conditionalFormatting>
  <conditionalFormatting sqref="D136">
    <cfRule type="cellIs" dxfId="66" priority="1139" operator="equal">
      <formula>$S$1</formula>
    </cfRule>
    <cfRule type="cellIs" dxfId="65" priority="1140" operator="equal">
      <formula>$U$1</formula>
    </cfRule>
  </conditionalFormatting>
  <conditionalFormatting sqref="C162">
    <cfRule type="cellIs" dxfId="64" priority="1137" operator="equal">
      <formula>$U$1</formula>
    </cfRule>
    <cfRule type="cellIs" dxfId="63" priority="1138" operator="equal">
      <formula>$S$1</formula>
    </cfRule>
  </conditionalFormatting>
  <conditionalFormatting sqref="D162">
    <cfRule type="cellIs" dxfId="62" priority="1135" operator="equal">
      <formula>$S$1</formula>
    </cfRule>
    <cfRule type="cellIs" dxfId="61" priority="1136" operator="equal">
      <formula>$U$1</formula>
    </cfRule>
  </conditionalFormatting>
  <conditionalFormatting sqref="C187">
    <cfRule type="cellIs" dxfId="60" priority="1133" operator="equal">
      <formula>$U$1</formula>
    </cfRule>
    <cfRule type="cellIs" dxfId="59" priority="1134" operator="equal">
      <formula>$S$1</formula>
    </cfRule>
  </conditionalFormatting>
  <conditionalFormatting sqref="D187">
    <cfRule type="cellIs" dxfId="58" priority="1131" operator="equal">
      <formula>$S$1</formula>
    </cfRule>
    <cfRule type="cellIs" dxfId="57" priority="1132" operator="equal">
      <formula>$U$1</formula>
    </cfRule>
  </conditionalFormatting>
  <conditionalFormatting sqref="C212">
    <cfRule type="cellIs" dxfId="56" priority="1129" operator="equal">
      <formula>$U$1</formula>
    </cfRule>
    <cfRule type="cellIs" dxfId="55" priority="1130" operator="equal">
      <formula>$S$1</formula>
    </cfRule>
  </conditionalFormatting>
  <conditionalFormatting sqref="D212">
    <cfRule type="cellIs" dxfId="54" priority="1127" operator="equal">
      <formula>$S$1</formula>
    </cfRule>
    <cfRule type="cellIs" dxfId="53" priority="1128" operator="equal">
      <formula>$U$1</formula>
    </cfRule>
  </conditionalFormatting>
  <conditionalFormatting sqref="C237">
    <cfRule type="cellIs" dxfId="52" priority="1125" operator="equal">
      <formula>$U$1</formula>
    </cfRule>
    <cfRule type="cellIs" dxfId="51" priority="1126" operator="equal">
      <formula>$S$1</formula>
    </cfRule>
  </conditionalFormatting>
  <conditionalFormatting sqref="D237">
    <cfRule type="cellIs" dxfId="50" priority="1123" operator="equal">
      <formula>$S$1</formula>
    </cfRule>
    <cfRule type="cellIs" dxfId="49" priority="1124" operator="equal">
      <formula>$U$1</formula>
    </cfRule>
  </conditionalFormatting>
  <conditionalFormatting sqref="C106">
    <cfRule type="cellIs" dxfId="48" priority="1121" operator="equal">
      <formula>$U$1</formula>
    </cfRule>
    <cfRule type="cellIs" dxfId="47" priority="1122" operator="equal">
      <formula>$S$1</formula>
    </cfRule>
  </conditionalFormatting>
  <conditionalFormatting sqref="D106">
    <cfRule type="cellIs" dxfId="46" priority="1119" operator="equal">
      <formula>$S$1</formula>
    </cfRule>
    <cfRule type="cellIs" dxfId="45" priority="1120" operator="equal">
      <formula>$U$1</formula>
    </cfRule>
  </conditionalFormatting>
  <conditionalFormatting sqref="C81">
    <cfRule type="cellIs" dxfId="44" priority="1117" operator="equal">
      <formula>$U$1</formula>
    </cfRule>
    <cfRule type="cellIs" dxfId="43" priority="1118" operator="equal">
      <formula>$S$1</formula>
    </cfRule>
  </conditionalFormatting>
  <conditionalFormatting sqref="D81">
    <cfRule type="cellIs" dxfId="42" priority="1115" operator="equal">
      <formula>$S$1</formula>
    </cfRule>
    <cfRule type="cellIs" dxfId="41" priority="1116" operator="equal">
      <formula>$U$1</formula>
    </cfRule>
  </conditionalFormatting>
  <conditionalFormatting sqref="C56">
    <cfRule type="cellIs" dxfId="40" priority="1113" operator="equal">
      <formula>$U$1</formula>
    </cfRule>
    <cfRule type="cellIs" dxfId="39" priority="1114" operator="equal">
      <formula>$S$1</formula>
    </cfRule>
  </conditionalFormatting>
  <conditionalFormatting sqref="D56">
    <cfRule type="cellIs" dxfId="38" priority="1111" operator="equal">
      <formula>$S$1</formula>
    </cfRule>
    <cfRule type="cellIs" dxfId="37" priority="1112" operator="equal">
      <formula>$U$1</formula>
    </cfRule>
  </conditionalFormatting>
  <conditionalFormatting sqref="C31">
    <cfRule type="cellIs" dxfId="36" priority="1109" operator="equal">
      <formula>$U$1</formula>
    </cfRule>
    <cfRule type="cellIs" dxfId="35" priority="1110" operator="equal">
      <formula>$S$1</formula>
    </cfRule>
  </conditionalFormatting>
  <conditionalFormatting sqref="D31">
    <cfRule type="cellIs" dxfId="34" priority="1107" operator="equal">
      <formula>$S$1</formula>
    </cfRule>
    <cfRule type="cellIs" dxfId="33" priority="1108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BH139" sqref="BH139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$A$138</v>
      </c>
      <c r="D111" s="1" t="str">
        <f>ADDRESS(C121-1,D121,1,1)</f>
        <v>$BH$138</v>
      </c>
      <c r="E111"/>
    </row>
    <row r="112" spans="1:5" x14ac:dyDescent="0.25">
      <c r="A112" s="30">
        <v>2.3579476910000019</v>
      </c>
      <c r="C112" s="1" t="str">
        <f>ADDRESS(C121,1,1,1)</f>
        <v>$A$139</v>
      </c>
      <c r="D112" s="1" t="str">
        <f>ADDRESS(C121,D121-1,1,1)</f>
        <v>$BG$139</v>
      </c>
      <c r="E112"/>
    </row>
    <row r="113" spans="1:56" x14ac:dyDescent="0.25">
      <c r="A113" s="30">
        <v>2.1435888100000016</v>
      </c>
      <c r="C113" s="1" t="str">
        <f>ADDRESS(C121+1,1,1,1)</f>
        <v>$A$140</v>
      </c>
      <c r="D113" s="1" t="str">
        <f>ADDRESS(C121-1,D121+1,1,1)</f>
        <v>$BI$138</v>
      </c>
    </row>
    <row r="114" spans="1:56" x14ac:dyDescent="0.25">
      <c r="A114" s="30">
        <v>1.9487171000000014</v>
      </c>
      <c r="C114" s="1" t="str">
        <f>ADDRESS(C121,D121,1,1)</f>
        <v>$BH$139</v>
      </c>
      <c r="D114" s="1" t="str">
        <f>ADDRESS(C121+1,D121+1,1,1)</f>
        <v>$BI$140</v>
      </c>
    </row>
    <row r="115" spans="1:56" x14ac:dyDescent="0.25">
      <c r="A115" s="30">
        <v>1.7715610000000011</v>
      </c>
      <c r="C115" s="1" t="str">
        <f>ADDRESS(C121+1,D121,1,1)</f>
        <v>$BH$140</v>
      </c>
    </row>
    <row r="116" spans="1:56" x14ac:dyDescent="0.25">
      <c r="A116" s="30">
        <v>1.6105100000000008</v>
      </c>
      <c r="C116" s="1">
        <f>C117-1</f>
        <v>138</v>
      </c>
    </row>
    <row r="117" spans="1:56" x14ac:dyDescent="0.25">
      <c r="A117" s="30">
        <v>1.4641000000000006</v>
      </c>
      <c r="C117" s="1">
        <f>C121</f>
        <v>139</v>
      </c>
      <c r="D117" s="1">
        <f>D121</f>
        <v>60</v>
      </c>
    </row>
    <row r="118" spans="1:56" x14ac:dyDescent="0.25">
      <c r="A118" s="30">
        <v>1.3310000000000004</v>
      </c>
      <c r="C118" s="1">
        <f>C117+1</f>
        <v>140</v>
      </c>
      <c r="D118" s="1">
        <f>D117+1</f>
        <v>61</v>
      </c>
    </row>
    <row r="119" spans="1:56" x14ac:dyDescent="0.25">
      <c r="A119" s="30">
        <v>1.2100000000000002</v>
      </c>
    </row>
    <row r="120" spans="1:56" x14ac:dyDescent="0.25">
      <c r="A120" s="30">
        <v>1.1000000000000001</v>
      </c>
      <c r="C120" s="1" t="s">
        <v>9</v>
      </c>
    </row>
    <row r="121" spans="1:56" x14ac:dyDescent="0.25">
      <c r="A121" s="30">
        <v>1</v>
      </c>
      <c r="C121" s="18">
        <v>139</v>
      </c>
      <c r="D121" s="19">
        <v>60</v>
      </c>
      <c r="E121" s="18" t="s">
        <v>8</v>
      </c>
    </row>
    <row r="122" spans="1:56" x14ac:dyDescent="0.25">
      <c r="A122" s="30">
        <v>0.90909090909090895</v>
      </c>
      <c r="C122" s="1" t="str">
        <f>INDEX(1:1048576,C117,D117)</f>
        <v>O</v>
      </c>
      <c r="F122" s="27" t="s">
        <v>7</v>
      </c>
    </row>
    <row r="123" spans="1:56" x14ac:dyDescent="0.25">
      <c r="A123" s="30">
        <v>0.82644628099173523</v>
      </c>
      <c r="C123" s="1" t="str">
        <f>"R"&amp;C121</f>
        <v>R139</v>
      </c>
      <c r="D123" s="1" t="str">
        <f>"C"&amp;D121</f>
        <v>C60</v>
      </c>
      <c r="F123" s="27" t="s">
        <v>7</v>
      </c>
      <c r="AG123" s="27" t="s">
        <v>8</v>
      </c>
      <c r="AI123" s="27" t="s">
        <v>8</v>
      </c>
    </row>
    <row r="124" spans="1:56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AG124" s="27" t="s">
        <v>8</v>
      </c>
      <c r="AH124" s="27" t="s">
        <v>7</v>
      </c>
      <c r="AI124" s="27" t="s">
        <v>8</v>
      </c>
      <c r="AJ124" s="27" t="s">
        <v>7</v>
      </c>
      <c r="AK124" s="27" t="s">
        <v>8</v>
      </c>
      <c r="BA124" s="27" t="s">
        <v>8</v>
      </c>
      <c r="BC124" s="27" t="s">
        <v>8</v>
      </c>
    </row>
    <row r="125" spans="1:56" x14ac:dyDescent="0.25">
      <c r="A125" s="30">
        <v>0.68301345536507019</v>
      </c>
      <c r="F125" s="27" t="s">
        <v>7</v>
      </c>
      <c r="AG125" s="27" t="s">
        <v>8</v>
      </c>
      <c r="AH125" s="27" t="s">
        <v>7</v>
      </c>
      <c r="AI125" s="27" t="s">
        <v>8</v>
      </c>
      <c r="AJ125" s="27" t="s">
        <v>7</v>
      </c>
      <c r="AK125" s="27" t="s">
        <v>8</v>
      </c>
      <c r="AL125" s="27" t="s">
        <v>7</v>
      </c>
      <c r="BA125" s="27" t="s">
        <v>8</v>
      </c>
      <c r="BB125" s="27" t="s">
        <v>7</v>
      </c>
      <c r="BC125" s="27" t="s">
        <v>8</v>
      </c>
      <c r="BD125" s="27" t="s">
        <v>7</v>
      </c>
    </row>
    <row r="126" spans="1:56" x14ac:dyDescent="0.25">
      <c r="A126" s="30">
        <v>0.6209213230591546</v>
      </c>
      <c r="C126" s="1" t="s">
        <v>10</v>
      </c>
      <c r="F126" s="27" t="s">
        <v>7</v>
      </c>
      <c r="AE126" s="27" t="s">
        <v>8</v>
      </c>
      <c r="AG126" s="27" t="s">
        <v>8</v>
      </c>
      <c r="AH126" s="27" t="s">
        <v>7</v>
      </c>
      <c r="AJ126" s="27" t="s">
        <v>7</v>
      </c>
      <c r="AK126" s="27" t="s">
        <v>8</v>
      </c>
      <c r="AL126" s="27" t="s">
        <v>7</v>
      </c>
      <c r="BA126" s="27" t="s">
        <v>8</v>
      </c>
      <c r="BB126" s="27" t="s">
        <v>7</v>
      </c>
      <c r="BC126" s="27" t="s">
        <v>8</v>
      </c>
      <c r="BD126" s="27" t="s">
        <v>7</v>
      </c>
    </row>
    <row r="127" spans="1:56" x14ac:dyDescent="0.25">
      <c r="A127" s="30">
        <v>0.56447393005377677</v>
      </c>
      <c r="C127" s="30">
        <v>0.17985878990921333</v>
      </c>
      <c r="D127"/>
      <c r="F127" s="27" t="s">
        <v>7</v>
      </c>
      <c r="AE127" s="27" t="s">
        <v>8</v>
      </c>
      <c r="AF127" s="27" t="s">
        <v>7</v>
      </c>
      <c r="AG127" s="27" t="s">
        <v>8</v>
      </c>
      <c r="AJ127" s="27" t="s">
        <v>7</v>
      </c>
      <c r="AK127" s="27" t="s">
        <v>8</v>
      </c>
      <c r="AL127" s="27" t="s">
        <v>7</v>
      </c>
      <c r="BA127" s="27" t="s">
        <v>8</v>
      </c>
      <c r="BB127" s="27" t="s">
        <v>7</v>
      </c>
      <c r="BC127" s="27" t="s">
        <v>8</v>
      </c>
      <c r="BD127" s="27" t="s">
        <v>7</v>
      </c>
    </row>
    <row r="128" spans="1:56" x14ac:dyDescent="0.25">
      <c r="A128" s="30">
        <v>0.51315811823070612</v>
      </c>
      <c r="F128" s="27" t="s">
        <v>7</v>
      </c>
      <c r="AE128" s="27" t="s">
        <v>8</v>
      </c>
      <c r="AF128" s="27" t="s">
        <v>7</v>
      </c>
      <c r="AG128" s="27" t="s">
        <v>8</v>
      </c>
      <c r="AJ128" s="27" t="s">
        <v>7</v>
      </c>
      <c r="AK128" s="27" t="s">
        <v>8</v>
      </c>
      <c r="AL128" s="27" t="s">
        <v>7</v>
      </c>
      <c r="BA128" s="27" t="s">
        <v>8</v>
      </c>
      <c r="BB128" s="27" t="s">
        <v>7</v>
      </c>
      <c r="BC128" s="27" t="s">
        <v>8</v>
      </c>
      <c r="BD128" s="27" t="s">
        <v>7</v>
      </c>
    </row>
    <row r="129" spans="1:60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AE129" s="27" t="s">
        <v>8</v>
      </c>
      <c r="AF129" s="27" t="s">
        <v>7</v>
      </c>
      <c r="AJ129" s="27" t="s">
        <v>7</v>
      </c>
      <c r="AK129" s="27" t="s">
        <v>8</v>
      </c>
      <c r="AL129" s="27" t="s">
        <v>7</v>
      </c>
      <c r="BA129" s="27" t="s">
        <v>8</v>
      </c>
      <c r="BB129" s="27" t="s">
        <v>7</v>
      </c>
      <c r="BD129" s="27" t="s">
        <v>7</v>
      </c>
      <c r="BE129" s="27" t="s">
        <v>8</v>
      </c>
      <c r="BG129" s="27" t="s">
        <v>8</v>
      </c>
    </row>
    <row r="130" spans="1:60" x14ac:dyDescent="0.25">
      <c r="A130" s="30">
        <v>0.42409761837248428</v>
      </c>
      <c r="C130" s="6"/>
      <c r="D130" s="6"/>
      <c r="E130"/>
      <c r="F130" s="27" t="s">
        <v>7</v>
      </c>
      <c r="AC130" s="27" t="s">
        <v>8</v>
      </c>
      <c r="AE130" s="27" t="s">
        <v>8</v>
      </c>
      <c r="AJ130" s="27" t="s">
        <v>7</v>
      </c>
      <c r="AK130" s="27" t="s">
        <v>8</v>
      </c>
      <c r="AL130" s="27" t="s">
        <v>7</v>
      </c>
      <c r="BA130" s="27" t="s">
        <v>8</v>
      </c>
      <c r="BD130" s="27" t="s">
        <v>7</v>
      </c>
      <c r="BE130" s="27" t="s">
        <v>8</v>
      </c>
      <c r="BF130" s="27" t="s">
        <v>7</v>
      </c>
      <c r="BG130" s="27" t="s">
        <v>8</v>
      </c>
      <c r="BH130" s="27" t="s">
        <v>7</v>
      </c>
    </row>
    <row r="131" spans="1:60" x14ac:dyDescent="0.25">
      <c r="A131" s="30">
        <v>0.38554328942953109</v>
      </c>
      <c r="E131"/>
      <c r="F131" s="27" t="s">
        <v>7</v>
      </c>
      <c r="AC131" s="27" t="s">
        <v>8</v>
      </c>
      <c r="AD131" s="27" t="s">
        <v>7</v>
      </c>
      <c r="AE131" s="27" t="s">
        <v>8</v>
      </c>
      <c r="AJ131" s="27" t="s">
        <v>7</v>
      </c>
      <c r="AL131" s="27" t="s">
        <v>7</v>
      </c>
      <c r="BA131" s="27" t="s">
        <v>8</v>
      </c>
      <c r="BD131" s="27" t="s">
        <v>7</v>
      </c>
      <c r="BE131" s="27" t="s">
        <v>8</v>
      </c>
      <c r="BF131" s="27" t="s">
        <v>7</v>
      </c>
      <c r="BG131" s="27" t="s">
        <v>8</v>
      </c>
      <c r="BH131" s="27" t="s">
        <v>7</v>
      </c>
    </row>
    <row r="132" spans="1:60" x14ac:dyDescent="0.25">
      <c r="A132" s="30">
        <v>0.35049389948139187</v>
      </c>
      <c r="C132" s="1" t="s">
        <v>13</v>
      </c>
      <c r="E132"/>
      <c r="F132" s="27" t="s">
        <v>7</v>
      </c>
      <c r="AC132" s="27" t="s">
        <v>8</v>
      </c>
      <c r="AD132" s="27" t="s">
        <v>7</v>
      </c>
      <c r="AE132" s="27" t="s">
        <v>8</v>
      </c>
      <c r="AL132" s="27" t="s">
        <v>7</v>
      </c>
      <c r="AW132" s="27" t="s">
        <v>8</v>
      </c>
      <c r="AY132" s="27" t="s">
        <v>8</v>
      </c>
      <c r="BA132" s="27" t="s">
        <v>8</v>
      </c>
      <c r="BD132" s="27" t="s">
        <v>7</v>
      </c>
      <c r="BE132" s="27" t="s">
        <v>8</v>
      </c>
      <c r="BF132" s="27" t="s">
        <v>7</v>
      </c>
      <c r="BG132" s="27" t="s">
        <v>8</v>
      </c>
      <c r="BH132" s="27" t="s">
        <v>7</v>
      </c>
    </row>
    <row r="133" spans="1:60" x14ac:dyDescent="0.25">
      <c r="A133" s="30">
        <v>0.31863081771035617</v>
      </c>
      <c r="C133" s="1" t="str">
        <f>C122</f>
        <v>O</v>
      </c>
      <c r="E133"/>
      <c r="F133" s="27" t="s">
        <v>7</v>
      </c>
      <c r="AC133" s="27" t="s">
        <v>8</v>
      </c>
      <c r="AD133" s="27" t="s">
        <v>7</v>
      </c>
      <c r="AE133" s="27" t="s">
        <v>8</v>
      </c>
      <c r="AL133" s="27" t="s">
        <v>7</v>
      </c>
      <c r="AM133" s="27" t="s">
        <v>8</v>
      </c>
      <c r="AW133" s="27" t="s">
        <v>8</v>
      </c>
      <c r="AX133" s="27" t="s">
        <v>7</v>
      </c>
      <c r="AY133" s="27" t="s">
        <v>8</v>
      </c>
      <c r="AZ133" s="27" t="s">
        <v>7</v>
      </c>
      <c r="BA133" s="27" t="s">
        <v>8</v>
      </c>
      <c r="BD133" s="27" t="s">
        <v>7</v>
      </c>
      <c r="BE133" s="27" t="s">
        <v>8</v>
      </c>
      <c r="BF133" s="27" t="s">
        <v>7</v>
      </c>
      <c r="BH133" s="27" t="s">
        <v>7</v>
      </c>
    </row>
    <row r="134" spans="1:60" x14ac:dyDescent="0.25">
      <c r="A134" s="30">
        <v>0.28966437973668741</v>
      </c>
      <c r="C134"/>
      <c r="D134"/>
      <c r="E134"/>
      <c r="F134" s="27" t="s">
        <v>7</v>
      </c>
      <c r="AC134" s="27" t="s">
        <v>8</v>
      </c>
      <c r="AD134" s="27" t="s">
        <v>7</v>
      </c>
      <c r="AE134" s="27" t="s">
        <v>8</v>
      </c>
      <c r="AL134" s="27" t="s">
        <v>7</v>
      </c>
      <c r="AM134" s="27" t="s">
        <v>8</v>
      </c>
      <c r="AN134" s="27" t="s">
        <v>7</v>
      </c>
      <c r="AQ134" s="27" t="s">
        <v>8</v>
      </c>
      <c r="AS134" s="27" t="s">
        <v>8</v>
      </c>
      <c r="AW134" s="27" t="s">
        <v>8</v>
      </c>
      <c r="AX134" s="27" t="s">
        <v>7</v>
      </c>
      <c r="AY134" s="27" t="s">
        <v>8</v>
      </c>
      <c r="AZ134" s="27" t="s">
        <v>7</v>
      </c>
      <c r="BA134" s="27" t="s">
        <v>8</v>
      </c>
      <c r="BD134" s="27" t="s">
        <v>7</v>
      </c>
      <c r="BH134" s="27" t="s">
        <v>7</v>
      </c>
    </row>
    <row r="135" spans="1:60" x14ac:dyDescent="0.25">
      <c r="A135" s="30">
        <v>0.2633312543060794</v>
      </c>
      <c r="C135" s="1" t="s">
        <v>14</v>
      </c>
      <c r="E135"/>
      <c r="F135" s="27" t="s">
        <v>7</v>
      </c>
      <c r="AA135" s="27" t="s">
        <v>8</v>
      </c>
      <c r="AC135" s="27" t="s">
        <v>8</v>
      </c>
      <c r="AD135" s="27" t="s">
        <v>7</v>
      </c>
      <c r="AE135" s="27" t="s">
        <v>8</v>
      </c>
      <c r="AL135" s="27" t="s">
        <v>7</v>
      </c>
      <c r="AM135" s="27" t="s">
        <v>8</v>
      </c>
      <c r="AN135" s="27" t="s">
        <v>7</v>
      </c>
      <c r="AO135" s="27" t="s">
        <v>8</v>
      </c>
      <c r="AQ135" s="27" t="s">
        <v>8</v>
      </c>
      <c r="AR135" s="27" t="s">
        <v>7</v>
      </c>
      <c r="AS135" s="27" t="s">
        <v>8</v>
      </c>
      <c r="AT135" s="27" t="s">
        <v>7</v>
      </c>
      <c r="AW135" s="27" t="s">
        <v>8</v>
      </c>
      <c r="AX135" s="27" t="s">
        <v>7</v>
      </c>
      <c r="AY135" s="27" t="s">
        <v>8</v>
      </c>
      <c r="AZ135" s="27" t="s">
        <v>7</v>
      </c>
      <c r="BA135" s="27" t="s">
        <v>8</v>
      </c>
      <c r="BH135" s="27" t="s">
        <v>7</v>
      </c>
    </row>
    <row r="136" spans="1:60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  <c r="Y136" s="27" t="s">
        <v>8</v>
      </c>
      <c r="AA136" s="27" t="s">
        <v>8</v>
      </c>
      <c r="AB136" s="27" t="s">
        <v>7</v>
      </c>
      <c r="AC136" s="27" t="s">
        <v>8</v>
      </c>
      <c r="AD136" s="27" t="s">
        <v>7</v>
      </c>
      <c r="AL136" s="27" t="s">
        <v>7</v>
      </c>
      <c r="AM136" s="27" t="s">
        <v>8</v>
      </c>
      <c r="AN136" s="27" t="s">
        <v>7</v>
      </c>
      <c r="AO136" s="27" t="s">
        <v>8</v>
      </c>
      <c r="AP136" s="27" t="s">
        <v>7</v>
      </c>
      <c r="AQ136" s="27" t="s">
        <v>8</v>
      </c>
      <c r="AR136" s="27" t="s">
        <v>7</v>
      </c>
      <c r="AS136" s="27" t="s">
        <v>8</v>
      </c>
      <c r="AT136" s="27" t="s">
        <v>7</v>
      </c>
      <c r="AW136" s="27" t="s">
        <v>8</v>
      </c>
      <c r="AX136" s="27" t="s">
        <v>7</v>
      </c>
      <c r="AY136" s="27" t="s">
        <v>8</v>
      </c>
      <c r="AZ136" s="27" t="s">
        <v>7</v>
      </c>
      <c r="BH136" s="27" t="s">
        <v>7</v>
      </c>
    </row>
    <row r="137" spans="1:60" x14ac:dyDescent="0.25">
      <c r="A137" s="30">
        <v>0.2176291357901482</v>
      </c>
      <c r="E137"/>
      <c r="F137" s="27" t="s">
        <v>7</v>
      </c>
      <c r="Y137" s="27" t="s">
        <v>8</v>
      </c>
      <c r="Z137" s="27" t="s">
        <v>7</v>
      </c>
      <c r="AA137" s="27" t="s">
        <v>8</v>
      </c>
      <c r="AB137" s="27" t="s">
        <v>7</v>
      </c>
      <c r="AC137" s="27" t="s">
        <v>8</v>
      </c>
      <c r="AL137" s="27" t="s">
        <v>7</v>
      </c>
      <c r="AM137" s="27" t="s">
        <v>8</v>
      </c>
      <c r="AN137" s="27" t="s">
        <v>7</v>
      </c>
      <c r="AO137" s="27" t="s">
        <v>8</v>
      </c>
      <c r="AP137" s="27" t="s">
        <v>7</v>
      </c>
      <c r="AQ137" s="27" t="s">
        <v>8</v>
      </c>
      <c r="AR137" s="27" t="s">
        <v>7</v>
      </c>
      <c r="AT137" s="27" t="s">
        <v>7</v>
      </c>
      <c r="AW137" s="27" t="s">
        <v>8</v>
      </c>
      <c r="AX137" s="27" t="s">
        <v>7</v>
      </c>
      <c r="BH137" s="27" t="s">
        <v>7</v>
      </c>
    </row>
    <row r="138" spans="1:60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  <c r="Y138" s="27" t="s">
        <v>8</v>
      </c>
      <c r="Z138" s="27" t="s">
        <v>7</v>
      </c>
      <c r="AA138" s="27" t="s">
        <v>8</v>
      </c>
      <c r="AB138" s="27" t="s">
        <v>7</v>
      </c>
      <c r="AL138" s="27" t="s">
        <v>7</v>
      </c>
      <c r="AM138" s="27" t="s">
        <v>8</v>
      </c>
      <c r="AN138" s="27" t="s">
        <v>7</v>
      </c>
      <c r="AO138" s="27" t="s">
        <v>8</v>
      </c>
      <c r="AP138" s="27" t="s">
        <v>7</v>
      </c>
      <c r="AT138" s="27" t="s">
        <v>7</v>
      </c>
      <c r="AU138" s="27" t="s">
        <v>8</v>
      </c>
      <c r="AW138" s="27" t="s">
        <v>8</v>
      </c>
      <c r="BH138" s="27" t="s">
        <v>7</v>
      </c>
    </row>
    <row r="139" spans="1:60" x14ac:dyDescent="0.25">
      <c r="A139" s="30">
        <v>0.17985878990921333</v>
      </c>
      <c r="E139"/>
      <c r="F139" s="27" t="s">
        <v>7</v>
      </c>
      <c r="Y139" s="27" t="s">
        <v>8</v>
      </c>
      <c r="Z139" s="27" t="s">
        <v>7</v>
      </c>
      <c r="AA139" s="27" t="s">
        <v>8</v>
      </c>
      <c r="AL139" s="27" t="s">
        <v>7</v>
      </c>
      <c r="AN139" s="27" t="s">
        <v>7</v>
      </c>
      <c r="AO139" s="27" t="s">
        <v>8</v>
      </c>
      <c r="AT139" s="27" t="s">
        <v>7</v>
      </c>
      <c r="AU139" s="27" t="s">
        <v>8</v>
      </c>
      <c r="AV139" s="27" t="s">
        <v>7</v>
      </c>
      <c r="AW139" s="27" t="s">
        <v>8</v>
      </c>
      <c r="BH139" s="27" t="s">
        <v>7</v>
      </c>
    </row>
    <row r="140" spans="1:60" x14ac:dyDescent="0.25">
      <c r="A140" s="30">
        <v>0.16350799082655756</v>
      </c>
      <c r="C140" s="1">
        <v>0</v>
      </c>
      <c r="E140"/>
      <c r="F140" s="27" t="s">
        <v>7</v>
      </c>
      <c r="W140" s="27" t="s">
        <v>8</v>
      </c>
      <c r="Y140" s="27" t="s">
        <v>8</v>
      </c>
      <c r="Z140" s="27" t="s">
        <v>7</v>
      </c>
      <c r="AN140" s="27" t="s">
        <v>7</v>
      </c>
      <c r="AO140" s="27" t="s">
        <v>8</v>
      </c>
      <c r="AT140" s="27" t="s">
        <v>7</v>
      </c>
      <c r="AU140" s="27" t="s">
        <v>8</v>
      </c>
      <c r="AV140" s="27" t="s">
        <v>7</v>
      </c>
      <c r="AW140" s="27" t="s">
        <v>8</v>
      </c>
    </row>
    <row r="141" spans="1:60" x14ac:dyDescent="0.25">
      <c r="A141" s="30">
        <v>0.14864362802414322</v>
      </c>
      <c r="C141" s="1">
        <v>1</v>
      </c>
      <c r="E141"/>
      <c r="F141" s="27" t="s">
        <v>7</v>
      </c>
      <c r="W141" s="27" t="s">
        <v>8</v>
      </c>
      <c r="X141" s="27" t="s">
        <v>7</v>
      </c>
      <c r="Y141" s="27" t="s">
        <v>8</v>
      </c>
      <c r="AN141" s="27" t="s">
        <v>7</v>
      </c>
      <c r="AT141" s="27" t="s">
        <v>7</v>
      </c>
      <c r="AU141" s="27" t="s">
        <v>8</v>
      </c>
      <c r="AV141" s="18" t="s">
        <v>7</v>
      </c>
      <c r="AW141" s="27" t="s">
        <v>8</v>
      </c>
    </row>
    <row r="142" spans="1:60" x14ac:dyDescent="0.25">
      <c r="A142" s="30">
        <v>0.13513057093103928</v>
      </c>
      <c r="C142" s="1">
        <v>2</v>
      </c>
      <c r="E142"/>
      <c r="F142" s="27" t="s">
        <v>7</v>
      </c>
      <c r="W142" s="27" t="s">
        <v>8</v>
      </c>
      <c r="X142" s="27" t="s">
        <v>7</v>
      </c>
      <c r="Y142" s="27" t="s">
        <v>8</v>
      </c>
      <c r="AT142" s="27" t="s">
        <v>7</v>
      </c>
      <c r="AV142" s="27" t="s">
        <v>7</v>
      </c>
    </row>
    <row r="143" spans="1:60" x14ac:dyDescent="0.25">
      <c r="A143" s="30">
        <v>0.12284597357367205</v>
      </c>
      <c r="C143" s="1">
        <v>3</v>
      </c>
      <c r="E143"/>
      <c r="F143" s="27" t="s">
        <v>7</v>
      </c>
      <c r="S143" s="27" t="s">
        <v>8</v>
      </c>
      <c r="W143" s="27" t="s">
        <v>8</v>
      </c>
      <c r="X143" s="27" t="s">
        <v>7</v>
      </c>
      <c r="Y143" s="27" t="s">
        <v>8</v>
      </c>
    </row>
    <row r="144" spans="1:60" x14ac:dyDescent="0.25">
      <c r="A144" s="30">
        <v>0.11167815779424731</v>
      </c>
      <c r="C144" s="1">
        <v>4</v>
      </c>
      <c r="E144"/>
      <c r="F144" s="27" t="s">
        <v>7</v>
      </c>
      <c r="S144" s="27" t="s">
        <v>8</v>
      </c>
      <c r="T144" s="27" t="s">
        <v>7</v>
      </c>
      <c r="W144" s="27" t="s">
        <v>8</v>
      </c>
      <c r="X144" s="27" t="s">
        <v>7</v>
      </c>
      <c r="Y144" s="27" t="s">
        <v>8</v>
      </c>
    </row>
    <row r="145" spans="1:25" x14ac:dyDescent="0.25">
      <c r="A145" s="30">
        <v>0.10152559799477026</v>
      </c>
      <c r="B145"/>
      <c r="C145"/>
      <c r="D145"/>
      <c r="E145"/>
      <c r="F145" s="27" t="s">
        <v>7</v>
      </c>
      <c r="S145" s="27" t="s">
        <v>8</v>
      </c>
      <c r="T145" s="27" t="s">
        <v>7</v>
      </c>
      <c r="W145" s="27" t="s">
        <v>8</v>
      </c>
      <c r="X145" s="27" t="s">
        <v>7</v>
      </c>
      <c r="Y145" s="27" t="s">
        <v>8</v>
      </c>
    </row>
    <row r="146" spans="1:25" x14ac:dyDescent="0.25">
      <c r="A146" s="30">
        <v>9.2295998177063854E-2</v>
      </c>
      <c r="B146"/>
      <c r="C146"/>
      <c r="D146"/>
      <c r="E146"/>
      <c r="F146" s="27" t="s">
        <v>7</v>
      </c>
      <c r="S146" s="27" t="s">
        <v>8</v>
      </c>
      <c r="T146" s="27" t="s">
        <v>7</v>
      </c>
      <c r="W146" s="27" t="s">
        <v>8</v>
      </c>
      <c r="X146" s="27" t="s">
        <v>7</v>
      </c>
    </row>
    <row r="147" spans="1:25" x14ac:dyDescent="0.25">
      <c r="A147" s="30">
        <v>8.3905452888239848E-2</v>
      </c>
      <c r="B147"/>
      <c r="C147"/>
      <c r="D147"/>
      <c r="E147"/>
      <c r="F147" s="27" t="s">
        <v>7</v>
      </c>
      <c r="G147" s="27" t="s">
        <v>8</v>
      </c>
      <c r="Q147" s="27" t="s">
        <v>8</v>
      </c>
      <c r="S147" s="27" t="s">
        <v>8</v>
      </c>
      <c r="T147" s="27" t="s">
        <v>7</v>
      </c>
      <c r="W147" s="27" t="s">
        <v>8</v>
      </c>
    </row>
    <row r="148" spans="1:25" x14ac:dyDescent="0.25">
      <c r="A148" s="30">
        <v>7.6277684443854396E-2</v>
      </c>
      <c r="B148"/>
      <c r="C148"/>
      <c r="D148"/>
      <c r="E148"/>
      <c r="F148" s="27" t="s">
        <v>7</v>
      </c>
      <c r="G148" s="27" t="s">
        <v>8</v>
      </c>
      <c r="H148" s="27" t="s">
        <v>7</v>
      </c>
      <c r="I148" s="27" t="s">
        <v>8</v>
      </c>
      <c r="Q148" s="27" t="s">
        <v>8</v>
      </c>
      <c r="R148" s="27" t="s">
        <v>7</v>
      </c>
      <c r="S148" s="27" t="s">
        <v>8</v>
      </c>
      <c r="T148" s="27" t="s">
        <v>7</v>
      </c>
      <c r="U148" s="27" t="s">
        <v>8</v>
      </c>
      <c r="W148" s="27" t="s">
        <v>8</v>
      </c>
    </row>
    <row r="149" spans="1:25" x14ac:dyDescent="0.25">
      <c r="A149" s="30">
        <v>6.9343349494413078E-2</v>
      </c>
      <c r="B149"/>
      <c r="C149"/>
      <c r="D149"/>
      <c r="E149"/>
      <c r="F149" s="27" t="s">
        <v>7</v>
      </c>
      <c r="G149" s="27" t="s">
        <v>8</v>
      </c>
      <c r="H149" s="27" t="s">
        <v>7</v>
      </c>
      <c r="I149" s="27" t="s">
        <v>8</v>
      </c>
      <c r="J149" s="27" t="s">
        <v>7</v>
      </c>
      <c r="Q149" s="27" t="s">
        <v>8</v>
      </c>
      <c r="R149" s="27" t="s">
        <v>7</v>
      </c>
      <c r="S149" s="27" t="s">
        <v>8</v>
      </c>
      <c r="T149" s="27" t="s">
        <v>7</v>
      </c>
      <c r="U149" s="27" t="s">
        <v>8</v>
      </c>
      <c r="V149" s="27" t="s">
        <v>7</v>
      </c>
      <c r="W149" s="27" t="s">
        <v>8</v>
      </c>
    </row>
    <row r="150" spans="1:25" x14ac:dyDescent="0.25">
      <c r="A150" s="30">
        <v>6.3039408631284613E-2</v>
      </c>
      <c r="B150"/>
      <c r="C150"/>
      <c r="D150"/>
      <c r="E150"/>
      <c r="F150" s="27" t="s">
        <v>7</v>
      </c>
      <c r="G150" s="27" t="s">
        <v>8</v>
      </c>
      <c r="H150" s="27" t="s">
        <v>7</v>
      </c>
      <c r="I150" s="27" t="s">
        <v>8</v>
      </c>
      <c r="J150" s="27" t="s">
        <v>7</v>
      </c>
      <c r="O150" s="27" t="s">
        <v>8</v>
      </c>
      <c r="Q150" s="27" t="s">
        <v>8</v>
      </c>
      <c r="R150" s="27" t="s">
        <v>7</v>
      </c>
      <c r="S150" s="27" t="s">
        <v>8</v>
      </c>
      <c r="T150" s="27" t="s">
        <v>7</v>
      </c>
      <c r="U150" s="27" t="s">
        <v>8</v>
      </c>
      <c r="V150" s="27" t="s">
        <v>7</v>
      </c>
      <c r="W150" s="27" t="s">
        <v>8</v>
      </c>
    </row>
    <row r="151" spans="1:25" x14ac:dyDescent="0.25">
      <c r="A151" s="30">
        <v>5.7308553301167818E-2</v>
      </c>
      <c r="B151"/>
      <c r="C151"/>
      <c r="D151"/>
      <c r="E151"/>
      <c r="F151" s="27" t="s">
        <v>7</v>
      </c>
      <c r="G151" s="27" t="s">
        <v>8</v>
      </c>
      <c r="H151" s="27" t="s">
        <v>7</v>
      </c>
      <c r="J151" s="27" t="s">
        <v>7</v>
      </c>
      <c r="O151" s="27" t="s">
        <v>8</v>
      </c>
      <c r="P151" s="27" t="s">
        <v>7</v>
      </c>
      <c r="Q151" s="27" t="s">
        <v>8</v>
      </c>
      <c r="R151" s="27" t="s">
        <v>7</v>
      </c>
      <c r="T151" s="27" t="s">
        <v>7</v>
      </c>
      <c r="V151" s="27" t="s">
        <v>7</v>
      </c>
      <c r="W151" s="27" t="s">
        <v>8</v>
      </c>
    </row>
    <row r="152" spans="1:25" x14ac:dyDescent="0.25">
      <c r="A152" s="30">
        <v>5.2098684819243464E-2</v>
      </c>
      <c r="B152"/>
      <c r="C152"/>
      <c r="D152"/>
      <c r="E152"/>
      <c r="F152" s="27" t="s">
        <v>7</v>
      </c>
      <c r="G152" s="27" t="s">
        <v>8</v>
      </c>
      <c r="J152" s="27" t="s">
        <v>7</v>
      </c>
      <c r="O152" s="27" t="s">
        <v>8</v>
      </c>
      <c r="P152" s="27" t="s">
        <v>7</v>
      </c>
      <c r="Q152" s="27" t="s">
        <v>8</v>
      </c>
      <c r="V152" s="27" t="s">
        <v>7</v>
      </c>
    </row>
    <row r="153" spans="1:25" x14ac:dyDescent="0.25">
      <c r="A153" s="30">
        <v>4.7362440744766775E-2</v>
      </c>
      <c r="B153"/>
      <c r="C153"/>
      <c r="D153"/>
      <c r="E153"/>
      <c r="F153" s="27" t="s">
        <v>7</v>
      </c>
      <c r="G153" s="27" t="s">
        <v>8</v>
      </c>
      <c r="J153" s="27" t="s">
        <v>7</v>
      </c>
      <c r="M153" s="27" t="s">
        <v>8</v>
      </c>
      <c r="O153" s="27" t="s">
        <v>8</v>
      </c>
      <c r="P153" s="27" t="s">
        <v>7</v>
      </c>
    </row>
    <row r="154" spans="1:25" x14ac:dyDescent="0.25">
      <c r="A154" s="30">
        <v>4.3056764313424332E-2</v>
      </c>
      <c r="B154"/>
      <c r="C154"/>
      <c r="D154"/>
      <c r="E154"/>
      <c r="F154" s="27" t="s">
        <v>7</v>
      </c>
      <c r="G154" s="27" t="s">
        <v>8</v>
      </c>
      <c r="J154" s="27" t="s">
        <v>7</v>
      </c>
      <c r="M154" s="27" t="s">
        <v>8</v>
      </c>
      <c r="N154" s="27" t="s">
        <v>7</v>
      </c>
      <c r="O154" s="27" t="s">
        <v>8</v>
      </c>
    </row>
    <row r="155" spans="1:25" x14ac:dyDescent="0.25">
      <c r="A155" s="30">
        <v>3.9142513012203929E-2</v>
      </c>
      <c r="B155"/>
      <c r="C155"/>
      <c r="D155"/>
      <c r="E155"/>
      <c r="F155" s="27" t="s">
        <v>7</v>
      </c>
      <c r="J155" s="27" t="s">
        <v>7</v>
      </c>
      <c r="M155" s="27" t="s">
        <v>8</v>
      </c>
      <c r="N155" s="27" t="s">
        <v>7</v>
      </c>
      <c r="O155" s="27" t="s">
        <v>8</v>
      </c>
    </row>
    <row r="156" spans="1:25" x14ac:dyDescent="0.25">
      <c r="A156" s="30">
        <v>3.55841027383672E-2</v>
      </c>
      <c r="B156"/>
      <c r="C156"/>
      <c r="D156"/>
      <c r="E156"/>
      <c r="J156" s="27" t="s">
        <v>7</v>
      </c>
      <c r="K156" s="27" t="s">
        <v>8</v>
      </c>
      <c r="M156" s="27" t="s">
        <v>8</v>
      </c>
      <c r="N156" s="27" t="s">
        <v>7</v>
      </c>
    </row>
    <row r="157" spans="1:25" x14ac:dyDescent="0.25">
      <c r="A157" s="30">
        <v>3.2349184307606541E-2</v>
      </c>
      <c r="B157"/>
      <c r="C157"/>
      <c r="D157"/>
      <c r="E157"/>
      <c r="J157" s="27" t="s">
        <v>7</v>
      </c>
      <c r="K157" s="27" t="s">
        <v>8</v>
      </c>
      <c r="L157" s="27" t="s">
        <v>7</v>
      </c>
      <c r="M157" s="27" t="s">
        <v>8</v>
      </c>
    </row>
    <row r="158" spans="1:25" x14ac:dyDescent="0.25">
      <c r="A158" s="30">
        <v>2.9408349370551395E-2</v>
      </c>
      <c r="B158"/>
      <c r="C158"/>
      <c r="D158"/>
      <c r="E158"/>
      <c r="J158" s="27" t="s">
        <v>7</v>
      </c>
      <c r="K158" s="27" t="s">
        <v>8</v>
      </c>
      <c r="L158" s="27" t="s">
        <v>7</v>
      </c>
      <c r="M158" s="27" t="s">
        <v>8</v>
      </c>
    </row>
    <row r="159" spans="1:25" x14ac:dyDescent="0.25">
      <c r="A159" s="30">
        <v>2.6734863064137627E-2</v>
      </c>
      <c r="B159"/>
      <c r="C159"/>
      <c r="D159"/>
      <c r="E159"/>
      <c r="J159" s="27" t="s">
        <v>7</v>
      </c>
      <c r="K159" s="27" t="s">
        <v>8</v>
      </c>
      <c r="L159" s="27" t="s">
        <v>7</v>
      </c>
      <c r="M159" s="27" t="s">
        <v>8</v>
      </c>
    </row>
    <row r="160" spans="1:25" x14ac:dyDescent="0.25">
      <c r="A160" s="30">
        <v>2.4304420967397839E-2</v>
      </c>
      <c r="B160"/>
      <c r="C160"/>
      <c r="D160"/>
      <c r="E160"/>
      <c r="J160" s="27" t="s">
        <v>7</v>
      </c>
      <c r="K160" s="27" t="s">
        <v>8</v>
      </c>
      <c r="L160" s="27" t="s">
        <v>7</v>
      </c>
      <c r="M160" s="27" t="s">
        <v>8</v>
      </c>
    </row>
    <row r="161" spans="1:12" x14ac:dyDescent="0.25">
      <c r="A161" s="30">
        <v>2.2094928152179852E-2</v>
      </c>
      <c r="B161"/>
      <c r="C161"/>
      <c r="D161"/>
      <c r="E161"/>
      <c r="J161" s="27" t="s">
        <v>7</v>
      </c>
      <c r="K161" s="27" t="s">
        <v>8</v>
      </c>
      <c r="L161" s="27" t="s">
        <v>7</v>
      </c>
    </row>
    <row r="162" spans="1:12" x14ac:dyDescent="0.25">
      <c r="A162" s="30">
        <v>2.0086298320163499E-2</v>
      </c>
      <c r="B162"/>
      <c r="C162"/>
      <c r="D162"/>
      <c r="E162"/>
      <c r="J162" s="27" t="s">
        <v>7</v>
      </c>
    </row>
    <row r="163" spans="1:12" x14ac:dyDescent="0.25">
      <c r="A163" s="30">
        <v>1.8260271200148632E-2</v>
      </c>
      <c r="B163"/>
      <c r="C163"/>
      <c r="D163"/>
      <c r="E163"/>
    </row>
    <row r="164" spans="1:12" x14ac:dyDescent="0.25">
      <c r="A164" s="30">
        <v>1.6600246545589663E-2</v>
      </c>
      <c r="B164"/>
      <c r="C164"/>
      <c r="D164"/>
      <c r="E164"/>
    </row>
    <row r="165" spans="1:12" x14ac:dyDescent="0.25">
      <c r="A165" s="30">
        <v>1.5091133223263328E-2</v>
      </c>
      <c r="B165"/>
      <c r="C165"/>
      <c r="D165"/>
      <c r="E165"/>
    </row>
    <row r="166" spans="1:12" x14ac:dyDescent="0.25">
      <c r="A166" s="30">
        <v>1.3719212021148477E-2</v>
      </c>
      <c r="B166"/>
      <c r="C166"/>
      <c r="D166"/>
      <c r="E166"/>
    </row>
    <row r="167" spans="1:12" x14ac:dyDescent="0.25">
      <c r="A167" s="30">
        <v>1.2472010928316795E-2</v>
      </c>
      <c r="B167"/>
      <c r="C167"/>
      <c r="D167"/>
      <c r="E167"/>
    </row>
    <row r="168" spans="1:12" x14ac:dyDescent="0.25">
      <c r="A168" s="30">
        <v>1.1338191753015267E-2</v>
      </c>
      <c r="B168"/>
      <c r="C168"/>
      <c r="D168"/>
      <c r="E168"/>
    </row>
    <row r="169" spans="1:12" x14ac:dyDescent="0.25">
      <c r="A169" s="30">
        <v>1.0307447048195697E-2</v>
      </c>
      <c r="B169"/>
      <c r="C169"/>
      <c r="D169"/>
      <c r="E169"/>
    </row>
    <row r="170" spans="1:12" x14ac:dyDescent="0.25">
      <c r="A170" s="30">
        <v>9.3704064074506318E-3</v>
      </c>
      <c r="B170"/>
      <c r="C170"/>
      <c r="D170"/>
      <c r="E170"/>
    </row>
    <row r="171" spans="1:12" x14ac:dyDescent="0.25">
      <c r="A171" s="30">
        <v>8.5185512795005747E-3</v>
      </c>
    </row>
    <row r="172" spans="1:12" x14ac:dyDescent="0.25">
      <c r="A172" s="30">
        <v>7.744137526818704E-3</v>
      </c>
    </row>
    <row r="173" spans="1:12" x14ac:dyDescent="0.25">
      <c r="A173" s="30">
        <v>7.0401250243806394E-3</v>
      </c>
    </row>
    <row r="174" spans="1:12" x14ac:dyDescent="0.25">
      <c r="A174" s="30">
        <v>6.4001136585278536E-3</v>
      </c>
    </row>
    <row r="175" spans="1:12" x14ac:dyDescent="0.25">
      <c r="A175" s="30">
        <v>5.8182851441162305E-3</v>
      </c>
    </row>
    <row r="176" spans="1:12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125" operator="equal">
      <formula>$U$1</formula>
    </cfRule>
    <cfRule type="cellIs" dxfId="30" priority="1126" operator="equal">
      <formula>$S$1</formula>
    </cfRule>
  </conditionalFormatting>
  <conditionalFormatting sqref="D136">
    <cfRule type="cellIs" dxfId="29" priority="1123" operator="equal">
      <formula>$S$1</formula>
    </cfRule>
    <cfRule type="cellIs" dxfId="28" priority="1124" operator="equal">
      <formula>$U$1</formula>
    </cfRule>
  </conditionalFormatting>
  <conditionalFormatting sqref="C102">
    <cfRule type="cellIs" dxfId="27" priority="1121" operator="equal">
      <formula>$U$1</formula>
    </cfRule>
    <cfRule type="cellIs" dxfId="26" priority="1122" operator="equal">
      <formula>$S$1</formula>
    </cfRule>
  </conditionalFormatting>
  <conditionalFormatting sqref="D102">
    <cfRule type="cellIs" dxfId="25" priority="1119" operator="equal">
      <formula>$S$1</formula>
    </cfRule>
    <cfRule type="cellIs" dxfId="24" priority="1120" operator="equal">
      <formula>$U$1</formula>
    </cfRule>
  </conditionalFormatting>
  <conditionalFormatting sqref="C77">
    <cfRule type="cellIs" dxfId="23" priority="1117" operator="equal">
      <formula>$U$1</formula>
    </cfRule>
    <cfRule type="cellIs" dxfId="22" priority="1118" operator="equal">
      <formula>$S$1</formula>
    </cfRule>
  </conditionalFormatting>
  <conditionalFormatting sqref="D77">
    <cfRule type="cellIs" dxfId="21" priority="1115" operator="equal">
      <formula>$S$1</formula>
    </cfRule>
    <cfRule type="cellIs" dxfId="20" priority="1116" operator="equal">
      <formula>$U$1</formula>
    </cfRule>
  </conditionalFormatting>
  <conditionalFormatting sqref="C52">
    <cfRule type="cellIs" dxfId="19" priority="1113" operator="equal">
      <formula>$U$1</formula>
    </cfRule>
    <cfRule type="cellIs" dxfId="18" priority="1114" operator="equal">
      <formula>$S$1</formula>
    </cfRule>
  </conditionalFormatting>
  <conditionalFormatting sqref="D52">
    <cfRule type="cellIs" dxfId="17" priority="1111" operator="equal">
      <formula>$S$1</formula>
    </cfRule>
    <cfRule type="cellIs" dxfId="16" priority="1112" operator="equal">
      <formula>$U$1</formula>
    </cfRule>
  </conditionalFormatting>
  <conditionalFormatting sqref="C26">
    <cfRule type="cellIs" dxfId="15" priority="1109" operator="equal">
      <formula>$U$1</formula>
    </cfRule>
    <cfRule type="cellIs" dxfId="14" priority="1110" operator="equal">
      <formula>$S$1</formula>
    </cfRule>
  </conditionalFormatting>
  <conditionalFormatting sqref="D26">
    <cfRule type="cellIs" dxfId="13" priority="1107" operator="equal">
      <formula>$S$1</formula>
    </cfRule>
    <cfRule type="cellIs" dxfId="12" priority="1108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2022-01-28T01:18:38Z</dcterms:modified>
</cp:coreProperties>
</file>